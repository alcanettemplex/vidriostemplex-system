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b63737b27249e6/Documents/INVENTARIO PERFILERIA ACTUAL 2026/"/>
    </mc:Choice>
  </mc:AlternateContent>
  <xr:revisionPtr revIDLastSave="28" documentId="8_{8E61E24F-1E3E-4FC0-93EC-72506FBFEB46}" xr6:coauthVersionLast="47" xr6:coauthVersionMax="47" xr10:uidLastSave="{6AB444E1-1BCD-43E4-9FB2-CF4A104D8B0E}"/>
  <bookViews>
    <workbookView xWindow="-120" yWindow="-120" windowWidth="29040" windowHeight="15720" tabRatio="829" xr2:uid="{00000000-000D-0000-FFFF-FFFF00000000}"/>
  </bookViews>
  <sheets>
    <sheet name="BASE" sheetId="4" r:id="rId1"/>
    <sheet name="INV 28 FEBRERO 2026" sheetId="27" r:id="rId2"/>
    <sheet name="PERFILERIA EN PROCESO" sheetId="31" r:id="rId3"/>
    <sheet name="ACCESORIOS" sheetId="41" r:id="rId4"/>
    <sheet name="ACCESORIOS EN PROCESO" sheetId="42" r:id="rId5"/>
    <sheet name="UNIFICADO x CODIGO" sheetId="45" r:id="rId6"/>
    <sheet name="TD mes" sheetId="34" r:id="rId7"/>
    <sheet name="Inv Total mes" sheetId="33" r:id="rId8"/>
    <sheet name="INV COMPARADO" sheetId="35" r:id="rId9"/>
    <sheet name="CONSECUTIVO" sheetId="46" r:id="rId10"/>
  </sheets>
  <externalReferences>
    <externalReference r:id="rId11"/>
    <externalReference r:id="rId12"/>
  </externalReferences>
  <definedNames>
    <definedName name="_xlnm._FilterDatabase" localSheetId="3" hidden="1">ACCESORIOS!$A$1:$B$93</definedName>
    <definedName name="_xlnm._FilterDatabase" localSheetId="4" hidden="1">'ACCESORIOS EN PROCESO'!$A$1:$E$44</definedName>
    <definedName name="_xlnm._FilterDatabase" localSheetId="0" hidden="1">BASE!$A$1:$D$486</definedName>
    <definedName name="_xlnm._FilterDatabase" localSheetId="1" hidden="1">'INV 28 FEBRERO 2026'!$A$2:$I$582</definedName>
    <definedName name="_xlnm._FilterDatabase" localSheetId="8" hidden="1">'INV COMPARADO'!$A$1:$E$293</definedName>
    <definedName name="_xlnm._FilterDatabase" localSheetId="7" hidden="1">'Inv Total mes'!$A$2:$G$794</definedName>
    <definedName name="_xlnm._FilterDatabase" localSheetId="2" hidden="1">'PERFILERIA EN PROCESO'!$A$1:$G$44</definedName>
    <definedName name="_xlnm._FilterDatabase" localSheetId="6" hidden="1">'TD mes'!$A$1:$C$300</definedName>
    <definedName name="ACABADOS">OFFSET([1]COSTOS!$Z$2,0,0,COUNTA([1]COSTOS!$Z:$Z)+2,4)</definedName>
    <definedName name="Asesores">OFFSET([1]Parametros!$E$2,0,0,COUNTA([1]Parametros!$E:$E)-1,1)</definedName>
    <definedName name="CLIENTE">OFFSET([1]Parametros!$A$2,0,0,COUNTA([1]Parametros!$A:$A)-1,1)</definedName>
    <definedName name="ESTADO">OFFSET([1]Parametros!$G$2,0,0,COUNTA([1]Parametros!$G:$G)-1,1)</definedName>
    <definedName name="invent">[2]!Inventar[Codigo Producto]</definedName>
    <definedName name="Tabla_Costos">OFFSET([1]COSTOS!$L$1,0,0,COUNTA([1]COSTOS!$L:$L),COUNTA([1]COSTOS!$L$1:$W$1))</definedName>
    <definedName name="_xlnm.Print_Titles" localSheetId="1">'INV 28 FEBRERO 2026'!$1:$2</definedName>
    <definedName name="_xlnm.Print_Titles" localSheetId="7">'Inv Total mes'!#REF!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22" i="27" l="1"/>
  <c r="D522" i="27"/>
  <c r="E522" i="27"/>
  <c r="G522" i="27"/>
  <c r="C573" i="27" l="1"/>
  <c r="D573" i="27"/>
  <c r="E573" i="27"/>
  <c r="G573" i="27"/>
  <c r="C574" i="27"/>
  <c r="D574" i="27"/>
  <c r="E574" i="27"/>
  <c r="G574" i="27"/>
  <c r="C575" i="27"/>
  <c r="D575" i="27"/>
  <c r="E575" i="27"/>
  <c r="G575" i="27"/>
  <c r="C576" i="27"/>
  <c r="D576" i="27"/>
  <c r="E576" i="27"/>
  <c r="G576" i="27"/>
  <c r="C577" i="27"/>
  <c r="D577" i="27"/>
  <c r="E577" i="27"/>
  <c r="G577" i="27"/>
  <c r="C578" i="27"/>
  <c r="D578" i="27"/>
  <c r="E578" i="27"/>
  <c r="G578" i="27"/>
  <c r="C579" i="27"/>
  <c r="D579" i="27"/>
  <c r="E579" i="27"/>
  <c r="G579" i="27"/>
  <c r="C580" i="27"/>
  <c r="D580" i="27"/>
  <c r="E580" i="27"/>
  <c r="G580" i="27"/>
  <c r="C581" i="27"/>
  <c r="D581" i="27"/>
  <c r="E581" i="27"/>
  <c r="G581" i="27"/>
  <c r="C582" i="27"/>
  <c r="D582" i="27"/>
  <c r="E582" i="27"/>
  <c r="G582" i="27"/>
  <c r="F553" i="27" l="1"/>
  <c r="G553" i="27" s="1"/>
  <c r="C553" i="27"/>
  <c r="D553" i="27"/>
  <c r="E553" i="27"/>
  <c r="C554" i="27"/>
  <c r="D554" i="27"/>
  <c r="E554" i="27"/>
  <c r="G554" i="27"/>
  <c r="C555" i="27"/>
  <c r="D555" i="27"/>
  <c r="E555" i="27"/>
  <c r="G555" i="27"/>
  <c r="C556" i="27"/>
  <c r="D556" i="27"/>
  <c r="E556" i="27"/>
  <c r="G556" i="27"/>
  <c r="C557" i="27"/>
  <c r="D557" i="27"/>
  <c r="E557" i="27"/>
  <c r="G557" i="27"/>
  <c r="C558" i="27"/>
  <c r="D558" i="27"/>
  <c r="E558" i="27"/>
  <c r="G558" i="27"/>
  <c r="C559" i="27"/>
  <c r="D559" i="27"/>
  <c r="E559" i="27"/>
  <c r="G559" i="27"/>
  <c r="C560" i="27"/>
  <c r="D560" i="27"/>
  <c r="E560" i="27"/>
  <c r="G560" i="27"/>
  <c r="C561" i="27"/>
  <c r="D561" i="27"/>
  <c r="E561" i="27"/>
  <c r="G561" i="27"/>
  <c r="C562" i="27"/>
  <c r="D562" i="27"/>
  <c r="E562" i="27"/>
  <c r="G562" i="27"/>
  <c r="C563" i="27"/>
  <c r="D563" i="27"/>
  <c r="E563" i="27"/>
  <c r="G563" i="27"/>
  <c r="C564" i="27"/>
  <c r="D564" i="27"/>
  <c r="E564" i="27"/>
  <c r="G564" i="27"/>
  <c r="C565" i="27"/>
  <c r="D565" i="27"/>
  <c r="E565" i="27"/>
  <c r="G565" i="27"/>
  <c r="C566" i="27"/>
  <c r="D566" i="27"/>
  <c r="E566" i="27"/>
  <c r="G566" i="27"/>
  <c r="C567" i="27"/>
  <c r="D567" i="27"/>
  <c r="E567" i="27"/>
  <c r="G567" i="27"/>
  <c r="C568" i="27"/>
  <c r="D568" i="27"/>
  <c r="E568" i="27"/>
  <c r="G568" i="27"/>
  <c r="C569" i="27"/>
  <c r="D569" i="27"/>
  <c r="E569" i="27"/>
  <c r="G569" i="27"/>
  <c r="C570" i="27"/>
  <c r="D570" i="27"/>
  <c r="E570" i="27"/>
  <c r="G570" i="27"/>
  <c r="C571" i="27"/>
  <c r="D571" i="27"/>
  <c r="E571" i="27"/>
  <c r="G571" i="27"/>
  <c r="C572" i="27"/>
  <c r="D572" i="27"/>
  <c r="E572" i="27"/>
  <c r="G572" i="27"/>
  <c r="C537" i="27"/>
  <c r="D537" i="27"/>
  <c r="E537" i="27"/>
  <c r="C538" i="27"/>
  <c r="D538" i="27"/>
  <c r="E538" i="27"/>
  <c r="C539" i="27"/>
  <c r="D539" i="27"/>
  <c r="E539" i="27"/>
  <c r="C540" i="27"/>
  <c r="D540" i="27"/>
  <c r="E540" i="27"/>
  <c r="C541" i="27"/>
  <c r="D541" i="27"/>
  <c r="E541" i="27"/>
  <c r="C542" i="27"/>
  <c r="D542" i="27"/>
  <c r="E542" i="27"/>
  <c r="C543" i="27"/>
  <c r="D543" i="27"/>
  <c r="E543" i="27"/>
  <c r="C544" i="27"/>
  <c r="D544" i="27"/>
  <c r="E544" i="27"/>
  <c r="C545" i="27"/>
  <c r="D545" i="27"/>
  <c r="E545" i="27"/>
  <c r="C546" i="27"/>
  <c r="D546" i="27"/>
  <c r="E546" i="27"/>
  <c r="C547" i="27"/>
  <c r="D547" i="27"/>
  <c r="E547" i="27"/>
  <c r="C548" i="27"/>
  <c r="D548" i="27"/>
  <c r="E548" i="27"/>
  <c r="C549" i="27"/>
  <c r="D549" i="27"/>
  <c r="E549" i="27"/>
  <c r="C550" i="27"/>
  <c r="D550" i="27"/>
  <c r="E550" i="27"/>
  <c r="C551" i="27"/>
  <c r="D551" i="27"/>
  <c r="E551" i="27"/>
  <c r="C552" i="27"/>
  <c r="D552" i="27"/>
  <c r="E552" i="27"/>
  <c r="A3" i="46" l="1"/>
  <c r="A4" i="46" s="1"/>
  <c r="A5" i="46" s="1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C391" i="27" l="1"/>
  <c r="D391" i="27"/>
  <c r="E391" i="27"/>
  <c r="G391" i="27"/>
  <c r="G549" i="27"/>
  <c r="G550" i="27"/>
  <c r="G551" i="27"/>
  <c r="G552" i="27"/>
  <c r="B178" i="34"/>
  <c r="B179" i="34"/>
  <c r="B175" i="34"/>
  <c r="A2" i="34"/>
  <c r="A3" i="34"/>
  <c r="A4" i="34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A88" i="34"/>
  <c r="A89" i="34"/>
  <c r="A90" i="34"/>
  <c r="A91" i="34"/>
  <c r="A92" i="34"/>
  <c r="A93" i="34"/>
  <c r="A94" i="34"/>
  <c r="A95" i="34"/>
  <c r="A96" i="34"/>
  <c r="A97" i="34"/>
  <c r="A98" i="34"/>
  <c r="A99" i="34"/>
  <c r="A100" i="34"/>
  <c r="A101" i="34"/>
  <c r="A102" i="34"/>
  <c r="A103" i="34"/>
  <c r="A104" i="34"/>
  <c r="A105" i="34"/>
  <c r="A106" i="34"/>
  <c r="A107" i="34"/>
  <c r="A108" i="34"/>
  <c r="A109" i="34"/>
  <c r="A110" i="34"/>
  <c r="A111" i="34"/>
  <c r="A112" i="34"/>
  <c r="A113" i="34"/>
  <c r="A114" i="34"/>
  <c r="A115" i="34"/>
  <c r="A116" i="34"/>
  <c r="A117" i="34"/>
  <c r="A118" i="34"/>
  <c r="A119" i="34"/>
  <c r="A120" i="34"/>
  <c r="A121" i="34"/>
  <c r="A122" i="34"/>
  <c r="A123" i="34"/>
  <c r="A124" i="34"/>
  <c r="A125" i="34"/>
  <c r="A126" i="34"/>
  <c r="A127" i="34"/>
  <c r="A128" i="34"/>
  <c r="A129" i="34"/>
  <c r="A130" i="34"/>
  <c r="A131" i="34"/>
  <c r="A132" i="34"/>
  <c r="A133" i="34"/>
  <c r="A134" i="34"/>
  <c r="A135" i="34"/>
  <c r="A136" i="34"/>
  <c r="A137" i="34"/>
  <c r="A138" i="34"/>
  <c r="A139" i="34"/>
  <c r="A140" i="34"/>
  <c r="A141" i="34"/>
  <c r="A142" i="34"/>
  <c r="A143" i="34"/>
  <c r="A144" i="34"/>
  <c r="A145" i="34"/>
  <c r="A146" i="34"/>
  <c r="A147" i="34"/>
  <c r="A148" i="34"/>
  <c r="A149" i="34"/>
  <c r="A150" i="34"/>
  <c r="A151" i="34"/>
  <c r="A152" i="34"/>
  <c r="A153" i="34"/>
  <c r="A154" i="34"/>
  <c r="A155" i="34"/>
  <c r="A156" i="34"/>
  <c r="A157" i="34"/>
  <c r="A158" i="34"/>
  <c r="A159" i="34"/>
  <c r="A160" i="34"/>
  <c r="A161" i="34"/>
  <c r="A162" i="34"/>
  <c r="A163" i="34"/>
  <c r="A164" i="34"/>
  <c r="A165" i="34"/>
  <c r="A166" i="34"/>
  <c r="A167" i="34"/>
  <c r="A168" i="34"/>
  <c r="A169" i="34"/>
  <c r="A170" i="34"/>
  <c r="A171" i="34"/>
  <c r="A172" i="34"/>
  <c r="A173" i="34"/>
  <c r="A174" i="34"/>
  <c r="A176" i="34"/>
  <c r="B176" i="34" s="1"/>
  <c r="A177" i="34"/>
  <c r="A179" i="34"/>
  <c r="A180" i="34"/>
  <c r="A181" i="34"/>
  <c r="A182" i="34"/>
  <c r="A183" i="34"/>
  <c r="A184" i="34"/>
  <c r="A185" i="34"/>
  <c r="A186" i="34"/>
  <c r="A187" i="34"/>
  <c r="A188" i="34"/>
  <c r="A189" i="34"/>
  <c r="A190" i="34"/>
  <c r="A191" i="34"/>
  <c r="A192" i="34"/>
  <c r="A193" i="34"/>
  <c r="A194" i="34"/>
  <c r="A195" i="34"/>
  <c r="A196" i="34"/>
  <c r="A197" i="34"/>
  <c r="A198" i="34"/>
  <c r="A199" i="34"/>
  <c r="A200" i="34"/>
  <c r="A201" i="34"/>
  <c r="A202" i="34"/>
  <c r="A203" i="34"/>
  <c r="A204" i="34"/>
  <c r="A205" i="34"/>
  <c r="A206" i="34"/>
  <c r="A207" i="34"/>
  <c r="A208" i="34"/>
  <c r="A209" i="34"/>
  <c r="A210" i="34"/>
  <c r="A211" i="34"/>
  <c r="A212" i="34"/>
  <c r="A213" i="34"/>
  <c r="A214" i="34"/>
  <c r="A215" i="34"/>
  <c r="A216" i="34"/>
  <c r="A217" i="34"/>
  <c r="A218" i="34"/>
  <c r="A219" i="34"/>
  <c r="A220" i="34"/>
  <c r="A221" i="34"/>
  <c r="A222" i="34"/>
  <c r="A223" i="34"/>
  <c r="A224" i="34"/>
  <c r="A225" i="34"/>
  <c r="A226" i="34"/>
  <c r="A227" i="34"/>
  <c r="A228" i="34"/>
  <c r="A229" i="34"/>
  <c r="A230" i="34"/>
  <c r="A231" i="34"/>
  <c r="A232" i="34"/>
  <c r="A233" i="34"/>
  <c r="A234" i="34"/>
  <c r="A235" i="34"/>
  <c r="A236" i="34"/>
  <c r="A237" i="34"/>
  <c r="A238" i="34"/>
  <c r="A239" i="34"/>
  <c r="A240" i="34"/>
  <c r="A241" i="34"/>
  <c r="A242" i="34"/>
  <c r="A243" i="34"/>
  <c r="A244" i="34"/>
  <c r="A245" i="34"/>
  <c r="A246" i="34"/>
  <c r="A247" i="34"/>
  <c r="A248" i="34"/>
  <c r="A249" i="34"/>
  <c r="A250" i="34"/>
  <c r="A251" i="34"/>
  <c r="A252" i="34"/>
  <c r="A253" i="34"/>
  <c r="A254" i="34"/>
  <c r="A255" i="34"/>
  <c r="A256" i="34"/>
  <c r="A257" i="34"/>
  <c r="A258" i="34"/>
  <c r="A259" i="34"/>
  <c r="A260" i="34"/>
  <c r="A261" i="34"/>
  <c r="A262" i="34"/>
  <c r="A263" i="34"/>
  <c r="A264" i="34"/>
  <c r="A265" i="34"/>
  <c r="A266" i="34"/>
  <c r="A267" i="34"/>
  <c r="A268" i="34"/>
  <c r="A269" i="34"/>
  <c r="A270" i="34"/>
  <c r="A271" i="34"/>
  <c r="A272" i="34"/>
  <c r="A273" i="34"/>
  <c r="A274" i="34"/>
  <c r="A275" i="34"/>
  <c r="A276" i="34"/>
  <c r="A277" i="34"/>
  <c r="A278" i="34"/>
  <c r="A279" i="34"/>
  <c r="A280" i="34"/>
  <c r="A281" i="34"/>
  <c r="A282" i="34"/>
  <c r="A283" i="34"/>
  <c r="A284" i="34"/>
  <c r="A285" i="34"/>
  <c r="A286" i="34"/>
  <c r="A287" i="34"/>
  <c r="A288" i="34"/>
  <c r="A289" i="34"/>
  <c r="A290" i="34"/>
  <c r="A291" i="34"/>
  <c r="A292" i="34"/>
  <c r="A293" i="34"/>
  <c r="A294" i="34"/>
  <c r="E705" i="33"/>
  <c r="D705" i="33"/>
  <c r="C705" i="33"/>
  <c r="E704" i="33"/>
  <c r="D704" i="33"/>
  <c r="C704" i="33"/>
  <c r="E703" i="33"/>
  <c r="D703" i="33"/>
  <c r="C703" i="33"/>
  <c r="E702" i="33"/>
  <c r="D702" i="33"/>
  <c r="C702" i="33"/>
  <c r="E701" i="33"/>
  <c r="D701" i="33"/>
  <c r="C701" i="33"/>
  <c r="E700" i="33"/>
  <c r="D700" i="33"/>
  <c r="C700" i="33"/>
  <c r="E699" i="33"/>
  <c r="D699" i="33"/>
  <c r="C699" i="33"/>
  <c r="E698" i="33"/>
  <c r="D698" i="33"/>
  <c r="C698" i="33"/>
  <c r="E697" i="33"/>
  <c r="D697" i="33"/>
  <c r="C697" i="33"/>
  <c r="E696" i="33"/>
  <c r="D696" i="33"/>
  <c r="C696" i="33"/>
  <c r="E695" i="33"/>
  <c r="D695" i="33"/>
  <c r="C695" i="33"/>
  <c r="E694" i="33"/>
  <c r="D694" i="33"/>
  <c r="C694" i="33"/>
  <c r="E693" i="33"/>
  <c r="D693" i="33"/>
  <c r="C693" i="33"/>
  <c r="E692" i="33"/>
  <c r="D692" i="33"/>
  <c r="C692" i="33"/>
  <c r="E691" i="33"/>
  <c r="D691" i="33"/>
  <c r="C691" i="33"/>
  <c r="E690" i="33"/>
  <c r="D690" i="33"/>
  <c r="C690" i="33"/>
  <c r="E689" i="33"/>
  <c r="D689" i="33"/>
  <c r="C689" i="33"/>
  <c r="E688" i="33"/>
  <c r="D688" i="33"/>
  <c r="C688" i="33"/>
  <c r="E687" i="33"/>
  <c r="D687" i="33"/>
  <c r="C687" i="33"/>
  <c r="E686" i="33"/>
  <c r="D686" i="33"/>
  <c r="C686" i="33"/>
  <c r="E685" i="33"/>
  <c r="D685" i="33"/>
  <c r="C685" i="33"/>
  <c r="E684" i="33"/>
  <c r="D684" i="33"/>
  <c r="C684" i="33"/>
  <c r="E683" i="33"/>
  <c r="D683" i="33"/>
  <c r="C683" i="33"/>
  <c r="E682" i="33"/>
  <c r="D682" i="33"/>
  <c r="C682" i="33"/>
  <c r="E681" i="33"/>
  <c r="D681" i="33"/>
  <c r="C681" i="33"/>
  <c r="E680" i="33"/>
  <c r="D680" i="33"/>
  <c r="C680" i="33"/>
  <c r="E679" i="33"/>
  <c r="D679" i="33"/>
  <c r="C679" i="33"/>
  <c r="E678" i="33"/>
  <c r="D678" i="33"/>
  <c r="C678" i="33"/>
  <c r="E677" i="33"/>
  <c r="D677" i="33"/>
  <c r="C677" i="33"/>
  <c r="E676" i="33"/>
  <c r="D676" i="33"/>
  <c r="C676" i="33"/>
  <c r="E675" i="33"/>
  <c r="D675" i="33"/>
  <c r="C675" i="33"/>
  <c r="E674" i="33"/>
  <c r="D674" i="33"/>
  <c r="C674" i="33"/>
  <c r="E673" i="33"/>
  <c r="D673" i="33"/>
  <c r="C673" i="33"/>
  <c r="E672" i="33"/>
  <c r="D672" i="33"/>
  <c r="C672" i="33"/>
  <c r="E671" i="33"/>
  <c r="D671" i="33"/>
  <c r="C671" i="33"/>
  <c r="E670" i="33"/>
  <c r="D670" i="33"/>
  <c r="C670" i="33"/>
  <c r="E669" i="33"/>
  <c r="D669" i="33"/>
  <c r="C669" i="33"/>
  <c r="E668" i="33"/>
  <c r="D668" i="33"/>
  <c r="C668" i="33"/>
  <c r="E667" i="33"/>
  <c r="D667" i="33"/>
  <c r="C667" i="33"/>
  <c r="E666" i="33"/>
  <c r="D666" i="33"/>
  <c r="C666" i="33"/>
  <c r="D183" i="35" l="1"/>
  <c r="G680" i="33"/>
  <c r="G681" i="33"/>
  <c r="G682" i="33"/>
  <c r="G683" i="33"/>
  <c r="G684" i="33"/>
  <c r="G685" i="33"/>
  <c r="G686" i="33"/>
  <c r="G687" i="33"/>
  <c r="G688" i="33"/>
  <c r="G689" i="33"/>
  <c r="G690" i="33"/>
  <c r="G691" i="33"/>
  <c r="G692" i="33"/>
  <c r="G693" i="33"/>
  <c r="G694" i="33"/>
  <c r="G695" i="33"/>
  <c r="G696" i="33"/>
  <c r="G697" i="33"/>
  <c r="G698" i="33"/>
  <c r="G699" i="33"/>
  <c r="G700" i="33"/>
  <c r="G701" i="33"/>
  <c r="G702" i="33"/>
  <c r="G703" i="33"/>
  <c r="G704" i="33"/>
  <c r="G705" i="33"/>
  <c r="G706" i="33"/>
  <c r="G707" i="33"/>
  <c r="G708" i="33"/>
  <c r="G709" i="33"/>
  <c r="G710" i="33"/>
  <c r="G711" i="33"/>
  <c r="G712" i="33"/>
  <c r="G713" i="33"/>
  <c r="G714" i="33"/>
  <c r="G715" i="33"/>
  <c r="G716" i="33"/>
  <c r="G717" i="33"/>
  <c r="G718" i="33"/>
  <c r="G719" i="33"/>
  <c r="G720" i="33"/>
  <c r="G721" i="33"/>
  <c r="G722" i="33"/>
  <c r="G723" i="33"/>
  <c r="G724" i="33"/>
  <c r="G725" i="33"/>
  <c r="G726" i="33"/>
  <c r="G727" i="33"/>
  <c r="G728" i="33"/>
  <c r="G729" i="33"/>
  <c r="G730" i="33"/>
  <c r="G731" i="33"/>
  <c r="G732" i="33"/>
  <c r="G733" i="33"/>
  <c r="G734" i="33"/>
  <c r="G735" i="33"/>
  <c r="G736" i="33"/>
  <c r="G737" i="33"/>
  <c r="G738" i="33"/>
  <c r="G739" i="33"/>
  <c r="G740" i="33"/>
  <c r="G741" i="33"/>
  <c r="G742" i="33"/>
  <c r="G743" i="33"/>
  <c r="G744" i="33"/>
  <c r="G745" i="33"/>
  <c r="G746" i="33"/>
  <c r="G747" i="33"/>
  <c r="G748" i="33"/>
  <c r="G749" i="33"/>
  <c r="G750" i="33"/>
  <c r="G751" i="33"/>
  <c r="G752" i="33"/>
  <c r="G753" i="33"/>
  <c r="G754" i="33"/>
  <c r="G755" i="33"/>
  <c r="G756" i="33"/>
  <c r="G757" i="33"/>
  <c r="G758" i="33"/>
  <c r="G759" i="33"/>
  <c r="G760" i="33"/>
  <c r="G761" i="33"/>
  <c r="G762" i="33"/>
  <c r="G763" i="33"/>
  <c r="G764" i="33"/>
  <c r="G765" i="33"/>
  <c r="G766" i="33"/>
  <c r="G767" i="33"/>
  <c r="G768" i="33"/>
  <c r="G769" i="33"/>
  <c r="G770" i="33"/>
  <c r="G771" i="33"/>
  <c r="G772" i="33"/>
  <c r="G773" i="33"/>
  <c r="G774" i="33"/>
  <c r="G775" i="33"/>
  <c r="G776" i="33"/>
  <c r="G777" i="33"/>
  <c r="G778" i="33"/>
  <c r="G779" i="33"/>
  <c r="G780" i="33"/>
  <c r="G781" i="33"/>
  <c r="G782" i="33"/>
  <c r="G783" i="33"/>
  <c r="G784" i="33"/>
  <c r="G785" i="33"/>
  <c r="G786" i="33"/>
  <c r="G787" i="33"/>
  <c r="G788" i="33"/>
  <c r="G789" i="33"/>
  <c r="G790" i="33"/>
  <c r="G791" i="33"/>
  <c r="G792" i="33"/>
  <c r="G793" i="33"/>
  <c r="G794" i="33"/>
  <c r="G679" i="33"/>
  <c r="G678" i="33"/>
  <c r="G677" i="33"/>
  <c r="G676" i="33"/>
  <c r="G675" i="33"/>
  <c r="G674" i="33"/>
  <c r="G673" i="33"/>
  <c r="G672" i="33"/>
  <c r="G671" i="33"/>
  <c r="G670" i="33"/>
  <c r="G669" i="33"/>
  <c r="G668" i="33"/>
  <c r="G667" i="33"/>
  <c r="G666" i="33"/>
  <c r="G665" i="33"/>
  <c r="E665" i="33"/>
  <c r="D665" i="33"/>
  <c r="C665" i="33"/>
  <c r="G664" i="33"/>
  <c r="E664" i="33"/>
  <c r="D664" i="33"/>
  <c r="C664" i="33"/>
  <c r="G663" i="33"/>
  <c r="E663" i="33"/>
  <c r="D663" i="33"/>
  <c r="C663" i="33"/>
  <c r="G662" i="33"/>
  <c r="E662" i="33"/>
  <c r="D662" i="33"/>
  <c r="C662" i="33"/>
  <c r="G661" i="33"/>
  <c r="E661" i="33"/>
  <c r="D661" i="33"/>
  <c r="C661" i="33"/>
  <c r="G660" i="33"/>
  <c r="E660" i="33"/>
  <c r="D660" i="33"/>
  <c r="C660" i="33"/>
  <c r="G659" i="33"/>
  <c r="E659" i="33"/>
  <c r="D659" i="33"/>
  <c r="C659" i="33"/>
  <c r="G658" i="33"/>
  <c r="E658" i="33"/>
  <c r="D658" i="33"/>
  <c r="C658" i="33"/>
  <c r="G657" i="33"/>
  <c r="E657" i="33"/>
  <c r="D657" i="33"/>
  <c r="C657" i="33"/>
  <c r="G656" i="33"/>
  <c r="E656" i="33"/>
  <c r="D656" i="33"/>
  <c r="C656" i="33"/>
  <c r="G655" i="33"/>
  <c r="E655" i="33"/>
  <c r="D655" i="33"/>
  <c r="C655" i="33"/>
  <c r="G654" i="33"/>
  <c r="E654" i="33"/>
  <c r="D654" i="33"/>
  <c r="C654" i="33"/>
  <c r="G653" i="33"/>
  <c r="E653" i="33"/>
  <c r="D653" i="33"/>
  <c r="C653" i="33"/>
  <c r="G652" i="33"/>
  <c r="E652" i="33"/>
  <c r="D652" i="33"/>
  <c r="C652" i="33"/>
  <c r="G651" i="33"/>
  <c r="E651" i="33"/>
  <c r="D651" i="33"/>
  <c r="C651" i="33"/>
  <c r="G650" i="33"/>
  <c r="E650" i="33"/>
  <c r="D650" i="33"/>
  <c r="C650" i="33"/>
  <c r="G649" i="33"/>
  <c r="E649" i="33"/>
  <c r="D649" i="33"/>
  <c r="C649" i="33"/>
  <c r="G648" i="33"/>
  <c r="E648" i="33"/>
  <c r="D648" i="33"/>
  <c r="C648" i="33"/>
  <c r="G647" i="33"/>
  <c r="E647" i="33"/>
  <c r="D647" i="33"/>
  <c r="C647" i="33"/>
  <c r="G646" i="33"/>
  <c r="E646" i="33"/>
  <c r="D646" i="33"/>
  <c r="C646" i="33"/>
  <c r="G645" i="33"/>
  <c r="E645" i="33"/>
  <c r="D645" i="33"/>
  <c r="C645" i="33"/>
  <c r="G644" i="33"/>
  <c r="E644" i="33"/>
  <c r="D644" i="33"/>
  <c r="C644" i="33"/>
  <c r="G643" i="33"/>
  <c r="E643" i="33"/>
  <c r="D643" i="33"/>
  <c r="C643" i="33"/>
  <c r="G642" i="33"/>
  <c r="E642" i="33"/>
  <c r="D642" i="33"/>
  <c r="C642" i="33"/>
  <c r="G641" i="33"/>
  <c r="E641" i="33"/>
  <c r="D641" i="33"/>
  <c r="C641" i="33"/>
  <c r="G640" i="33"/>
  <c r="E640" i="33"/>
  <c r="D640" i="33"/>
  <c r="C640" i="33"/>
  <c r="G639" i="33"/>
  <c r="E639" i="33"/>
  <c r="D639" i="33"/>
  <c r="C639" i="33"/>
  <c r="G638" i="33"/>
  <c r="E638" i="33"/>
  <c r="D638" i="33"/>
  <c r="C638" i="33"/>
  <c r="G637" i="33"/>
  <c r="E637" i="33"/>
  <c r="D637" i="33"/>
  <c r="C637" i="33"/>
  <c r="G636" i="33"/>
  <c r="E636" i="33"/>
  <c r="D636" i="33"/>
  <c r="C636" i="33"/>
  <c r="G635" i="33"/>
  <c r="E635" i="33"/>
  <c r="D635" i="33"/>
  <c r="C635" i="33"/>
  <c r="G634" i="33"/>
  <c r="E634" i="33"/>
  <c r="D634" i="33"/>
  <c r="C634" i="33"/>
  <c r="G633" i="33"/>
  <c r="E633" i="33"/>
  <c r="D633" i="33"/>
  <c r="C633" i="33"/>
  <c r="G632" i="33"/>
  <c r="E632" i="33"/>
  <c r="D632" i="33"/>
  <c r="C632" i="33"/>
  <c r="G631" i="33"/>
  <c r="E631" i="33"/>
  <c r="D631" i="33"/>
  <c r="C631" i="33"/>
  <c r="G630" i="33"/>
  <c r="E630" i="33"/>
  <c r="D630" i="33"/>
  <c r="C630" i="33"/>
  <c r="G629" i="33"/>
  <c r="E629" i="33"/>
  <c r="D629" i="33"/>
  <c r="C629" i="33"/>
  <c r="G628" i="33"/>
  <c r="E628" i="33"/>
  <c r="D628" i="33"/>
  <c r="C628" i="33"/>
  <c r="G627" i="33"/>
  <c r="E627" i="33"/>
  <c r="D627" i="33"/>
  <c r="C627" i="33"/>
  <c r="G626" i="33"/>
  <c r="E626" i="33"/>
  <c r="D626" i="33"/>
  <c r="C626" i="33"/>
  <c r="G625" i="33"/>
  <c r="E625" i="33"/>
  <c r="D625" i="33"/>
  <c r="C625" i="33"/>
  <c r="G624" i="33"/>
  <c r="E624" i="33"/>
  <c r="D624" i="33"/>
  <c r="C624" i="33"/>
  <c r="G623" i="33"/>
  <c r="E623" i="33"/>
  <c r="D623" i="33"/>
  <c r="C623" i="33"/>
  <c r="G622" i="33"/>
  <c r="E622" i="33"/>
  <c r="D622" i="33"/>
  <c r="C622" i="33"/>
  <c r="G621" i="33"/>
  <c r="E621" i="33"/>
  <c r="D621" i="33"/>
  <c r="C621" i="33"/>
  <c r="G620" i="33"/>
  <c r="E620" i="33"/>
  <c r="D620" i="33"/>
  <c r="C620" i="33"/>
  <c r="G619" i="33"/>
  <c r="E619" i="33"/>
  <c r="D619" i="33"/>
  <c r="C619" i="33"/>
  <c r="G618" i="33"/>
  <c r="E618" i="33"/>
  <c r="D618" i="33"/>
  <c r="C618" i="33"/>
  <c r="G617" i="33"/>
  <c r="E617" i="33"/>
  <c r="D617" i="33"/>
  <c r="C617" i="33"/>
  <c r="G616" i="33"/>
  <c r="E616" i="33"/>
  <c r="D616" i="33"/>
  <c r="C616" i="33"/>
  <c r="G615" i="33"/>
  <c r="E615" i="33"/>
  <c r="D615" i="33"/>
  <c r="C615" i="33"/>
  <c r="G614" i="33"/>
  <c r="E614" i="33"/>
  <c r="D614" i="33"/>
  <c r="C614" i="33"/>
  <c r="G613" i="33"/>
  <c r="E613" i="33"/>
  <c r="D613" i="33"/>
  <c r="C613" i="33"/>
  <c r="G612" i="33"/>
  <c r="E612" i="33"/>
  <c r="D612" i="33"/>
  <c r="C612" i="33"/>
  <c r="G611" i="33"/>
  <c r="E611" i="33"/>
  <c r="D611" i="33"/>
  <c r="C611" i="33"/>
  <c r="G610" i="33"/>
  <c r="E610" i="33"/>
  <c r="D610" i="33"/>
  <c r="C610" i="33"/>
  <c r="G609" i="33"/>
  <c r="E609" i="33"/>
  <c r="D609" i="33"/>
  <c r="C609" i="33"/>
  <c r="G608" i="33"/>
  <c r="E608" i="33"/>
  <c r="D608" i="33"/>
  <c r="C608" i="33"/>
  <c r="G607" i="33"/>
  <c r="E607" i="33"/>
  <c r="D607" i="33"/>
  <c r="C607" i="33"/>
  <c r="G606" i="33"/>
  <c r="E606" i="33"/>
  <c r="D606" i="33"/>
  <c r="C606" i="33"/>
  <c r="G605" i="33"/>
  <c r="E605" i="33"/>
  <c r="D605" i="33"/>
  <c r="C605" i="33"/>
  <c r="G604" i="33"/>
  <c r="E604" i="33"/>
  <c r="D604" i="33"/>
  <c r="C604" i="33"/>
  <c r="G603" i="33"/>
  <c r="E603" i="33"/>
  <c r="D603" i="33"/>
  <c r="C603" i="33"/>
  <c r="G602" i="33"/>
  <c r="E602" i="33"/>
  <c r="D602" i="33"/>
  <c r="C602" i="33"/>
  <c r="G601" i="33"/>
  <c r="E601" i="33"/>
  <c r="D601" i="33"/>
  <c r="C601" i="33"/>
  <c r="G600" i="33"/>
  <c r="E600" i="33"/>
  <c r="D600" i="33"/>
  <c r="C600" i="33"/>
  <c r="G599" i="33"/>
  <c r="E599" i="33"/>
  <c r="D599" i="33"/>
  <c r="C599" i="33"/>
  <c r="G598" i="33"/>
  <c r="E598" i="33"/>
  <c r="D598" i="33"/>
  <c r="C598" i="33"/>
  <c r="G597" i="33"/>
  <c r="E597" i="33"/>
  <c r="D597" i="33"/>
  <c r="C597" i="33"/>
  <c r="G596" i="33"/>
  <c r="E596" i="33"/>
  <c r="D596" i="33"/>
  <c r="C596" i="33"/>
  <c r="G595" i="33"/>
  <c r="E595" i="33"/>
  <c r="D595" i="33"/>
  <c r="C595" i="33"/>
  <c r="G594" i="33"/>
  <c r="E594" i="33"/>
  <c r="D594" i="33"/>
  <c r="C594" i="33"/>
  <c r="G593" i="33"/>
  <c r="E593" i="33"/>
  <c r="D593" i="33"/>
  <c r="C593" i="33"/>
  <c r="G592" i="33"/>
  <c r="E592" i="33"/>
  <c r="D592" i="33"/>
  <c r="C592" i="33"/>
  <c r="G591" i="33"/>
  <c r="E591" i="33"/>
  <c r="D591" i="33"/>
  <c r="C591" i="33"/>
  <c r="G590" i="33"/>
  <c r="E590" i="33"/>
  <c r="D590" i="33"/>
  <c r="C590" i="33"/>
  <c r="G589" i="33"/>
  <c r="E589" i="33"/>
  <c r="D589" i="33"/>
  <c r="C589" i="33"/>
  <c r="G588" i="33"/>
  <c r="E588" i="33"/>
  <c r="D588" i="33"/>
  <c r="C588" i="33"/>
  <c r="G587" i="33"/>
  <c r="E587" i="33"/>
  <c r="D587" i="33"/>
  <c r="C587" i="33"/>
  <c r="G586" i="33"/>
  <c r="E586" i="33"/>
  <c r="D586" i="33"/>
  <c r="C586" i="33"/>
  <c r="G585" i="33"/>
  <c r="E585" i="33"/>
  <c r="D585" i="33"/>
  <c r="C585" i="33"/>
  <c r="G584" i="33"/>
  <c r="E584" i="33"/>
  <c r="D584" i="33"/>
  <c r="C584" i="33"/>
  <c r="G583" i="33"/>
  <c r="E583" i="33"/>
  <c r="D583" i="33"/>
  <c r="C583" i="33"/>
  <c r="G582" i="33"/>
  <c r="E582" i="33"/>
  <c r="D582" i="33"/>
  <c r="C582" i="33"/>
  <c r="G581" i="33"/>
  <c r="E581" i="33"/>
  <c r="D581" i="33"/>
  <c r="C581" i="33"/>
  <c r="G580" i="33"/>
  <c r="E580" i="33"/>
  <c r="D580" i="33"/>
  <c r="C580" i="33"/>
  <c r="G579" i="33"/>
  <c r="E579" i="33"/>
  <c r="D579" i="33"/>
  <c r="C579" i="33"/>
  <c r="G578" i="33"/>
  <c r="E578" i="33"/>
  <c r="D578" i="33"/>
  <c r="C578" i="33"/>
  <c r="G577" i="33"/>
  <c r="E577" i="33"/>
  <c r="D577" i="33"/>
  <c r="C577" i="33"/>
  <c r="G576" i="33"/>
  <c r="E576" i="33"/>
  <c r="D576" i="33"/>
  <c r="C576" i="33"/>
  <c r="G575" i="33"/>
  <c r="E575" i="33"/>
  <c r="D575" i="33"/>
  <c r="C575" i="33"/>
  <c r="G574" i="33"/>
  <c r="E574" i="33"/>
  <c r="D574" i="33"/>
  <c r="C574" i="33"/>
  <c r="G573" i="33"/>
  <c r="E573" i="33"/>
  <c r="D573" i="33"/>
  <c r="C573" i="33"/>
  <c r="G572" i="33"/>
  <c r="E572" i="33"/>
  <c r="D572" i="33"/>
  <c r="C572" i="33"/>
  <c r="G571" i="33"/>
  <c r="E571" i="33"/>
  <c r="D571" i="33"/>
  <c r="C571" i="33"/>
  <c r="G570" i="33"/>
  <c r="E570" i="33"/>
  <c r="D570" i="33"/>
  <c r="C570" i="33"/>
  <c r="G569" i="33"/>
  <c r="E569" i="33"/>
  <c r="D569" i="33"/>
  <c r="C569" i="33"/>
  <c r="G568" i="33"/>
  <c r="E568" i="33"/>
  <c r="D568" i="33"/>
  <c r="C568" i="33"/>
  <c r="G567" i="33"/>
  <c r="E567" i="33"/>
  <c r="D567" i="33"/>
  <c r="C567" i="33"/>
  <c r="G566" i="33"/>
  <c r="E566" i="33"/>
  <c r="D566" i="33"/>
  <c r="C566" i="33"/>
  <c r="G565" i="33"/>
  <c r="E565" i="33"/>
  <c r="D565" i="33"/>
  <c r="C565" i="33"/>
  <c r="G564" i="33"/>
  <c r="E564" i="33"/>
  <c r="D564" i="33"/>
  <c r="C564" i="33"/>
  <c r="G563" i="33"/>
  <c r="E563" i="33"/>
  <c r="D563" i="33"/>
  <c r="C563" i="33"/>
  <c r="G562" i="33"/>
  <c r="E562" i="33"/>
  <c r="D562" i="33"/>
  <c r="C562" i="33"/>
  <c r="G561" i="33"/>
  <c r="E561" i="33"/>
  <c r="D561" i="33"/>
  <c r="C561" i="33"/>
  <c r="G560" i="33"/>
  <c r="E560" i="33"/>
  <c r="D560" i="33"/>
  <c r="C560" i="33"/>
  <c r="G559" i="33"/>
  <c r="E559" i="33"/>
  <c r="D559" i="33"/>
  <c r="C559" i="33"/>
  <c r="G558" i="33"/>
  <c r="E558" i="33"/>
  <c r="D558" i="33"/>
  <c r="C558" i="33"/>
  <c r="G557" i="33"/>
  <c r="E557" i="33"/>
  <c r="D557" i="33"/>
  <c r="C557" i="33"/>
  <c r="G556" i="33"/>
  <c r="E556" i="33"/>
  <c r="D556" i="33"/>
  <c r="C556" i="33"/>
  <c r="G555" i="33"/>
  <c r="E555" i="33"/>
  <c r="D555" i="33"/>
  <c r="C555" i="33"/>
  <c r="G554" i="33"/>
  <c r="E554" i="33"/>
  <c r="D554" i="33"/>
  <c r="C554" i="33"/>
  <c r="G553" i="33"/>
  <c r="E553" i="33"/>
  <c r="D553" i="33"/>
  <c r="C553" i="33"/>
  <c r="G552" i="33"/>
  <c r="E552" i="33"/>
  <c r="D552" i="33"/>
  <c r="C552" i="33"/>
  <c r="G551" i="33"/>
  <c r="E551" i="33"/>
  <c r="D551" i="33"/>
  <c r="C551" i="33"/>
  <c r="G550" i="33"/>
  <c r="E550" i="33"/>
  <c r="D550" i="33"/>
  <c r="C550" i="33"/>
  <c r="G549" i="33"/>
  <c r="E549" i="33"/>
  <c r="D549" i="33"/>
  <c r="C549" i="33"/>
  <c r="G548" i="33"/>
  <c r="E548" i="33"/>
  <c r="D548" i="33"/>
  <c r="C548" i="33"/>
  <c r="G547" i="33"/>
  <c r="E547" i="33"/>
  <c r="D547" i="33"/>
  <c r="C547" i="33"/>
  <c r="G546" i="33"/>
  <c r="E546" i="33"/>
  <c r="D546" i="33"/>
  <c r="C546" i="33"/>
  <c r="G545" i="33"/>
  <c r="E545" i="33"/>
  <c r="D545" i="33"/>
  <c r="C545" i="33"/>
  <c r="G544" i="33"/>
  <c r="E544" i="33"/>
  <c r="D544" i="33"/>
  <c r="C544" i="33"/>
  <c r="G543" i="33"/>
  <c r="E543" i="33"/>
  <c r="D543" i="33"/>
  <c r="C543" i="33"/>
  <c r="G542" i="33"/>
  <c r="E542" i="33"/>
  <c r="D542" i="33"/>
  <c r="C542" i="33"/>
  <c r="G541" i="33"/>
  <c r="E541" i="33"/>
  <c r="D541" i="33"/>
  <c r="C541" i="33"/>
  <c r="G540" i="33"/>
  <c r="E540" i="33"/>
  <c r="D540" i="33"/>
  <c r="C540" i="33"/>
  <c r="G539" i="33"/>
  <c r="E539" i="33"/>
  <c r="D539" i="33"/>
  <c r="C539" i="33"/>
  <c r="G538" i="33"/>
  <c r="E538" i="33"/>
  <c r="D538" i="33"/>
  <c r="C538" i="33"/>
  <c r="G537" i="33"/>
  <c r="E537" i="33"/>
  <c r="D537" i="33"/>
  <c r="C537" i="33"/>
  <c r="G536" i="33"/>
  <c r="E536" i="33"/>
  <c r="D536" i="33"/>
  <c r="C536" i="33"/>
  <c r="G535" i="33"/>
  <c r="E535" i="33"/>
  <c r="D535" i="33"/>
  <c r="C535" i="33"/>
  <c r="G534" i="33"/>
  <c r="E534" i="33"/>
  <c r="D534" i="33"/>
  <c r="C534" i="33"/>
  <c r="G533" i="33"/>
  <c r="E533" i="33"/>
  <c r="D533" i="33"/>
  <c r="C533" i="33"/>
  <c r="G532" i="33"/>
  <c r="E532" i="33"/>
  <c r="D532" i="33"/>
  <c r="C532" i="33"/>
  <c r="G531" i="33"/>
  <c r="E531" i="33"/>
  <c r="D531" i="33"/>
  <c r="C531" i="33"/>
  <c r="G530" i="33"/>
  <c r="E530" i="33"/>
  <c r="D530" i="33"/>
  <c r="C530" i="33"/>
  <c r="G529" i="33"/>
  <c r="E529" i="33"/>
  <c r="D529" i="33"/>
  <c r="C529" i="33"/>
  <c r="G528" i="33"/>
  <c r="E528" i="33"/>
  <c r="D528" i="33"/>
  <c r="C528" i="33"/>
  <c r="G527" i="33"/>
  <c r="E527" i="33"/>
  <c r="D527" i="33"/>
  <c r="C527" i="33"/>
  <c r="G526" i="33"/>
  <c r="E526" i="33"/>
  <c r="D526" i="33"/>
  <c r="C526" i="33"/>
  <c r="G525" i="33"/>
  <c r="E525" i="33"/>
  <c r="D525" i="33"/>
  <c r="C525" i="33"/>
  <c r="G524" i="33"/>
  <c r="E524" i="33"/>
  <c r="D524" i="33"/>
  <c r="C524" i="33"/>
  <c r="G523" i="33"/>
  <c r="E523" i="33"/>
  <c r="D523" i="33"/>
  <c r="C523" i="33"/>
  <c r="G522" i="33"/>
  <c r="E522" i="33"/>
  <c r="D522" i="33"/>
  <c r="C522" i="33"/>
  <c r="G521" i="33"/>
  <c r="E521" i="33"/>
  <c r="D521" i="33"/>
  <c r="C521" i="33"/>
  <c r="G520" i="33"/>
  <c r="E520" i="33"/>
  <c r="D520" i="33"/>
  <c r="C520" i="33"/>
  <c r="G519" i="33"/>
  <c r="E519" i="33"/>
  <c r="D519" i="33"/>
  <c r="C519" i="33"/>
  <c r="G518" i="33"/>
  <c r="E518" i="33"/>
  <c r="D518" i="33"/>
  <c r="C518" i="33"/>
  <c r="G517" i="33"/>
  <c r="E517" i="33"/>
  <c r="D517" i="33"/>
  <c r="C517" i="33"/>
  <c r="G516" i="33"/>
  <c r="E516" i="33"/>
  <c r="D516" i="33"/>
  <c r="C516" i="33"/>
  <c r="G515" i="33"/>
  <c r="E515" i="33"/>
  <c r="D515" i="33"/>
  <c r="C515" i="33"/>
  <c r="G514" i="33"/>
  <c r="E514" i="33"/>
  <c r="D514" i="33"/>
  <c r="C514" i="33"/>
  <c r="G513" i="33"/>
  <c r="E513" i="33"/>
  <c r="D513" i="33"/>
  <c r="C513" i="33"/>
  <c r="G512" i="33"/>
  <c r="E512" i="33"/>
  <c r="D512" i="33"/>
  <c r="C512" i="33"/>
  <c r="G511" i="33"/>
  <c r="E511" i="33"/>
  <c r="D511" i="33"/>
  <c r="C511" i="33"/>
  <c r="G510" i="33"/>
  <c r="E510" i="33"/>
  <c r="D510" i="33"/>
  <c r="C510" i="33"/>
  <c r="G509" i="33"/>
  <c r="E509" i="33"/>
  <c r="D509" i="33"/>
  <c r="C509" i="33"/>
  <c r="G508" i="33"/>
  <c r="E508" i="33"/>
  <c r="D508" i="33"/>
  <c r="C508" i="33"/>
  <c r="G507" i="33"/>
  <c r="E507" i="33"/>
  <c r="D507" i="33"/>
  <c r="C507" i="33"/>
  <c r="G506" i="33"/>
  <c r="E506" i="33"/>
  <c r="D506" i="33"/>
  <c r="C506" i="33"/>
  <c r="G505" i="33"/>
  <c r="E505" i="33"/>
  <c r="D505" i="33"/>
  <c r="C505" i="33"/>
  <c r="G504" i="33"/>
  <c r="E504" i="33"/>
  <c r="D504" i="33"/>
  <c r="C504" i="33"/>
  <c r="G503" i="33"/>
  <c r="E503" i="33"/>
  <c r="D503" i="33"/>
  <c r="C503" i="33"/>
  <c r="G502" i="33"/>
  <c r="E502" i="33"/>
  <c r="D502" i="33"/>
  <c r="C502" i="33"/>
  <c r="G501" i="33"/>
  <c r="E501" i="33"/>
  <c r="D501" i="33"/>
  <c r="C501" i="33"/>
  <c r="G500" i="33"/>
  <c r="E500" i="33"/>
  <c r="D500" i="33"/>
  <c r="C500" i="33"/>
  <c r="G499" i="33"/>
  <c r="E499" i="33"/>
  <c r="D499" i="33"/>
  <c r="C499" i="33"/>
  <c r="G498" i="33"/>
  <c r="E498" i="33"/>
  <c r="D498" i="33"/>
  <c r="C498" i="33"/>
  <c r="G497" i="33"/>
  <c r="E497" i="33"/>
  <c r="D497" i="33"/>
  <c r="C497" i="33"/>
  <c r="G496" i="33"/>
  <c r="E496" i="33"/>
  <c r="D496" i="33"/>
  <c r="C496" i="33"/>
  <c r="G495" i="33"/>
  <c r="E495" i="33"/>
  <c r="D495" i="33"/>
  <c r="C495" i="33"/>
  <c r="G494" i="33"/>
  <c r="E494" i="33"/>
  <c r="D494" i="33"/>
  <c r="C494" i="33"/>
  <c r="G493" i="33"/>
  <c r="E493" i="33"/>
  <c r="D493" i="33"/>
  <c r="C493" i="33"/>
  <c r="G492" i="33"/>
  <c r="E492" i="33"/>
  <c r="D492" i="33"/>
  <c r="C492" i="33"/>
  <c r="G491" i="33"/>
  <c r="E491" i="33"/>
  <c r="D491" i="33"/>
  <c r="C491" i="33"/>
  <c r="G490" i="33"/>
  <c r="E490" i="33"/>
  <c r="D490" i="33"/>
  <c r="C490" i="33"/>
  <c r="E489" i="33"/>
  <c r="D489" i="33"/>
  <c r="C489" i="33"/>
  <c r="G488" i="33"/>
  <c r="E488" i="33"/>
  <c r="D488" i="33"/>
  <c r="C488" i="33"/>
  <c r="G487" i="33"/>
  <c r="E487" i="33"/>
  <c r="D487" i="33"/>
  <c r="C487" i="33"/>
  <c r="G486" i="33"/>
  <c r="E486" i="33"/>
  <c r="D486" i="33"/>
  <c r="C486" i="33"/>
  <c r="G485" i="33"/>
  <c r="E485" i="33"/>
  <c r="D485" i="33"/>
  <c r="C485" i="33"/>
  <c r="G484" i="33"/>
  <c r="E484" i="33"/>
  <c r="D484" i="33"/>
  <c r="C484" i="33"/>
  <c r="G483" i="33"/>
  <c r="E483" i="33"/>
  <c r="D483" i="33"/>
  <c r="C483" i="33"/>
  <c r="G482" i="33"/>
  <c r="E482" i="33"/>
  <c r="D482" i="33"/>
  <c r="C482" i="33"/>
  <c r="G481" i="33"/>
  <c r="E481" i="33"/>
  <c r="D481" i="33"/>
  <c r="C481" i="33"/>
  <c r="G480" i="33"/>
  <c r="E480" i="33"/>
  <c r="D480" i="33"/>
  <c r="C480" i="33"/>
  <c r="G479" i="33"/>
  <c r="E479" i="33"/>
  <c r="D479" i="33"/>
  <c r="C479" i="33"/>
  <c r="G478" i="33"/>
  <c r="E478" i="33"/>
  <c r="D478" i="33"/>
  <c r="C478" i="33"/>
  <c r="G477" i="33"/>
  <c r="E477" i="33"/>
  <c r="D477" i="33"/>
  <c r="C477" i="33"/>
  <c r="G476" i="33"/>
  <c r="E476" i="33"/>
  <c r="D476" i="33"/>
  <c r="C476" i="33"/>
  <c r="G475" i="33"/>
  <c r="E475" i="33"/>
  <c r="D475" i="33"/>
  <c r="C475" i="33"/>
  <c r="G474" i="33"/>
  <c r="E474" i="33"/>
  <c r="D474" i="33"/>
  <c r="C474" i="33"/>
  <c r="G473" i="33"/>
  <c r="E473" i="33"/>
  <c r="D473" i="33"/>
  <c r="C473" i="33"/>
  <c r="G472" i="33"/>
  <c r="E472" i="33"/>
  <c r="D472" i="33"/>
  <c r="C472" i="33"/>
  <c r="G471" i="33"/>
  <c r="E471" i="33"/>
  <c r="D471" i="33"/>
  <c r="C471" i="33"/>
  <c r="G470" i="33"/>
  <c r="E470" i="33"/>
  <c r="D470" i="33"/>
  <c r="C470" i="33"/>
  <c r="G469" i="33"/>
  <c r="E469" i="33"/>
  <c r="D469" i="33"/>
  <c r="C469" i="33"/>
  <c r="G468" i="33"/>
  <c r="E468" i="33"/>
  <c r="D468" i="33"/>
  <c r="C468" i="33"/>
  <c r="G467" i="33"/>
  <c r="E467" i="33"/>
  <c r="D467" i="33"/>
  <c r="C467" i="33"/>
  <c r="G466" i="33"/>
  <c r="E466" i="33"/>
  <c r="D466" i="33"/>
  <c r="C466" i="33"/>
  <c r="G465" i="33"/>
  <c r="E465" i="33"/>
  <c r="D465" i="33"/>
  <c r="C465" i="33"/>
  <c r="G464" i="33"/>
  <c r="E464" i="33"/>
  <c r="D464" i="33"/>
  <c r="C464" i="33"/>
  <c r="G463" i="33"/>
  <c r="E463" i="33"/>
  <c r="D463" i="33"/>
  <c r="C463" i="33"/>
  <c r="G462" i="33"/>
  <c r="E462" i="33"/>
  <c r="D462" i="33"/>
  <c r="C462" i="33"/>
  <c r="G461" i="33"/>
  <c r="E461" i="33"/>
  <c r="D461" i="33"/>
  <c r="C461" i="33"/>
  <c r="G460" i="33"/>
  <c r="E460" i="33"/>
  <c r="D460" i="33"/>
  <c r="C460" i="33"/>
  <c r="G459" i="33"/>
  <c r="E459" i="33"/>
  <c r="D459" i="33"/>
  <c r="C459" i="33"/>
  <c r="G458" i="33"/>
  <c r="E458" i="33"/>
  <c r="D458" i="33"/>
  <c r="C458" i="33"/>
  <c r="G457" i="33"/>
  <c r="E457" i="33"/>
  <c r="D457" i="33"/>
  <c r="C457" i="33"/>
  <c r="G456" i="33"/>
  <c r="E456" i="33"/>
  <c r="D456" i="33"/>
  <c r="C456" i="33"/>
  <c r="G455" i="33"/>
  <c r="E455" i="33"/>
  <c r="D455" i="33"/>
  <c r="C455" i="33"/>
  <c r="G454" i="33"/>
  <c r="E454" i="33"/>
  <c r="D454" i="33"/>
  <c r="C454" i="33"/>
  <c r="G453" i="33"/>
  <c r="E453" i="33"/>
  <c r="D453" i="33"/>
  <c r="C453" i="33"/>
  <c r="G452" i="33"/>
  <c r="E452" i="33"/>
  <c r="D452" i="33"/>
  <c r="C452" i="33"/>
  <c r="G451" i="33"/>
  <c r="E451" i="33"/>
  <c r="D451" i="33"/>
  <c r="C451" i="33"/>
  <c r="G450" i="33"/>
  <c r="E450" i="33"/>
  <c r="D450" i="33"/>
  <c r="C450" i="33"/>
  <c r="G449" i="33"/>
  <c r="E449" i="33"/>
  <c r="D449" i="33"/>
  <c r="C449" i="33"/>
  <c r="G448" i="33"/>
  <c r="E448" i="33"/>
  <c r="D448" i="33"/>
  <c r="C448" i="33"/>
  <c r="G447" i="33"/>
  <c r="E447" i="33"/>
  <c r="D447" i="33"/>
  <c r="C447" i="33"/>
  <c r="G446" i="33"/>
  <c r="E446" i="33"/>
  <c r="D446" i="33"/>
  <c r="C446" i="33"/>
  <c r="G445" i="33"/>
  <c r="E445" i="33"/>
  <c r="D445" i="33"/>
  <c r="C445" i="33"/>
  <c r="G444" i="33"/>
  <c r="E444" i="33"/>
  <c r="D444" i="33"/>
  <c r="C444" i="33"/>
  <c r="G443" i="33"/>
  <c r="E443" i="33"/>
  <c r="D443" i="33"/>
  <c r="C443" i="33"/>
  <c r="G442" i="33"/>
  <c r="E442" i="33"/>
  <c r="D442" i="33"/>
  <c r="C442" i="33"/>
  <c r="G441" i="33"/>
  <c r="E441" i="33"/>
  <c r="D441" i="33"/>
  <c r="C441" i="33"/>
  <c r="G440" i="33"/>
  <c r="E440" i="33"/>
  <c r="D440" i="33"/>
  <c r="C440" i="33"/>
  <c r="G439" i="33"/>
  <c r="E439" i="33"/>
  <c r="D439" i="33"/>
  <c r="C439" i="33"/>
  <c r="G438" i="33"/>
  <c r="E438" i="33"/>
  <c r="D438" i="33"/>
  <c r="C438" i="33"/>
  <c r="G437" i="33"/>
  <c r="E437" i="33"/>
  <c r="D437" i="33"/>
  <c r="C437" i="33"/>
  <c r="G436" i="33"/>
  <c r="E436" i="33"/>
  <c r="D436" i="33"/>
  <c r="C436" i="33"/>
  <c r="G435" i="33"/>
  <c r="E435" i="33"/>
  <c r="D435" i="33"/>
  <c r="C435" i="33"/>
  <c r="G434" i="33"/>
  <c r="E434" i="33"/>
  <c r="D434" i="33"/>
  <c r="C434" i="33"/>
  <c r="G433" i="33"/>
  <c r="E433" i="33"/>
  <c r="D433" i="33"/>
  <c r="C433" i="33"/>
  <c r="G432" i="33"/>
  <c r="E432" i="33"/>
  <c r="D432" i="33"/>
  <c r="C432" i="33"/>
  <c r="G431" i="33"/>
  <c r="E431" i="33"/>
  <c r="D431" i="33"/>
  <c r="C431" i="33"/>
  <c r="G430" i="33"/>
  <c r="E430" i="33"/>
  <c r="D430" i="33"/>
  <c r="C430" i="33"/>
  <c r="G429" i="33"/>
  <c r="E429" i="33"/>
  <c r="D429" i="33"/>
  <c r="C429" i="33"/>
  <c r="G428" i="33"/>
  <c r="E428" i="33"/>
  <c r="D428" i="33"/>
  <c r="C428" i="33"/>
  <c r="G427" i="33"/>
  <c r="E427" i="33"/>
  <c r="D427" i="33"/>
  <c r="C427" i="33"/>
  <c r="G426" i="33"/>
  <c r="E426" i="33"/>
  <c r="D426" i="33"/>
  <c r="C426" i="33"/>
  <c r="G425" i="33"/>
  <c r="E425" i="33"/>
  <c r="D425" i="33"/>
  <c r="C425" i="33"/>
  <c r="G424" i="33"/>
  <c r="E424" i="33"/>
  <c r="D424" i="33"/>
  <c r="C424" i="33"/>
  <c r="G423" i="33"/>
  <c r="E423" i="33"/>
  <c r="D423" i="33"/>
  <c r="C423" i="33"/>
  <c r="G422" i="33"/>
  <c r="E422" i="33"/>
  <c r="D422" i="33"/>
  <c r="C422" i="33"/>
  <c r="G421" i="33"/>
  <c r="E421" i="33"/>
  <c r="D421" i="33"/>
  <c r="C421" i="33"/>
  <c r="G420" i="33"/>
  <c r="E420" i="33"/>
  <c r="D420" i="33"/>
  <c r="C420" i="33"/>
  <c r="G419" i="33"/>
  <c r="E419" i="33"/>
  <c r="D419" i="33"/>
  <c r="C419" i="33"/>
  <c r="G418" i="33"/>
  <c r="E418" i="33"/>
  <c r="D418" i="33"/>
  <c r="C418" i="33"/>
  <c r="G417" i="33"/>
  <c r="E417" i="33"/>
  <c r="D417" i="33"/>
  <c r="C417" i="33"/>
  <c r="G416" i="33"/>
  <c r="E416" i="33"/>
  <c r="D416" i="33"/>
  <c r="C416" i="33"/>
  <c r="G415" i="33"/>
  <c r="E415" i="33"/>
  <c r="D415" i="33"/>
  <c r="C415" i="33"/>
  <c r="G414" i="33"/>
  <c r="E414" i="33"/>
  <c r="D414" i="33"/>
  <c r="C414" i="33"/>
  <c r="G413" i="33"/>
  <c r="E413" i="33"/>
  <c r="D413" i="33"/>
  <c r="C413" i="33"/>
  <c r="G412" i="33"/>
  <c r="E412" i="33"/>
  <c r="D412" i="33"/>
  <c r="C412" i="33"/>
  <c r="G411" i="33"/>
  <c r="E411" i="33"/>
  <c r="D411" i="33"/>
  <c r="C411" i="33"/>
  <c r="G410" i="33"/>
  <c r="E410" i="33"/>
  <c r="D410" i="33"/>
  <c r="C410" i="33"/>
  <c r="G409" i="33"/>
  <c r="E409" i="33"/>
  <c r="D409" i="33"/>
  <c r="C409" i="33"/>
  <c r="G408" i="33"/>
  <c r="E408" i="33"/>
  <c r="D408" i="33"/>
  <c r="C408" i="33"/>
  <c r="G407" i="33"/>
  <c r="E407" i="33"/>
  <c r="D407" i="33"/>
  <c r="C407" i="33"/>
  <c r="G406" i="33"/>
  <c r="E406" i="33"/>
  <c r="D406" i="33"/>
  <c r="C406" i="33"/>
  <c r="G405" i="33"/>
  <c r="E405" i="33"/>
  <c r="C405" i="33"/>
  <c r="G404" i="33"/>
  <c r="E404" i="33"/>
  <c r="C404" i="33"/>
  <c r="G403" i="33"/>
  <c r="E403" i="33"/>
  <c r="D403" i="33"/>
  <c r="C403" i="33"/>
  <c r="G402" i="33"/>
  <c r="E402" i="33"/>
  <c r="D402" i="33"/>
  <c r="C402" i="33"/>
  <c r="G401" i="33"/>
  <c r="E401" i="33"/>
  <c r="D401" i="33"/>
  <c r="C401" i="33"/>
  <c r="G400" i="33"/>
  <c r="E400" i="33"/>
  <c r="D400" i="33"/>
  <c r="C400" i="33"/>
  <c r="G399" i="33"/>
  <c r="E399" i="33"/>
  <c r="D399" i="33"/>
  <c r="C399" i="33"/>
  <c r="G398" i="33"/>
  <c r="E398" i="33"/>
  <c r="D398" i="33"/>
  <c r="C398" i="33"/>
  <c r="G397" i="33"/>
  <c r="E397" i="33"/>
  <c r="D397" i="33"/>
  <c r="C397" i="33"/>
  <c r="G396" i="33"/>
  <c r="E396" i="33"/>
  <c r="D396" i="33"/>
  <c r="C396" i="33"/>
  <c r="G395" i="33"/>
  <c r="E395" i="33"/>
  <c r="D395" i="33"/>
  <c r="C395" i="33"/>
  <c r="G394" i="33"/>
  <c r="E394" i="33"/>
  <c r="D394" i="33"/>
  <c r="C394" i="33"/>
  <c r="G393" i="33"/>
  <c r="E393" i="33"/>
  <c r="D393" i="33"/>
  <c r="C393" i="33"/>
  <c r="G392" i="33"/>
  <c r="E392" i="33"/>
  <c r="D392" i="33"/>
  <c r="C392" i="33"/>
  <c r="G391" i="33"/>
  <c r="E391" i="33"/>
  <c r="D391" i="33"/>
  <c r="C391" i="33"/>
  <c r="G390" i="33"/>
  <c r="E390" i="33"/>
  <c r="D390" i="33"/>
  <c r="C390" i="33"/>
  <c r="G389" i="33"/>
  <c r="E389" i="33"/>
  <c r="D389" i="33"/>
  <c r="C389" i="33"/>
  <c r="G388" i="33"/>
  <c r="E388" i="33"/>
  <c r="D388" i="33"/>
  <c r="C388" i="33"/>
  <c r="G387" i="33"/>
  <c r="E387" i="33"/>
  <c r="C387" i="33"/>
  <c r="G386" i="33"/>
  <c r="E386" i="33"/>
  <c r="D386" i="33"/>
  <c r="C386" i="33"/>
  <c r="G385" i="33"/>
  <c r="E385" i="33"/>
  <c r="D385" i="33"/>
  <c r="C385" i="33"/>
  <c r="G384" i="33"/>
  <c r="E384" i="33"/>
  <c r="D384" i="33"/>
  <c r="C384" i="33"/>
  <c r="G383" i="33"/>
  <c r="E383" i="33"/>
  <c r="D383" i="33"/>
  <c r="C383" i="33"/>
  <c r="G382" i="33"/>
  <c r="E382" i="33"/>
  <c r="D382" i="33"/>
  <c r="C382" i="33"/>
  <c r="G381" i="33"/>
  <c r="E381" i="33"/>
  <c r="D381" i="33"/>
  <c r="C381" i="33"/>
  <c r="G380" i="33"/>
  <c r="E380" i="33"/>
  <c r="D380" i="33"/>
  <c r="C380" i="33"/>
  <c r="G379" i="33"/>
  <c r="E379" i="33"/>
  <c r="D379" i="33"/>
  <c r="C379" i="33"/>
  <c r="G378" i="33"/>
  <c r="E378" i="33"/>
  <c r="D378" i="33"/>
  <c r="C378" i="33"/>
  <c r="G377" i="33"/>
  <c r="E377" i="33"/>
  <c r="D377" i="33"/>
  <c r="C377" i="33"/>
  <c r="G376" i="33"/>
  <c r="E376" i="33"/>
  <c r="D376" i="33"/>
  <c r="C376" i="33"/>
  <c r="G375" i="33"/>
  <c r="E375" i="33"/>
  <c r="D375" i="33"/>
  <c r="C375" i="33"/>
  <c r="G374" i="33"/>
  <c r="E374" i="33"/>
  <c r="D374" i="33"/>
  <c r="C374" i="33"/>
  <c r="G373" i="33"/>
  <c r="E373" i="33"/>
  <c r="D373" i="33"/>
  <c r="C373" i="33"/>
  <c r="G372" i="33"/>
  <c r="E372" i="33"/>
  <c r="D372" i="33"/>
  <c r="C372" i="33"/>
  <c r="G371" i="33"/>
  <c r="E371" i="33"/>
  <c r="D371" i="33"/>
  <c r="C371" i="33"/>
  <c r="G370" i="33"/>
  <c r="E370" i="33"/>
  <c r="D370" i="33"/>
  <c r="C370" i="33"/>
  <c r="G369" i="33"/>
  <c r="E369" i="33"/>
  <c r="D369" i="33"/>
  <c r="C369" i="33"/>
  <c r="G368" i="33"/>
  <c r="E368" i="33"/>
  <c r="D368" i="33"/>
  <c r="C368" i="33"/>
  <c r="G367" i="33"/>
  <c r="E367" i="33"/>
  <c r="D367" i="33"/>
  <c r="C367" i="33"/>
  <c r="G366" i="33"/>
  <c r="E366" i="33"/>
  <c r="D366" i="33"/>
  <c r="C366" i="33"/>
  <c r="G365" i="33"/>
  <c r="E365" i="33"/>
  <c r="D365" i="33"/>
  <c r="C365" i="33"/>
  <c r="G364" i="33"/>
  <c r="E364" i="33"/>
  <c r="D364" i="33"/>
  <c r="C364" i="33"/>
  <c r="G363" i="33"/>
  <c r="E363" i="33"/>
  <c r="D363" i="33"/>
  <c r="C363" i="33"/>
  <c r="G362" i="33"/>
  <c r="E362" i="33"/>
  <c r="D362" i="33"/>
  <c r="C362" i="33"/>
  <c r="G361" i="33"/>
  <c r="E361" i="33"/>
  <c r="D361" i="33"/>
  <c r="C361" i="33"/>
  <c r="G360" i="33"/>
  <c r="E360" i="33"/>
  <c r="D360" i="33"/>
  <c r="C360" i="33"/>
  <c r="G359" i="33"/>
  <c r="E359" i="33"/>
  <c r="D359" i="33"/>
  <c r="C359" i="33"/>
  <c r="G358" i="33"/>
  <c r="E358" i="33"/>
  <c r="D358" i="33"/>
  <c r="C358" i="33"/>
  <c r="G357" i="33"/>
  <c r="E357" i="33"/>
  <c r="D357" i="33"/>
  <c r="C357" i="33"/>
  <c r="G356" i="33"/>
  <c r="E356" i="33"/>
  <c r="D356" i="33"/>
  <c r="C356" i="33"/>
  <c r="G355" i="33"/>
  <c r="E355" i="33"/>
  <c r="D355" i="33"/>
  <c r="C355" i="33"/>
  <c r="G354" i="33"/>
  <c r="E354" i="33"/>
  <c r="D354" i="33"/>
  <c r="C354" i="33"/>
  <c r="G353" i="33"/>
  <c r="E353" i="33"/>
  <c r="D353" i="33"/>
  <c r="C353" i="33"/>
  <c r="G352" i="33"/>
  <c r="E352" i="33"/>
  <c r="D352" i="33"/>
  <c r="C352" i="33"/>
  <c r="G351" i="33"/>
  <c r="E351" i="33"/>
  <c r="D351" i="33"/>
  <c r="C351" i="33"/>
  <c r="G350" i="33"/>
  <c r="E350" i="33"/>
  <c r="D350" i="33"/>
  <c r="C350" i="33"/>
  <c r="G349" i="33"/>
  <c r="E349" i="33"/>
  <c r="D349" i="33"/>
  <c r="C349" i="33"/>
  <c r="G348" i="33"/>
  <c r="E348" i="33"/>
  <c r="D348" i="33"/>
  <c r="C348" i="33"/>
  <c r="G347" i="33"/>
  <c r="E347" i="33"/>
  <c r="D347" i="33"/>
  <c r="C347" i="33"/>
  <c r="G346" i="33"/>
  <c r="E346" i="33"/>
  <c r="D346" i="33"/>
  <c r="C346" i="33"/>
  <c r="G345" i="33"/>
  <c r="E345" i="33"/>
  <c r="D345" i="33"/>
  <c r="C345" i="33"/>
  <c r="G344" i="33"/>
  <c r="E344" i="33"/>
  <c r="D344" i="33"/>
  <c r="C344" i="33"/>
  <c r="G343" i="33"/>
  <c r="E343" i="33"/>
  <c r="D343" i="33"/>
  <c r="C343" i="33"/>
  <c r="G342" i="33"/>
  <c r="E342" i="33"/>
  <c r="D342" i="33"/>
  <c r="C342" i="33"/>
  <c r="G341" i="33"/>
  <c r="E341" i="33"/>
  <c r="D341" i="33"/>
  <c r="C341" i="33"/>
  <c r="G340" i="33"/>
  <c r="E340" i="33"/>
  <c r="D340" i="33"/>
  <c r="C340" i="33"/>
  <c r="G339" i="33"/>
  <c r="E339" i="33"/>
  <c r="D339" i="33"/>
  <c r="C339" i="33"/>
  <c r="G338" i="33"/>
  <c r="E338" i="33"/>
  <c r="D338" i="33"/>
  <c r="C338" i="33"/>
  <c r="G337" i="33"/>
  <c r="E337" i="33"/>
  <c r="D337" i="33"/>
  <c r="C337" i="33"/>
  <c r="G336" i="33"/>
  <c r="E336" i="33"/>
  <c r="D336" i="33"/>
  <c r="C336" i="33"/>
  <c r="G335" i="33"/>
  <c r="E335" i="33"/>
  <c r="D335" i="33"/>
  <c r="C335" i="33"/>
  <c r="G334" i="33"/>
  <c r="E334" i="33"/>
  <c r="D334" i="33"/>
  <c r="C334" i="33"/>
  <c r="G333" i="33"/>
  <c r="E333" i="33"/>
  <c r="D333" i="33"/>
  <c r="C333" i="33"/>
  <c r="G332" i="33"/>
  <c r="E332" i="33"/>
  <c r="D332" i="33"/>
  <c r="C332" i="33"/>
  <c r="G331" i="33"/>
  <c r="E331" i="33"/>
  <c r="D331" i="33"/>
  <c r="C331" i="33"/>
  <c r="G330" i="33"/>
  <c r="E330" i="33"/>
  <c r="D330" i="33"/>
  <c r="C330" i="33"/>
  <c r="G329" i="33"/>
  <c r="E329" i="33"/>
  <c r="D329" i="33"/>
  <c r="C329" i="33"/>
  <c r="G328" i="33"/>
  <c r="E328" i="33"/>
  <c r="D328" i="33"/>
  <c r="C328" i="33"/>
  <c r="G327" i="33"/>
  <c r="E327" i="33"/>
  <c r="D327" i="33"/>
  <c r="C327" i="33"/>
  <c r="G326" i="33"/>
  <c r="E326" i="33"/>
  <c r="D326" i="33"/>
  <c r="C326" i="33"/>
  <c r="G325" i="33"/>
  <c r="E325" i="33"/>
  <c r="D325" i="33"/>
  <c r="C325" i="33"/>
  <c r="G324" i="33"/>
  <c r="E324" i="33"/>
  <c r="D324" i="33"/>
  <c r="C324" i="33"/>
  <c r="G323" i="33"/>
  <c r="E323" i="33"/>
  <c r="D323" i="33"/>
  <c r="C323" i="33"/>
  <c r="G322" i="33"/>
  <c r="E322" i="33"/>
  <c r="D322" i="33"/>
  <c r="C322" i="33"/>
  <c r="G321" i="33"/>
  <c r="E321" i="33"/>
  <c r="D321" i="33"/>
  <c r="C321" i="33"/>
  <c r="G320" i="33"/>
  <c r="E320" i="33"/>
  <c r="D320" i="33"/>
  <c r="C320" i="33"/>
  <c r="G319" i="33"/>
  <c r="E319" i="33"/>
  <c r="D319" i="33"/>
  <c r="C319" i="33"/>
  <c r="G318" i="33"/>
  <c r="E318" i="33"/>
  <c r="D318" i="33"/>
  <c r="C318" i="33"/>
  <c r="G317" i="33"/>
  <c r="E317" i="33"/>
  <c r="D317" i="33"/>
  <c r="C317" i="33"/>
  <c r="G316" i="33"/>
  <c r="E316" i="33"/>
  <c r="D316" i="33"/>
  <c r="C316" i="33"/>
  <c r="G315" i="33"/>
  <c r="E315" i="33"/>
  <c r="D315" i="33"/>
  <c r="C315" i="33"/>
  <c r="G314" i="33"/>
  <c r="E314" i="33"/>
  <c r="D314" i="33"/>
  <c r="C314" i="33"/>
  <c r="G313" i="33"/>
  <c r="E313" i="33"/>
  <c r="D313" i="33"/>
  <c r="C313" i="33"/>
  <c r="G312" i="33"/>
  <c r="E312" i="33"/>
  <c r="D312" i="33"/>
  <c r="C312" i="33"/>
  <c r="G311" i="33"/>
  <c r="E311" i="33"/>
  <c r="D311" i="33"/>
  <c r="C311" i="33"/>
  <c r="G310" i="33"/>
  <c r="E310" i="33"/>
  <c r="D310" i="33"/>
  <c r="C310" i="33"/>
  <c r="G309" i="33"/>
  <c r="E309" i="33"/>
  <c r="D309" i="33"/>
  <c r="C309" i="33"/>
  <c r="G308" i="33"/>
  <c r="E308" i="33"/>
  <c r="D308" i="33"/>
  <c r="C308" i="33"/>
  <c r="G307" i="33"/>
  <c r="E307" i="33"/>
  <c r="D307" i="33"/>
  <c r="C307" i="33"/>
  <c r="G306" i="33"/>
  <c r="E306" i="33"/>
  <c r="D306" i="33"/>
  <c r="C306" i="33"/>
  <c r="G305" i="33"/>
  <c r="E305" i="33"/>
  <c r="D305" i="33"/>
  <c r="C305" i="33"/>
  <c r="G304" i="33"/>
  <c r="E304" i="33"/>
  <c r="D304" i="33"/>
  <c r="C304" i="33"/>
  <c r="G303" i="33"/>
  <c r="E303" i="33"/>
  <c r="D303" i="33"/>
  <c r="C303" i="33"/>
  <c r="G302" i="33"/>
  <c r="E302" i="33"/>
  <c r="D302" i="33"/>
  <c r="C302" i="33"/>
  <c r="G301" i="33"/>
  <c r="E301" i="33"/>
  <c r="D301" i="33"/>
  <c r="C301" i="33"/>
  <c r="G300" i="33"/>
  <c r="E300" i="33"/>
  <c r="D300" i="33"/>
  <c r="C300" i="33"/>
  <c r="G299" i="33"/>
  <c r="E299" i="33"/>
  <c r="D299" i="33"/>
  <c r="C299" i="33"/>
  <c r="G298" i="33"/>
  <c r="E298" i="33"/>
  <c r="D298" i="33"/>
  <c r="C298" i="33"/>
  <c r="G297" i="33"/>
  <c r="E297" i="33"/>
  <c r="D297" i="33"/>
  <c r="C297" i="33"/>
  <c r="G296" i="33"/>
  <c r="E296" i="33"/>
  <c r="D296" i="33"/>
  <c r="C296" i="33"/>
  <c r="G295" i="33"/>
  <c r="E295" i="33"/>
  <c r="D295" i="33"/>
  <c r="C295" i="33"/>
  <c r="G294" i="33"/>
  <c r="E294" i="33"/>
  <c r="D294" i="33"/>
  <c r="C294" i="33"/>
  <c r="G293" i="33"/>
  <c r="E293" i="33"/>
  <c r="D293" i="33"/>
  <c r="C293" i="33"/>
  <c r="G292" i="33"/>
  <c r="E292" i="33"/>
  <c r="D292" i="33"/>
  <c r="C292" i="33"/>
  <c r="G291" i="33"/>
  <c r="E291" i="33"/>
  <c r="D291" i="33"/>
  <c r="C291" i="33"/>
  <c r="G290" i="33"/>
  <c r="E290" i="33"/>
  <c r="D290" i="33"/>
  <c r="C290" i="33"/>
  <c r="G289" i="33"/>
  <c r="E289" i="33"/>
  <c r="D289" i="33"/>
  <c r="C289" i="33"/>
  <c r="G288" i="33"/>
  <c r="E288" i="33"/>
  <c r="D288" i="33"/>
  <c r="C288" i="33"/>
  <c r="G287" i="33"/>
  <c r="E287" i="33"/>
  <c r="D287" i="33"/>
  <c r="C287" i="33"/>
  <c r="G286" i="33"/>
  <c r="E286" i="33"/>
  <c r="D286" i="33"/>
  <c r="C286" i="33"/>
  <c r="G285" i="33"/>
  <c r="E285" i="33"/>
  <c r="D285" i="33"/>
  <c r="C285" i="33"/>
  <c r="G284" i="33"/>
  <c r="E284" i="33"/>
  <c r="D284" i="33"/>
  <c r="C284" i="33"/>
  <c r="G283" i="33"/>
  <c r="E283" i="33"/>
  <c r="D283" i="33"/>
  <c r="C283" i="33"/>
  <c r="G282" i="33"/>
  <c r="E282" i="33"/>
  <c r="D282" i="33"/>
  <c r="C282" i="33"/>
  <c r="G281" i="33"/>
  <c r="E281" i="33"/>
  <c r="D281" i="33"/>
  <c r="C281" i="33"/>
  <c r="G280" i="33"/>
  <c r="E280" i="33"/>
  <c r="D280" i="33"/>
  <c r="C280" i="33"/>
  <c r="G279" i="33"/>
  <c r="E279" i="33"/>
  <c r="C279" i="33"/>
  <c r="G278" i="33"/>
  <c r="E278" i="33"/>
  <c r="D278" i="33"/>
  <c r="C278" i="33"/>
  <c r="G277" i="33"/>
  <c r="E277" i="33"/>
  <c r="D277" i="33"/>
  <c r="C277" i="33"/>
  <c r="G276" i="33"/>
  <c r="E276" i="33"/>
  <c r="D276" i="33"/>
  <c r="C276" i="33"/>
  <c r="G275" i="33"/>
  <c r="E275" i="33"/>
  <c r="D275" i="33"/>
  <c r="C275" i="33"/>
  <c r="G274" i="33"/>
  <c r="E274" i="33"/>
  <c r="D274" i="33"/>
  <c r="C274" i="33"/>
  <c r="G273" i="33"/>
  <c r="E273" i="33"/>
  <c r="D273" i="33"/>
  <c r="C273" i="33"/>
  <c r="G272" i="33"/>
  <c r="E272" i="33"/>
  <c r="D272" i="33"/>
  <c r="C272" i="33"/>
  <c r="G271" i="33"/>
  <c r="E271" i="33"/>
  <c r="D271" i="33"/>
  <c r="C271" i="33"/>
  <c r="G270" i="33"/>
  <c r="E270" i="33"/>
  <c r="D270" i="33"/>
  <c r="C270" i="33"/>
  <c r="G269" i="33"/>
  <c r="E269" i="33"/>
  <c r="D269" i="33"/>
  <c r="C269" i="33"/>
  <c r="G268" i="33"/>
  <c r="E268" i="33"/>
  <c r="D268" i="33"/>
  <c r="C268" i="33"/>
  <c r="G267" i="33"/>
  <c r="E267" i="33"/>
  <c r="D267" i="33"/>
  <c r="C267" i="33"/>
  <c r="G266" i="33"/>
  <c r="E266" i="33"/>
  <c r="D266" i="33"/>
  <c r="C266" i="33"/>
  <c r="G265" i="33"/>
  <c r="E265" i="33"/>
  <c r="D265" i="33"/>
  <c r="C265" i="33"/>
  <c r="G264" i="33"/>
  <c r="E264" i="33"/>
  <c r="D264" i="33"/>
  <c r="C264" i="33"/>
  <c r="G263" i="33"/>
  <c r="E263" i="33"/>
  <c r="D263" i="33"/>
  <c r="C263" i="33"/>
  <c r="G262" i="33"/>
  <c r="E262" i="33"/>
  <c r="D262" i="33"/>
  <c r="C262" i="33"/>
  <c r="G261" i="33"/>
  <c r="E261" i="33"/>
  <c r="D261" i="33"/>
  <c r="C261" i="33"/>
  <c r="G260" i="33"/>
  <c r="E260" i="33"/>
  <c r="D260" i="33"/>
  <c r="C260" i="33"/>
  <c r="G259" i="33"/>
  <c r="E259" i="33"/>
  <c r="D259" i="33"/>
  <c r="C259" i="33"/>
  <c r="G258" i="33"/>
  <c r="E258" i="33"/>
  <c r="D258" i="33"/>
  <c r="C258" i="33"/>
  <c r="G257" i="33"/>
  <c r="E257" i="33"/>
  <c r="D257" i="33"/>
  <c r="C257" i="33"/>
  <c r="G256" i="33"/>
  <c r="E256" i="33"/>
  <c r="D256" i="33"/>
  <c r="C256" i="33"/>
  <c r="G255" i="33"/>
  <c r="E255" i="33"/>
  <c r="D255" i="33"/>
  <c r="C255" i="33"/>
  <c r="G254" i="33"/>
  <c r="E254" i="33"/>
  <c r="D254" i="33"/>
  <c r="C254" i="33"/>
  <c r="G253" i="33"/>
  <c r="E253" i="33"/>
  <c r="D253" i="33"/>
  <c r="C253" i="33"/>
  <c r="G252" i="33"/>
  <c r="E252" i="33"/>
  <c r="D252" i="33"/>
  <c r="C252" i="33"/>
  <c r="G251" i="33"/>
  <c r="E251" i="33"/>
  <c r="D251" i="33"/>
  <c r="C251" i="33"/>
  <c r="G250" i="33"/>
  <c r="E250" i="33"/>
  <c r="D250" i="33"/>
  <c r="C250" i="33"/>
  <c r="G249" i="33"/>
  <c r="E249" i="33"/>
  <c r="D249" i="33"/>
  <c r="C249" i="33"/>
  <c r="G248" i="33"/>
  <c r="E248" i="33"/>
  <c r="D248" i="33"/>
  <c r="C248" i="33"/>
  <c r="G247" i="33"/>
  <c r="E247" i="33"/>
  <c r="D247" i="33"/>
  <c r="C247" i="33"/>
  <c r="G246" i="33"/>
  <c r="E246" i="33"/>
  <c r="D246" i="33"/>
  <c r="C246" i="33"/>
  <c r="G245" i="33"/>
  <c r="D245" i="33"/>
  <c r="C245" i="33"/>
  <c r="G244" i="33"/>
  <c r="E244" i="33"/>
  <c r="D244" i="33"/>
  <c r="C244" i="33"/>
  <c r="G243" i="33"/>
  <c r="E243" i="33"/>
  <c r="D243" i="33"/>
  <c r="C243" i="33"/>
  <c r="G242" i="33"/>
  <c r="E242" i="33"/>
  <c r="D242" i="33"/>
  <c r="C242" i="33"/>
  <c r="G241" i="33"/>
  <c r="E241" i="33"/>
  <c r="D241" i="33"/>
  <c r="C241" i="33"/>
  <c r="G240" i="33"/>
  <c r="E240" i="33"/>
  <c r="D240" i="33"/>
  <c r="C240" i="33"/>
  <c r="G239" i="33"/>
  <c r="E239" i="33"/>
  <c r="D239" i="33"/>
  <c r="C239" i="33"/>
  <c r="G238" i="33"/>
  <c r="E238" i="33"/>
  <c r="D238" i="33"/>
  <c r="C238" i="33"/>
  <c r="G237" i="33"/>
  <c r="E237" i="33"/>
  <c r="D237" i="33"/>
  <c r="C237" i="33"/>
  <c r="G236" i="33"/>
  <c r="E236" i="33"/>
  <c r="D236" i="33"/>
  <c r="C236" i="33"/>
  <c r="G235" i="33"/>
  <c r="E235" i="33"/>
  <c r="D235" i="33"/>
  <c r="C235" i="33"/>
  <c r="G234" i="33"/>
  <c r="E234" i="33"/>
  <c r="D234" i="33"/>
  <c r="C234" i="33"/>
  <c r="G233" i="33"/>
  <c r="E233" i="33"/>
  <c r="D233" i="33"/>
  <c r="C233" i="33"/>
  <c r="G232" i="33"/>
  <c r="E232" i="33"/>
  <c r="D232" i="33"/>
  <c r="C232" i="33"/>
  <c r="G231" i="33"/>
  <c r="E231" i="33"/>
  <c r="D231" i="33"/>
  <c r="C231" i="33"/>
  <c r="G230" i="33"/>
  <c r="E230" i="33"/>
  <c r="D230" i="33"/>
  <c r="C230" i="33"/>
  <c r="G229" i="33"/>
  <c r="E229" i="33"/>
  <c r="D229" i="33"/>
  <c r="C229" i="33"/>
  <c r="G228" i="33"/>
  <c r="E228" i="33"/>
  <c r="D228" i="33"/>
  <c r="C228" i="33"/>
  <c r="G227" i="33"/>
  <c r="E227" i="33"/>
  <c r="D227" i="33"/>
  <c r="C227" i="33"/>
  <c r="G226" i="33"/>
  <c r="E226" i="33"/>
  <c r="D226" i="33"/>
  <c r="C226" i="33"/>
  <c r="G225" i="33"/>
  <c r="E225" i="33"/>
  <c r="D225" i="33"/>
  <c r="C225" i="33"/>
  <c r="G224" i="33"/>
  <c r="E224" i="33"/>
  <c r="D224" i="33"/>
  <c r="C224" i="33"/>
  <c r="G223" i="33"/>
  <c r="E223" i="33"/>
  <c r="D223" i="33"/>
  <c r="C223" i="33"/>
  <c r="G222" i="33"/>
  <c r="E222" i="33"/>
  <c r="D222" i="33"/>
  <c r="C222" i="33"/>
  <c r="G221" i="33"/>
  <c r="E221" i="33"/>
  <c r="D221" i="33"/>
  <c r="C221" i="33"/>
  <c r="G220" i="33"/>
  <c r="E220" i="33"/>
  <c r="D220" i="33"/>
  <c r="C220" i="33"/>
  <c r="G219" i="33"/>
  <c r="E219" i="33"/>
  <c r="D219" i="33"/>
  <c r="C219" i="33"/>
  <c r="G218" i="33"/>
  <c r="E218" i="33"/>
  <c r="D218" i="33"/>
  <c r="C218" i="33"/>
  <c r="G217" i="33"/>
  <c r="E217" i="33"/>
  <c r="D217" i="33"/>
  <c r="C217" i="33"/>
  <c r="G216" i="33"/>
  <c r="E216" i="33"/>
  <c r="D216" i="33"/>
  <c r="C216" i="33"/>
  <c r="G215" i="33"/>
  <c r="E215" i="33"/>
  <c r="D215" i="33"/>
  <c r="C215" i="33"/>
  <c r="G214" i="33"/>
  <c r="E214" i="33"/>
  <c r="D214" i="33"/>
  <c r="C214" i="33"/>
  <c r="G213" i="33"/>
  <c r="E213" i="33"/>
  <c r="D213" i="33"/>
  <c r="C213" i="33"/>
  <c r="G212" i="33"/>
  <c r="E212" i="33"/>
  <c r="D212" i="33"/>
  <c r="C212" i="33"/>
  <c r="G211" i="33"/>
  <c r="E211" i="33"/>
  <c r="D211" i="33"/>
  <c r="C211" i="33"/>
  <c r="G210" i="33"/>
  <c r="E210" i="33"/>
  <c r="D210" i="33"/>
  <c r="C210" i="33"/>
  <c r="G209" i="33"/>
  <c r="E209" i="33"/>
  <c r="D209" i="33"/>
  <c r="C209" i="33"/>
  <c r="G208" i="33"/>
  <c r="E208" i="33"/>
  <c r="D208" i="33"/>
  <c r="C208" i="33"/>
  <c r="G207" i="33"/>
  <c r="E207" i="33"/>
  <c r="D207" i="33"/>
  <c r="C207" i="33"/>
  <c r="G206" i="33"/>
  <c r="E206" i="33"/>
  <c r="D206" i="33"/>
  <c r="C206" i="33"/>
  <c r="G205" i="33"/>
  <c r="E205" i="33"/>
  <c r="D205" i="33"/>
  <c r="C205" i="33"/>
  <c r="G204" i="33"/>
  <c r="E204" i="33"/>
  <c r="D204" i="33"/>
  <c r="C204" i="33"/>
  <c r="G203" i="33"/>
  <c r="E203" i="33"/>
  <c r="D203" i="33"/>
  <c r="C203" i="33"/>
  <c r="G202" i="33"/>
  <c r="E202" i="33"/>
  <c r="D202" i="33"/>
  <c r="C202" i="33"/>
  <c r="G201" i="33"/>
  <c r="E201" i="33"/>
  <c r="D201" i="33"/>
  <c r="C201" i="33"/>
  <c r="G200" i="33"/>
  <c r="E200" i="33"/>
  <c r="D200" i="33"/>
  <c r="C200" i="33"/>
  <c r="G199" i="33"/>
  <c r="E199" i="33"/>
  <c r="D199" i="33"/>
  <c r="C199" i="33"/>
  <c r="G198" i="33"/>
  <c r="E198" i="33"/>
  <c r="D198" i="33"/>
  <c r="C198" i="33"/>
  <c r="G197" i="33"/>
  <c r="E197" i="33"/>
  <c r="D197" i="33"/>
  <c r="C197" i="33"/>
  <c r="G196" i="33"/>
  <c r="E196" i="33"/>
  <c r="D196" i="33"/>
  <c r="C196" i="33"/>
  <c r="G195" i="33"/>
  <c r="E195" i="33"/>
  <c r="D195" i="33"/>
  <c r="C195" i="33"/>
  <c r="G194" i="33"/>
  <c r="E194" i="33"/>
  <c r="D194" i="33"/>
  <c r="C194" i="33"/>
  <c r="G193" i="33"/>
  <c r="E193" i="33"/>
  <c r="D193" i="33"/>
  <c r="C193" i="33"/>
  <c r="G192" i="33"/>
  <c r="E192" i="33"/>
  <c r="D192" i="33"/>
  <c r="C192" i="33"/>
  <c r="G191" i="33"/>
  <c r="E191" i="33"/>
  <c r="D191" i="33"/>
  <c r="C191" i="33"/>
  <c r="G190" i="33"/>
  <c r="E190" i="33"/>
  <c r="D190" i="33"/>
  <c r="C190" i="33"/>
  <c r="G189" i="33"/>
  <c r="E189" i="33"/>
  <c r="D189" i="33"/>
  <c r="C189" i="33"/>
  <c r="G188" i="33"/>
  <c r="E188" i="33"/>
  <c r="D188" i="33"/>
  <c r="C188" i="33"/>
  <c r="G187" i="33"/>
  <c r="E187" i="33"/>
  <c r="D187" i="33"/>
  <c r="C187" i="33"/>
  <c r="G186" i="33"/>
  <c r="E186" i="33"/>
  <c r="D186" i="33"/>
  <c r="C186" i="33"/>
  <c r="G185" i="33"/>
  <c r="E185" i="33"/>
  <c r="D185" i="33"/>
  <c r="C185" i="33"/>
  <c r="G184" i="33"/>
  <c r="E184" i="33"/>
  <c r="D184" i="33"/>
  <c r="C184" i="33"/>
  <c r="G183" i="33"/>
  <c r="E183" i="33"/>
  <c r="D183" i="33"/>
  <c r="C183" i="33"/>
  <c r="G182" i="33"/>
  <c r="E182" i="33"/>
  <c r="D182" i="33"/>
  <c r="C182" i="33"/>
  <c r="G181" i="33"/>
  <c r="E181" i="33"/>
  <c r="D181" i="33"/>
  <c r="C181" i="33"/>
  <c r="G180" i="33"/>
  <c r="E180" i="33"/>
  <c r="D180" i="33"/>
  <c r="C180" i="33"/>
  <c r="G179" i="33"/>
  <c r="E179" i="33"/>
  <c r="D179" i="33"/>
  <c r="C179" i="33"/>
  <c r="G178" i="33"/>
  <c r="E178" i="33"/>
  <c r="D178" i="33"/>
  <c r="C178" i="33"/>
  <c r="G177" i="33"/>
  <c r="E177" i="33"/>
  <c r="D177" i="33"/>
  <c r="C177" i="33"/>
  <c r="G176" i="33"/>
  <c r="E176" i="33"/>
  <c r="D176" i="33"/>
  <c r="C176" i="33"/>
  <c r="G175" i="33"/>
  <c r="E175" i="33"/>
  <c r="D175" i="33"/>
  <c r="C175" i="33"/>
  <c r="G174" i="33"/>
  <c r="E174" i="33"/>
  <c r="D174" i="33"/>
  <c r="C174" i="33"/>
  <c r="G173" i="33"/>
  <c r="E173" i="33"/>
  <c r="D173" i="33"/>
  <c r="C173" i="33"/>
  <c r="G172" i="33"/>
  <c r="E172" i="33"/>
  <c r="D172" i="33"/>
  <c r="C172" i="33"/>
  <c r="G171" i="33"/>
  <c r="E171" i="33"/>
  <c r="D171" i="33"/>
  <c r="C171" i="33"/>
  <c r="G170" i="33"/>
  <c r="E170" i="33"/>
  <c r="D170" i="33"/>
  <c r="C170" i="33"/>
  <c r="G169" i="33"/>
  <c r="E169" i="33"/>
  <c r="D169" i="33"/>
  <c r="C169" i="33"/>
  <c r="G168" i="33"/>
  <c r="E168" i="33"/>
  <c r="D168" i="33"/>
  <c r="C168" i="33"/>
  <c r="G167" i="33"/>
  <c r="E167" i="33"/>
  <c r="D167" i="33"/>
  <c r="C167" i="33"/>
  <c r="G166" i="33"/>
  <c r="E166" i="33"/>
  <c r="D166" i="33"/>
  <c r="C166" i="33"/>
  <c r="G165" i="33"/>
  <c r="E165" i="33"/>
  <c r="D165" i="33"/>
  <c r="C165" i="33"/>
  <c r="G164" i="33"/>
  <c r="E164" i="33"/>
  <c r="D164" i="33"/>
  <c r="C164" i="33"/>
  <c r="G163" i="33"/>
  <c r="E163" i="33"/>
  <c r="D163" i="33"/>
  <c r="C163" i="33"/>
  <c r="G162" i="33"/>
  <c r="E162" i="33"/>
  <c r="D162" i="33"/>
  <c r="C162" i="33"/>
  <c r="G161" i="33"/>
  <c r="E161" i="33"/>
  <c r="D161" i="33"/>
  <c r="C161" i="33"/>
  <c r="G160" i="33"/>
  <c r="E160" i="33"/>
  <c r="D160" i="33"/>
  <c r="C160" i="33"/>
  <c r="G159" i="33"/>
  <c r="E159" i="33"/>
  <c r="D159" i="33"/>
  <c r="C159" i="33"/>
  <c r="G158" i="33"/>
  <c r="E158" i="33"/>
  <c r="D158" i="33"/>
  <c r="C158" i="33"/>
  <c r="G157" i="33"/>
  <c r="E157" i="33"/>
  <c r="D157" i="33"/>
  <c r="C157" i="33"/>
  <c r="G156" i="33"/>
  <c r="E156" i="33"/>
  <c r="D156" i="33"/>
  <c r="C156" i="33"/>
  <c r="G155" i="33"/>
  <c r="E155" i="33"/>
  <c r="D155" i="33"/>
  <c r="C155" i="33"/>
  <c r="G154" i="33"/>
  <c r="E154" i="33"/>
  <c r="D154" i="33"/>
  <c r="C154" i="33"/>
  <c r="G153" i="33"/>
  <c r="E153" i="33"/>
  <c r="D153" i="33"/>
  <c r="C153" i="33"/>
  <c r="G152" i="33"/>
  <c r="E152" i="33"/>
  <c r="D152" i="33"/>
  <c r="C152" i="33"/>
  <c r="G151" i="33"/>
  <c r="E151" i="33"/>
  <c r="D151" i="33"/>
  <c r="C151" i="33"/>
  <c r="G150" i="33"/>
  <c r="E150" i="33"/>
  <c r="D150" i="33"/>
  <c r="C150" i="33"/>
  <c r="G149" i="33"/>
  <c r="E149" i="33"/>
  <c r="D149" i="33"/>
  <c r="C149" i="33"/>
  <c r="G148" i="33"/>
  <c r="E148" i="33"/>
  <c r="D148" i="33"/>
  <c r="C148" i="33"/>
  <c r="G147" i="33"/>
  <c r="E147" i="33"/>
  <c r="D147" i="33"/>
  <c r="C147" i="33"/>
  <c r="G146" i="33"/>
  <c r="E146" i="33"/>
  <c r="D146" i="33"/>
  <c r="C146" i="33"/>
  <c r="G145" i="33"/>
  <c r="E145" i="33"/>
  <c r="D145" i="33"/>
  <c r="C145" i="33"/>
  <c r="G144" i="33"/>
  <c r="E144" i="33"/>
  <c r="D144" i="33"/>
  <c r="C144" i="33"/>
  <c r="G143" i="33"/>
  <c r="E143" i="33"/>
  <c r="D143" i="33"/>
  <c r="C143" i="33"/>
  <c r="G142" i="33"/>
  <c r="E142" i="33"/>
  <c r="D142" i="33"/>
  <c r="C142" i="33"/>
  <c r="G141" i="33"/>
  <c r="E141" i="33"/>
  <c r="D141" i="33"/>
  <c r="C141" i="33"/>
  <c r="G140" i="33"/>
  <c r="E140" i="33"/>
  <c r="D140" i="33"/>
  <c r="C140" i="33"/>
  <c r="G139" i="33"/>
  <c r="E139" i="33"/>
  <c r="D139" i="33"/>
  <c r="C139" i="33"/>
  <c r="G138" i="33"/>
  <c r="E138" i="33"/>
  <c r="D138" i="33"/>
  <c r="C138" i="33"/>
  <c r="G137" i="33"/>
  <c r="E137" i="33"/>
  <c r="D137" i="33"/>
  <c r="C137" i="33"/>
  <c r="G136" i="33"/>
  <c r="E136" i="33"/>
  <c r="D136" i="33"/>
  <c r="C136" i="33"/>
  <c r="G135" i="33"/>
  <c r="E135" i="33"/>
  <c r="D135" i="33"/>
  <c r="C135" i="33"/>
  <c r="G134" i="33"/>
  <c r="E134" i="33"/>
  <c r="D134" i="33"/>
  <c r="C134" i="33"/>
  <c r="G133" i="33"/>
  <c r="E133" i="33"/>
  <c r="D133" i="33"/>
  <c r="C133" i="33"/>
  <c r="G132" i="33"/>
  <c r="E132" i="33"/>
  <c r="D132" i="33"/>
  <c r="C132" i="33"/>
  <c r="G131" i="33"/>
  <c r="E131" i="33"/>
  <c r="D131" i="33"/>
  <c r="C131" i="33"/>
  <c r="G130" i="33"/>
  <c r="E130" i="33"/>
  <c r="D130" i="33"/>
  <c r="C130" i="33"/>
  <c r="G129" i="33"/>
  <c r="E129" i="33"/>
  <c r="D129" i="33"/>
  <c r="C129" i="33"/>
  <c r="G128" i="33"/>
  <c r="E128" i="33"/>
  <c r="D128" i="33"/>
  <c r="C128" i="33"/>
  <c r="G127" i="33"/>
  <c r="E127" i="33"/>
  <c r="D127" i="33"/>
  <c r="C127" i="33"/>
  <c r="G126" i="33"/>
  <c r="E126" i="33"/>
  <c r="D126" i="33"/>
  <c r="C126" i="33"/>
  <c r="G125" i="33"/>
  <c r="E125" i="33"/>
  <c r="D125" i="33"/>
  <c r="C125" i="33"/>
  <c r="G124" i="33"/>
  <c r="E124" i="33"/>
  <c r="D124" i="33"/>
  <c r="C124" i="33"/>
  <c r="G123" i="33"/>
  <c r="E123" i="33"/>
  <c r="D123" i="33"/>
  <c r="C123" i="33"/>
  <c r="G122" i="33"/>
  <c r="E122" i="33"/>
  <c r="D122" i="33"/>
  <c r="C122" i="33"/>
  <c r="G121" i="33"/>
  <c r="E121" i="33"/>
  <c r="D121" i="33"/>
  <c r="C121" i="33"/>
  <c r="G120" i="33"/>
  <c r="E120" i="33"/>
  <c r="D120" i="33"/>
  <c r="C120" i="33"/>
  <c r="G119" i="33"/>
  <c r="E119" i="33"/>
  <c r="D119" i="33"/>
  <c r="C119" i="33"/>
  <c r="G118" i="33"/>
  <c r="E118" i="33"/>
  <c r="D118" i="33"/>
  <c r="C118" i="33"/>
  <c r="G117" i="33"/>
  <c r="E117" i="33"/>
  <c r="D117" i="33"/>
  <c r="C117" i="33"/>
  <c r="G116" i="33"/>
  <c r="E116" i="33"/>
  <c r="D116" i="33"/>
  <c r="C116" i="33"/>
  <c r="G115" i="33"/>
  <c r="E115" i="33"/>
  <c r="D115" i="33"/>
  <c r="C115" i="33"/>
  <c r="G114" i="33"/>
  <c r="E114" i="33"/>
  <c r="D114" i="33"/>
  <c r="C114" i="33"/>
  <c r="G113" i="33"/>
  <c r="E113" i="33"/>
  <c r="D113" i="33"/>
  <c r="C113" i="33"/>
  <c r="G112" i="33"/>
  <c r="E112" i="33"/>
  <c r="D112" i="33"/>
  <c r="C112" i="33"/>
  <c r="G111" i="33"/>
  <c r="E111" i="33"/>
  <c r="D111" i="33"/>
  <c r="C111" i="33"/>
  <c r="G110" i="33"/>
  <c r="E110" i="33"/>
  <c r="D110" i="33"/>
  <c r="C110" i="33"/>
  <c r="G109" i="33"/>
  <c r="E109" i="33"/>
  <c r="D109" i="33"/>
  <c r="C109" i="33"/>
  <c r="G108" i="33"/>
  <c r="E108" i="33"/>
  <c r="D108" i="33"/>
  <c r="C108" i="33"/>
  <c r="G107" i="33"/>
  <c r="E107" i="33"/>
  <c r="D107" i="33"/>
  <c r="C107" i="33"/>
  <c r="G106" i="33"/>
  <c r="E106" i="33"/>
  <c r="D106" i="33"/>
  <c r="C106" i="33"/>
  <c r="G105" i="33"/>
  <c r="E105" i="33"/>
  <c r="D105" i="33"/>
  <c r="C105" i="33"/>
  <c r="G104" i="33"/>
  <c r="E104" i="33"/>
  <c r="D104" i="33"/>
  <c r="C104" i="33"/>
  <c r="G103" i="33"/>
  <c r="E103" i="33"/>
  <c r="D103" i="33"/>
  <c r="C103" i="33"/>
  <c r="G102" i="33"/>
  <c r="E102" i="33"/>
  <c r="D102" i="33"/>
  <c r="C102" i="33"/>
  <c r="G101" i="33"/>
  <c r="E101" i="33"/>
  <c r="D101" i="33"/>
  <c r="C101" i="33"/>
  <c r="G100" i="33"/>
  <c r="E100" i="33"/>
  <c r="D100" i="33"/>
  <c r="C100" i="33"/>
  <c r="G99" i="33"/>
  <c r="E99" i="33"/>
  <c r="D99" i="33"/>
  <c r="C99" i="33"/>
  <c r="G98" i="33"/>
  <c r="E98" i="33"/>
  <c r="D98" i="33"/>
  <c r="C98" i="33"/>
  <c r="G97" i="33"/>
  <c r="E97" i="33"/>
  <c r="D97" i="33"/>
  <c r="C97" i="33"/>
  <c r="G96" i="33"/>
  <c r="E96" i="33"/>
  <c r="D96" i="33"/>
  <c r="C96" i="33"/>
  <c r="G95" i="33"/>
  <c r="E95" i="33"/>
  <c r="D95" i="33"/>
  <c r="C95" i="33"/>
  <c r="G94" i="33"/>
  <c r="E94" i="33"/>
  <c r="D94" i="33"/>
  <c r="C94" i="33"/>
  <c r="G93" i="33"/>
  <c r="E93" i="33"/>
  <c r="D93" i="33"/>
  <c r="C93" i="33"/>
  <c r="G92" i="33"/>
  <c r="E92" i="33"/>
  <c r="D92" i="33"/>
  <c r="C92" i="33"/>
  <c r="G91" i="33"/>
  <c r="E91" i="33"/>
  <c r="D91" i="33"/>
  <c r="C91" i="33"/>
  <c r="G90" i="33"/>
  <c r="E90" i="33"/>
  <c r="D90" i="33"/>
  <c r="C90" i="33"/>
  <c r="G89" i="33"/>
  <c r="E89" i="33"/>
  <c r="D89" i="33"/>
  <c r="C89" i="33"/>
  <c r="G88" i="33"/>
  <c r="E88" i="33"/>
  <c r="D88" i="33"/>
  <c r="C88" i="33"/>
  <c r="G87" i="33"/>
  <c r="E87" i="33"/>
  <c r="D87" i="33"/>
  <c r="C87" i="33"/>
  <c r="G86" i="33"/>
  <c r="E86" i="33"/>
  <c r="D86" i="33"/>
  <c r="C86" i="33"/>
  <c r="G85" i="33"/>
  <c r="E85" i="33"/>
  <c r="D85" i="33"/>
  <c r="C85" i="33"/>
  <c r="G84" i="33"/>
  <c r="E84" i="33"/>
  <c r="D84" i="33"/>
  <c r="C84" i="33"/>
  <c r="G83" i="33"/>
  <c r="E83" i="33"/>
  <c r="D83" i="33"/>
  <c r="C83" i="33"/>
  <c r="G82" i="33"/>
  <c r="E82" i="33"/>
  <c r="D82" i="33"/>
  <c r="C82" i="33"/>
  <c r="G81" i="33"/>
  <c r="E81" i="33"/>
  <c r="D81" i="33"/>
  <c r="C81" i="33"/>
  <c r="G80" i="33"/>
  <c r="E80" i="33"/>
  <c r="D80" i="33"/>
  <c r="C80" i="33"/>
  <c r="G79" i="33"/>
  <c r="E79" i="33"/>
  <c r="D79" i="33"/>
  <c r="C79" i="33"/>
  <c r="G78" i="33"/>
  <c r="E78" i="33"/>
  <c r="D78" i="33"/>
  <c r="C78" i="33"/>
  <c r="G77" i="33"/>
  <c r="E77" i="33"/>
  <c r="D77" i="33"/>
  <c r="C77" i="33"/>
  <c r="G76" i="33"/>
  <c r="E76" i="33"/>
  <c r="D76" i="33"/>
  <c r="C76" i="33"/>
  <c r="G75" i="33"/>
  <c r="E75" i="33"/>
  <c r="D75" i="33"/>
  <c r="C75" i="33"/>
  <c r="G74" i="33"/>
  <c r="E74" i="33"/>
  <c r="D74" i="33"/>
  <c r="C74" i="33"/>
  <c r="G73" i="33"/>
  <c r="E73" i="33"/>
  <c r="D73" i="33"/>
  <c r="C73" i="33"/>
  <c r="G72" i="33"/>
  <c r="E72" i="33"/>
  <c r="D72" i="33"/>
  <c r="C72" i="33"/>
  <c r="G71" i="33"/>
  <c r="E71" i="33"/>
  <c r="D71" i="33"/>
  <c r="C71" i="33"/>
  <c r="G70" i="33"/>
  <c r="E70" i="33"/>
  <c r="D70" i="33"/>
  <c r="C70" i="33"/>
  <c r="G69" i="33"/>
  <c r="E69" i="33"/>
  <c r="D69" i="33"/>
  <c r="C69" i="33"/>
  <c r="G68" i="33"/>
  <c r="E68" i="33"/>
  <c r="D68" i="33"/>
  <c r="C68" i="33"/>
  <c r="G67" i="33"/>
  <c r="E67" i="33"/>
  <c r="D67" i="33"/>
  <c r="C67" i="33"/>
  <c r="G66" i="33"/>
  <c r="E66" i="33"/>
  <c r="D66" i="33"/>
  <c r="C66" i="33"/>
  <c r="G65" i="33"/>
  <c r="E65" i="33"/>
  <c r="D65" i="33"/>
  <c r="C65" i="33"/>
  <c r="G64" i="33"/>
  <c r="E64" i="33"/>
  <c r="D64" i="33"/>
  <c r="C64" i="33"/>
  <c r="G63" i="33"/>
  <c r="E63" i="33"/>
  <c r="D63" i="33"/>
  <c r="C63" i="33"/>
  <c r="G62" i="33"/>
  <c r="E62" i="33"/>
  <c r="D62" i="33"/>
  <c r="C62" i="33"/>
  <c r="G61" i="33"/>
  <c r="E61" i="33"/>
  <c r="D61" i="33"/>
  <c r="C61" i="33"/>
  <c r="G60" i="33"/>
  <c r="E60" i="33"/>
  <c r="D60" i="33"/>
  <c r="C60" i="33"/>
  <c r="G59" i="33"/>
  <c r="D59" i="33"/>
  <c r="C59" i="33"/>
  <c r="G58" i="33"/>
  <c r="E58" i="33"/>
  <c r="D58" i="33"/>
  <c r="C58" i="33"/>
  <c r="G57" i="33"/>
  <c r="E57" i="33"/>
  <c r="D57" i="33"/>
  <c r="C57" i="33"/>
  <c r="G56" i="33"/>
  <c r="E56" i="33"/>
  <c r="D56" i="33"/>
  <c r="C56" i="33"/>
  <c r="G55" i="33"/>
  <c r="E55" i="33"/>
  <c r="D55" i="33"/>
  <c r="C55" i="33"/>
  <c r="G54" i="33"/>
  <c r="E54" i="33"/>
  <c r="D54" i="33"/>
  <c r="C54" i="33"/>
  <c r="G53" i="33"/>
  <c r="E53" i="33"/>
  <c r="D53" i="33"/>
  <c r="C53" i="33"/>
  <c r="G52" i="33"/>
  <c r="E52" i="33"/>
  <c r="D52" i="33"/>
  <c r="C52" i="33"/>
  <c r="G51" i="33"/>
  <c r="E51" i="33"/>
  <c r="D51" i="33"/>
  <c r="C51" i="33"/>
  <c r="G50" i="33"/>
  <c r="E50" i="33"/>
  <c r="D50" i="33"/>
  <c r="C50" i="33"/>
  <c r="G49" i="33"/>
  <c r="E49" i="33"/>
  <c r="D49" i="33"/>
  <c r="C49" i="33"/>
  <c r="G48" i="33"/>
  <c r="E48" i="33"/>
  <c r="D48" i="33"/>
  <c r="C48" i="33"/>
  <c r="G47" i="33"/>
  <c r="E47" i="33"/>
  <c r="D47" i="33"/>
  <c r="C47" i="33"/>
  <c r="G46" i="33"/>
  <c r="E46" i="33"/>
  <c r="D46" i="33"/>
  <c r="C46" i="33"/>
  <c r="G45" i="33"/>
  <c r="E45" i="33"/>
  <c r="D45" i="33"/>
  <c r="C45" i="33"/>
  <c r="G44" i="33"/>
  <c r="E44" i="33"/>
  <c r="D44" i="33"/>
  <c r="C44" i="33"/>
  <c r="G43" i="33"/>
  <c r="E43" i="33"/>
  <c r="D43" i="33"/>
  <c r="C43" i="33"/>
  <c r="G42" i="33"/>
  <c r="E42" i="33"/>
  <c r="D42" i="33"/>
  <c r="C42" i="33"/>
  <c r="G41" i="33"/>
  <c r="E41" i="33"/>
  <c r="D41" i="33"/>
  <c r="C41" i="33"/>
  <c r="G40" i="33"/>
  <c r="E40" i="33"/>
  <c r="D40" i="33"/>
  <c r="C40" i="33"/>
  <c r="G39" i="33"/>
  <c r="E39" i="33"/>
  <c r="D39" i="33"/>
  <c r="C39" i="33"/>
  <c r="G38" i="33"/>
  <c r="E38" i="33"/>
  <c r="D38" i="33"/>
  <c r="C38" i="33"/>
  <c r="G37" i="33"/>
  <c r="E37" i="33"/>
  <c r="D37" i="33"/>
  <c r="C37" i="33"/>
  <c r="G36" i="33"/>
  <c r="E36" i="33"/>
  <c r="D36" i="33"/>
  <c r="C36" i="33"/>
  <c r="G35" i="33"/>
  <c r="E35" i="33"/>
  <c r="D35" i="33"/>
  <c r="C35" i="33"/>
  <c r="G34" i="33"/>
  <c r="E34" i="33"/>
  <c r="D34" i="33"/>
  <c r="C34" i="33"/>
  <c r="G33" i="33"/>
  <c r="E33" i="33"/>
  <c r="D33" i="33"/>
  <c r="C33" i="33"/>
  <c r="G32" i="33"/>
  <c r="E32" i="33"/>
  <c r="D32" i="33"/>
  <c r="C32" i="33"/>
  <c r="G31" i="33"/>
  <c r="E31" i="33"/>
  <c r="D31" i="33"/>
  <c r="C31" i="33"/>
  <c r="G30" i="33"/>
  <c r="E30" i="33"/>
  <c r="D30" i="33"/>
  <c r="C30" i="33"/>
  <c r="G29" i="33"/>
  <c r="E29" i="33"/>
  <c r="D29" i="33"/>
  <c r="C29" i="33"/>
  <c r="G28" i="33"/>
  <c r="E28" i="33"/>
  <c r="D28" i="33"/>
  <c r="C28" i="33"/>
  <c r="G27" i="33"/>
  <c r="E27" i="33"/>
  <c r="D27" i="33"/>
  <c r="C27" i="33"/>
  <c r="G26" i="33"/>
  <c r="E26" i="33"/>
  <c r="D26" i="33"/>
  <c r="C26" i="33"/>
  <c r="G25" i="33"/>
  <c r="E25" i="33"/>
  <c r="D25" i="33"/>
  <c r="C25" i="33"/>
  <c r="G24" i="33"/>
  <c r="E24" i="33"/>
  <c r="D24" i="33"/>
  <c r="C24" i="33"/>
  <c r="G23" i="33"/>
  <c r="E23" i="33"/>
  <c r="D23" i="33"/>
  <c r="C23" i="33"/>
  <c r="G22" i="33"/>
  <c r="E22" i="33"/>
  <c r="D22" i="33"/>
  <c r="C22" i="33"/>
  <c r="G21" i="33"/>
  <c r="E21" i="33"/>
  <c r="D21" i="33"/>
  <c r="C21" i="33"/>
  <c r="G20" i="33"/>
  <c r="E20" i="33"/>
  <c r="D20" i="33"/>
  <c r="C20" i="33"/>
  <c r="G19" i="33"/>
  <c r="E19" i="33"/>
  <c r="D19" i="33"/>
  <c r="C19" i="33"/>
  <c r="G18" i="33"/>
  <c r="E18" i="33"/>
  <c r="D18" i="33"/>
  <c r="C18" i="33"/>
  <c r="G17" i="33"/>
  <c r="E17" i="33"/>
  <c r="D17" i="33"/>
  <c r="C17" i="33"/>
  <c r="G16" i="33"/>
  <c r="E16" i="33"/>
  <c r="D16" i="33"/>
  <c r="C16" i="33"/>
  <c r="G15" i="33"/>
  <c r="E15" i="33"/>
  <c r="D15" i="33"/>
  <c r="C15" i="33"/>
  <c r="G14" i="33"/>
  <c r="E14" i="33"/>
  <c r="D14" i="33"/>
  <c r="C14" i="33"/>
  <c r="G13" i="33"/>
  <c r="E13" i="33"/>
  <c r="D13" i="33"/>
  <c r="C13" i="33"/>
  <c r="G12" i="33"/>
  <c r="E12" i="33"/>
  <c r="D12" i="33"/>
  <c r="C12" i="33"/>
  <c r="G11" i="33"/>
  <c r="E11" i="33"/>
  <c r="D11" i="33"/>
  <c r="C11" i="33"/>
  <c r="G10" i="33"/>
  <c r="E10" i="33"/>
  <c r="D10" i="33"/>
  <c r="C10" i="33"/>
  <c r="G9" i="33"/>
  <c r="E9" i="33"/>
  <c r="D9" i="33"/>
  <c r="C9" i="33"/>
  <c r="G8" i="33"/>
  <c r="E8" i="33"/>
  <c r="D8" i="33"/>
  <c r="C8" i="33"/>
  <c r="G7" i="33"/>
  <c r="E7" i="33"/>
  <c r="D7" i="33"/>
  <c r="C7" i="33"/>
  <c r="G6" i="33"/>
  <c r="E6" i="33"/>
  <c r="D6" i="33"/>
  <c r="C6" i="33"/>
  <c r="G5" i="33"/>
  <c r="E5" i="33"/>
  <c r="D5" i="33"/>
  <c r="C5" i="33"/>
  <c r="G4" i="33"/>
  <c r="E4" i="33"/>
  <c r="D4" i="33"/>
  <c r="C4" i="33"/>
  <c r="G3" i="33"/>
  <c r="E3" i="33"/>
  <c r="D3" i="33"/>
  <c r="C3" i="33"/>
  <c r="I22" i="31"/>
  <c r="I20" i="31"/>
  <c r="G27" i="31"/>
  <c r="G26" i="31"/>
  <c r="G25" i="31"/>
  <c r="G28" i="31"/>
  <c r="G29" i="31"/>
  <c r="I19" i="31"/>
  <c r="I21" i="31"/>
  <c r="I23" i="31"/>
  <c r="I24" i="31"/>
  <c r="I25" i="31"/>
  <c r="I26" i="31"/>
  <c r="I27" i="31"/>
  <c r="I28" i="31"/>
  <c r="I29" i="31"/>
  <c r="I30" i="31"/>
  <c r="I31" i="31"/>
  <c r="I32" i="31"/>
  <c r="I18" i="31"/>
  <c r="C25" i="31"/>
  <c r="D25" i="31"/>
  <c r="E25" i="31"/>
  <c r="C26" i="31"/>
  <c r="D26" i="31"/>
  <c r="E26" i="31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31" i="27"/>
  <c r="E130" i="27"/>
  <c r="E129" i="27"/>
  <c r="E128" i="27"/>
  <c r="E127" i="27"/>
  <c r="E126" i="27"/>
  <c r="E125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34" i="27"/>
  <c r="D133" i="27"/>
  <c r="D132" i="27"/>
  <c r="D131" i="27"/>
  <c r="D130" i="27"/>
  <c r="D129" i="27"/>
  <c r="D128" i="27"/>
  <c r="D127" i="27"/>
  <c r="D126" i="27"/>
  <c r="D125" i="27"/>
  <c r="D124" i="27"/>
  <c r="D123" i="27"/>
  <c r="D122" i="27"/>
  <c r="D121" i="27"/>
  <c r="D120" i="27"/>
  <c r="D119" i="27"/>
  <c r="D118" i="27"/>
  <c r="D117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72" i="27"/>
  <c r="D171" i="27"/>
  <c r="D170" i="27"/>
  <c r="D169" i="27"/>
  <c r="D168" i="27"/>
  <c r="D167" i="27"/>
  <c r="D166" i="27"/>
  <c r="D165" i="27"/>
  <c r="D164" i="27"/>
  <c r="D163" i="27"/>
  <c r="D162" i="27"/>
  <c r="D161" i="27"/>
  <c r="D160" i="27"/>
  <c r="D159" i="27"/>
  <c r="D158" i="27"/>
  <c r="D157" i="27"/>
  <c r="D156" i="27"/>
  <c r="D181" i="27"/>
  <c r="D180" i="27"/>
  <c r="D179" i="27"/>
  <c r="D178" i="27"/>
  <c r="D177" i="27"/>
  <c r="D176" i="27"/>
  <c r="D175" i="27"/>
  <c r="D174" i="27"/>
  <c r="D173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2" i="27"/>
  <c r="G162" i="27"/>
  <c r="C162" i="27"/>
  <c r="G152" i="27"/>
  <c r="C152" i="27"/>
  <c r="C153" i="27"/>
  <c r="G146" i="27"/>
  <c r="C146" i="27"/>
  <c r="C147" i="27"/>
  <c r="C125" i="27"/>
  <c r="G546" i="27" l="1"/>
  <c r="G547" i="27"/>
  <c r="G548" i="27"/>
  <c r="C516" i="27"/>
  <c r="D516" i="27"/>
  <c r="E516" i="27"/>
  <c r="G516" i="27"/>
  <c r="C517" i="27"/>
  <c r="D517" i="27"/>
  <c r="E517" i="27"/>
  <c r="G517" i="27"/>
  <c r="C518" i="27"/>
  <c r="D518" i="27"/>
  <c r="E518" i="27"/>
  <c r="G518" i="27"/>
  <c r="C519" i="27"/>
  <c r="D519" i="27"/>
  <c r="E519" i="27"/>
  <c r="G519" i="27"/>
  <c r="C520" i="27"/>
  <c r="D520" i="27"/>
  <c r="E520" i="27"/>
  <c r="G520" i="27"/>
  <c r="C521" i="27"/>
  <c r="D521" i="27"/>
  <c r="E521" i="27"/>
  <c r="G521" i="27"/>
  <c r="C523" i="27"/>
  <c r="D523" i="27"/>
  <c r="E523" i="27"/>
  <c r="G523" i="27"/>
  <c r="C524" i="27"/>
  <c r="D524" i="27"/>
  <c r="E524" i="27"/>
  <c r="G524" i="27"/>
  <c r="C525" i="27"/>
  <c r="D525" i="27"/>
  <c r="E525" i="27"/>
  <c r="G525" i="27"/>
  <c r="C526" i="27"/>
  <c r="D526" i="27"/>
  <c r="E526" i="27"/>
  <c r="G526" i="27"/>
  <c r="C527" i="27"/>
  <c r="D527" i="27"/>
  <c r="E527" i="27"/>
  <c r="G527" i="27"/>
  <c r="C528" i="27"/>
  <c r="D528" i="27"/>
  <c r="E528" i="27"/>
  <c r="G528" i="27"/>
  <c r="C529" i="27"/>
  <c r="D529" i="27"/>
  <c r="E529" i="27"/>
  <c r="G529" i="27"/>
  <c r="C530" i="27"/>
  <c r="D530" i="27"/>
  <c r="E530" i="27"/>
  <c r="G530" i="27"/>
  <c r="C531" i="27"/>
  <c r="D531" i="27"/>
  <c r="E531" i="27"/>
  <c r="G531" i="27"/>
  <c r="C532" i="27"/>
  <c r="D532" i="27"/>
  <c r="E532" i="27"/>
  <c r="G532" i="27"/>
  <c r="C533" i="27"/>
  <c r="D533" i="27"/>
  <c r="E533" i="27"/>
  <c r="G533" i="27"/>
  <c r="C534" i="27"/>
  <c r="D534" i="27"/>
  <c r="E534" i="27"/>
  <c r="G534" i="27"/>
  <c r="C535" i="27"/>
  <c r="D535" i="27"/>
  <c r="E535" i="27"/>
  <c r="G535" i="27"/>
  <c r="C536" i="27"/>
  <c r="D536" i="27"/>
  <c r="E536" i="27"/>
  <c r="G536" i="27"/>
  <c r="G537" i="27"/>
  <c r="G538" i="27"/>
  <c r="G539" i="27"/>
  <c r="G540" i="27"/>
  <c r="G541" i="27"/>
  <c r="G542" i="27"/>
  <c r="G543" i="27"/>
  <c r="G544" i="27"/>
  <c r="G545" i="27"/>
  <c r="G332" i="27"/>
  <c r="C332" i="27"/>
  <c r="D332" i="27"/>
  <c r="E332" i="27"/>
  <c r="G294" i="27"/>
  <c r="G272" i="27"/>
  <c r="C272" i="27"/>
  <c r="D272" i="27"/>
  <c r="E272" i="27"/>
  <c r="G263" i="27"/>
  <c r="C263" i="27"/>
  <c r="D263" i="27"/>
  <c r="E263" i="27"/>
  <c r="O18" i="27"/>
  <c r="G493" i="27"/>
  <c r="G494" i="27"/>
  <c r="C482" i="27"/>
  <c r="D482" i="27"/>
  <c r="E482" i="27"/>
  <c r="C483" i="27"/>
  <c r="D483" i="27"/>
  <c r="E483" i="27"/>
  <c r="C484" i="27"/>
  <c r="D484" i="27"/>
  <c r="E484" i="27"/>
  <c r="C485" i="27"/>
  <c r="D485" i="27"/>
  <c r="E485" i="27"/>
  <c r="C486" i="27"/>
  <c r="D486" i="27"/>
  <c r="E486" i="27"/>
  <c r="C487" i="27"/>
  <c r="D487" i="27"/>
  <c r="E487" i="27"/>
  <c r="C488" i="27"/>
  <c r="D488" i="27"/>
  <c r="E488" i="27"/>
  <c r="C489" i="27"/>
  <c r="D489" i="27"/>
  <c r="E489" i="27"/>
  <c r="C490" i="27"/>
  <c r="D490" i="27"/>
  <c r="E490" i="27"/>
  <c r="C491" i="27"/>
  <c r="D491" i="27"/>
  <c r="E491" i="27"/>
  <c r="C492" i="27"/>
  <c r="D492" i="27"/>
  <c r="E492" i="27"/>
  <c r="C493" i="27"/>
  <c r="D493" i="27"/>
  <c r="E493" i="27"/>
  <c r="C494" i="27"/>
  <c r="D494" i="27"/>
  <c r="E494" i="27"/>
  <c r="C495" i="27"/>
  <c r="D495" i="27"/>
  <c r="E495" i="27"/>
  <c r="C496" i="27"/>
  <c r="D496" i="27"/>
  <c r="E496" i="27"/>
  <c r="C497" i="27"/>
  <c r="D497" i="27"/>
  <c r="E497" i="27"/>
  <c r="C498" i="27"/>
  <c r="D498" i="27"/>
  <c r="E498" i="27"/>
  <c r="C499" i="27"/>
  <c r="D499" i="27"/>
  <c r="E499" i="27"/>
  <c r="C500" i="27"/>
  <c r="D500" i="27"/>
  <c r="E500" i="27"/>
  <c r="C501" i="27"/>
  <c r="D501" i="27"/>
  <c r="E501" i="27"/>
  <c r="C502" i="27"/>
  <c r="D502" i="27"/>
  <c r="E502" i="27"/>
  <c r="C503" i="27"/>
  <c r="D503" i="27"/>
  <c r="E503" i="27"/>
  <c r="C504" i="27"/>
  <c r="D504" i="27"/>
  <c r="E504" i="27"/>
  <c r="C505" i="27"/>
  <c r="D505" i="27"/>
  <c r="E505" i="27"/>
  <c r="C506" i="27"/>
  <c r="D506" i="27"/>
  <c r="E506" i="27"/>
  <c r="C507" i="27"/>
  <c r="D507" i="27"/>
  <c r="E507" i="27"/>
  <c r="C508" i="27"/>
  <c r="D508" i="27"/>
  <c r="E508" i="27"/>
  <c r="C509" i="27"/>
  <c r="D509" i="27"/>
  <c r="E509" i="27"/>
  <c r="C510" i="27"/>
  <c r="D510" i="27"/>
  <c r="E510" i="27"/>
  <c r="C511" i="27"/>
  <c r="D511" i="27"/>
  <c r="E511" i="27"/>
  <c r="C512" i="27"/>
  <c r="D512" i="27"/>
  <c r="E512" i="27"/>
  <c r="C513" i="27"/>
  <c r="D513" i="27"/>
  <c r="E513" i="27"/>
  <c r="C514" i="27"/>
  <c r="D514" i="27"/>
  <c r="E514" i="27"/>
  <c r="C515" i="27"/>
  <c r="D515" i="27"/>
  <c r="E515" i="27"/>
  <c r="G485" i="27"/>
  <c r="G486" i="27"/>
  <c r="G487" i="27"/>
  <c r="G488" i="27"/>
  <c r="G489" i="27"/>
  <c r="G490" i="27"/>
  <c r="G491" i="27"/>
  <c r="G492" i="27"/>
  <c r="G495" i="27"/>
  <c r="G496" i="27"/>
  <c r="G497" i="27"/>
  <c r="G498" i="27"/>
  <c r="G499" i="27"/>
  <c r="G500" i="27"/>
  <c r="G501" i="27"/>
  <c r="G502" i="27"/>
  <c r="G503" i="27"/>
  <c r="G504" i="27"/>
  <c r="G505" i="27"/>
  <c r="G506" i="27"/>
  <c r="G507" i="27"/>
  <c r="G508" i="27"/>
  <c r="G509" i="27"/>
  <c r="G510" i="27"/>
  <c r="G511" i="27"/>
  <c r="G512" i="27"/>
  <c r="G513" i="27"/>
  <c r="G514" i="27"/>
  <c r="G515" i="27"/>
  <c r="C475" i="27" l="1"/>
  <c r="D475" i="27"/>
  <c r="E475" i="27"/>
  <c r="G475" i="27"/>
  <c r="C476" i="27"/>
  <c r="D476" i="27"/>
  <c r="E476" i="27"/>
  <c r="G476" i="27"/>
  <c r="C477" i="27"/>
  <c r="D477" i="27"/>
  <c r="E477" i="27"/>
  <c r="G477" i="27"/>
  <c r="C478" i="27"/>
  <c r="D478" i="27"/>
  <c r="E478" i="27"/>
  <c r="G478" i="27"/>
  <c r="C479" i="27"/>
  <c r="D479" i="27"/>
  <c r="E479" i="27"/>
  <c r="G479" i="27"/>
  <c r="C480" i="27"/>
  <c r="D480" i="27"/>
  <c r="E480" i="27"/>
  <c r="G480" i="27"/>
  <c r="C481" i="27"/>
  <c r="D481" i="27"/>
  <c r="E481" i="27"/>
  <c r="G481" i="27"/>
  <c r="G482" i="27"/>
  <c r="G483" i="27"/>
  <c r="G484" i="27"/>
  <c r="C469" i="27" l="1"/>
  <c r="D469" i="27"/>
  <c r="E469" i="27"/>
  <c r="G469" i="27"/>
  <c r="C470" i="27"/>
  <c r="D470" i="27"/>
  <c r="E470" i="27"/>
  <c r="G470" i="27"/>
  <c r="C471" i="27"/>
  <c r="D471" i="27"/>
  <c r="E471" i="27"/>
  <c r="G471" i="27"/>
  <c r="C472" i="27"/>
  <c r="D472" i="27"/>
  <c r="E472" i="27"/>
  <c r="G472" i="27"/>
  <c r="C473" i="27"/>
  <c r="D473" i="27"/>
  <c r="E473" i="27"/>
  <c r="G473" i="27"/>
  <c r="C474" i="27"/>
  <c r="D474" i="27"/>
  <c r="E474" i="27"/>
  <c r="G474" i="27"/>
  <c r="C463" i="27"/>
  <c r="D463" i="27"/>
  <c r="E463" i="27"/>
  <c r="G463" i="27"/>
  <c r="C464" i="27"/>
  <c r="D464" i="27"/>
  <c r="E464" i="27"/>
  <c r="G464" i="27"/>
  <c r="C465" i="27"/>
  <c r="D465" i="27"/>
  <c r="E465" i="27"/>
  <c r="G465" i="27"/>
  <c r="C466" i="27"/>
  <c r="D466" i="27"/>
  <c r="E466" i="27"/>
  <c r="G466" i="27"/>
  <c r="C467" i="27"/>
  <c r="D467" i="27"/>
  <c r="E467" i="27"/>
  <c r="G467" i="27"/>
  <c r="C468" i="27"/>
  <c r="D468" i="27"/>
  <c r="E468" i="27"/>
  <c r="G468" i="27"/>
  <c r="C430" i="27"/>
  <c r="D430" i="27"/>
  <c r="E430" i="27"/>
  <c r="G430" i="27"/>
  <c r="C431" i="27"/>
  <c r="D431" i="27"/>
  <c r="E431" i="27"/>
  <c r="G431" i="27"/>
  <c r="C432" i="27"/>
  <c r="D432" i="27"/>
  <c r="E432" i="27"/>
  <c r="G432" i="27"/>
  <c r="C433" i="27"/>
  <c r="D433" i="27"/>
  <c r="E433" i="27"/>
  <c r="G433" i="27"/>
  <c r="C434" i="27"/>
  <c r="D434" i="27"/>
  <c r="E434" i="27"/>
  <c r="G434" i="27"/>
  <c r="C435" i="27"/>
  <c r="D435" i="27"/>
  <c r="E435" i="27"/>
  <c r="G435" i="27"/>
  <c r="C436" i="27"/>
  <c r="D436" i="27"/>
  <c r="E436" i="27"/>
  <c r="G436" i="27"/>
  <c r="C437" i="27"/>
  <c r="D437" i="27"/>
  <c r="E437" i="27"/>
  <c r="G437" i="27"/>
  <c r="C438" i="27"/>
  <c r="D438" i="27"/>
  <c r="E438" i="27"/>
  <c r="G438" i="27"/>
  <c r="C439" i="27"/>
  <c r="D439" i="27"/>
  <c r="E439" i="27"/>
  <c r="G439" i="27"/>
  <c r="C440" i="27"/>
  <c r="D440" i="27"/>
  <c r="E440" i="27"/>
  <c r="G440" i="27"/>
  <c r="C441" i="27"/>
  <c r="D441" i="27"/>
  <c r="E441" i="27"/>
  <c r="G441" i="27"/>
  <c r="C442" i="27"/>
  <c r="D442" i="27"/>
  <c r="E442" i="27"/>
  <c r="G442" i="27"/>
  <c r="C443" i="27"/>
  <c r="D443" i="27"/>
  <c r="E443" i="27"/>
  <c r="G443" i="27"/>
  <c r="C444" i="27"/>
  <c r="D444" i="27"/>
  <c r="E444" i="27"/>
  <c r="G444" i="27"/>
  <c r="C445" i="27"/>
  <c r="D445" i="27"/>
  <c r="E445" i="27"/>
  <c r="G445" i="27"/>
  <c r="C446" i="27"/>
  <c r="D446" i="27"/>
  <c r="E446" i="27"/>
  <c r="G446" i="27"/>
  <c r="C447" i="27"/>
  <c r="D447" i="27"/>
  <c r="E447" i="27"/>
  <c r="G447" i="27"/>
  <c r="C448" i="27"/>
  <c r="D448" i="27"/>
  <c r="E448" i="27"/>
  <c r="G448" i="27"/>
  <c r="C449" i="27"/>
  <c r="D449" i="27"/>
  <c r="E449" i="27"/>
  <c r="G449" i="27"/>
  <c r="C450" i="27"/>
  <c r="D450" i="27"/>
  <c r="E450" i="27"/>
  <c r="G450" i="27"/>
  <c r="C451" i="27"/>
  <c r="D451" i="27"/>
  <c r="E451" i="27"/>
  <c r="G451" i="27"/>
  <c r="C452" i="27"/>
  <c r="D452" i="27"/>
  <c r="E452" i="27"/>
  <c r="G452" i="27"/>
  <c r="C453" i="27"/>
  <c r="D453" i="27"/>
  <c r="E453" i="27"/>
  <c r="G453" i="27"/>
  <c r="C454" i="27"/>
  <c r="D454" i="27"/>
  <c r="E454" i="27"/>
  <c r="G454" i="27"/>
  <c r="C455" i="27"/>
  <c r="D455" i="27"/>
  <c r="E455" i="27"/>
  <c r="G455" i="27"/>
  <c r="C456" i="27"/>
  <c r="D456" i="27"/>
  <c r="E456" i="27"/>
  <c r="G456" i="27"/>
  <c r="C457" i="27"/>
  <c r="D457" i="27"/>
  <c r="E457" i="27"/>
  <c r="G457" i="27"/>
  <c r="C458" i="27"/>
  <c r="D458" i="27"/>
  <c r="E458" i="27"/>
  <c r="G458" i="27"/>
  <c r="C459" i="27"/>
  <c r="D459" i="27"/>
  <c r="E459" i="27"/>
  <c r="G459" i="27"/>
  <c r="C460" i="27"/>
  <c r="D460" i="27"/>
  <c r="E460" i="27"/>
  <c r="G460" i="27"/>
  <c r="C461" i="27"/>
  <c r="D461" i="27"/>
  <c r="E461" i="27"/>
  <c r="G461" i="27"/>
  <c r="C462" i="27"/>
  <c r="D462" i="27"/>
  <c r="E462" i="27"/>
  <c r="G462" i="27"/>
  <c r="C156" i="27" l="1"/>
  <c r="G156" i="27"/>
  <c r="A302" i="34" l="1"/>
  <c r="A303" i="34"/>
  <c r="A304" i="34"/>
  <c r="A305" i="34"/>
  <c r="A306" i="34"/>
  <c r="A307" i="34"/>
  <c r="C301" i="34"/>
  <c r="C302" i="34"/>
  <c r="C303" i="34"/>
  <c r="C304" i="34"/>
  <c r="C305" i="34"/>
  <c r="C306" i="34"/>
  <c r="C307" i="34"/>
  <c r="A301" i="34"/>
  <c r="C3" i="34"/>
  <c r="D3" i="35" s="1"/>
  <c r="C4" i="34"/>
  <c r="D4" i="35" s="1"/>
  <c r="C5" i="34"/>
  <c r="D6" i="35" s="1"/>
  <c r="C6" i="34"/>
  <c r="D7" i="35" s="1"/>
  <c r="C7" i="34"/>
  <c r="D8" i="35" s="1"/>
  <c r="C8" i="34"/>
  <c r="D9" i="35" s="1"/>
  <c r="C9" i="34"/>
  <c r="D10" i="35" s="1"/>
  <c r="C10" i="34"/>
  <c r="D11" i="35" s="1"/>
  <c r="C11" i="34"/>
  <c r="D12" i="35" s="1"/>
  <c r="C12" i="34"/>
  <c r="D13" i="35" s="1"/>
  <c r="C13" i="34"/>
  <c r="D14" i="35" s="1"/>
  <c r="C14" i="34"/>
  <c r="D15" i="35" s="1"/>
  <c r="C15" i="34"/>
  <c r="D16" i="35" s="1"/>
  <c r="C16" i="34"/>
  <c r="D17" i="35" s="1"/>
  <c r="C17" i="34"/>
  <c r="D18" i="35" s="1"/>
  <c r="C18" i="34"/>
  <c r="D19" i="35" s="1"/>
  <c r="C19" i="34"/>
  <c r="D20" i="35" s="1"/>
  <c r="C20" i="34"/>
  <c r="D21" i="35" s="1"/>
  <c r="C21" i="34"/>
  <c r="D22" i="35" s="1"/>
  <c r="C22" i="34"/>
  <c r="D23" i="35" s="1"/>
  <c r="C23" i="34"/>
  <c r="D24" i="35" s="1"/>
  <c r="C24" i="34"/>
  <c r="D25" i="35" s="1"/>
  <c r="C25" i="34"/>
  <c r="D26" i="35" s="1"/>
  <c r="C26" i="34"/>
  <c r="D27" i="35" s="1"/>
  <c r="C27" i="34"/>
  <c r="D28" i="35" s="1"/>
  <c r="C28" i="34"/>
  <c r="D29" i="35" s="1"/>
  <c r="C29" i="34"/>
  <c r="D30" i="35" s="1"/>
  <c r="C30" i="34"/>
  <c r="D32" i="35" s="1"/>
  <c r="C31" i="34"/>
  <c r="D33" i="35" s="1"/>
  <c r="C32" i="34"/>
  <c r="D34" i="35" s="1"/>
  <c r="C33" i="34"/>
  <c r="D35" i="35" s="1"/>
  <c r="C34" i="34"/>
  <c r="D36" i="35" s="1"/>
  <c r="C35" i="34"/>
  <c r="C36" i="34"/>
  <c r="D37" i="35" s="1"/>
  <c r="C37" i="34"/>
  <c r="C38" i="34"/>
  <c r="D38" i="35" s="1"/>
  <c r="C39" i="34"/>
  <c r="D39" i="35" s="1"/>
  <c r="C40" i="34"/>
  <c r="D40" i="35" s="1"/>
  <c r="C41" i="34"/>
  <c r="D41" i="35" s="1"/>
  <c r="C42" i="34"/>
  <c r="D42" i="35" s="1"/>
  <c r="C43" i="34"/>
  <c r="D43" i="35" s="1"/>
  <c r="C44" i="34"/>
  <c r="D44" i="35" s="1"/>
  <c r="C45" i="34"/>
  <c r="D45" i="35" s="1"/>
  <c r="C46" i="34"/>
  <c r="D46" i="35" s="1"/>
  <c r="C47" i="34"/>
  <c r="D47" i="35" s="1"/>
  <c r="C48" i="34"/>
  <c r="D48" i="35" s="1"/>
  <c r="C49" i="34"/>
  <c r="D49" i="35" s="1"/>
  <c r="C50" i="34"/>
  <c r="D50" i="35" s="1"/>
  <c r="C51" i="34"/>
  <c r="D51" i="35" s="1"/>
  <c r="C52" i="34"/>
  <c r="D52" i="35" s="1"/>
  <c r="C53" i="34"/>
  <c r="D53" i="35" s="1"/>
  <c r="C54" i="34"/>
  <c r="D54" i="35" s="1"/>
  <c r="C55" i="34"/>
  <c r="D55" i="35" s="1"/>
  <c r="C56" i="34"/>
  <c r="D56" i="35" s="1"/>
  <c r="C57" i="34"/>
  <c r="D57" i="35" s="1"/>
  <c r="C58" i="34"/>
  <c r="D58" i="35" s="1"/>
  <c r="C59" i="34"/>
  <c r="D59" i="35" s="1"/>
  <c r="C60" i="34"/>
  <c r="D60" i="35" s="1"/>
  <c r="C61" i="34"/>
  <c r="D61" i="35" s="1"/>
  <c r="C62" i="34"/>
  <c r="D62" i="35" s="1"/>
  <c r="C63" i="34"/>
  <c r="D63" i="35" s="1"/>
  <c r="C64" i="34"/>
  <c r="D64" i="35" s="1"/>
  <c r="C65" i="34"/>
  <c r="D65" i="35" s="1"/>
  <c r="C66" i="34"/>
  <c r="D66" i="35" s="1"/>
  <c r="C67" i="34"/>
  <c r="D67" i="35" s="1"/>
  <c r="C68" i="34"/>
  <c r="D68" i="35" s="1"/>
  <c r="C69" i="34"/>
  <c r="D69" i="35" s="1"/>
  <c r="C70" i="34"/>
  <c r="D70" i="35" s="1"/>
  <c r="C71" i="34"/>
  <c r="D71" i="35" s="1"/>
  <c r="C72" i="34"/>
  <c r="D72" i="35" s="1"/>
  <c r="C73" i="34"/>
  <c r="D73" i="35" s="1"/>
  <c r="C74" i="34"/>
  <c r="D74" i="35" s="1"/>
  <c r="C75" i="34"/>
  <c r="D75" i="35" s="1"/>
  <c r="C76" i="34"/>
  <c r="C77" i="34"/>
  <c r="D76" i="35" s="1"/>
  <c r="C78" i="34"/>
  <c r="D77" i="35" s="1"/>
  <c r="C79" i="34"/>
  <c r="D78" i="35" s="1"/>
  <c r="C80" i="34"/>
  <c r="D79" i="35" s="1"/>
  <c r="C81" i="34"/>
  <c r="D80" i="35" s="1"/>
  <c r="C82" i="34"/>
  <c r="D81" i="35" s="1"/>
  <c r="C83" i="34"/>
  <c r="D82" i="35" s="1"/>
  <c r="C84" i="34"/>
  <c r="D83" i="35" s="1"/>
  <c r="C85" i="34"/>
  <c r="D84" i="35" s="1"/>
  <c r="C86" i="34"/>
  <c r="D85" i="35" s="1"/>
  <c r="C87" i="34"/>
  <c r="D86" i="35" s="1"/>
  <c r="C88" i="34"/>
  <c r="D87" i="35" s="1"/>
  <c r="C89" i="34"/>
  <c r="D88" i="35" s="1"/>
  <c r="C90" i="34"/>
  <c r="D89" i="35" s="1"/>
  <c r="C91" i="34"/>
  <c r="D90" i="35" s="1"/>
  <c r="C92" i="34"/>
  <c r="D91" i="35" s="1"/>
  <c r="C93" i="34"/>
  <c r="D92" i="35" s="1"/>
  <c r="C94" i="34"/>
  <c r="D93" i="35" s="1"/>
  <c r="C95" i="34"/>
  <c r="D94" i="35" s="1"/>
  <c r="C96" i="34"/>
  <c r="D95" i="35" s="1"/>
  <c r="C97" i="34"/>
  <c r="D96" i="35" s="1"/>
  <c r="C98" i="34"/>
  <c r="D97" i="35" s="1"/>
  <c r="C99" i="34"/>
  <c r="D98" i="35" s="1"/>
  <c r="C100" i="34"/>
  <c r="D99" i="35" s="1"/>
  <c r="C101" i="34"/>
  <c r="D100" i="35" s="1"/>
  <c r="C102" i="34"/>
  <c r="D101" i="35" s="1"/>
  <c r="C103" i="34"/>
  <c r="D102" i="35" s="1"/>
  <c r="C104" i="34"/>
  <c r="D103" i="35" s="1"/>
  <c r="C105" i="34"/>
  <c r="D104" i="35" s="1"/>
  <c r="C106" i="34"/>
  <c r="D105" i="35" s="1"/>
  <c r="C107" i="34"/>
  <c r="D106" i="35" s="1"/>
  <c r="C108" i="34"/>
  <c r="D107" i="35" s="1"/>
  <c r="C109" i="34"/>
  <c r="D108" i="35" s="1"/>
  <c r="C110" i="34"/>
  <c r="D109" i="35" s="1"/>
  <c r="C111" i="34"/>
  <c r="D110" i="35" s="1"/>
  <c r="C112" i="34"/>
  <c r="D111" i="35" s="1"/>
  <c r="C113" i="34"/>
  <c r="D112" i="35" s="1"/>
  <c r="C114" i="34"/>
  <c r="D113" i="35" s="1"/>
  <c r="C115" i="34"/>
  <c r="D114" i="35" s="1"/>
  <c r="C116" i="34"/>
  <c r="D115" i="35" s="1"/>
  <c r="C117" i="34"/>
  <c r="D116" i="35" s="1"/>
  <c r="C118" i="34"/>
  <c r="D117" i="35" s="1"/>
  <c r="C119" i="34"/>
  <c r="D118" i="35" s="1"/>
  <c r="C120" i="34"/>
  <c r="D119" i="35" s="1"/>
  <c r="C121" i="34"/>
  <c r="D120" i="35" s="1"/>
  <c r="C122" i="34"/>
  <c r="D121" i="35" s="1"/>
  <c r="C123" i="34"/>
  <c r="D122" i="35" s="1"/>
  <c r="C124" i="34"/>
  <c r="D123" i="35" s="1"/>
  <c r="C125" i="34"/>
  <c r="D124" i="35" s="1"/>
  <c r="C126" i="34"/>
  <c r="D125" i="35" s="1"/>
  <c r="C127" i="34"/>
  <c r="D126" i="35" s="1"/>
  <c r="C128" i="34"/>
  <c r="D127" i="35" s="1"/>
  <c r="C129" i="34"/>
  <c r="D128" i="35" s="1"/>
  <c r="C130" i="34"/>
  <c r="D129" i="35" s="1"/>
  <c r="C131" i="34"/>
  <c r="D130" i="35" s="1"/>
  <c r="C132" i="34"/>
  <c r="D131" i="35" s="1"/>
  <c r="C133" i="34"/>
  <c r="D132" i="35" s="1"/>
  <c r="C134" i="34"/>
  <c r="D133" i="35" s="1"/>
  <c r="C135" i="34"/>
  <c r="D134" i="35" s="1"/>
  <c r="C136" i="34"/>
  <c r="D135" i="35" s="1"/>
  <c r="C137" i="34"/>
  <c r="D136" i="35" s="1"/>
  <c r="C138" i="34"/>
  <c r="D137" i="35" s="1"/>
  <c r="C139" i="34"/>
  <c r="D138" i="35" s="1"/>
  <c r="C140" i="34"/>
  <c r="D139" i="35" s="1"/>
  <c r="C141" i="34"/>
  <c r="D140" i="35" s="1"/>
  <c r="C142" i="34"/>
  <c r="D141" i="35" s="1"/>
  <c r="C143" i="34"/>
  <c r="D142" i="35" s="1"/>
  <c r="C144" i="34"/>
  <c r="D143" i="35" s="1"/>
  <c r="C145" i="34"/>
  <c r="D144" i="35" s="1"/>
  <c r="C146" i="34"/>
  <c r="D145" i="35" s="1"/>
  <c r="C147" i="34"/>
  <c r="D146" i="35" s="1"/>
  <c r="C148" i="34"/>
  <c r="D147" i="35" s="1"/>
  <c r="C149" i="34"/>
  <c r="D148" i="35" s="1"/>
  <c r="C150" i="34"/>
  <c r="D149" i="35" s="1"/>
  <c r="C151" i="34"/>
  <c r="D150" i="35" s="1"/>
  <c r="C152" i="34"/>
  <c r="D151" i="35" s="1"/>
  <c r="C153" i="34"/>
  <c r="D152" i="35" s="1"/>
  <c r="C154" i="34"/>
  <c r="D153" i="35" s="1"/>
  <c r="C155" i="34"/>
  <c r="D154" i="35" s="1"/>
  <c r="C156" i="34"/>
  <c r="D156" i="35" s="1"/>
  <c r="C157" i="34"/>
  <c r="D157" i="35" s="1"/>
  <c r="C158" i="34"/>
  <c r="D158" i="35" s="1"/>
  <c r="C159" i="34"/>
  <c r="D159" i="35" s="1"/>
  <c r="C160" i="34"/>
  <c r="D160" i="35" s="1"/>
  <c r="C161" i="34"/>
  <c r="D161" i="35" s="1"/>
  <c r="C162" i="34"/>
  <c r="D162" i="35" s="1"/>
  <c r="C163" i="34"/>
  <c r="D163" i="35" s="1"/>
  <c r="C164" i="34"/>
  <c r="D164" i="35" s="1"/>
  <c r="C165" i="34"/>
  <c r="D165" i="35" s="1"/>
  <c r="C166" i="34"/>
  <c r="D166" i="35" s="1"/>
  <c r="C167" i="34"/>
  <c r="D167" i="35" s="1"/>
  <c r="C168" i="34"/>
  <c r="D168" i="35" s="1"/>
  <c r="C169" i="34"/>
  <c r="D169" i="35" s="1"/>
  <c r="C170" i="34"/>
  <c r="D170" i="35" s="1"/>
  <c r="C171" i="34"/>
  <c r="D172" i="35" s="1"/>
  <c r="C172" i="34"/>
  <c r="D173" i="35" s="1"/>
  <c r="C173" i="34"/>
  <c r="D174" i="35" s="1"/>
  <c r="C174" i="34"/>
  <c r="D175" i="35" s="1"/>
  <c r="C176" i="34"/>
  <c r="D177" i="35" s="1"/>
  <c r="C177" i="34"/>
  <c r="D178" i="35" s="1"/>
  <c r="C179" i="34"/>
  <c r="D180" i="35" s="1"/>
  <c r="C180" i="34"/>
  <c r="D181" i="35" s="1"/>
  <c r="C181" i="34"/>
  <c r="D182" i="35" s="1"/>
  <c r="C183" i="34"/>
  <c r="D185" i="35" s="1"/>
  <c r="C184" i="34"/>
  <c r="D186" i="35" s="1"/>
  <c r="C185" i="34"/>
  <c r="D187" i="35" s="1"/>
  <c r="C186" i="34"/>
  <c r="D188" i="35" s="1"/>
  <c r="C187" i="34"/>
  <c r="D189" i="35" s="1"/>
  <c r="C188" i="34"/>
  <c r="D190" i="35" s="1"/>
  <c r="C189" i="34"/>
  <c r="D191" i="35" s="1"/>
  <c r="C190" i="34"/>
  <c r="D192" i="35" s="1"/>
  <c r="C191" i="34"/>
  <c r="D193" i="35" s="1"/>
  <c r="C192" i="34"/>
  <c r="D194" i="35" s="1"/>
  <c r="C193" i="34"/>
  <c r="C194" i="34"/>
  <c r="D195" i="35" s="1"/>
  <c r="C195" i="34"/>
  <c r="D196" i="35" s="1"/>
  <c r="C196" i="34"/>
  <c r="D197" i="35" s="1"/>
  <c r="C197" i="34"/>
  <c r="D198" i="35" s="1"/>
  <c r="C198" i="34"/>
  <c r="D199" i="35" s="1"/>
  <c r="C199" i="34"/>
  <c r="D200" i="35" s="1"/>
  <c r="C200" i="34"/>
  <c r="D201" i="35" s="1"/>
  <c r="C201" i="34"/>
  <c r="D202" i="35" s="1"/>
  <c r="C202" i="34"/>
  <c r="D203" i="35" s="1"/>
  <c r="C203" i="34"/>
  <c r="D204" i="35" s="1"/>
  <c r="C204" i="34"/>
  <c r="D205" i="35" s="1"/>
  <c r="C205" i="34"/>
  <c r="D206" i="35" s="1"/>
  <c r="C206" i="34"/>
  <c r="D207" i="35" s="1"/>
  <c r="C207" i="34"/>
  <c r="D208" i="35" s="1"/>
  <c r="C208" i="34"/>
  <c r="D209" i="35" s="1"/>
  <c r="C209" i="34"/>
  <c r="D210" i="35" s="1"/>
  <c r="C210" i="34"/>
  <c r="D211" i="35" s="1"/>
  <c r="C211" i="34"/>
  <c r="D212" i="35" s="1"/>
  <c r="C212" i="34"/>
  <c r="D213" i="35" s="1"/>
  <c r="C213" i="34"/>
  <c r="D214" i="35" s="1"/>
  <c r="C214" i="34"/>
  <c r="D215" i="35" s="1"/>
  <c r="C215" i="34"/>
  <c r="C216" i="34"/>
  <c r="D216" i="35" s="1"/>
  <c r="C217" i="34"/>
  <c r="D217" i="35" s="1"/>
  <c r="C218" i="34"/>
  <c r="C219" i="34"/>
  <c r="D218" i="35" s="1"/>
  <c r="C220" i="34"/>
  <c r="D219" i="35" s="1"/>
  <c r="C221" i="34"/>
  <c r="D221" i="35" s="1"/>
  <c r="C222" i="34"/>
  <c r="D222" i="35" s="1"/>
  <c r="C223" i="34"/>
  <c r="D223" i="35" s="1"/>
  <c r="C224" i="34"/>
  <c r="D224" i="35" s="1"/>
  <c r="C225" i="34"/>
  <c r="D225" i="35" s="1"/>
  <c r="C226" i="34"/>
  <c r="D226" i="35" s="1"/>
  <c r="C227" i="34"/>
  <c r="D227" i="35" s="1"/>
  <c r="C228" i="34"/>
  <c r="D228" i="35" s="1"/>
  <c r="C229" i="34"/>
  <c r="D229" i="35" s="1"/>
  <c r="C230" i="34"/>
  <c r="D230" i="35" s="1"/>
  <c r="C231" i="34"/>
  <c r="D231" i="35" s="1"/>
  <c r="C232" i="34"/>
  <c r="D232" i="35" s="1"/>
  <c r="C233" i="34"/>
  <c r="D233" i="35" s="1"/>
  <c r="C234" i="34"/>
  <c r="D234" i="35" s="1"/>
  <c r="C235" i="34"/>
  <c r="D235" i="35" s="1"/>
  <c r="C236" i="34"/>
  <c r="D236" i="35" s="1"/>
  <c r="C237" i="34"/>
  <c r="D237" i="35" s="1"/>
  <c r="C238" i="34"/>
  <c r="D238" i="35" s="1"/>
  <c r="C239" i="34"/>
  <c r="D239" i="35" s="1"/>
  <c r="C240" i="34"/>
  <c r="D240" i="35" s="1"/>
  <c r="C241" i="34"/>
  <c r="D241" i="35" s="1"/>
  <c r="C242" i="34"/>
  <c r="D242" i="35" s="1"/>
  <c r="C243" i="34"/>
  <c r="D243" i="35" s="1"/>
  <c r="C244" i="34"/>
  <c r="D244" i="35" s="1"/>
  <c r="C245" i="34"/>
  <c r="D245" i="35" s="1"/>
  <c r="C246" i="34"/>
  <c r="D246" i="35" s="1"/>
  <c r="C247" i="34"/>
  <c r="D247" i="35" s="1"/>
  <c r="C248" i="34"/>
  <c r="D248" i="35" s="1"/>
  <c r="C249" i="34"/>
  <c r="D249" i="35" s="1"/>
  <c r="C250" i="34"/>
  <c r="C251" i="34"/>
  <c r="D250" i="35" s="1"/>
  <c r="C252" i="34"/>
  <c r="D251" i="35" s="1"/>
  <c r="C253" i="34"/>
  <c r="D252" i="35" s="1"/>
  <c r="C254" i="34"/>
  <c r="D253" i="35" s="1"/>
  <c r="C255" i="34"/>
  <c r="C256" i="34"/>
  <c r="C257" i="34"/>
  <c r="D254" i="35" s="1"/>
  <c r="C258" i="34"/>
  <c r="D255" i="35" s="1"/>
  <c r="C259" i="34"/>
  <c r="D256" i="35" s="1"/>
  <c r="C260" i="34"/>
  <c r="D257" i="35" s="1"/>
  <c r="C261" i="34"/>
  <c r="D259" i="35" s="1"/>
  <c r="C262" i="34"/>
  <c r="D260" i="35" s="1"/>
  <c r="C263" i="34"/>
  <c r="D261" i="35" s="1"/>
  <c r="C264" i="34"/>
  <c r="D262" i="35" s="1"/>
  <c r="C265" i="34"/>
  <c r="D263" i="35" s="1"/>
  <c r="C266" i="34"/>
  <c r="D264" i="35" s="1"/>
  <c r="C267" i="34"/>
  <c r="D265" i="35" s="1"/>
  <c r="C268" i="34"/>
  <c r="D266" i="35" s="1"/>
  <c r="C269" i="34"/>
  <c r="D267" i="35" s="1"/>
  <c r="C270" i="34"/>
  <c r="D268" i="35" s="1"/>
  <c r="C271" i="34"/>
  <c r="D269" i="35" s="1"/>
  <c r="C272" i="34"/>
  <c r="D270" i="35" s="1"/>
  <c r="C273" i="34"/>
  <c r="D271" i="35" s="1"/>
  <c r="C274" i="34"/>
  <c r="D272" i="35" s="1"/>
  <c r="C275" i="34"/>
  <c r="D273" i="35" s="1"/>
  <c r="C276" i="34"/>
  <c r="D274" i="35" s="1"/>
  <c r="C277" i="34"/>
  <c r="D275" i="35" s="1"/>
  <c r="C278" i="34"/>
  <c r="D276" i="35" s="1"/>
  <c r="C279" i="34"/>
  <c r="D277" i="35" s="1"/>
  <c r="C280" i="34"/>
  <c r="D278" i="35" s="1"/>
  <c r="C281" i="34"/>
  <c r="D279" i="35" s="1"/>
  <c r="C282" i="34"/>
  <c r="D280" i="35" s="1"/>
  <c r="C283" i="34"/>
  <c r="D281" i="35" s="1"/>
  <c r="C284" i="34"/>
  <c r="D282" i="35" s="1"/>
  <c r="C285" i="34"/>
  <c r="D283" i="35" s="1"/>
  <c r="C286" i="34"/>
  <c r="D284" i="35" s="1"/>
  <c r="C287" i="34"/>
  <c r="D285" i="35" s="1"/>
  <c r="C288" i="34"/>
  <c r="D287" i="35" s="1"/>
  <c r="C289" i="34"/>
  <c r="D288" i="35" s="1"/>
  <c r="C290" i="34"/>
  <c r="D289" i="35" s="1"/>
  <c r="C291" i="34"/>
  <c r="D290" i="35" s="1"/>
  <c r="C292" i="34"/>
  <c r="D291" i="35" s="1"/>
  <c r="C293" i="34"/>
  <c r="D292" i="35" s="1"/>
  <c r="C294" i="34"/>
  <c r="D293" i="35" s="1"/>
  <c r="C295" i="34"/>
  <c r="C296" i="34"/>
  <c r="C297" i="34"/>
  <c r="C298" i="34"/>
  <c r="C299" i="34"/>
  <c r="C300" i="34"/>
  <c r="C2" i="34"/>
  <c r="A295" i="34"/>
  <c r="A296" i="34"/>
  <c r="A297" i="34"/>
  <c r="A298" i="34"/>
  <c r="A299" i="34"/>
  <c r="A300" i="34"/>
  <c r="D155" i="35" l="1"/>
  <c r="E155" i="35" s="1"/>
  <c r="D5" i="35"/>
  <c r="E5" i="35" s="1"/>
  <c r="D184" i="35"/>
  <c r="E184" i="35" s="1"/>
  <c r="D31" i="35"/>
  <c r="E31" i="35" s="1"/>
  <c r="D176" i="35"/>
  <c r="E176" i="35" s="1"/>
  <c r="D258" i="35"/>
  <c r="E258" i="35" s="1"/>
  <c r="D179" i="35"/>
  <c r="E179" i="35" s="1"/>
  <c r="D171" i="35"/>
  <c r="E171" i="35" s="1"/>
  <c r="D286" i="35"/>
  <c r="E286" i="35" s="1"/>
  <c r="D220" i="35"/>
  <c r="E220" i="35" s="1"/>
  <c r="E3" i="35"/>
  <c r="E4" i="35"/>
  <c r="E6" i="35"/>
  <c r="E7" i="35"/>
  <c r="E8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2" i="35"/>
  <c r="E173" i="35"/>
  <c r="E174" i="35"/>
  <c r="E175" i="35"/>
  <c r="E177" i="35"/>
  <c r="E178" i="35"/>
  <c r="E180" i="35"/>
  <c r="E181" i="35"/>
  <c r="E182" i="35"/>
  <c r="E183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7" i="35"/>
  <c r="E288" i="35"/>
  <c r="E289" i="35"/>
  <c r="E290" i="35"/>
  <c r="E291" i="35"/>
  <c r="E292" i="35"/>
  <c r="E293" i="35"/>
  <c r="B34" i="34" l="1"/>
  <c r="B292" i="35"/>
  <c r="B293" i="35"/>
  <c r="B293" i="34" l="1"/>
  <c r="B294" i="34"/>
  <c r="B295" i="34"/>
  <c r="B296" i="34"/>
  <c r="B297" i="34"/>
  <c r="B298" i="34"/>
  <c r="B299" i="34"/>
  <c r="B300" i="34"/>
  <c r="C3" i="42" l="1"/>
  <c r="C4" i="42"/>
  <c r="C5" i="42"/>
  <c r="C6" i="42"/>
  <c r="C7" i="42"/>
  <c r="C8" i="42"/>
  <c r="C9" i="42"/>
  <c r="C10" i="42"/>
  <c r="C11" i="42"/>
  <c r="C12" i="42"/>
  <c r="C13" i="42"/>
  <c r="C14" i="42"/>
  <c r="C15" i="42"/>
  <c r="C16" i="42"/>
  <c r="C17" i="42"/>
  <c r="C18" i="42"/>
  <c r="C19" i="42"/>
  <c r="C20" i="42"/>
  <c r="C21" i="42"/>
  <c r="C22" i="42"/>
  <c r="C23" i="42"/>
  <c r="C24" i="42"/>
  <c r="C25" i="42"/>
  <c r="C26" i="42"/>
  <c r="C27" i="42"/>
  <c r="C28" i="42"/>
  <c r="C29" i="42"/>
  <c r="C30" i="42"/>
  <c r="C31" i="42"/>
  <c r="C32" i="42"/>
  <c r="C33" i="42"/>
  <c r="C34" i="42"/>
  <c r="C35" i="42"/>
  <c r="C36" i="42"/>
  <c r="C37" i="42"/>
  <c r="C38" i="42"/>
  <c r="C39" i="42"/>
  <c r="C40" i="42"/>
  <c r="C41" i="42"/>
  <c r="C42" i="42"/>
  <c r="C43" i="42"/>
  <c r="C44" i="42"/>
  <c r="C2" i="42"/>
  <c r="C413" i="27"/>
  <c r="D413" i="27"/>
  <c r="E413" i="27"/>
  <c r="G413" i="27"/>
  <c r="C414" i="27"/>
  <c r="D414" i="27"/>
  <c r="E414" i="27"/>
  <c r="G414" i="27"/>
  <c r="C415" i="27"/>
  <c r="D415" i="27"/>
  <c r="E415" i="27"/>
  <c r="G415" i="27"/>
  <c r="C416" i="27"/>
  <c r="D416" i="27"/>
  <c r="E416" i="27"/>
  <c r="G416" i="27"/>
  <c r="C417" i="27"/>
  <c r="D417" i="27"/>
  <c r="E417" i="27"/>
  <c r="G417" i="27"/>
  <c r="C418" i="27"/>
  <c r="D418" i="27"/>
  <c r="E418" i="27"/>
  <c r="G418" i="27"/>
  <c r="C419" i="27"/>
  <c r="D419" i="27"/>
  <c r="E419" i="27"/>
  <c r="G419" i="27"/>
  <c r="C420" i="27"/>
  <c r="D420" i="27"/>
  <c r="E420" i="27"/>
  <c r="G420" i="27"/>
  <c r="C421" i="27"/>
  <c r="D421" i="27"/>
  <c r="E421" i="27"/>
  <c r="G421" i="27"/>
  <c r="C422" i="27"/>
  <c r="D422" i="27"/>
  <c r="E422" i="27"/>
  <c r="G422" i="27"/>
  <c r="C423" i="27"/>
  <c r="D423" i="27"/>
  <c r="E423" i="27"/>
  <c r="G423" i="27"/>
  <c r="C424" i="27"/>
  <c r="D424" i="27"/>
  <c r="E424" i="27"/>
  <c r="G424" i="27"/>
  <c r="C425" i="27"/>
  <c r="D425" i="27"/>
  <c r="E425" i="27"/>
  <c r="G425" i="27"/>
  <c r="C426" i="27"/>
  <c r="D426" i="27"/>
  <c r="E426" i="27"/>
  <c r="G426" i="27"/>
  <c r="C427" i="27"/>
  <c r="D427" i="27"/>
  <c r="E427" i="27"/>
  <c r="G427" i="27"/>
  <c r="C428" i="27"/>
  <c r="D428" i="27"/>
  <c r="E428" i="27"/>
  <c r="G428" i="27"/>
  <c r="C429" i="27"/>
  <c r="D429" i="27"/>
  <c r="E429" i="27"/>
  <c r="G429" i="27"/>
  <c r="C404" i="27"/>
  <c r="D404" i="27"/>
  <c r="E404" i="27"/>
  <c r="G404" i="27"/>
  <c r="C405" i="27"/>
  <c r="D405" i="27"/>
  <c r="E405" i="27"/>
  <c r="G405" i="27"/>
  <c r="C406" i="27"/>
  <c r="D406" i="27"/>
  <c r="E406" i="27"/>
  <c r="G406" i="27"/>
  <c r="C407" i="27"/>
  <c r="D407" i="27"/>
  <c r="E407" i="27"/>
  <c r="G407" i="27"/>
  <c r="C408" i="27"/>
  <c r="D408" i="27"/>
  <c r="E408" i="27"/>
  <c r="G408" i="27"/>
  <c r="C409" i="27"/>
  <c r="D409" i="27"/>
  <c r="E409" i="27"/>
  <c r="G409" i="27"/>
  <c r="C410" i="27"/>
  <c r="D410" i="27"/>
  <c r="E410" i="27"/>
  <c r="G410" i="27"/>
  <c r="C411" i="27"/>
  <c r="D411" i="27"/>
  <c r="E411" i="27"/>
  <c r="G411" i="27"/>
  <c r="C412" i="27"/>
  <c r="D412" i="27"/>
  <c r="E412" i="27"/>
  <c r="G412" i="27"/>
  <c r="C401" i="27"/>
  <c r="D401" i="27"/>
  <c r="E401" i="27"/>
  <c r="G401" i="27"/>
  <c r="C402" i="27"/>
  <c r="D402" i="27"/>
  <c r="E402" i="27"/>
  <c r="G402" i="27"/>
  <c r="C403" i="27"/>
  <c r="D403" i="27"/>
  <c r="E403" i="27"/>
  <c r="G403" i="27"/>
  <c r="E390" i="27"/>
  <c r="E392" i="27"/>
  <c r="E393" i="27"/>
  <c r="E394" i="27"/>
  <c r="E395" i="27"/>
  <c r="E396" i="27"/>
  <c r="E397" i="27"/>
  <c r="E398" i="27"/>
  <c r="E399" i="27"/>
  <c r="E400" i="27"/>
  <c r="E375" i="27"/>
  <c r="E376" i="27"/>
  <c r="E377" i="27"/>
  <c r="E378" i="27"/>
  <c r="E379" i="27"/>
  <c r="E380" i="27"/>
  <c r="E381" i="27"/>
  <c r="E382" i="27"/>
  <c r="E383" i="27"/>
  <c r="E384" i="27"/>
  <c r="E385" i="27"/>
  <c r="E386" i="27"/>
  <c r="E387" i="27"/>
  <c r="E388" i="27"/>
  <c r="E389" i="27"/>
  <c r="C390" i="27"/>
  <c r="D390" i="27"/>
  <c r="C392" i="27"/>
  <c r="D392" i="27"/>
  <c r="C393" i="27"/>
  <c r="D393" i="27"/>
  <c r="C394" i="27"/>
  <c r="D394" i="27"/>
  <c r="C395" i="27"/>
  <c r="D395" i="27"/>
  <c r="C396" i="27"/>
  <c r="D396" i="27"/>
  <c r="C397" i="27"/>
  <c r="D397" i="27"/>
  <c r="C398" i="27"/>
  <c r="D398" i="27"/>
  <c r="C399" i="27"/>
  <c r="D399" i="27"/>
  <c r="C400" i="27"/>
  <c r="D400" i="27"/>
  <c r="C389" i="27" l="1"/>
  <c r="D389" i="27"/>
  <c r="G390" i="27"/>
  <c r="G392" i="27"/>
  <c r="G393" i="27"/>
  <c r="G394" i="27"/>
  <c r="G395" i="27"/>
  <c r="G396" i="27"/>
  <c r="G397" i="27"/>
  <c r="G398" i="27"/>
  <c r="G399" i="27"/>
  <c r="G400" i="27"/>
  <c r="G389" i="27"/>
  <c r="C379" i="27"/>
  <c r="D379" i="27"/>
  <c r="G379" i="27"/>
  <c r="C380" i="27"/>
  <c r="D380" i="27"/>
  <c r="G380" i="27"/>
  <c r="C381" i="27"/>
  <c r="D381" i="27"/>
  <c r="G381" i="27"/>
  <c r="C382" i="27"/>
  <c r="D382" i="27"/>
  <c r="G382" i="27"/>
  <c r="C383" i="27"/>
  <c r="D383" i="27"/>
  <c r="G383" i="27"/>
  <c r="C384" i="27"/>
  <c r="D384" i="27"/>
  <c r="G384" i="27"/>
  <c r="C385" i="27"/>
  <c r="D385" i="27"/>
  <c r="G385" i="27"/>
  <c r="C386" i="27"/>
  <c r="D386" i="27"/>
  <c r="G386" i="27"/>
  <c r="C387" i="27"/>
  <c r="D387" i="27"/>
  <c r="G387" i="27"/>
  <c r="C388" i="27"/>
  <c r="D388" i="27"/>
  <c r="G388" i="27"/>
  <c r="C368" i="27"/>
  <c r="D368" i="27"/>
  <c r="E368" i="27"/>
  <c r="G368" i="27"/>
  <c r="C369" i="27"/>
  <c r="D369" i="27"/>
  <c r="E369" i="27"/>
  <c r="G369" i="27"/>
  <c r="C370" i="27"/>
  <c r="D370" i="27"/>
  <c r="E370" i="27"/>
  <c r="G370" i="27"/>
  <c r="C371" i="27"/>
  <c r="D371" i="27"/>
  <c r="E371" i="27"/>
  <c r="G371" i="27"/>
  <c r="C372" i="27"/>
  <c r="D372" i="27"/>
  <c r="E372" i="27"/>
  <c r="G372" i="27"/>
  <c r="C373" i="27"/>
  <c r="D373" i="27"/>
  <c r="E373" i="27"/>
  <c r="G373" i="27"/>
  <c r="C374" i="27"/>
  <c r="D374" i="27"/>
  <c r="E374" i="27"/>
  <c r="G374" i="27"/>
  <c r="C375" i="27"/>
  <c r="D375" i="27"/>
  <c r="G375" i="27"/>
  <c r="C376" i="27"/>
  <c r="D376" i="27"/>
  <c r="G376" i="27"/>
  <c r="C377" i="27"/>
  <c r="D377" i="27"/>
  <c r="G377" i="27"/>
  <c r="C378" i="27"/>
  <c r="D378" i="27"/>
  <c r="G378" i="27"/>
  <c r="C364" i="27"/>
  <c r="D364" i="27"/>
  <c r="E364" i="27"/>
  <c r="G364" i="27"/>
  <c r="C365" i="27"/>
  <c r="D365" i="27"/>
  <c r="E365" i="27"/>
  <c r="G365" i="27"/>
  <c r="C366" i="27"/>
  <c r="D366" i="27"/>
  <c r="E366" i="27"/>
  <c r="G366" i="27"/>
  <c r="C367" i="27"/>
  <c r="D367" i="27"/>
  <c r="E367" i="27"/>
  <c r="G367" i="27"/>
  <c r="C355" i="27"/>
  <c r="C356" i="27"/>
  <c r="C357" i="27"/>
  <c r="C359" i="27"/>
  <c r="D359" i="27"/>
  <c r="E359" i="27"/>
  <c r="G359" i="27"/>
  <c r="C360" i="27"/>
  <c r="D360" i="27"/>
  <c r="E360" i="27"/>
  <c r="G360" i="27"/>
  <c r="C361" i="27"/>
  <c r="D361" i="27"/>
  <c r="E361" i="27"/>
  <c r="G361" i="27"/>
  <c r="C362" i="27"/>
  <c r="D362" i="27"/>
  <c r="E362" i="27"/>
  <c r="G362" i="27"/>
  <c r="C363" i="27"/>
  <c r="D363" i="27"/>
  <c r="E363" i="27"/>
  <c r="G363" i="27"/>
  <c r="C354" i="27"/>
  <c r="D354" i="27"/>
  <c r="E354" i="27"/>
  <c r="D355" i="27"/>
  <c r="E355" i="27"/>
  <c r="D356" i="27"/>
  <c r="E356" i="27"/>
  <c r="D357" i="27"/>
  <c r="E357" i="27"/>
  <c r="C358" i="27"/>
  <c r="D358" i="27"/>
  <c r="E358" i="27"/>
  <c r="G354" i="27" l="1"/>
  <c r="G355" i="27"/>
  <c r="G356" i="27"/>
  <c r="G357" i="27"/>
  <c r="G358" i="27"/>
  <c r="C353" i="27"/>
  <c r="D353" i="27"/>
  <c r="E353" i="27"/>
  <c r="G353" i="27"/>
  <c r="C344" i="27"/>
  <c r="D344" i="27"/>
  <c r="E344" i="27"/>
  <c r="G344" i="27"/>
  <c r="C345" i="27"/>
  <c r="D345" i="27"/>
  <c r="E345" i="27"/>
  <c r="G345" i="27"/>
  <c r="C346" i="27"/>
  <c r="D346" i="27"/>
  <c r="E346" i="27"/>
  <c r="G346" i="27"/>
  <c r="C347" i="27"/>
  <c r="D347" i="27"/>
  <c r="E347" i="27"/>
  <c r="G347" i="27"/>
  <c r="C348" i="27"/>
  <c r="E348" i="27"/>
  <c r="G348" i="27"/>
  <c r="C349" i="27"/>
  <c r="E349" i="27"/>
  <c r="G349" i="27"/>
  <c r="C350" i="27"/>
  <c r="D350" i="27"/>
  <c r="E350" i="27"/>
  <c r="G350" i="27"/>
  <c r="C351" i="27"/>
  <c r="D351" i="27"/>
  <c r="E351" i="27"/>
  <c r="G351" i="27"/>
  <c r="C352" i="27"/>
  <c r="D352" i="27"/>
  <c r="E352" i="27"/>
  <c r="G352" i="27"/>
  <c r="C325" i="27"/>
  <c r="D325" i="27"/>
  <c r="E325" i="27"/>
  <c r="G325" i="27"/>
  <c r="C326" i="27"/>
  <c r="D326" i="27"/>
  <c r="E326" i="27"/>
  <c r="G326" i="27"/>
  <c r="C327" i="27"/>
  <c r="D327" i="27"/>
  <c r="E327" i="27"/>
  <c r="G327" i="27"/>
  <c r="C328" i="27"/>
  <c r="D328" i="27"/>
  <c r="E328" i="27"/>
  <c r="G328" i="27"/>
  <c r="C329" i="27"/>
  <c r="D329" i="27"/>
  <c r="E329" i="27"/>
  <c r="G329" i="27"/>
  <c r="C330" i="27"/>
  <c r="D330" i="27"/>
  <c r="E330" i="27"/>
  <c r="G330" i="27"/>
  <c r="C331" i="27"/>
  <c r="D331" i="27"/>
  <c r="E331" i="27"/>
  <c r="G331" i="27"/>
  <c r="C333" i="27"/>
  <c r="D333" i="27"/>
  <c r="E333" i="27"/>
  <c r="G333" i="27"/>
  <c r="C334" i="27"/>
  <c r="D334" i="27"/>
  <c r="E334" i="27"/>
  <c r="G334" i="27"/>
  <c r="C335" i="27"/>
  <c r="D335" i="27"/>
  <c r="E335" i="27"/>
  <c r="G335" i="27"/>
  <c r="C336" i="27"/>
  <c r="D336" i="27"/>
  <c r="E336" i="27"/>
  <c r="G336" i="27"/>
  <c r="C337" i="27"/>
  <c r="E337" i="27"/>
  <c r="G337" i="27"/>
  <c r="C338" i="27"/>
  <c r="D338" i="27"/>
  <c r="E338" i="27"/>
  <c r="G338" i="27"/>
  <c r="C339" i="27"/>
  <c r="D339" i="27"/>
  <c r="E339" i="27"/>
  <c r="G339" i="27"/>
  <c r="C340" i="27"/>
  <c r="D340" i="27"/>
  <c r="E340" i="27"/>
  <c r="G340" i="27"/>
  <c r="C341" i="27"/>
  <c r="D341" i="27"/>
  <c r="E341" i="27"/>
  <c r="G341" i="27"/>
  <c r="C342" i="27"/>
  <c r="D342" i="27"/>
  <c r="E342" i="27"/>
  <c r="G342" i="27"/>
  <c r="C343" i="27"/>
  <c r="D343" i="27"/>
  <c r="E343" i="27"/>
  <c r="G343" i="27"/>
  <c r="C315" i="27"/>
  <c r="D315" i="27"/>
  <c r="E315" i="27"/>
  <c r="C316" i="27"/>
  <c r="D316" i="27"/>
  <c r="E316" i="27"/>
  <c r="C317" i="27"/>
  <c r="D317" i="27"/>
  <c r="E317" i="27"/>
  <c r="C318" i="27"/>
  <c r="D318" i="27"/>
  <c r="E318" i="27"/>
  <c r="C319" i="27"/>
  <c r="D319" i="27"/>
  <c r="E319" i="27"/>
  <c r="C320" i="27"/>
  <c r="D320" i="27"/>
  <c r="E320" i="27"/>
  <c r="C321" i="27"/>
  <c r="D321" i="27"/>
  <c r="E321" i="27"/>
  <c r="C322" i="27"/>
  <c r="D322" i="27"/>
  <c r="E322" i="27"/>
  <c r="C323" i="27"/>
  <c r="D323" i="27"/>
  <c r="E323" i="27"/>
  <c r="C324" i="27"/>
  <c r="D324" i="27"/>
  <c r="E324" i="27"/>
  <c r="G194" i="27"/>
  <c r="C194" i="27"/>
  <c r="C195" i="27"/>
  <c r="G84" i="27"/>
  <c r="C84" i="27"/>
  <c r="C85" i="27"/>
  <c r="G323" i="27"/>
  <c r="G324" i="27"/>
  <c r="C277" i="27"/>
  <c r="D277" i="27"/>
  <c r="C308" i="27"/>
  <c r="D308" i="27"/>
  <c r="E308" i="27"/>
  <c r="G308" i="27"/>
  <c r="C309" i="27"/>
  <c r="D309" i="27"/>
  <c r="E309" i="27"/>
  <c r="G309" i="27"/>
  <c r="C310" i="27"/>
  <c r="D310" i="27"/>
  <c r="E310" i="27"/>
  <c r="G310" i="27"/>
  <c r="C311" i="27"/>
  <c r="D311" i="27"/>
  <c r="E311" i="27"/>
  <c r="G311" i="27"/>
  <c r="C312" i="27"/>
  <c r="D312" i="27"/>
  <c r="E312" i="27"/>
  <c r="G312" i="27"/>
  <c r="C313" i="27"/>
  <c r="D313" i="27"/>
  <c r="E313" i="27"/>
  <c r="G313" i="27"/>
  <c r="C314" i="27"/>
  <c r="D314" i="27"/>
  <c r="E314" i="27"/>
  <c r="G314" i="27"/>
  <c r="G315" i="27"/>
  <c r="G316" i="27"/>
  <c r="G317" i="27"/>
  <c r="G318" i="27"/>
  <c r="G319" i="27"/>
  <c r="G320" i="27"/>
  <c r="G321" i="27"/>
  <c r="G322" i="27"/>
  <c r="C305" i="27"/>
  <c r="D305" i="27"/>
  <c r="E305" i="27"/>
  <c r="G305" i="27"/>
  <c r="C306" i="27"/>
  <c r="D306" i="27"/>
  <c r="E306" i="27"/>
  <c r="G306" i="27"/>
  <c r="C307" i="27"/>
  <c r="D307" i="27"/>
  <c r="E307" i="27"/>
  <c r="G307" i="27"/>
  <c r="G274" i="27"/>
  <c r="C274" i="27"/>
  <c r="D274" i="27"/>
  <c r="E274" i="27"/>
  <c r="C275" i="27"/>
  <c r="D275" i="27"/>
  <c r="E275" i="27"/>
  <c r="C303" i="27"/>
  <c r="D303" i="27"/>
  <c r="E303" i="27"/>
  <c r="G303" i="27"/>
  <c r="C304" i="27"/>
  <c r="D304" i="27"/>
  <c r="E304" i="27"/>
  <c r="G304" i="27"/>
  <c r="C298" i="27"/>
  <c r="D298" i="27"/>
  <c r="E298" i="27"/>
  <c r="G298" i="27"/>
  <c r="C299" i="27"/>
  <c r="D299" i="27"/>
  <c r="E299" i="27"/>
  <c r="G299" i="27"/>
  <c r="C300" i="27"/>
  <c r="D300" i="27"/>
  <c r="E300" i="27"/>
  <c r="G300" i="27"/>
  <c r="C301" i="27"/>
  <c r="D301" i="27"/>
  <c r="E301" i="27"/>
  <c r="G301" i="27"/>
  <c r="C302" i="27"/>
  <c r="D302" i="27"/>
  <c r="E302" i="27"/>
  <c r="G302" i="27"/>
  <c r="C295" i="27"/>
  <c r="D295" i="27"/>
  <c r="E295" i="27"/>
  <c r="G295" i="27"/>
  <c r="C296" i="27"/>
  <c r="D296" i="27"/>
  <c r="E296" i="27"/>
  <c r="G296" i="27"/>
  <c r="C297" i="27"/>
  <c r="D297" i="27"/>
  <c r="E297" i="27"/>
  <c r="G297" i="27"/>
  <c r="C294" i="27" l="1"/>
  <c r="D294" i="27"/>
  <c r="E294" i="27"/>
  <c r="C283" i="27"/>
  <c r="D283" i="27"/>
  <c r="E283" i="27"/>
  <c r="G283" i="27"/>
  <c r="C284" i="27"/>
  <c r="D284" i="27"/>
  <c r="E284" i="27"/>
  <c r="G284" i="27"/>
  <c r="C285" i="27"/>
  <c r="D285" i="27"/>
  <c r="E285" i="27"/>
  <c r="G285" i="27"/>
  <c r="C286" i="27"/>
  <c r="D286" i="27"/>
  <c r="E286" i="27"/>
  <c r="G286" i="27"/>
  <c r="C287" i="27"/>
  <c r="D287" i="27"/>
  <c r="E287" i="27"/>
  <c r="G287" i="27"/>
  <c r="C288" i="27"/>
  <c r="D288" i="27"/>
  <c r="E288" i="27"/>
  <c r="G288" i="27"/>
  <c r="C289" i="27"/>
  <c r="D289" i="27"/>
  <c r="E289" i="27"/>
  <c r="G289" i="27"/>
  <c r="C290" i="27"/>
  <c r="D290" i="27"/>
  <c r="E290" i="27"/>
  <c r="G290" i="27"/>
  <c r="C291" i="27"/>
  <c r="D291" i="27"/>
  <c r="E291" i="27"/>
  <c r="G291" i="27"/>
  <c r="C292" i="27"/>
  <c r="D292" i="27"/>
  <c r="E292" i="27"/>
  <c r="G292" i="27"/>
  <c r="C293" i="27"/>
  <c r="D293" i="27"/>
  <c r="E293" i="27"/>
  <c r="G293" i="27"/>
  <c r="C266" i="27"/>
  <c r="D266" i="27"/>
  <c r="E266" i="27"/>
  <c r="G266" i="27"/>
  <c r="C267" i="27"/>
  <c r="D267" i="27"/>
  <c r="E267" i="27"/>
  <c r="G267" i="27"/>
  <c r="C268" i="27"/>
  <c r="D268" i="27"/>
  <c r="E268" i="27"/>
  <c r="G268" i="27"/>
  <c r="C269" i="27"/>
  <c r="D269" i="27"/>
  <c r="E269" i="27"/>
  <c r="G269" i="27"/>
  <c r="C270" i="27"/>
  <c r="D270" i="27"/>
  <c r="E270" i="27"/>
  <c r="G270" i="27"/>
  <c r="C271" i="27"/>
  <c r="D271" i="27"/>
  <c r="E271" i="27"/>
  <c r="G271" i="27"/>
  <c r="C273" i="27"/>
  <c r="D273" i="27"/>
  <c r="E273" i="27"/>
  <c r="G273" i="27"/>
  <c r="G275" i="27"/>
  <c r="C276" i="27"/>
  <c r="D276" i="27"/>
  <c r="E276" i="27"/>
  <c r="G276" i="27"/>
  <c r="E277" i="27"/>
  <c r="G277" i="27"/>
  <c r="C278" i="27"/>
  <c r="D278" i="27"/>
  <c r="E278" i="27"/>
  <c r="G278" i="27"/>
  <c r="C279" i="27"/>
  <c r="D279" i="27"/>
  <c r="E279" i="27"/>
  <c r="G279" i="27"/>
  <c r="C280" i="27"/>
  <c r="D280" i="27"/>
  <c r="E280" i="27"/>
  <c r="G280" i="27"/>
  <c r="C281" i="27"/>
  <c r="D281" i="27"/>
  <c r="E281" i="27"/>
  <c r="G281" i="27"/>
  <c r="C282" i="27"/>
  <c r="D282" i="27"/>
  <c r="E282" i="27"/>
  <c r="G282" i="27"/>
  <c r="C259" i="27" l="1"/>
  <c r="D259" i="27"/>
  <c r="E259" i="27"/>
  <c r="C260" i="27"/>
  <c r="D260" i="27"/>
  <c r="E260" i="27"/>
  <c r="C261" i="27"/>
  <c r="D261" i="27"/>
  <c r="E261" i="27"/>
  <c r="C262" i="27"/>
  <c r="D262" i="27"/>
  <c r="E262" i="27"/>
  <c r="C264" i="27"/>
  <c r="D264" i="27"/>
  <c r="E264" i="27"/>
  <c r="C265" i="27"/>
  <c r="D265" i="27"/>
  <c r="E265" i="27"/>
  <c r="G262" i="27"/>
  <c r="G264" i="27"/>
  <c r="G265" i="27"/>
  <c r="G206" i="27" l="1"/>
  <c r="G207" i="27"/>
  <c r="G208" i="27"/>
  <c r="G209" i="27"/>
  <c r="G210" i="27"/>
  <c r="G211" i="27"/>
  <c r="G212" i="27"/>
  <c r="G213" i="27"/>
  <c r="G214" i="27"/>
  <c r="G215" i="27"/>
  <c r="G216" i="27"/>
  <c r="G217" i="27"/>
  <c r="G218" i="27"/>
  <c r="G219" i="27"/>
  <c r="G220" i="27"/>
  <c r="G221" i="27"/>
  <c r="G222" i="27"/>
  <c r="G223" i="27"/>
  <c r="G224" i="27"/>
  <c r="G225" i="27"/>
  <c r="G226" i="27"/>
  <c r="G227" i="27"/>
  <c r="G228" i="27"/>
  <c r="G229" i="27"/>
  <c r="G230" i="27"/>
  <c r="G231" i="27"/>
  <c r="G232" i="27"/>
  <c r="G233" i="27"/>
  <c r="G234" i="27"/>
  <c r="G235" i="27"/>
  <c r="G236" i="27"/>
  <c r="G237" i="27"/>
  <c r="G238" i="27"/>
  <c r="G239" i="27"/>
  <c r="G240" i="27"/>
  <c r="G241" i="27"/>
  <c r="G242" i="27"/>
  <c r="G243" i="27"/>
  <c r="G244" i="27"/>
  <c r="G245" i="27"/>
  <c r="G246" i="27"/>
  <c r="G247" i="27"/>
  <c r="G248" i="27"/>
  <c r="G249" i="27"/>
  <c r="G250" i="27"/>
  <c r="G251" i="27"/>
  <c r="G252" i="27"/>
  <c r="G253" i="27"/>
  <c r="G254" i="27"/>
  <c r="G255" i="27"/>
  <c r="G256" i="27"/>
  <c r="G257" i="27"/>
  <c r="G258" i="27"/>
  <c r="G259" i="27"/>
  <c r="G260" i="27"/>
  <c r="G261" i="27"/>
  <c r="G204" i="27"/>
  <c r="G205" i="27"/>
  <c r="G200" i="27"/>
  <c r="G201" i="27"/>
  <c r="G202" i="27"/>
  <c r="G203" i="27"/>
  <c r="G198" i="27"/>
  <c r="G199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7" i="27"/>
  <c r="G148" i="27"/>
  <c r="G149" i="27"/>
  <c r="G150" i="27"/>
  <c r="G151" i="27"/>
  <c r="G153" i="27"/>
  <c r="G154" i="27"/>
  <c r="G155" i="27"/>
  <c r="G157" i="27"/>
  <c r="G158" i="27"/>
  <c r="G159" i="27"/>
  <c r="G160" i="27"/>
  <c r="G161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5" i="27"/>
  <c r="G196" i="27"/>
  <c r="G197" i="27"/>
  <c r="D8" i="31"/>
  <c r="E8" i="31"/>
  <c r="D7" i="31"/>
  <c r="E7" i="31"/>
  <c r="D3" i="31"/>
  <c r="E3" i="31"/>
  <c r="D2" i="31"/>
  <c r="E2" i="31"/>
  <c r="D5" i="31"/>
  <c r="E5" i="31"/>
  <c r="D4" i="31"/>
  <c r="E4" i="31"/>
  <c r="D9" i="31"/>
  <c r="E9" i="31"/>
  <c r="D10" i="31"/>
  <c r="E10" i="31"/>
  <c r="D11" i="31"/>
  <c r="E11" i="31"/>
  <c r="D12" i="31"/>
  <c r="E12" i="31"/>
  <c r="D13" i="31"/>
  <c r="E13" i="31"/>
  <c r="D14" i="31"/>
  <c r="E14" i="31"/>
  <c r="D15" i="31"/>
  <c r="E15" i="31"/>
  <c r="D16" i="31"/>
  <c r="E16" i="31"/>
  <c r="D17" i="31"/>
  <c r="E17" i="31"/>
  <c r="D18" i="31"/>
  <c r="E18" i="31"/>
  <c r="D19" i="31"/>
  <c r="E19" i="31"/>
  <c r="D20" i="31"/>
  <c r="E20" i="31"/>
  <c r="D21" i="31"/>
  <c r="E21" i="31"/>
  <c r="D22" i="31"/>
  <c r="E22" i="31"/>
  <c r="D23" i="31"/>
  <c r="E23" i="31"/>
  <c r="D24" i="31"/>
  <c r="E24" i="31"/>
  <c r="D27" i="31"/>
  <c r="E27" i="31"/>
  <c r="D28" i="31"/>
  <c r="E28" i="31"/>
  <c r="D29" i="31"/>
  <c r="E29" i="31"/>
  <c r="D30" i="31"/>
  <c r="E30" i="31"/>
  <c r="D31" i="31"/>
  <c r="E31" i="31"/>
  <c r="D32" i="31"/>
  <c r="E32" i="31"/>
  <c r="D33" i="31"/>
  <c r="E33" i="31"/>
  <c r="D34" i="31"/>
  <c r="E34" i="31"/>
  <c r="D35" i="31"/>
  <c r="E35" i="31"/>
  <c r="D36" i="31"/>
  <c r="E36" i="31"/>
  <c r="D37" i="31"/>
  <c r="E37" i="31"/>
  <c r="D38" i="31"/>
  <c r="E38" i="31"/>
  <c r="D39" i="31"/>
  <c r="E39" i="31"/>
  <c r="D40" i="31"/>
  <c r="E40" i="31"/>
  <c r="D41" i="31"/>
  <c r="E41" i="31"/>
  <c r="D42" i="31"/>
  <c r="E42" i="31"/>
  <c r="D43" i="31"/>
  <c r="E43" i="31"/>
  <c r="D44" i="31"/>
  <c r="E44" i="31"/>
  <c r="E6" i="31"/>
  <c r="D6" i="31"/>
  <c r="C255" i="27"/>
  <c r="D255" i="27"/>
  <c r="E255" i="27"/>
  <c r="C256" i="27"/>
  <c r="D256" i="27"/>
  <c r="E256" i="27"/>
  <c r="C257" i="27"/>
  <c r="D257" i="27"/>
  <c r="E257" i="27"/>
  <c r="C258" i="27"/>
  <c r="D258" i="27"/>
  <c r="E258" i="27"/>
  <c r="C254" i="27"/>
  <c r="D254" i="27"/>
  <c r="E254" i="27"/>
  <c r="C247" i="27"/>
  <c r="E247" i="27"/>
  <c r="C248" i="27"/>
  <c r="D248" i="27"/>
  <c r="E248" i="27"/>
  <c r="C249" i="27"/>
  <c r="D249" i="27"/>
  <c r="E249" i="27"/>
  <c r="C250" i="27"/>
  <c r="D250" i="27"/>
  <c r="E250" i="27"/>
  <c r="C251" i="27"/>
  <c r="D251" i="27"/>
  <c r="E251" i="27"/>
  <c r="C252" i="27"/>
  <c r="D252" i="27"/>
  <c r="E252" i="27"/>
  <c r="C253" i="27"/>
  <c r="D253" i="27"/>
  <c r="E253" i="27"/>
  <c r="C235" i="27" l="1"/>
  <c r="D235" i="27"/>
  <c r="E235" i="27"/>
  <c r="C236" i="27"/>
  <c r="D236" i="27"/>
  <c r="E236" i="27"/>
  <c r="C237" i="27"/>
  <c r="D237" i="27"/>
  <c r="E237" i="27"/>
  <c r="C238" i="27"/>
  <c r="D238" i="27"/>
  <c r="E238" i="27"/>
  <c r="C239" i="27"/>
  <c r="D239" i="27"/>
  <c r="E239" i="27"/>
  <c r="C240" i="27"/>
  <c r="D240" i="27"/>
  <c r="E240" i="27"/>
  <c r="C241" i="27"/>
  <c r="D241" i="27"/>
  <c r="E241" i="27"/>
  <c r="C242" i="27"/>
  <c r="D242" i="27"/>
  <c r="E242" i="27"/>
  <c r="C243" i="27"/>
  <c r="D243" i="27"/>
  <c r="E243" i="27"/>
  <c r="C244" i="27"/>
  <c r="D244" i="27"/>
  <c r="E244" i="27"/>
  <c r="C245" i="27"/>
  <c r="D245" i="27"/>
  <c r="E245" i="27"/>
  <c r="C246" i="27"/>
  <c r="D246" i="27"/>
  <c r="E246" i="27"/>
  <c r="C234" i="27"/>
  <c r="D234" i="27"/>
  <c r="E234" i="27"/>
  <c r="D213" i="27"/>
  <c r="E213" i="27"/>
  <c r="D214" i="27"/>
  <c r="E214" i="27"/>
  <c r="D215" i="27"/>
  <c r="E215" i="27"/>
  <c r="D216" i="27"/>
  <c r="E216" i="27"/>
  <c r="D217" i="27"/>
  <c r="E217" i="27"/>
  <c r="D218" i="27"/>
  <c r="E218" i="27"/>
  <c r="D219" i="27"/>
  <c r="E219" i="27"/>
  <c r="D220" i="27"/>
  <c r="E220" i="27"/>
  <c r="D221" i="27"/>
  <c r="E221" i="27"/>
  <c r="D222" i="27"/>
  <c r="D223" i="27"/>
  <c r="E223" i="27"/>
  <c r="D224" i="27"/>
  <c r="E224" i="27"/>
  <c r="D225" i="27"/>
  <c r="E225" i="27"/>
  <c r="D226" i="27"/>
  <c r="E226" i="27"/>
  <c r="D227" i="27"/>
  <c r="E227" i="27"/>
  <c r="D228" i="27"/>
  <c r="E228" i="27"/>
  <c r="D229" i="27"/>
  <c r="E229" i="27"/>
  <c r="D230" i="27"/>
  <c r="E230" i="27"/>
  <c r="D231" i="27"/>
  <c r="E231" i="27"/>
  <c r="D232" i="27"/>
  <c r="E232" i="27"/>
  <c r="D233" i="27"/>
  <c r="E233" i="27"/>
  <c r="C206" i="27"/>
  <c r="C207" i="27"/>
  <c r="C208" i="27"/>
  <c r="C209" i="27"/>
  <c r="C210" i="27"/>
  <c r="C211" i="27"/>
  <c r="C212" i="27"/>
  <c r="C213" i="27"/>
  <c r="C214" i="27"/>
  <c r="C215" i="27"/>
  <c r="C216" i="27"/>
  <c r="C217" i="27"/>
  <c r="C218" i="27"/>
  <c r="C219" i="27"/>
  <c r="C220" i="27"/>
  <c r="C221" i="27"/>
  <c r="C222" i="27"/>
  <c r="C223" i="27"/>
  <c r="C224" i="27"/>
  <c r="C225" i="27"/>
  <c r="C226" i="27"/>
  <c r="C227" i="27"/>
  <c r="C228" i="27"/>
  <c r="C229" i="27"/>
  <c r="C230" i="27"/>
  <c r="C231" i="27"/>
  <c r="C232" i="27"/>
  <c r="C233" i="27"/>
  <c r="C89" i="27" l="1"/>
  <c r="C90" i="27"/>
  <c r="C204" i="27"/>
  <c r="C205" i="27"/>
  <c r="C201" i="27"/>
  <c r="C202" i="27"/>
  <c r="C203" i="27"/>
  <c r="C196" i="27"/>
  <c r="C197" i="27"/>
  <c r="C198" i="27"/>
  <c r="C199" i="27"/>
  <c r="C200" i="27"/>
  <c r="C65" i="27"/>
  <c r="C66" i="27"/>
  <c r="C8" i="31"/>
  <c r="C7" i="31"/>
  <c r="C3" i="31"/>
  <c r="C2" i="31"/>
  <c r="C5" i="31"/>
  <c r="C4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6" i="31"/>
  <c r="C141" i="27" l="1"/>
  <c r="C114" i="27"/>
  <c r="C16" i="27"/>
  <c r="C17" i="27"/>
  <c r="B3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75" i="35"/>
  <c r="B76" i="35"/>
  <c r="B77" i="35"/>
  <c r="B78" i="35"/>
  <c r="B79" i="35"/>
  <c r="B80" i="35"/>
  <c r="B81" i="35"/>
  <c r="B82" i="35"/>
  <c r="B83" i="35"/>
  <c r="B84" i="35"/>
  <c r="B85" i="35"/>
  <c r="B86" i="35"/>
  <c r="B87" i="35"/>
  <c r="B88" i="35"/>
  <c r="B89" i="35"/>
  <c r="B90" i="35"/>
  <c r="B91" i="35"/>
  <c r="B92" i="35"/>
  <c r="B93" i="35"/>
  <c r="B94" i="35"/>
  <c r="B95" i="35"/>
  <c r="B96" i="35"/>
  <c r="B97" i="35"/>
  <c r="B98" i="35"/>
  <c r="B99" i="35"/>
  <c r="B100" i="35"/>
  <c r="B101" i="35"/>
  <c r="B102" i="35"/>
  <c r="B103" i="35"/>
  <c r="B104" i="35"/>
  <c r="B105" i="35"/>
  <c r="B106" i="35"/>
  <c r="B107" i="35"/>
  <c r="B108" i="35"/>
  <c r="B109" i="35"/>
  <c r="B110" i="35"/>
  <c r="B111" i="35"/>
  <c r="B112" i="35"/>
  <c r="B113" i="35"/>
  <c r="B114" i="35"/>
  <c r="B115" i="35"/>
  <c r="B116" i="35"/>
  <c r="B117" i="35"/>
  <c r="B118" i="35"/>
  <c r="B119" i="35"/>
  <c r="B120" i="35"/>
  <c r="B121" i="35"/>
  <c r="B122" i="35"/>
  <c r="B123" i="35"/>
  <c r="B124" i="35"/>
  <c r="B125" i="35"/>
  <c r="B126" i="35"/>
  <c r="B127" i="35"/>
  <c r="B128" i="35"/>
  <c r="B129" i="35"/>
  <c r="B130" i="35"/>
  <c r="B131" i="35"/>
  <c r="B132" i="35"/>
  <c r="B133" i="35"/>
  <c r="B134" i="35"/>
  <c r="B135" i="35"/>
  <c r="B136" i="35"/>
  <c r="B137" i="35"/>
  <c r="B138" i="35"/>
  <c r="B139" i="35"/>
  <c r="B140" i="35"/>
  <c r="B141" i="35"/>
  <c r="B142" i="35"/>
  <c r="B143" i="35"/>
  <c r="B144" i="35"/>
  <c r="B145" i="35"/>
  <c r="B146" i="35"/>
  <c r="B147" i="35"/>
  <c r="B148" i="35"/>
  <c r="B149" i="35"/>
  <c r="B150" i="35"/>
  <c r="B151" i="35"/>
  <c r="B152" i="35"/>
  <c r="B153" i="35"/>
  <c r="B154" i="35"/>
  <c r="B155" i="35"/>
  <c r="B156" i="35"/>
  <c r="B157" i="35"/>
  <c r="B158" i="35"/>
  <c r="B159" i="35"/>
  <c r="B160" i="35"/>
  <c r="B161" i="35"/>
  <c r="B162" i="35"/>
  <c r="B163" i="35"/>
  <c r="B164" i="35"/>
  <c r="B165" i="35"/>
  <c r="B166" i="35"/>
  <c r="B167" i="35"/>
  <c r="B168" i="35"/>
  <c r="B169" i="35"/>
  <c r="B170" i="35"/>
  <c r="B171" i="35"/>
  <c r="B172" i="35"/>
  <c r="B173" i="35"/>
  <c r="B174" i="35"/>
  <c r="B175" i="35"/>
  <c r="B176" i="35"/>
  <c r="B177" i="35"/>
  <c r="B178" i="35"/>
  <c r="B179" i="35"/>
  <c r="B180" i="35"/>
  <c r="B181" i="35"/>
  <c r="B182" i="35"/>
  <c r="B183" i="35"/>
  <c r="B184" i="35"/>
  <c r="B185" i="35"/>
  <c r="B186" i="35"/>
  <c r="B187" i="35"/>
  <c r="B188" i="35"/>
  <c r="B189" i="35"/>
  <c r="B190" i="35"/>
  <c r="B191" i="35"/>
  <c r="B192" i="35"/>
  <c r="B193" i="35"/>
  <c r="B194" i="35"/>
  <c r="B195" i="35"/>
  <c r="B196" i="35"/>
  <c r="B197" i="35"/>
  <c r="B198" i="35"/>
  <c r="B199" i="35"/>
  <c r="B200" i="35"/>
  <c r="B201" i="35"/>
  <c r="B202" i="35"/>
  <c r="B203" i="35"/>
  <c r="B204" i="35"/>
  <c r="B205" i="35"/>
  <c r="B206" i="35"/>
  <c r="B207" i="35"/>
  <c r="B208" i="35"/>
  <c r="B209" i="35"/>
  <c r="B210" i="35"/>
  <c r="B211" i="35"/>
  <c r="B212" i="35"/>
  <c r="B213" i="35"/>
  <c r="B214" i="35"/>
  <c r="B215" i="35"/>
  <c r="B216" i="35"/>
  <c r="B217" i="35"/>
  <c r="B218" i="35"/>
  <c r="B219" i="35"/>
  <c r="B220" i="35"/>
  <c r="B221" i="35"/>
  <c r="B222" i="35"/>
  <c r="B223" i="35"/>
  <c r="B224" i="35"/>
  <c r="B225" i="35"/>
  <c r="B226" i="35"/>
  <c r="B227" i="35"/>
  <c r="B228" i="35"/>
  <c r="B229" i="35"/>
  <c r="B230" i="35"/>
  <c r="B231" i="35"/>
  <c r="B232" i="35"/>
  <c r="B233" i="35"/>
  <c r="B234" i="35"/>
  <c r="B235" i="35"/>
  <c r="B236" i="35"/>
  <c r="B237" i="35"/>
  <c r="B238" i="35"/>
  <c r="B239" i="35"/>
  <c r="B240" i="35"/>
  <c r="B241" i="35"/>
  <c r="B242" i="35"/>
  <c r="B243" i="35"/>
  <c r="B244" i="35"/>
  <c r="B245" i="35"/>
  <c r="B246" i="35"/>
  <c r="B247" i="35"/>
  <c r="B248" i="35"/>
  <c r="B249" i="35"/>
  <c r="B250" i="35"/>
  <c r="B251" i="35"/>
  <c r="B252" i="35"/>
  <c r="B253" i="35"/>
  <c r="B254" i="35"/>
  <c r="B255" i="35"/>
  <c r="B256" i="35"/>
  <c r="B257" i="35"/>
  <c r="B258" i="35"/>
  <c r="B259" i="35"/>
  <c r="B260" i="35"/>
  <c r="B261" i="35"/>
  <c r="B262" i="35"/>
  <c r="B263" i="35"/>
  <c r="B264" i="35"/>
  <c r="B265" i="35"/>
  <c r="B266" i="35"/>
  <c r="B267" i="35"/>
  <c r="B268" i="35"/>
  <c r="B269" i="35"/>
  <c r="B270" i="35"/>
  <c r="B271" i="35"/>
  <c r="B272" i="35"/>
  <c r="B273" i="35"/>
  <c r="B274" i="35"/>
  <c r="B275" i="35"/>
  <c r="B276" i="35"/>
  <c r="B277" i="35"/>
  <c r="B278" i="35"/>
  <c r="B279" i="35"/>
  <c r="B280" i="35"/>
  <c r="B281" i="35"/>
  <c r="B282" i="35"/>
  <c r="B283" i="35"/>
  <c r="B284" i="35"/>
  <c r="B285" i="35"/>
  <c r="B286" i="35"/>
  <c r="B287" i="35"/>
  <c r="B288" i="35"/>
  <c r="B289" i="35"/>
  <c r="B290" i="35"/>
  <c r="B291" i="35"/>
  <c r="B3" i="34"/>
  <c r="B4" i="34"/>
  <c r="B5" i="34"/>
  <c r="B6" i="34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B26" i="34"/>
  <c r="B27" i="34"/>
  <c r="B28" i="34"/>
  <c r="B29" i="34"/>
  <c r="B30" i="34"/>
  <c r="B31" i="34"/>
  <c r="B32" i="34"/>
  <c r="B33" i="34"/>
  <c r="B35" i="34"/>
  <c r="B36" i="34"/>
  <c r="B37" i="34"/>
  <c r="B38" i="34"/>
  <c r="B39" i="34"/>
  <c r="B40" i="34"/>
  <c r="B41" i="34"/>
  <c r="B42" i="34"/>
  <c r="B43" i="34"/>
  <c r="B44" i="34"/>
  <c r="B45" i="34"/>
  <c r="B46" i="34"/>
  <c r="B47" i="34"/>
  <c r="B48" i="34"/>
  <c r="B49" i="34"/>
  <c r="B50" i="34"/>
  <c r="B51" i="34"/>
  <c r="B52" i="34"/>
  <c r="B53" i="34"/>
  <c r="B54" i="34"/>
  <c r="B55" i="34"/>
  <c r="B56" i="34"/>
  <c r="B57" i="34"/>
  <c r="B58" i="34"/>
  <c r="B59" i="34"/>
  <c r="B60" i="34"/>
  <c r="B61" i="34"/>
  <c r="B62" i="34"/>
  <c r="B63" i="34"/>
  <c r="B64" i="34"/>
  <c r="B65" i="34"/>
  <c r="B66" i="34"/>
  <c r="B67" i="34"/>
  <c r="B68" i="34"/>
  <c r="B69" i="34"/>
  <c r="B70" i="34"/>
  <c r="B71" i="34"/>
  <c r="B72" i="34"/>
  <c r="B73" i="34"/>
  <c r="B74" i="34"/>
  <c r="B75" i="34"/>
  <c r="B76" i="34"/>
  <c r="B77" i="34"/>
  <c r="B78" i="34"/>
  <c r="B79" i="34"/>
  <c r="B80" i="34"/>
  <c r="B81" i="34"/>
  <c r="B82" i="34"/>
  <c r="B83" i="34"/>
  <c r="B84" i="34"/>
  <c r="B85" i="34"/>
  <c r="B86" i="34"/>
  <c r="B87" i="34"/>
  <c r="B88" i="34"/>
  <c r="B89" i="34"/>
  <c r="B90" i="34"/>
  <c r="B91" i="34"/>
  <c r="B92" i="34"/>
  <c r="B93" i="34"/>
  <c r="B94" i="34"/>
  <c r="B95" i="34"/>
  <c r="B96" i="34"/>
  <c r="B97" i="34"/>
  <c r="B98" i="34"/>
  <c r="B99" i="34"/>
  <c r="B100" i="34"/>
  <c r="B101" i="34"/>
  <c r="B102" i="34"/>
  <c r="B103" i="34"/>
  <c r="B104" i="34"/>
  <c r="B105" i="34"/>
  <c r="B106" i="34"/>
  <c r="B107" i="34"/>
  <c r="B108" i="34"/>
  <c r="B109" i="34"/>
  <c r="B110" i="34"/>
  <c r="B111" i="34"/>
  <c r="B112" i="34"/>
  <c r="B113" i="34"/>
  <c r="B114" i="34"/>
  <c r="B115" i="34"/>
  <c r="B116" i="34"/>
  <c r="B117" i="34"/>
  <c r="B118" i="34"/>
  <c r="B119" i="34"/>
  <c r="B120" i="34"/>
  <c r="B121" i="34"/>
  <c r="B122" i="34"/>
  <c r="B123" i="34"/>
  <c r="B124" i="34"/>
  <c r="B125" i="34"/>
  <c r="B126" i="34"/>
  <c r="B127" i="34"/>
  <c r="B128" i="34"/>
  <c r="B129" i="34"/>
  <c r="B130" i="34"/>
  <c r="B131" i="34"/>
  <c r="B132" i="34"/>
  <c r="B133" i="34"/>
  <c r="B134" i="34"/>
  <c r="B135" i="34"/>
  <c r="B136" i="34"/>
  <c r="B137" i="34"/>
  <c r="B138" i="34"/>
  <c r="B139" i="34"/>
  <c r="B140" i="34"/>
  <c r="B141" i="34"/>
  <c r="B142" i="34"/>
  <c r="B143" i="34"/>
  <c r="B144" i="34"/>
  <c r="B145" i="34"/>
  <c r="B146" i="34"/>
  <c r="B147" i="34"/>
  <c r="B148" i="34"/>
  <c r="B149" i="34"/>
  <c r="B150" i="34"/>
  <c r="B151" i="34"/>
  <c r="B152" i="34"/>
  <c r="B153" i="34"/>
  <c r="B154" i="34"/>
  <c r="B155" i="34"/>
  <c r="B156" i="34"/>
  <c r="B157" i="34"/>
  <c r="B158" i="34"/>
  <c r="B159" i="34"/>
  <c r="B160" i="34"/>
  <c r="B161" i="34"/>
  <c r="B162" i="34"/>
  <c r="B163" i="34"/>
  <c r="B164" i="34"/>
  <c r="B165" i="34"/>
  <c r="B166" i="34"/>
  <c r="B167" i="34"/>
  <c r="B168" i="34"/>
  <c r="B169" i="34"/>
  <c r="B170" i="34"/>
  <c r="B171" i="34"/>
  <c r="B172" i="34"/>
  <c r="B173" i="34"/>
  <c r="B174" i="34"/>
  <c r="B177" i="34"/>
  <c r="B180" i="34"/>
  <c r="B181" i="34"/>
  <c r="B182" i="34"/>
  <c r="B183" i="34"/>
  <c r="B184" i="34"/>
  <c r="B185" i="34"/>
  <c r="B186" i="34"/>
  <c r="B187" i="34"/>
  <c r="B188" i="34"/>
  <c r="B189" i="34"/>
  <c r="B190" i="34"/>
  <c r="B191" i="34"/>
  <c r="B192" i="34"/>
  <c r="B193" i="34"/>
  <c r="B194" i="34"/>
  <c r="B195" i="34"/>
  <c r="B196" i="34"/>
  <c r="B197" i="34"/>
  <c r="B198" i="34"/>
  <c r="B199" i="34"/>
  <c r="B200" i="34"/>
  <c r="B201" i="34"/>
  <c r="B202" i="34"/>
  <c r="B203" i="34"/>
  <c r="B204" i="34"/>
  <c r="B205" i="34"/>
  <c r="B206" i="34"/>
  <c r="B207" i="34"/>
  <c r="B208" i="34"/>
  <c r="B209" i="34"/>
  <c r="B210" i="34"/>
  <c r="B211" i="34"/>
  <c r="B212" i="34"/>
  <c r="B213" i="34"/>
  <c r="B214" i="34"/>
  <c r="B215" i="34"/>
  <c r="B216" i="34"/>
  <c r="B217" i="34"/>
  <c r="B218" i="34"/>
  <c r="B219" i="34"/>
  <c r="B220" i="34"/>
  <c r="B221" i="34"/>
  <c r="B222" i="34"/>
  <c r="B223" i="34"/>
  <c r="B224" i="34"/>
  <c r="B225" i="34"/>
  <c r="B226" i="34"/>
  <c r="B227" i="34"/>
  <c r="B228" i="34"/>
  <c r="B229" i="34"/>
  <c r="B230" i="34"/>
  <c r="B231" i="34"/>
  <c r="B232" i="34"/>
  <c r="B233" i="34"/>
  <c r="B234" i="34"/>
  <c r="B235" i="34"/>
  <c r="B236" i="34"/>
  <c r="B237" i="34"/>
  <c r="B238" i="34"/>
  <c r="B239" i="34"/>
  <c r="B240" i="34"/>
  <c r="B241" i="34"/>
  <c r="B242" i="34"/>
  <c r="B243" i="34"/>
  <c r="B244" i="34"/>
  <c r="B245" i="34"/>
  <c r="B246" i="34"/>
  <c r="B247" i="34"/>
  <c r="B248" i="34"/>
  <c r="B249" i="34"/>
  <c r="B250" i="34"/>
  <c r="B251" i="34"/>
  <c r="B252" i="34"/>
  <c r="B253" i="34"/>
  <c r="B254" i="34"/>
  <c r="B255" i="34"/>
  <c r="B256" i="34"/>
  <c r="B257" i="34"/>
  <c r="B258" i="34"/>
  <c r="B259" i="34"/>
  <c r="B260" i="34"/>
  <c r="B261" i="34"/>
  <c r="B262" i="34"/>
  <c r="B263" i="34"/>
  <c r="B264" i="34"/>
  <c r="B265" i="34"/>
  <c r="B266" i="34"/>
  <c r="B267" i="34"/>
  <c r="B268" i="34"/>
  <c r="B269" i="34"/>
  <c r="B270" i="34"/>
  <c r="B271" i="34"/>
  <c r="B272" i="34"/>
  <c r="B273" i="34"/>
  <c r="B274" i="34"/>
  <c r="B275" i="34"/>
  <c r="B276" i="34"/>
  <c r="B277" i="34"/>
  <c r="B278" i="34"/>
  <c r="B279" i="34"/>
  <c r="B280" i="34"/>
  <c r="B281" i="34"/>
  <c r="B282" i="34"/>
  <c r="B283" i="34"/>
  <c r="B284" i="34"/>
  <c r="B285" i="34"/>
  <c r="B286" i="34"/>
  <c r="B287" i="34"/>
  <c r="B288" i="34"/>
  <c r="B289" i="34"/>
  <c r="B290" i="34"/>
  <c r="B291" i="34"/>
  <c r="B292" i="34"/>
  <c r="C4" i="27"/>
  <c r="C5" i="27"/>
  <c r="C6" i="27"/>
  <c r="C7" i="27"/>
  <c r="C8" i="27"/>
  <c r="C9" i="27"/>
  <c r="C10" i="27"/>
  <c r="C11" i="27"/>
  <c r="C12" i="27"/>
  <c r="C13" i="27"/>
  <c r="C14" i="27"/>
  <c r="C15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6" i="27"/>
  <c r="C87" i="27"/>
  <c r="C88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C113" i="27"/>
  <c r="C115" i="27"/>
  <c r="C116" i="27"/>
  <c r="C117" i="27"/>
  <c r="C118" i="27"/>
  <c r="C119" i="27"/>
  <c r="C120" i="27"/>
  <c r="C121" i="27"/>
  <c r="C122" i="27"/>
  <c r="C123" i="27"/>
  <c r="C124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140" i="27"/>
  <c r="C142" i="27"/>
  <c r="C143" i="27"/>
  <c r="C144" i="27"/>
  <c r="C145" i="27"/>
  <c r="C148" i="27"/>
  <c r="C149" i="27"/>
  <c r="C150" i="27"/>
  <c r="C151" i="27"/>
  <c r="C154" i="27"/>
  <c r="C155" i="27"/>
  <c r="C157" i="27"/>
  <c r="C158" i="27"/>
  <c r="C159" i="27"/>
  <c r="C160" i="27"/>
  <c r="C161" i="27"/>
  <c r="C163" i="27"/>
  <c r="C164" i="27"/>
  <c r="C165" i="27"/>
  <c r="C166" i="27"/>
  <c r="C167" i="27"/>
  <c r="C168" i="27"/>
  <c r="C169" i="27"/>
  <c r="C170" i="27"/>
  <c r="C171" i="27"/>
  <c r="C172" i="27"/>
  <c r="C173" i="27"/>
  <c r="C174" i="27"/>
  <c r="C175" i="27"/>
  <c r="C176" i="27"/>
  <c r="C177" i="27"/>
  <c r="C178" i="27"/>
  <c r="C179" i="27"/>
  <c r="C180" i="27"/>
  <c r="C181" i="27"/>
  <c r="C182" i="27"/>
  <c r="C183" i="27"/>
  <c r="C184" i="27"/>
  <c r="C185" i="27"/>
  <c r="C186" i="27"/>
  <c r="C187" i="27"/>
  <c r="C188" i="27"/>
  <c r="C189" i="27"/>
  <c r="C190" i="27"/>
  <c r="C191" i="27"/>
  <c r="C192" i="27"/>
  <c r="C193" i="27"/>
  <c r="B2" i="35"/>
  <c r="G24" i="31" l="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D2" i="35" l="1"/>
  <c r="E2" i="35" s="1"/>
  <c r="B2" i="34" l="1"/>
  <c r="G42" i="31" l="1"/>
  <c r="G43" i="31"/>
  <c r="G44" i="31"/>
  <c r="G35" i="31"/>
  <c r="G36" i="31"/>
  <c r="G37" i="31"/>
  <c r="G38" i="31"/>
  <c r="G39" i="31"/>
  <c r="G40" i="31"/>
  <c r="G41" i="31"/>
  <c r="G30" i="31"/>
  <c r="G31" i="31"/>
  <c r="G32" i="31"/>
  <c r="G33" i="31"/>
  <c r="G34" i="31"/>
  <c r="G9" i="31"/>
  <c r="G10" i="31"/>
  <c r="G4" i="31"/>
  <c r="G5" i="31"/>
  <c r="G2" i="31"/>
  <c r="G3" i="31"/>
  <c r="G7" i="31"/>
  <c r="G8" i="31"/>
  <c r="G6" i="31"/>
  <c r="G3" i="27" l="1"/>
  <c r="G583" i="27" s="1"/>
  <c r="C3" i="27"/>
</calcChain>
</file>

<file path=xl/sharedStrings.xml><?xml version="1.0" encoding="utf-8"?>
<sst xmlns="http://schemas.openxmlformats.org/spreadsheetml/2006/main" count="4377" uniqueCount="1286">
  <si>
    <t>COD TEMPLEX</t>
  </si>
  <si>
    <t>DESCRIPCION</t>
  </si>
  <si>
    <t>COLOR</t>
  </si>
  <si>
    <t>ADA0206</t>
  </si>
  <si>
    <t>PCE0202</t>
  </si>
  <si>
    <t>TUB0211</t>
  </si>
  <si>
    <t>CAB7038</t>
  </si>
  <si>
    <t>TUB0108</t>
  </si>
  <si>
    <t>DIV0502</t>
  </si>
  <si>
    <t>PER0302</t>
  </si>
  <si>
    <t>U570201</t>
  </si>
  <si>
    <t>PEF0106</t>
  </si>
  <si>
    <t>ADA0103</t>
  </si>
  <si>
    <t>965MPER</t>
  </si>
  <si>
    <t>ALF0202</t>
  </si>
  <si>
    <t>TUB0706</t>
  </si>
  <si>
    <t>ZSE0101</t>
  </si>
  <si>
    <t>JAM0206</t>
  </si>
  <si>
    <t>CAB0207</t>
  </si>
  <si>
    <t>SIL0401</t>
  </si>
  <si>
    <t>ALF0102</t>
  </si>
  <si>
    <t>ALF0104</t>
  </si>
  <si>
    <t>CAB0401</t>
  </si>
  <si>
    <t>CAB0206</t>
  </si>
  <si>
    <t>SIL0201</t>
  </si>
  <si>
    <t>SIL0105</t>
  </si>
  <si>
    <t>SIL0744</t>
  </si>
  <si>
    <t>U320401</t>
  </si>
  <si>
    <t>CAB0203</t>
  </si>
  <si>
    <t>ALF0105</t>
  </si>
  <si>
    <t>FAR0102</t>
  </si>
  <si>
    <t>HOS0202</t>
  </si>
  <si>
    <t>HOI0204</t>
  </si>
  <si>
    <t>ALF0101</t>
  </si>
  <si>
    <t>TUB0604</t>
  </si>
  <si>
    <t>ALF0532</t>
  </si>
  <si>
    <t>TUB0201</t>
  </si>
  <si>
    <t>TUB0506</t>
  </si>
  <si>
    <t>TUB0111</t>
  </si>
  <si>
    <t>MOSMATE</t>
  </si>
  <si>
    <t>TUB0602</t>
  </si>
  <si>
    <t>TUB0103</t>
  </si>
  <si>
    <t>SIL0504</t>
  </si>
  <si>
    <t>JAM0108</t>
  </si>
  <si>
    <t>SIL0601</t>
  </si>
  <si>
    <t>CAB0601</t>
  </si>
  <si>
    <t>ENGA8025</t>
  </si>
  <si>
    <t>JAM0106</t>
  </si>
  <si>
    <t>P300101</t>
  </si>
  <si>
    <t>TUB0132</t>
  </si>
  <si>
    <t>HOR0602</t>
  </si>
  <si>
    <t>SIL0203</t>
  </si>
  <si>
    <t>PIS0601</t>
  </si>
  <si>
    <t>U570604</t>
  </si>
  <si>
    <t>NEGRO</t>
  </si>
  <si>
    <t>U-57</t>
  </si>
  <si>
    <t>BRONCE</t>
  </si>
  <si>
    <t>GRIS PLATA</t>
  </si>
  <si>
    <t>TUB0610</t>
  </si>
  <si>
    <t>T-70</t>
  </si>
  <si>
    <t>S-332</t>
  </si>
  <si>
    <t>JAM0101</t>
  </si>
  <si>
    <t>ANG0103</t>
  </si>
  <si>
    <t>MATE</t>
  </si>
  <si>
    <t>TRA0203</t>
  </si>
  <si>
    <t>ENG0505</t>
  </si>
  <si>
    <t>JAM0505</t>
  </si>
  <si>
    <t>BLANCO</t>
  </si>
  <si>
    <t>S-319</t>
  </si>
  <si>
    <t>SIL0212</t>
  </si>
  <si>
    <t>CAB0202</t>
  </si>
  <si>
    <t>TRA0601</t>
  </si>
  <si>
    <t>ANG0101</t>
  </si>
  <si>
    <t>A-46</t>
  </si>
  <si>
    <t>ALF0612</t>
  </si>
  <si>
    <t>SIL0205</t>
  </si>
  <si>
    <t>JAM0102</t>
  </si>
  <si>
    <t>ENG0102</t>
  </si>
  <si>
    <t>PIS0204</t>
  </si>
  <si>
    <t>ALF0201</t>
  </si>
  <si>
    <t>ANG0506</t>
  </si>
  <si>
    <t>A-01</t>
  </si>
  <si>
    <t>TUB0117</t>
  </si>
  <si>
    <t>T-95</t>
  </si>
  <si>
    <t>TUB0112</t>
  </si>
  <si>
    <t>ESQ0103</t>
  </si>
  <si>
    <t>SIL0502</t>
  </si>
  <si>
    <t>TUB0206</t>
  </si>
  <si>
    <t>S-351</t>
  </si>
  <si>
    <t>ANG0301</t>
  </si>
  <si>
    <t>T-94</t>
  </si>
  <si>
    <t>SIL0101</t>
  </si>
  <si>
    <t>S-201</t>
  </si>
  <si>
    <t>NAV0404</t>
  </si>
  <si>
    <t>ANG0303</t>
  </si>
  <si>
    <t>MOS0501</t>
  </si>
  <si>
    <t>T020101</t>
  </si>
  <si>
    <t>PT-02</t>
  </si>
  <si>
    <t>TUB0603</t>
  </si>
  <si>
    <t>T-97</t>
  </si>
  <si>
    <t>T-244</t>
  </si>
  <si>
    <t>SIL0501</t>
  </si>
  <si>
    <t>CAB0501</t>
  </si>
  <si>
    <t>PIS0101</t>
  </si>
  <si>
    <t>TPR0402</t>
  </si>
  <si>
    <t>PPR0501</t>
  </si>
  <si>
    <t>TUB0405</t>
  </si>
  <si>
    <t>TPR0101</t>
  </si>
  <si>
    <t>CAB0510</t>
  </si>
  <si>
    <t>ENG0504</t>
  </si>
  <si>
    <t>TRA0105</t>
  </si>
  <si>
    <t>HOR0502</t>
  </si>
  <si>
    <t>JAM0504</t>
  </si>
  <si>
    <t>HOS0101</t>
  </si>
  <si>
    <t>SIL0507</t>
  </si>
  <si>
    <t>SIL0103</t>
  </si>
  <si>
    <t>JAM0402</t>
  </si>
  <si>
    <t>TRA0402</t>
  </si>
  <si>
    <t>ENG0403</t>
  </si>
  <si>
    <t>ENG0101</t>
  </si>
  <si>
    <t>TRA0602</t>
  </si>
  <si>
    <t>HOI0101</t>
  </si>
  <si>
    <t>CAB0102</t>
  </si>
  <si>
    <t>SIL0606</t>
  </si>
  <si>
    <t>SIL0102</t>
  </si>
  <si>
    <t>DIV0604</t>
  </si>
  <si>
    <t>HORS061</t>
  </si>
  <si>
    <t>PER0301</t>
  </si>
  <si>
    <t>ADA0603</t>
  </si>
  <si>
    <t>DIV0101</t>
  </si>
  <si>
    <t>SIL0608</t>
  </si>
  <si>
    <t>PIS0405</t>
  </si>
  <si>
    <t>ADA0608</t>
  </si>
  <si>
    <t>ENG0602</t>
  </si>
  <si>
    <t>ROS0302</t>
  </si>
  <si>
    <t>ROS0301</t>
  </si>
  <si>
    <t>SL-010</t>
  </si>
  <si>
    <t>TRA0608</t>
  </si>
  <si>
    <t>T020601</t>
  </si>
  <si>
    <t>SIL0610</t>
  </si>
  <si>
    <t>CAB0106</t>
  </si>
  <si>
    <t>TRA0103</t>
  </si>
  <si>
    <t>ENG0103</t>
  </si>
  <si>
    <t>SIL0104</t>
  </si>
  <si>
    <t>HOR0603</t>
  </si>
  <si>
    <t>JAM0605</t>
  </si>
  <si>
    <t>TRA0604</t>
  </si>
  <si>
    <t>ENG0506</t>
  </si>
  <si>
    <t>U890101</t>
  </si>
  <si>
    <t>HOR0101</t>
  </si>
  <si>
    <t>ALF0604</t>
  </si>
  <si>
    <t>ALF0605</t>
  </si>
  <si>
    <t>ZSE0206</t>
  </si>
  <si>
    <t>TUB0118</t>
  </si>
  <si>
    <t>CAB0201</t>
  </si>
  <si>
    <t>U320101</t>
  </si>
  <si>
    <t>U-32</t>
  </si>
  <si>
    <t>S-369</t>
  </si>
  <si>
    <t>ADA0606</t>
  </si>
  <si>
    <t>CAB0606</t>
  </si>
  <si>
    <t>SIL0603</t>
  </si>
  <si>
    <t>ENG0601</t>
  </si>
  <si>
    <t>TUB8001</t>
  </si>
  <si>
    <t>TUB0104</t>
  </si>
  <si>
    <t>TUB0102</t>
  </si>
  <si>
    <t>ANG0610</t>
  </si>
  <si>
    <t>JAM0403</t>
  </si>
  <si>
    <t>JAM0503</t>
  </si>
  <si>
    <t>PIS0602</t>
  </si>
  <si>
    <t>JAM0103</t>
  </si>
  <si>
    <t>U-89</t>
  </si>
  <si>
    <t>ANG0307</t>
  </si>
  <si>
    <t>TUB0105</t>
  </si>
  <si>
    <t>SIL0110</t>
  </si>
  <si>
    <t>PPR0101</t>
  </si>
  <si>
    <t>NAV0101</t>
  </si>
  <si>
    <t>ANG0508</t>
  </si>
  <si>
    <t>TUB0114</t>
  </si>
  <si>
    <t>T-280</t>
  </si>
  <si>
    <t>F080101</t>
  </si>
  <si>
    <t>F-08</t>
  </si>
  <si>
    <t>HOR0204</t>
  </si>
  <si>
    <t>TUB0502</t>
  </si>
  <si>
    <t>CAB0410</t>
  </si>
  <si>
    <t>SIL0416</t>
  </si>
  <si>
    <t>PER0601</t>
  </si>
  <si>
    <t>ENG0406</t>
  </si>
  <si>
    <t>JAM0604</t>
  </si>
  <si>
    <t>NAV0606</t>
  </si>
  <si>
    <t>TUB0106</t>
  </si>
  <si>
    <t>TUB0107</t>
  </si>
  <si>
    <t>PEP0301</t>
  </si>
  <si>
    <t>ENG0106</t>
  </si>
  <si>
    <t>8025 ENGANCHE REDONDO 631 MATE</t>
  </si>
  <si>
    <t>U320203</t>
  </si>
  <si>
    <t>U32 GRIS PLATA</t>
  </si>
  <si>
    <t>ADA0305</t>
  </si>
  <si>
    <t>3831 ADAPTADOR 175 CRUDO</t>
  </si>
  <si>
    <t>ADA0405</t>
  </si>
  <si>
    <t>744 ADAPTADOR 403 BLANCO</t>
  </si>
  <si>
    <t>ALF0103</t>
  </si>
  <si>
    <t>ALF0301</t>
  </si>
  <si>
    <t>ALFAJIA S-012 CRUDO</t>
  </si>
  <si>
    <t>ALF0401</t>
  </si>
  <si>
    <t>ALFAJIA S-332 BLANCA</t>
  </si>
  <si>
    <t>ALF0505</t>
  </si>
  <si>
    <t>ANG0501</t>
  </si>
  <si>
    <t>CAB0301</t>
  </si>
  <si>
    <t>8025 CABEZAL 151 CRUDO</t>
  </si>
  <si>
    <t>CAB0307</t>
  </si>
  <si>
    <t>5020 CABEZAL 144 CRUDO</t>
  </si>
  <si>
    <t>CAB1001</t>
  </si>
  <si>
    <t>CAN0401</t>
  </si>
  <si>
    <t>CANAL S-453 BLANCO</t>
  </si>
  <si>
    <t>DIV0303</t>
  </si>
  <si>
    <t>3831 DIVISOR 292 CRUDO</t>
  </si>
  <si>
    <t>ENG0301</t>
  </si>
  <si>
    <t>8025 ENGANCHE 191 CRUDO</t>
  </si>
  <si>
    <t>ENG0304</t>
  </si>
  <si>
    <t>744 ENGANCHE 391 CRUDO</t>
  </si>
  <si>
    <t>ENG0402</t>
  </si>
  <si>
    <t>8025 ENGANCHE 191 BLANCO</t>
  </si>
  <si>
    <t>ENG1001</t>
  </si>
  <si>
    <t>5020 ENGANCHE 147 CRUDO</t>
  </si>
  <si>
    <t>ESQ0302</t>
  </si>
  <si>
    <t>3831 ESQUINERO 416 CRUDO</t>
  </si>
  <si>
    <t>HOI0301</t>
  </si>
  <si>
    <t>HOI0403</t>
  </si>
  <si>
    <t>HOR0307</t>
  </si>
  <si>
    <t>5020 HORIZONTAL 148 CRUDO</t>
  </si>
  <si>
    <t>HOS0301</t>
  </si>
  <si>
    <t>HOS0402</t>
  </si>
  <si>
    <t>JAM1001</t>
  </si>
  <si>
    <t>5020 JAMBA 193 CRUDO</t>
  </si>
  <si>
    <t>NAV0202</t>
  </si>
  <si>
    <t>NAV0305</t>
  </si>
  <si>
    <t>3831 NAVE 176 CRUDO</t>
  </si>
  <si>
    <t>P300601</t>
  </si>
  <si>
    <t>PIS0103</t>
  </si>
  <si>
    <t>SIL0302</t>
  </si>
  <si>
    <t>8025 SILLAR 150 CRUDO</t>
  </si>
  <si>
    <t>SIL1001</t>
  </si>
  <si>
    <t>SIL1002</t>
  </si>
  <si>
    <t>5020 SILLAR 194 CRUDO</t>
  </si>
  <si>
    <t>TRA0301</t>
  </si>
  <si>
    <t>8025 TRASLAPE 190 CRUDO</t>
  </si>
  <si>
    <t>TRA1001</t>
  </si>
  <si>
    <t>5020 TRASLAPE 192 CRUDO</t>
  </si>
  <si>
    <t>TUBULAR T-98 MATE</t>
  </si>
  <si>
    <t>TUB0109</t>
  </si>
  <si>
    <t>TUBULAR T-117 MATE</t>
  </si>
  <si>
    <t>TUB0146</t>
  </si>
  <si>
    <t>TUB0203</t>
  </si>
  <si>
    <t>TUB0212</t>
  </si>
  <si>
    <t>TUBULAR T-117 GRIS PLATA</t>
  </si>
  <si>
    <t>TUB0304</t>
  </si>
  <si>
    <t>TUB0309</t>
  </si>
  <si>
    <t>TUBULAR T-101 CRUDO</t>
  </si>
  <si>
    <t>TUB0312</t>
  </si>
  <si>
    <t>TUB0410</t>
  </si>
  <si>
    <t>TUB0415</t>
  </si>
  <si>
    <t>TUBULAR T-74 BLANCO</t>
  </si>
  <si>
    <t>TUB0606</t>
  </si>
  <si>
    <t>TUB1000</t>
  </si>
  <si>
    <t>U320501</t>
  </si>
  <si>
    <t>U32 BRONCE</t>
  </si>
  <si>
    <t>U570303</t>
  </si>
  <si>
    <t>U57 CRUDO</t>
  </si>
  <si>
    <t>U660101</t>
  </si>
  <si>
    <t>U66 MATE</t>
  </si>
  <si>
    <t>U681001</t>
  </si>
  <si>
    <t>U68 CRUDO</t>
  </si>
  <si>
    <t>U690101</t>
  </si>
  <si>
    <t>U69 MATE</t>
  </si>
  <si>
    <t>U890602</t>
  </si>
  <si>
    <t>U89 NEGRO</t>
  </si>
  <si>
    <t>965 PERFIL FACHADA FLOTANTE</t>
  </si>
  <si>
    <t>ADA0101</t>
  </si>
  <si>
    <t>7038 ADAPTADOR 840 MATE</t>
  </si>
  <si>
    <t>744 ADAPTADOR 403 MATE</t>
  </si>
  <si>
    <t>ADA0201</t>
  </si>
  <si>
    <t>8025 ADAPTADOR 158 GRIS PLATA</t>
  </si>
  <si>
    <t>ADA0204</t>
  </si>
  <si>
    <t>ADA0402</t>
  </si>
  <si>
    <t>7038 ADAPTADOR 840 BLANCO</t>
  </si>
  <si>
    <t>ADA0404</t>
  </si>
  <si>
    <t>3831 ADAPTADOR 175 BLANCO</t>
  </si>
  <si>
    <t>ADA0504</t>
  </si>
  <si>
    <t>744 ADAPTADOR 403 BRONCE</t>
  </si>
  <si>
    <t>8025 ADAPTADOR 158 NEGRO</t>
  </si>
  <si>
    <t>3831 ADAPTADOR 175 NEGRO</t>
  </si>
  <si>
    <t>7038 ADAPTADOR 840 NEGRO</t>
  </si>
  <si>
    <t>ALFAJIA S-332 MATE</t>
  </si>
  <si>
    <t>ALFAJIA 413 MATE</t>
  </si>
  <si>
    <t>ALFAJIA S-012 MATE</t>
  </si>
  <si>
    <t>SILLAR ALFAJIA 616 MATE</t>
  </si>
  <si>
    <t>ALF0110</t>
  </si>
  <si>
    <t>ALFAJIA 449 MATE</t>
  </si>
  <si>
    <t>ALFAJIA 612 GRIS PLATA</t>
  </si>
  <si>
    <t>ALF0402</t>
  </si>
  <si>
    <t>ALFAJIA S-012 BLANCA</t>
  </si>
  <si>
    <t>ALFAJIA S-332 BRONCE</t>
  </si>
  <si>
    <t>ALF0602</t>
  </si>
  <si>
    <t>ALF0603</t>
  </si>
  <si>
    <t>ALFAJIA S-012 NEGRO</t>
  </si>
  <si>
    <t>ANG0102</t>
  </si>
  <si>
    <t>ANGULO IRREGULAR A-46 BRONCE</t>
  </si>
  <si>
    <t>ANG0104</t>
  </si>
  <si>
    <t>ANG0105</t>
  </si>
  <si>
    <t>ANG0201</t>
  </si>
  <si>
    <t>ANG0204</t>
  </si>
  <si>
    <t>ANG0302</t>
  </si>
  <si>
    <t>ANG0309</t>
  </si>
  <si>
    <t>ANG0409</t>
  </si>
  <si>
    <t>ANG0505</t>
  </si>
  <si>
    <t>ANG0601</t>
  </si>
  <si>
    <t>ANGULO IRREGULAR A-46 NEGRO</t>
  </si>
  <si>
    <t>ANG0602</t>
  </si>
  <si>
    <t>ANG1001</t>
  </si>
  <si>
    <t>CAB0101</t>
  </si>
  <si>
    <t>5020 CABEZAL 144 MATE</t>
  </si>
  <si>
    <t>CAB0103</t>
  </si>
  <si>
    <t>7038 CABEZAL 700 MATE</t>
  </si>
  <si>
    <t>8025 CABEZAL 706 MATE</t>
  </si>
  <si>
    <t>CAB0204</t>
  </si>
  <si>
    <t>8025 CABEZAL 706 BLANCO</t>
  </si>
  <si>
    <t>8025 CABEZAL 151 GRIS PLATA</t>
  </si>
  <si>
    <t>CAB0302</t>
  </si>
  <si>
    <t>CAB0402</t>
  </si>
  <si>
    <t>744 CABEZAL 392 BLANCO</t>
  </si>
  <si>
    <t>CAB0404</t>
  </si>
  <si>
    <t>5020 CABEZAL 144 BLANCO</t>
  </si>
  <si>
    <t>CAB0504</t>
  </si>
  <si>
    <t>8025 CABEZAL 706 BRONCE</t>
  </si>
  <si>
    <t>CAB0505</t>
  </si>
  <si>
    <t>8025 CABEZAL 151 BRONCE</t>
  </si>
  <si>
    <t>CAB0508</t>
  </si>
  <si>
    <t>744 CABEZAL 392 BRONCE</t>
  </si>
  <si>
    <t>5020 CABEZAL 144 BRONCE</t>
  </si>
  <si>
    <t>CAB0602</t>
  </si>
  <si>
    <t>CAB0603</t>
  </si>
  <si>
    <t>CAB0604</t>
  </si>
  <si>
    <t>CAB0605</t>
  </si>
  <si>
    <t>5020 CABEZAL 144 NEGRO</t>
  </si>
  <si>
    <t>744 CABEZAL 392 NEGRO</t>
  </si>
  <si>
    <t>CABE8025</t>
  </si>
  <si>
    <t>8025 CABEZAL 151 MATE</t>
  </si>
  <si>
    <t>744 CABEZAL 392 MATE</t>
  </si>
  <si>
    <t>3831 DIVISOR 292 MATE</t>
  </si>
  <si>
    <t>DIV0205</t>
  </si>
  <si>
    <t>3831 DIVISOR 1103 MATE</t>
  </si>
  <si>
    <t>DIV0206</t>
  </si>
  <si>
    <t>3831 DIVISOR 292 GRIS PLATA</t>
  </si>
  <si>
    <t>DIV0401</t>
  </si>
  <si>
    <t>3831 DIVISOR 292 BLANCO</t>
  </si>
  <si>
    <t>DIV0501</t>
  </si>
  <si>
    <t>3831 DIVISOR 1103 BRONCE</t>
  </si>
  <si>
    <t>3831 DIVISOR 292 BRONCE</t>
  </si>
  <si>
    <t>3831 DIVISOR 292 NEGRO</t>
  </si>
  <si>
    <t>DIV1871</t>
  </si>
  <si>
    <t>DIVISOR U-1871 MATE</t>
  </si>
  <si>
    <t>744 ENGANCHE 391 MATE</t>
  </si>
  <si>
    <t>5020 ENGANCHE 147 MATE</t>
  </si>
  <si>
    <t>ENG0104</t>
  </si>
  <si>
    <t>7038 ENGANCHE 705 MATE</t>
  </si>
  <si>
    <t>ENG0202</t>
  </si>
  <si>
    <t>8025 ENGANCHE 191 GRIS PLATA</t>
  </si>
  <si>
    <t>ENG0302</t>
  </si>
  <si>
    <t>744 ENGANCHE 391 BLANCO</t>
  </si>
  <si>
    <t>ENG0404</t>
  </si>
  <si>
    <t>7038 ENGANCHE 705 BLANCO</t>
  </si>
  <si>
    <t>5020 ENGANCHE 147 BLANCO</t>
  </si>
  <si>
    <t>ENG0503</t>
  </si>
  <si>
    <t>8025 ENGANCHE 191 BRONCE</t>
  </si>
  <si>
    <t>5020 ENGANCHE 147 BRONCE</t>
  </si>
  <si>
    <t>744 ENGANCHE 391 BRONCE</t>
  </si>
  <si>
    <t>5020 ENGANCHE 147 NEGRO</t>
  </si>
  <si>
    <t>ENG0607</t>
  </si>
  <si>
    <t>8025 ENGANCHE 191 NEGRO</t>
  </si>
  <si>
    <t>744 ENGANCHE 391 NEGRO</t>
  </si>
  <si>
    <t>8025 ENGANCHE 191 MATE</t>
  </si>
  <si>
    <t>3831 ESQUINERO 416 MATE</t>
  </si>
  <si>
    <t>ESQ0501</t>
  </si>
  <si>
    <t>3831 ESQUINERO 416 BRONCE</t>
  </si>
  <si>
    <t>ESQ0604</t>
  </si>
  <si>
    <t>3831 ESQUINERO 416 NEGRO</t>
  </si>
  <si>
    <t>FALSA RETICULA 511 MATE</t>
  </si>
  <si>
    <t>744 HORIZONTAL INFERIOR 390 MATE</t>
  </si>
  <si>
    <t>744 HORIZONTAL INFERIOR 390 GRIS PLATA</t>
  </si>
  <si>
    <t>HOI0207</t>
  </si>
  <si>
    <t>HOI0402</t>
  </si>
  <si>
    <t>744 HORIZONTAL INFERIOR 390 BLANCO</t>
  </si>
  <si>
    <t>HOI0503</t>
  </si>
  <si>
    <t>744 HORIZONTAL INFERIOR 390 BRONCE</t>
  </si>
  <si>
    <t>HOI0505</t>
  </si>
  <si>
    <t>5020 HORIZONTAL 148 NEGRO</t>
  </si>
  <si>
    <t>5020 HORIZONTAL 148 MATE</t>
  </si>
  <si>
    <t>HOR0102</t>
  </si>
  <si>
    <t>HOR0301</t>
  </si>
  <si>
    <t>HOR0404</t>
  </si>
  <si>
    <t>7038 HORIZONTAL 703 BLANCO</t>
  </si>
  <si>
    <t>HOR0408</t>
  </si>
  <si>
    <t>5020 HORIZONTAL 148 BLANCO</t>
  </si>
  <si>
    <t>5020 HORIZONTAL 148 BRONCE</t>
  </si>
  <si>
    <t>744 HORIZONTAL SUPERIOR 389 MATE</t>
  </si>
  <si>
    <t>HOS0207</t>
  </si>
  <si>
    <t>HOS0401</t>
  </si>
  <si>
    <t>744 HORIZONTAL SUPERIOR 389 BLANCO</t>
  </si>
  <si>
    <t>HOS0503</t>
  </si>
  <si>
    <t>744 HORIZONTAL SUPERIOR 389 BRONCE</t>
  </si>
  <si>
    <t>HOS0506</t>
  </si>
  <si>
    <t>HOS0601</t>
  </si>
  <si>
    <t>744 HORIZONTAL SUPERIOR 389 NEGRO</t>
  </si>
  <si>
    <t>HOSU8025</t>
  </si>
  <si>
    <t>3831 JAMBA 174 BRONCE</t>
  </si>
  <si>
    <t>5020 JAMBA 193 MATE</t>
  </si>
  <si>
    <t>JAM0104</t>
  </si>
  <si>
    <t>7038 JAMBA 702 MATE</t>
  </si>
  <si>
    <t>8025 JAMBA 708 MATE</t>
  </si>
  <si>
    <t>744 JAMBA 393 MATE</t>
  </si>
  <si>
    <t>3831 JAMBA 174 GRIS PLATA</t>
  </si>
  <si>
    <t>JAM0207</t>
  </si>
  <si>
    <t>8025 JAMBA 152 GRIS PLATA</t>
  </si>
  <si>
    <t>JAM0301</t>
  </si>
  <si>
    <t>8025 JAMBA 152 CRUDO</t>
  </si>
  <si>
    <t>JAM0302</t>
  </si>
  <si>
    <t>3831 JAMBA 174 CRUDO</t>
  </si>
  <si>
    <t>JAM0307</t>
  </si>
  <si>
    <t>744 JAMBA 393 BLANCO</t>
  </si>
  <si>
    <t>5020 JAMBA 193 BLANCO</t>
  </si>
  <si>
    <t>JAM0405</t>
  </si>
  <si>
    <t>JAM0407</t>
  </si>
  <si>
    <t>3831 JAMBA 174 BLANCO</t>
  </si>
  <si>
    <t>3831 JAMBA 174 MATE</t>
  </si>
  <si>
    <t>5020 JAMBA 193 BRONCE</t>
  </si>
  <si>
    <t>744 JAMBA 393 BRONCE</t>
  </si>
  <si>
    <t>JAM0506</t>
  </si>
  <si>
    <t>8025 JAMBA 152 BRONCE</t>
  </si>
  <si>
    <t>JAM0508</t>
  </si>
  <si>
    <t>8025 JAMBA 708 BRONCE</t>
  </si>
  <si>
    <t>JAM0601</t>
  </si>
  <si>
    <t>JAM0603</t>
  </si>
  <si>
    <t>3831 JAMBA 174 NEGRO</t>
  </si>
  <si>
    <t>5020 JAMBA 193 NEGRO</t>
  </si>
  <si>
    <t>JAM0609</t>
  </si>
  <si>
    <t>8025 JAMBA 152 NEGRO</t>
  </si>
  <si>
    <t>JAM0610</t>
  </si>
  <si>
    <t>8025 JAMBA 708 NEGRO</t>
  </si>
  <si>
    <t>JAM0744</t>
  </si>
  <si>
    <t>JAM8025</t>
  </si>
  <si>
    <t>8025 JAMBA 152 MATE</t>
  </si>
  <si>
    <t>744 JAMBA 393 NEGRO</t>
  </si>
  <si>
    <t>3831 NAVE 176 MATE</t>
  </si>
  <si>
    <t>NAV0503</t>
  </si>
  <si>
    <t>3831 NAVE 176 BRONCE</t>
  </si>
  <si>
    <t>3831 NAVE 176 NEGRO</t>
  </si>
  <si>
    <t>P180301</t>
  </si>
  <si>
    <t>PER0102</t>
  </si>
  <si>
    <t>PERFIL MUEBLE RECTO VP-010 MATE</t>
  </si>
  <si>
    <t>PER0401</t>
  </si>
  <si>
    <t>3831 PISAVIDRIO 481 MATE</t>
  </si>
  <si>
    <t>PIS0102</t>
  </si>
  <si>
    <t>3831 PISAVIDRIO 435 MATE</t>
  </si>
  <si>
    <t>PIS0304</t>
  </si>
  <si>
    <t>3831 PISAVIDRIO 177 CRUDO</t>
  </si>
  <si>
    <t>3831 PISAVIDRIO 435 NEGRO</t>
  </si>
  <si>
    <t>3831 PISAVIDRIO 177 NEGRO</t>
  </si>
  <si>
    <t>3831 PISAVIDRIO 177 MATE</t>
  </si>
  <si>
    <t>3831 PISAVIDRIO 177 BRONCE</t>
  </si>
  <si>
    <t>RDU0101</t>
  </si>
  <si>
    <t>5020 SILLAR ALFAJIA 581 MATE</t>
  </si>
  <si>
    <t>3831 SILLAR CABEZAL 173 MATE</t>
  </si>
  <si>
    <t>3831 ADAPTADOR 175 MATE</t>
  </si>
  <si>
    <t>5020 SILLAR 194 MATE</t>
  </si>
  <si>
    <t>8025 SILLAR 707 MATE</t>
  </si>
  <si>
    <t>SIL0207</t>
  </si>
  <si>
    <t>8025 SILLAR 150 GRIS PLATA</t>
  </si>
  <si>
    <t>SIL0301</t>
  </si>
  <si>
    <t>3831 SILLAR CABEZAL 173 CRUDO</t>
  </si>
  <si>
    <t>SIL0307</t>
  </si>
  <si>
    <t>SIL0402</t>
  </si>
  <si>
    <t>SIL0404</t>
  </si>
  <si>
    <t>SIL0408</t>
  </si>
  <si>
    <t>744 SILLAR 387 BLANCO</t>
  </si>
  <si>
    <t>SIL0415</t>
  </si>
  <si>
    <t>3831 SILLAR CABEZAL 173 BLANCO</t>
  </si>
  <si>
    <t>5020 SILLAR 194 BLANCO</t>
  </si>
  <si>
    <t>3831 ADAPTADOR 175 BRONCE</t>
  </si>
  <si>
    <t>3831 SILLAR CABEZAL 173 BRONCE</t>
  </si>
  <si>
    <t>SIL0506</t>
  </si>
  <si>
    <t>5020 SILLAR 194 BRONCE</t>
  </si>
  <si>
    <t>744 SILLAR 387 BRONCE</t>
  </si>
  <si>
    <t>SIL0508</t>
  </si>
  <si>
    <t>SIL0510</t>
  </si>
  <si>
    <t>8025 SILLAR 150 BRONCE</t>
  </si>
  <si>
    <t>7038 SILLAR 701 NEGRO</t>
  </si>
  <si>
    <t>SIL0602</t>
  </si>
  <si>
    <t>5020 SILLAR 194 NEGRO</t>
  </si>
  <si>
    <t>744 SILLAR 387 NEGRO</t>
  </si>
  <si>
    <t>3831 SILLAR CABEZAL 173 NEGRO</t>
  </si>
  <si>
    <t>SIL0607</t>
  </si>
  <si>
    <t>SILLAR CABINA S-201 NEGRO</t>
  </si>
  <si>
    <t>SIL0609</t>
  </si>
  <si>
    <t>8025 SILLAR 150 NEGRO</t>
  </si>
  <si>
    <t>8025 SILLAR 707 NEGRO</t>
  </si>
  <si>
    <t>744 SILLAR 387 MATE</t>
  </si>
  <si>
    <t>8025 SILLAR 150 MATE</t>
  </si>
  <si>
    <t>T020402</t>
  </si>
  <si>
    <t>TAP0101</t>
  </si>
  <si>
    <t>TAP0201</t>
  </si>
  <si>
    <t>5020 TRASLAPE REFORZADO 462 MATE</t>
  </si>
  <si>
    <t>5020 TRASLAPE REFORZADO 462 BLANCO</t>
  </si>
  <si>
    <t>TPR0503</t>
  </si>
  <si>
    <t>5020 TRASLAPE REFORZADO 462 BRONCE</t>
  </si>
  <si>
    <t>TRA0101</t>
  </si>
  <si>
    <t>TRA0102</t>
  </si>
  <si>
    <t>5020 TRASLAPE 192 BRONCE</t>
  </si>
  <si>
    <t>5020 TRASLAPE 192 MATE</t>
  </si>
  <si>
    <t>TRA0104</t>
  </si>
  <si>
    <t>7038 TRASLAPE 704 MATE</t>
  </si>
  <si>
    <t>744 TRASLAPE 388 MATE</t>
  </si>
  <si>
    <t>TRA0106</t>
  </si>
  <si>
    <t>8025 TRASLAPE REDONDO 633 MATE</t>
  </si>
  <si>
    <t>TRA0201</t>
  </si>
  <si>
    <t>5020 TRASLAPE 192 GRIS PLATA</t>
  </si>
  <si>
    <t>744 TRASLAPE 388 BRONCE</t>
  </si>
  <si>
    <t>TRA0207</t>
  </si>
  <si>
    <t>8025 TRASLAPE 190 GRIS PLATA</t>
  </si>
  <si>
    <t>TRA0302</t>
  </si>
  <si>
    <t>TRA0307</t>
  </si>
  <si>
    <t>5020 TRASLAPE 192 BLANCO</t>
  </si>
  <si>
    <t>744 TRASLAPE 388 BLANCO</t>
  </si>
  <si>
    <t>TRA0403</t>
  </si>
  <si>
    <t>8025 TRASLAPE 190 BLANCO</t>
  </si>
  <si>
    <t>TRA0405</t>
  </si>
  <si>
    <t>7038 TRASLAPE 704 BLANCO</t>
  </si>
  <si>
    <t>TRA0502</t>
  </si>
  <si>
    <t>8025 TRASLAPE 190 BRONCE</t>
  </si>
  <si>
    <t>5020 TRASLAPE 192 NEGRO</t>
  </si>
  <si>
    <t>8025 TRASLAPE 190 NEGRO</t>
  </si>
  <si>
    <t>TRAS8025</t>
  </si>
  <si>
    <t>8025 TRASLAPE 190 MATE</t>
  </si>
  <si>
    <t>5020 TRASLAPE REFORZADO 462 GRIS PLATA</t>
  </si>
  <si>
    <t>TUB0101</t>
  </si>
  <si>
    <t>TUBULAR T-97 MATE</t>
  </si>
  <si>
    <t>TUBULAR T-280 MATE</t>
  </si>
  <si>
    <t>TUBULAR T-95 MATE</t>
  </si>
  <si>
    <t>TUB0120</t>
  </si>
  <si>
    <t>CUARTO CIRCULAR 1 1/2 " MATE</t>
  </si>
  <si>
    <t>TUB0216</t>
  </si>
  <si>
    <t>TUBULAR T-90 MATE</t>
  </si>
  <si>
    <t>TUB0301</t>
  </si>
  <si>
    <t>TUB0406</t>
  </si>
  <si>
    <t>TUBULAR T-101 BLANCO</t>
  </si>
  <si>
    <t>TUB0409</t>
  </si>
  <si>
    <t>TUB0501</t>
  </si>
  <si>
    <t>TUB0508</t>
  </si>
  <si>
    <t>TUBULAR T-96 BRONCE</t>
  </si>
  <si>
    <t>TUB0510</t>
  </si>
  <si>
    <t>TUBULAR T-95 BRONCE</t>
  </si>
  <si>
    <t>TUB0514</t>
  </si>
  <si>
    <t>TUBULAR T-97 BRONCE</t>
  </si>
  <si>
    <t>TUB0517</t>
  </si>
  <si>
    <t>TUB0601</t>
  </si>
  <si>
    <t>TUBULAR T-97 NEGRO</t>
  </si>
  <si>
    <t>TUB0605</t>
  </si>
  <si>
    <t>TUBULAR 1101 NEGRO</t>
  </si>
  <si>
    <t>TUBULAR T-95 NEGRO</t>
  </si>
  <si>
    <t>TUBULAR T-50 CRUDO</t>
  </si>
  <si>
    <t>U32 MATE</t>
  </si>
  <si>
    <t>U320201</t>
  </si>
  <si>
    <t>U320301</t>
  </si>
  <si>
    <t>U32 BLANCA</t>
  </si>
  <si>
    <t>U550102</t>
  </si>
  <si>
    <t>U550501</t>
  </si>
  <si>
    <t>U55 BRONCE</t>
  </si>
  <si>
    <t>U570101</t>
  </si>
  <si>
    <t>U57 MATE</t>
  </si>
  <si>
    <t>U57 GRIS PLATA</t>
  </si>
  <si>
    <t>U570401</t>
  </si>
  <si>
    <t>U57 BLANCO</t>
  </si>
  <si>
    <t>U570502</t>
  </si>
  <si>
    <t>U57 BRONCE</t>
  </si>
  <si>
    <t>U57 NEGRO</t>
  </si>
  <si>
    <t>U680101</t>
  </si>
  <si>
    <t>U680201</t>
  </si>
  <si>
    <t>U68 GRIS PLATA</t>
  </si>
  <si>
    <t>U680401</t>
  </si>
  <si>
    <t>U68 BLANCO</t>
  </si>
  <si>
    <t>U680501</t>
  </si>
  <si>
    <t>U68 BRONCE</t>
  </si>
  <si>
    <t>U680601</t>
  </si>
  <si>
    <t>RIEL W CRUDO</t>
  </si>
  <si>
    <t>ZSE0104</t>
  </si>
  <si>
    <t>ZSE0502</t>
  </si>
  <si>
    <t>U-68</t>
  </si>
  <si>
    <t>ALF0403</t>
  </si>
  <si>
    <t>F080601</t>
  </si>
  <si>
    <t>JAM0408</t>
  </si>
  <si>
    <t>TUB0302</t>
  </si>
  <si>
    <t>TUB0503</t>
  </si>
  <si>
    <t>8025 JAMBA 152 BLANCO</t>
  </si>
  <si>
    <t>ALF0501</t>
  </si>
  <si>
    <t>ALF0111</t>
  </si>
  <si>
    <t>ALFAJIA S-012 BRONCE</t>
  </si>
  <si>
    <t>ALF0503</t>
  </si>
  <si>
    <t>8025 SILLAR 150 BLANCO</t>
  </si>
  <si>
    <t>SIL0106</t>
  </si>
  <si>
    <t>ALF0601</t>
  </si>
  <si>
    <t>REF.</t>
  </si>
  <si>
    <t>P300301</t>
  </si>
  <si>
    <t>7038 CABEZAL 700 NEGRO</t>
  </si>
  <si>
    <t>SILL0102</t>
  </si>
  <si>
    <t>7038 CABEZAL TRES RIELES 1730 MATE</t>
  </si>
  <si>
    <t>8025 CABEZAL 151 NEGRO</t>
  </si>
  <si>
    <t>DIV0601</t>
  </si>
  <si>
    <t>3831 DIVISOR 1103 NEGRO</t>
  </si>
  <si>
    <t>FAR0501</t>
  </si>
  <si>
    <t>FALSA RETICULA 511 BRONCE</t>
  </si>
  <si>
    <t>ANGULO IRREGULAR A-46 MATE</t>
  </si>
  <si>
    <t>TUB0505</t>
  </si>
  <si>
    <t>CABEZAL CABINA S-319 MATE</t>
  </si>
  <si>
    <t>CABEZAL CABINA S-319 NEGRO</t>
  </si>
  <si>
    <t>SILLAR CABINA S-201 MATE</t>
  </si>
  <si>
    <t>SILLAR CABINA S-201 GRIS PLATA</t>
  </si>
  <si>
    <t>SILLAR CABINA S-201 BLANCO</t>
  </si>
  <si>
    <t>SILLAR CABINA S-201 BRONCE</t>
  </si>
  <si>
    <t>SILLAR CABINA S-201 CRUDO</t>
  </si>
  <si>
    <t>PERSIANA 315 MATE</t>
  </si>
  <si>
    <t>PER0103</t>
  </si>
  <si>
    <t>ALFAJIA 413 BLANCO</t>
  </si>
  <si>
    <t>ALF0502</t>
  </si>
  <si>
    <t>ALFAJIA 413 BRONCE</t>
  </si>
  <si>
    <t>TUBULAR 1101 MATE</t>
  </si>
  <si>
    <t>TUBULAR 1101 GRIS PLATA</t>
  </si>
  <si>
    <t>TUBULAR 1101 BLANCO</t>
  </si>
  <si>
    <t>TUB0507</t>
  </si>
  <si>
    <t>TUBULAR 1101 BRONCE</t>
  </si>
  <si>
    <t>TUBULAR T-101 NEGRO</t>
  </si>
  <si>
    <t>FAR0601</t>
  </si>
  <si>
    <t>TUB8006</t>
  </si>
  <si>
    <t>TUBULAR T-80 NEGRO</t>
  </si>
  <si>
    <t>3831 ADAPTADOR 175 GRIS PLATA</t>
  </si>
  <si>
    <t>744 ADAPTADOR 403 GRIS PLATA</t>
  </si>
  <si>
    <t>ZOC0609</t>
  </si>
  <si>
    <t>TUBULAR 1102 MATE</t>
  </si>
  <si>
    <t>SILL0501</t>
  </si>
  <si>
    <t>5020 SILLAR ALFAJIA 581 BRONCE</t>
  </si>
  <si>
    <t>744 TRASLAPE 388 NEGRO</t>
  </si>
  <si>
    <t>8025 CABEZAL 151 BLANCO</t>
  </si>
  <si>
    <t>7038 ENGANCHE 705 NEGRO</t>
  </si>
  <si>
    <t>7038 HORIZONTAL 703 NEGRO</t>
  </si>
  <si>
    <t>ALF0203</t>
  </si>
  <si>
    <t>PLP1203</t>
  </si>
  <si>
    <t>PLATINA P-12 CRUDO</t>
  </si>
  <si>
    <t>ADA0501</t>
  </si>
  <si>
    <t>8025 ADAPTADOR 158 BRONCE</t>
  </si>
  <si>
    <t>744 HORIZONTAL INFERIOR 390 NEGRO</t>
  </si>
  <si>
    <t>7038 TRASLAPE 704 CRUDO</t>
  </si>
  <si>
    <t>7038 TRASLAPE 704 NEGRO</t>
  </si>
  <si>
    <t>8025 CABEZAL 706 NEGRO</t>
  </si>
  <si>
    <t>8025 SILLAR 707 BLANCO</t>
  </si>
  <si>
    <t>7038 CABEZAL 700 CRUDO</t>
  </si>
  <si>
    <t>7038 CABEZAL 700 BLANCO</t>
  </si>
  <si>
    <t>7038 ENGANCHE 705 CRUDO</t>
  </si>
  <si>
    <t>7038 SILLAR 701 CRUDO</t>
  </si>
  <si>
    <t>7038 SILLAR 701 BLANCO</t>
  </si>
  <si>
    <t>SIL0403</t>
  </si>
  <si>
    <t>ALF0302</t>
  </si>
  <si>
    <t>ALFAJIA S-332 CRUDO</t>
  </si>
  <si>
    <t>TPR0301</t>
  </si>
  <si>
    <t>5020 TRASLAPE REFORZADO 462 CRUDO</t>
  </si>
  <si>
    <t>7038 JAMBA 702 NEGRO</t>
  </si>
  <si>
    <t>3831 NAVE 176 BLANCO</t>
  </si>
  <si>
    <t>TPR0211</t>
  </si>
  <si>
    <t>7038 JAMBA 702 BLANCO</t>
  </si>
  <si>
    <t>7038 JAMBA 702 CRUDO</t>
  </si>
  <si>
    <t>ANG0401</t>
  </si>
  <si>
    <t>S-012</t>
  </si>
  <si>
    <t>PERFIL F 463 CRUDO</t>
  </si>
  <si>
    <t>PERFIL F 463 NEGRO</t>
  </si>
  <si>
    <t>PERFIL F 463 MATE</t>
  </si>
  <si>
    <t>TUBULAR T-198 CRUDO</t>
  </si>
  <si>
    <t>CONS.</t>
  </si>
  <si>
    <t>TUB0204</t>
  </si>
  <si>
    <t>TUBULAR T-95 GRIS PLATA</t>
  </si>
  <si>
    <t>PERSIANA 315 GRIS PLATA</t>
  </si>
  <si>
    <t>PERSIANA 315 BRONCE</t>
  </si>
  <si>
    <t>PERSIANA 315 BLANCO</t>
  </si>
  <si>
    <t>PERSIANA 315 NEGRO</t>
  </si>
  <si>
    <t>TABLILLA F-08 MATE</t>
  </si>
  <si>
    <t>TABLILLA F-08 BRONCE</t>
  </si>
  <si>
    <t>ANG0203</t>
  </si>
  <si>
    <t>ANGULO IRREGULAR A-46 BLANCO</t>
  </si>
  <si>
    <t>CAB0104</t>
  </si>
  <si>
    <t>HOI0102</t>
  </si>
  <si>
    <t>HOI0602</t>
  </si>
  <si>
    <t>HOI0606</t>
  </si>
  <si>
    <t>U68 MATE</t>
  </si>
  <si>
    <t>F080501</t>
  </si>
  <si>
    <t>T-101</t>
  </si>
  <si>
    <t>A-05</t>
  </si>
  <si>
    <t>CAB0303</t>
  </si>
  <si>
    <t>SIL0303</t>
  </si>
  <si>
    <t>TUB0121</t>
  </si>
  <si>
    <t>TUB0504</t>
  </si>
  <si>
    <t>TUB0607</t>
  </si>
  <si>
    <t>PT-08</t>
  </si>
  <si>
    <t>TUBULAR 1102 BRONCE</t>
  </si>
  <si>
    <t>TUBULAR 1102 BLANCO</t>
  </si>
  <si>
    <t>TUBULAR 1102 NEGRO</t>
  </si>
  <si>
    <t>S-479</t>
  </si>
  <si>
    <t>7038 SILLAR TRES RIELES 2190 CRUDO</t>
  </si>
  <si>
    <t>7038 CABEZAL TRES RIELES 1730 CRUDO</t>
  </si>
  <si>
    <t>TUB0401</t>
  </si>
  <si>
    <t>SIL0108</t>
  </si>
  <si>
    <t>7038 SILLAR TRES RIELES 2190 MATE</t>
  </si>
  <si>
    <t>TUB0115</t>
  </si>
  <si>
    <t>TUBULAR T-96 MATE</t>
  </si>
  <si>
    <t>ADA0102</t>
  </si>
  <si>
    <t>8025 ADAPTADOR 158 MATE</t>
  </si>
  <si>
    <t>SL-011</t>
  </si>
  <si>
    <t>CAB0305</t>
  </si>
  <si>
    <t>JAM0305</t>
  </si>
  <si>
    <t>SIL0305</t>
  </si>
  <si>
    <t>ADA0601</t>
  </si>
  <si>
    <t>ALF0204</t>
  </si>
  <si>
    <t>ROS0602</t>
  </si>
  <si>
    <t>744 ADAPTADOR 403 NEGRO</t>
  </si>
  <si>
    <t>ALFAJIA 413 GRIS PLATA</t>
  </si>
  <si>
    <t>ENG0201</t>
  </si>
  <si>
    <t>ZOC0105</t>
  </si>
  <si>
    <t>HOR0501</t>
  </si>
  <si>
    <t>7038 HORIZONTAL 703 BRONCE</t>
  </si>
  <si>
    <t>7038 CABEZAL 700 BRONCE</t>
  </si>
  <si>
    <t>CAB0502</t>
  </si>
  <si>
    <t>SIL0503</t>
  </si>
  <si>
    <t>7038 SILLAR 701 BRONCE</t>
  </si>
  <si>
    <t>RDU0601</t>
  </si>
  <si>
    <t>JAM0306</t>
  </si>
  <si>
    <t>744 JAMBA 393 CRUDO</t>
  </si>
  <si>
    <t>T-76</t>
  </si>
  <si>
    <t>F-463</t>
  </si>
  <si>
    <t>T-80</t>
  </si>
  <si>
    <t>conversión</t>
  </si>
  <si>
    <t>7038 CABEZAL TRES RIELES 1730 NEGRO</t>
  </si>
  <si>
    <t>7038 SILLAR TRES RIELES 2190 NEGRO</t>
  </si>
  <si>
    <t>FAR0401</t>
  </si>
  <si>
    <t>7038 JAMBA 702 BRONCE</t>
  </si>
  <si>
    <t>7038 ENGANCHE 705 BRONCE</t>
  </si>
  <si>
    <t>T-90</t>
  </si>
  <si>
    <t>744 JAMBA TRES RIELES 1858 NEGRO</t>
  </si>
  <si>
    <t>ANGULO A-01 NEGRO (1/2 X 1/2)</t>
  </si>
  <si>
    <t>ANGULO A-01 BRONCE (1/2*1/2)</t>
  </si>
  <si>
    <t>ANGULO A-01 MATE (1/2*1/2)</t>
  </si>
  <si>
    <t>ANGULO A-05 MATE (3/4 X 3/4)</t>
  </si>
  <si>
    <t>ANGULO A-01 BLANCO (1/2 X 1/2)</t>
  </si>
  <si>
    <t>ANGULO A-05 NEGRO (3/4 X 3/4)</t>
  </si>
  <si>
    <t>TUBULAR T-94 MATE</t>
  </si>
  <si>
    <t>TABLILLA F-08 NEGRA</t>
  </si>
  <si>
    <t>JAM0501</t>
  </si>
  <si>
    <t>TUBULAR T-76 CRUDO</t>
  </si>
  <si>
    <t>TUBULAR T-244 NEGRO</t>
  </si>
  <si>
    <t>UBICACIÓN</t>
  </si>
  <si>
    <t>ROS0601</t>
  </si>
  <si>
    <t>ALFAJIA 449 NEGRA</t>
  </si>
  <si>
    <t>TUBULAR T-70 BLANCO</t>
  </si>
  <si>
    <t>TUBULAR T-76 NEGRO</t>
  </si>
  <si>
    <t>PEP0101</t>
  </si>
  <si>
    <t>PERFIL U DE CABINA S-364 MATE</t>
  </si>
  <si>
    <t>TUBULAR T-244 MATE</t>
  </si>
  <si>
    <t>ZOCALO 10CMS S-351 MATE</t>
  </si>
  <si>
    <t>CAB0109</t>
  </si>
  <si>
    <t>SIL0109</t>
  </si>
  <si>
    <t>JAM0109</t>
  </si>
  <si>
    <t>TUBULAR T-97 CRUDO</t>
  </si>
  <si>
    <t>U68 NEGRA</t>
  </si>
  <si>
    <t>TUBULAR T-70 MATE</t>
  </si>
  <si>
    <t>TAPALUZ PT02 NEGRO</t>
  </si>
  <si>
    <t>TAPALUZ PT02 MATE</t>
  </si>
  <si>
    <t>U32 NEGRA</t>
  </si>
  <si>
    <t>TUBULAR T-70 NEGRO</t>
  </si>
  <si>
    <t>TUBULAR T-80 MATE</t>
  </si>
  <si>
    <t>U-089 MATE</t>
  </si>
  <si>
    <t>TUBULAR T-76 BRONCE</t>
  </si>
  <si>
    <t>TUBULAR T-244 BRONCE</t>
  </si>
  <si>
    <t>TAPALUZ PT08 MATE</t>
  </si>
  <si>
    <t>ANGULO A-15 CRUDO (1-1/4 X 1-1/4)</t>
  </si>
  <si>
    <t>TUBULAR T-50 MATE</t>
  </si>
  <si>
    <t>TUBT501</t>
  </si>
  <si>
    <t>Código</t>
  </si>
  <si>
    <t>Descripción</t>
  </si>
  <si>
    <t>ALFAJIA 612 MATE</t>
  </si>
  <si>
    <t>ALFAJIA 1123 MATE</t>
  </si>
  <si>
    <t>ALFAJIA S-332 GRIS PLATA</t>
  </si>
  <si>
    <t>ALFAJIA 1123 GRIS PLATA</t>
  </si>
  <si>
    <t>ALF0404</t>
  </si>
  <si>
    <t>ALFAJIA 1123 BLANCA</t>
  </si>
  <si>
    <t>ALFAJIA 1123 BRONCE</t>
  </si>
  <si>
    <t>ALFAJIA 612 BRONCE</t>
  </si>
  <si>
    <t>ALFAJIA 1123 NEGRO</t>
  </si>
  <si>
    <t>ALFAJIA 612 NEGRA</t>
  </si>
  <si>
    <t>ALFAJIA 413 NEGRA</t>
  </si>
  <si>
    <t>ALFAJIA S-332 NEGRA</t>
  </si>
  <si>
    <t>ANGULO A-15 MATE (1-1/4 X 1-1/4)</t>
  </si>
  <si>
    <t>ANGULO A-09 MATE (1" X 1")</t>
  </si>
  <si>
    <t>ANG0106</t>
  </si>
  <si>
    <t>ANGULO A-19 MATE (1-1/2  X 1-1/2)</t>
  </si>
  <si>
    <t>ANGULO A-01 GRIS PLATA (1/2 X 1/2)</t>
  </si>
  <si>
    <t>ANG0202</t>
  </si>
  <si>
    <t>ANGULO A-09 BLANCO (1" X 1")</t>
  </si>
  <si>
    <t>ANGULO IRREGULAR A-046 GRIS PLATA</t>
  </si>
  <si>
    <t>ANGULO IRREGULAR A-046 CRUDO</t>
  </si>
  <si>
    <t>ANGULO A-27 CRUDO (2" X 2")</t>
  </si>
  <si>
    <t>ANGULO A-19 CRUDO (1-1/2 X 1-1/2)</t>
  </si>
  <si>
    <t>ANGULO A-01 CRUDO (1/2 X 1/2)</t>
  </si>
  <si>
    <t>ANGULO A-09 BRONCE (1" X 1")</t>
  </si>
  <si>
    <t>ANGULO A-05 BRONCE (3/4 X 3/4)</t>
  </si>
  <si>
    <t>ANGULO A-11 CRUDO (1" X 1")</t>
  </si>
  <si>
    <t>CABEZAL CABINA S-319 GRIS PLATA</t>
  </si>
  <si>
    <t>CAB0304</t>
  </si>
  <si>
    <t>7038 CABEZAL VP-1730 CRUDO</t>
  </si>
  <si>
    <t>744 CABEZAL 1857 TRES RIELES CRUDO</t>
  </si>
  <si>
    <t>CAB0306</t>
  </si>
  <si>
    <t>744 CABEZAL 392 CRUDO</t>
  </si>
  <si>
    <t>CABEZAL CABINA S-319 BLANCO</t>
  </si>
  <si>
    <t>CABEZAL CABINA S-319 BRONCE</t>
  </si>
  <si>
    <t>CABEZAL CABINA S-319 CRUDO</t>
  </si>
  <si>
    <t>ENG0501</t>
  </si>
  <si>
    <t>ENG0603</t>
  </si>
  <si>
    <t>7038 ENGANCHE 10MM 1776 NEGRO</t>
  </si>
  <si>
    <t>FALSA RETICULA 511 NEGRA</t>
  </si>
  <si>
    <t>8025 HORIZONTAL INFERIOR 157 MATE</t>
  </si>
  <si>
    <t>8025 HORIZONTAL INFERIOR 157 GRIS PLATA</t>
  </si>
  <si>
    <t>8025 HORIZONTAL INFERIOR 157 CRUDO</t>
  </si>
  <si>
    <t>HOI0302</t>
  </si>
  <si>
    <t>744 HORIZONTAL INFERIOR 390 CRUDO</t>
  </si>
  <si>
    <t>8025 HORIZONTAL INFERIOR 157 BLANCO</t>
  </si>
  <si>
    <t>8025 HORIZONTAL INFERIOR 157 BRONCE</t>
  </si>
  <si>
    <t>8025 HORIZONTAL INFERIOR 157 NEGRO</t>
  </si>
  <si>
    <t>7038 HORIZONTAL 703 MATE</t>
  </si>
  <si>
    <t>7038 HORIZONTAL 703 CRUDO</t>
  </si>
  <si>
    <t>HOR0604</t>
  </si>
  <si>
    <t>7038 HORIZONTAL 10MM 1774 NEGRO</t>
  </si>
  <si>
    <t>8025 HORIZONTAL SUPERIOR 156 NEGRO</t>
  </si>
  <si>
    <t>8025 HORIZONTAL SUPERIOR 156 GRIS PLATA</t>
  </si>
  <si>
    <t>8025 HORIZONTAL SUPERIOR 156 CRUDO</t>
  </si>
  <si>
    <t>HOS0302</t>
  </si>
  <si>
    <t>744 HORIZONTAL SUPERIOR 389 CRUDO</t>
  </si>
  <si>
    <t>8025 HORIZONTAL SUPERIOR 156 BLANCO</t>
  </si>
  <si>
    <t>8025 HORIZONTAL SUPERIOR 156 BRONCE</t>
  </si>
  <si>
    <t>8025 HORIZONTAL SUPERIOR 156 MATE</t>
  </si>
  <si>
    <t>JAM0105</t>
  </si>
  <si>
    <t>7038 JAMBA TRES RIELES 1731 MATE</t>
  </si>
  <si>
    <t>JAM0303</t>
  </si>
  <si>
    <t>8025 JAMBA 708 CRUDO</t>
  </si>
  <si>
    <t>JAM0304</t>
  </si>
  <si>
    <t>7038 JAMBA TRES RIELES 1731 CRUDO</t>
  </si>
  <si>
    <t>744 JAMBA 1858 TRES RIELES CRUDO</t>
  </si>
  <si>
    <t>JAM0401</t>
  </si>
  <si>
    <t>8025 JAMBA 708 BLANCO</t>
  </si>
  <si>
    <t>JAM0602</t>
  </si>
  <si>
    <t>7038 JAMBA TRES RILES 1731 NEGRO</t>
  </si>
  <si>
    <t>PLATINA P-18 CRUDO 1"</t>
  </si>
  <si>
    <t>PERFIL U DE CABINA S-364 BLANCO</t>
  </si>
  <si>
    <t>PER0501</t>
  </si>
  <si>
    <t>PERFIL F 463 BRONCE</t>
  </si>
  <si>
    <t>PER0503</t>
  </si>
  <si>
    <t>PIS0401</t>
  </si>
  <si>
    <t>3831 PISAVIDRIO 435 BLANCO</t>
  </si>
  <si>
    <t>3831 PISAVIDRIO 177 BLANCO</t>
  </si>
  <si>
    <t>RIEL072</t>
  </si>
  <si>
    <t>RIEL S-72 RODAJA LT440</t>
  </si>
  <si>
    <t>SIA0101</t>
  </si>
  <si>
    <t>7038 SILLAR 701 MATE</t>
  </si>
  <si>
    <t>SIL0107</t>
  </si>
  <si>
    <t>7038 SILLAR 775 MATE</t>
  </si>
  <si>
    <t>SIL0304</t>
  </si>
  <si>
    <t>744 SILLAR 387 CRUDO</t>
  </si>
  <si>
    <t>744 SILLAR 1856 TRES RIELES CRUDO</t>
  </si>
  <si>
    <t>8025 SILLAR 707 BRONCE</t>
  </si>
  <si>
    <t>7038 SILLAR 775 NEGRO</t>
  </si>
  <si>
    <t>SILL0304</t>
  </si>
  <si>
    <t>SILL0601</t>
  </si>
  <si>
    <t>5020 SILLAR ALFAJIA 581 NEGRO</t>
  </si>
  <si>
    <t>TAPALUZ PT02 BLANCO</t>
  </si>
  <si>
    <t>TAPALUZ PT08 GRIS PLATA</t>
  </si>
  <si>
    <t>TPR0601</t>
  </si>
  <si>
    <t>5020 TRASLAPE REFORZADO 462 NEGRO</t>
  </si>
  <si>
    <t>TRA0306</t>
  </si>
  <si>
    <t>744 TRASLAPE 388 CRUDO</t>
  </si>
  <si>
    <t>TRA0501</t>
  </si>
  <si>
    <t>7038 TRASLAPE 704 BRONCE</t>
  </si>
  <si>
    <t>TRA0603</t>
  </si>
  <si>
    <t>7038 TRASLAPE 10MM 1775 NEGRO</t>
  </si>
  <si>
    <t>TUBULAR T-103 MATE</t>
  </si>
  <si>
    <t>TUBULAR T-101 MATE</t>
  </si>
  <si>
    <t>TUBULAR T-76 MATE</t>
  </si>
  <si>
    <t>TUBULAR T-77 1" X1" CON PESTAÑA MATE</t>
  </si>
  <si>
    <t>TUBULAR CODAL 246 MATE</t>
  </si>
  <si>
    <t>TUBULAR T-244 GRIS PLATA</t>
  </si>
  <si>
    <t>TUB0202</t>
  </si>
  <si>
    <t>TUBULAR T-244 BLANCO</t>
  </si>
  <si>
    <t>TUBULAR T-80 GRIS PLATA</t>
  </si>
  <si>
    <t>TUBULAR T-70 GRIS PLATA</t>
  </si>
  <si>
    <t>TUBULAR T-70 CRUDO</t>
  </si>
  <si>
    <t>TUBULAR T-94 CRUDO</t>
  </si>
  <si>
    <t>TUB0305</t>
  </si>
  <si>
    <t>TUBULAR 1101 CRUDO</t>
  </si>
  <si>
    <t>TUBULAR T-244 CRUDO</t>
  </si>
  <si>
    <t>TUB0402</t>
  </si>
  <si>
    <t>TUBULAR T-94 BLANCO</t>
  </si>
  <si>
    <t>TUB0403</t>
  </si>
  <si>
    <t>TUBULAR T-95 BLANCO</t>
  </si>
  <si>
    <t>TUBULAR T-80 BLANCO</t>
  </si>
  <si>
    <t>TUBULAR T-70 BRONCE</t>
  </si>
  <si>
    <t>TUBULAR T-94 BRONCE</t>
  </si>
  <si>
    <t>TUB0511</t>
  </si>
  <si>
    <t>TUBULAR T-78 BRONCE</t>
  </si>
  <si>
    <t>TUBULAR T-80 BRONCE</t>
  </si>
  <si>
    <t>TUBULAR T-94 NEGRO</t>
  </si>
  <si>
    <t>TUBULAR T-101 BRONCE</t>
  </si>
  <si>
    <t>TUBULAR T-80 CRUDO</t>
  </si>
  <si>
    <t>TUBT503</t>
  </si>
  <si>
    <t>U32 CRUDO</t>
  </si>
  <si>
    <t>U55 MATE</t>
  </si>
  <si>
    <t>VP39P01</t>
  </si>
  <si>
    <t>ADAPTADOR K40 MATE</t>
  </si>
  <si>
    <t>VP39R01</t>
  </si>
  <si>
    <t>ADAPTADOR K40 MATE RETAL</t>
  </si>
  <si>
    <t>VP45P01</t>
  </si>
  <si>
    <t>PISAVIDRIO RECTO VENTANA K40 MATE</t>
  </si>
  <si>
    <t>VP45R01</t>
  </si>
  <si>
    <t>PISAVIDRIO RECTO K40 MATE RETAL</t>
  </si>
  <si>
    <t>VP46P01</t>
  </si>
  <si>
    <t>DIVISOR VENTANA K40 MATE</t>
  </si>
  <si>
    <t>VP46R01</t>
  </si>
  <si>
    <t>DIVISOR VENTAN K40 MATE RETAL</t>
  </si>
  <si>
    <t>VP47P01</t>
  </si>
  <si>
    <t>MARCO VENTANA K40 MATE</t>
  </si>
  <si>
    <t>VP47R01</t>
  </si>
  <si>
    <t>MARCO VENTANA K40 MATE RETAL</t>
  </si>
  <si>
    <t>VP49P01</t>
  </si>
  <si>
    <t>NAVE VENTANA K40 MATE</t>
  </si>
  <si>
    <t>VP49R01</t>
  </si>
  <si>
    <t>NAVE VENTANA K40 MATE RETAL</t>
  </si>
  <si>
    <t>W0101</t>
  </si>
  <si>
    <t>ZOCALO 9CMS S-369 BRONCE MOVIL</t>
  </si>
  <si>
    <t>ZOC0501</t>
  </si>
  <si>
    <t>ZOCALO 9CMS S-369 BRONCE</t>
  </si>
  <si>
    <t>ZOCALO 9CMS S-369 NEGRO</t>
  </si>
  <si>
    <t>ZOCALO 9CMS S-369 MATE</t>
  </si>
  <si>
    <t>ZOCALO 10CMS S-351 NEGRO</t>
  </si>
  <si>
    <t>ZOCALO 10CMS S-351 BRONCE</t>
  </si>
  <si>
    <t>JAM0606</t>
  </si>
  <si>
    <t>P-01</t>
  </si>
  <si>
    <t>C-01</t>
  </si>
  <si>
    <t>C-02</t>
  </si>
  <si>
    <t>C-03</t>
  </si>
  <si>
    <t>P-02</t>
  </si>
  <si>
    <t>P-03</t>
  </si>
  <si>
    <t>P-04</t>
  </si>
  <si>
    <t>P-05</t>
  </si>
  <si>
    <t>P-06</t>
  </si>
  <si>
    <t>P-07</t>
  </si>
  <si>
    <t>P-08</t>
  </si>
  <si>
    <t>R-01</t>
  </si>
  <si>
    <t>R-02</t>
  </si>
  <si>
    <t>R-03</t>
  </si>
  <si>
    <t>R-04</t>
  </si>
  <si>
    <t>744 CABEZAL 1857 TRES RIELES MATE</t>
  </si>
  <si>
    <t>CAB0607</t>
  </si>
  <si>
    <t>744 CABEZAL 1857 TRES RIELES NEGRO</t>
  </si>
  <si>
    <t>SIL0604</t>
  </si>
  <si>
    <t>744 SILLAR 1856 TRES RIELES NEGRO</t>
  </si>
  <si>
    <t>ODP</t>
  </si>
  <si>
    <t>descripcion</t>
  </si>
  <si>
    <t>SIL0505</t>
  </si>
  <si>
    <t>7038 SILLAR 775 BRONCE</t>
  </si>
  <si>
    <t>Exi. Fisica</t>
  </si>
  <si>
    <t>Diferencia</t>
  </si>
  <si>
    <t>codigo</t>
  </si>
  <si>
    <t>SIL0605</t>
  </si>
  <si>
    <t>CAB0608</t>
  </si>
  <si>
    <t>R-05</t>
  </si>
  <si>
    <t>SIN CODIGO</t>
  </si>
  <si>
    <t>TUBT502</t>
  </si>
  <si>
    <t>TUBULAR T-50 BRONCE</t>
  </si>
  <si>
    <t>T-50</t>
  </si>
  <si>
    <t>P-30</t>
  </si>
  <si>
    <t>744 SILLAR 1856 TRES RIELES MATE</t>
  </si>
  <si>
    <t>744 JAMBA 1858 TRES RIELES MATE</t>
  </si>
  <si>
    <t xml:space="preserve">CRUDO </t>
  </si>
  <si>
    <t>744 CABEZAL 392 GRIS PLATA</t>
  </si>
  <si>
    <t>5020 CABEZAL 144 GRIS PLATA</t>
  </si>
  <si>
    <t>5020 ENGANCHE 147 GRIS PLATA</t>
  </si>
  <si>
    <t>744 ENGANCHE 391 GRIS PLATA</t>
  </si>
  <si>
    <t>5020 HORIZONTAL 148 GRIS PLATA</t>
  </si>
  <si>
    <t>744 HORIZONTAL SUPERIOR 389 GRIS PLATA</t>
  </si>
  <si>
    <t>5020 JAMBA 193 GRIS PLATA</t>
  </si>
  <si>
    <t>744 JAMBA 393 GRIS PLATA</t>
  </si>
  <si>
    <t>3831 NAVE 176 GRIS PLATA</t>
  </si>
  <si>
    <t>3831 PISAVIDRIO 177 GRIS PLATA</t>
  </si>
  <si>
    <t>3831 SILLAR CABEZAL 173 GRIS PLATA</t>
  </si>
  <si>
    <t>5020 SILLAR 194 GRIS PLATA</t>
  </si>
  <si>
    <t>744 SILLAR 387 GRIS PLATA</t>
  </si>
  <si>
    <t>744 TRASLAPE 388 GRIS PLATA</t>
  </si>
  <si>
    <t>S-72</t>
  </si>
  <si>
    <t>PERSIANA 315 CRUDO</t>
  </si>
  <si>
    <t>PER0303</t>
  </si>
  <si>
    <t>A-09</t>
  </si>
  <si>
    <t>P-18</t>
  </si>
  <si>
    <t>A-15</t>
  </si>
  <si>
    <t>A-19</t>
  </si>
  <si>
    <t>A-27</t>
  </si>
  <si>
    <t>A-11</t>
  </si>
  <si>
    <t>FALSA RETICULA 511 BLANCA</t>
  </si>
  <si>
    <t>S-364</t>
  </si>
  <si>
    <t>VP-010</t>
  </si>
  <si>
    <t>P-12</t>
  </si>
  <si>
    <t>7038 SILLAR 2190 CRUDO</t>
  </si>
  <si>
    <t>T-98</t>
  </si>
  <si>
    <t>T-198</t>
  </si>
  <si>
    <t>T-117</t>
  </si>
  <si>
    <t>T-96</t>
  </si>
  <si>
    <t>T-77</t>
  </si>
  <si>
    <t>T-74</t>
  </si>
  <si>
    <t>T-78</t>
  </si>
  <si>
    <t>U-55</t>
  </si>
  <si>
    <t>U-66</t>
  </si>
  <si>
    <t>U-69</t>
  </si>
  <si>
    <t>T-246</t>
  </si>
  <si>
    <t>S-453</t>
  </si>
  <si>
    <t>RIEL OPTIGLASS DOBLE SL-011 MATE</t>
  </si>
  <si>
    <t>RIEL OPTIGLASS DOBLE SL-011 NEGRO</t>
  </si>
  <si>
    <t>PLATINA 1 X 1 1/2 P-30 CRUDO</t>
  </si>
  <si>
    <t>PLATINA 1 X 1 1/2 P-30 NEGRO</t>
  </si>
  <si>
    <t>PLATINA 1 X 1 1/2 P-30 MATE</t>
  </si>
  <si>
    <t>M-364</t>
  </si>
  <si>
    <t>PERFIL MOSQUITERO M-364 MATE</t>
  </si>
  <si>
    <t xml:space="preserve">PERFIL MOSQUITERO M-364 </t>
  </si>
  <si>
    <t>PINTURA BLANCO</t>
  </si>
  <si>
    <t>MM</t>
  </si>
  <si>
    <t>RIEL OPTIGLASS SENCILLO SL-010 MATE</t>
  </si>
  <si>
    <t>RIEL OPTIGLASS SENCILLO SL-010 NEGRO</t>
  </si>
  <si>
    <t>RIEL DUCASSE 1764 NEGRO</t>
  </si>
  <si>
    <t>ada0504</t>
  </si>
  <si>
    <t>ANG0609</t>
  </si>
  <si>
    <t>ANGULO A-09 NEGRO (1" X 1")</t>
  </si>
  <si>
    <t>ANGULO DE HIERRO</t>
  </si>
  <si>
    <t>HIERRO</t>
  </si>
  <si>
    <t>HR</t>
  </si>
  <si>
    <t>TUB0608</t>
  </si>
  <si>
    <t>TUBULAR T-198 NEGRO</t>
  </si>
  <si>
    <t>ACCBA02</t>
  </si>
  <si>
    <t>ACC. BARRA ESTABILIZADORA EN U NEGRO</t>
  </si>
  <si>
    <t>ACCBP01</t>
  </si>
  <si>
    <t>ACC. BARRA ESTABILIZADORA PISTOLA</t>
  </si>
  <si>
    <t>ARA0103</t>
  </si>
  <si>
    <t>ARANDELA DE BRONCE</t>
  </si>
  <si>
    <t>BAO0301</t>
  </si>
  <si>
    <t>BISAGRA OMEGA 3"</t>
  </si>
  <si>
    <t>BAO0602</t>
  </si>
  <si>
    <t>BISAGRA OMEGA 4" NEGRA</t>
  </si>
  <si>
    <t>BDO0306</t>
  </si>
  <si>
    <t>BISAGRA DOBLE 180° NEGRA</t>
  </si>
  <si>
    <t>BDRTPLK</t>
  </si>
  <si>
    <t>BISAGRA VENTANA NOVUS</t>
  </si>
  <si>
    <t>BHA1101</t>
  </si>
  <si>
    <t>BOTON HALADERA ACERO TAMBOR</t>
  </si>
  <si>
    <t>BHS0101</t>
  </si>
  <si>
    <t>BISAGRA HIDRAULICA SPEEDY M60 TRAFICO PESADO</t>
  </si>
  <si>
    <t>BIB0101</t>
  </si>
  <si>
    <t>BISAGRA BANDERA</t>
  </si>
  <si>
    <t>BIN0301</t>
  </si>
  <si>
    <t>BISAGRA INVERTIDA CROMO 1 PUNTO</t>
  </si>
  <si>
    <t>BIN0601</t>
  </si>
  <si>
    <t>BISAGRA INVERTIDA NEGRA UN PUNTO</t>
  </si>
  <si>
    <t>BME1102</t>
  </si>
  <si>
    <t>BISAGRA MEDIA LUNA 2 PUNTOS</t>
  </si>
  <si>
    <t>BML0101</t>
  </si>
  <si>
    <t>BISAGRA MEDIA LUNA 3 PUNTOS GTO</t>
  </si>
  <si>
    <t>BRES0101</t>
  </si>
  <si>
    <t>BRAZO ESCUALIZABLE 6"</t>
  </si>
  <si>
    <t>BSE0102</t>
  </si>
  <si>
    <t>BISAGRA EQUIPO BE-1</t>
  </si>
  <si>
    <t>BSE0302</t>
  </si>
  <si>
    <t>BISAGRA SENCILLA CROMO 25-30 TOPE</t>
  </si>
  <si>
    <t>BSE0305</t>
  </si>
  <si>
    <t>BISAGRA SENCILLA CROMO INVERTIDA</t>
  </si>
  <si>
    <t>BSE0307</t>
  </si>
  <si>
    <t>BISAGRA SENCILLA CROMO 25-30</t>
  </si>
  <si>
    <t>BSE1201</t>
  </si>
  <si>
    <t>BISAGRA SENCILLA 28-40 ACERO</t>
  </si>
  <si>
    <t>BSP0302</t>
  </si>
  <si>
    <t>BISAGRA SENCILLA PEQUEÑA 1 PUNTO</t>
  </si>
  <si>
    <t>BZI0301</t>
  </si>
  <si>
    <t>BASE PARA ZOCALO INFERIOR</t>
  </si>
  <si>
    <t>CCC0101</t>
  </si>
  <si>
    <t>CHAPETA ESQUINERA CON CERROJO (P4CER)</t>
  </si>
  <si>
    <t>CCE0105</t>
  </si>
  <si>
    <t>CHAPETA ESCUDO RECIBIDOR RECTANGULAR</t>
  </si>
  <si>
    <t>CCE0601</t>
  </si>
  <si>
    <t>CHAPETA CENTRAL 30-35 NEGRO</t>
  </si>
  <si>
    <t>CCE1101</t>
  </si>
  <si>
    <t>CHAPETA CENTRAL 30-35 ACERO</t>
  </si>
  <si>
    <t>CCEP031</t>
  </si>
  <si>
    <t>CHAPETA CENTRAL PEQUEÑA CROMO 25-25</t>
  </si>
  <si>
    <t>CER0102</t>
  </si>
  <si>
    <t>CERRADURA IMPACTO SENCILLA</t>
  </si>
  <si>
    <t>CER0310</t>
  </si>
  <si>
    <t>CERROJO A PISO ACERO  INOX</t>
  </si>
  <si>
    <t>CHA0101</t>
  </si>
  <si>
    <t>CHAPETA 100X70 UNION 90°</t>
  </si>
  <si>
    <t>CHE0101</t>
  </si>
  <si>
    <t>CHAPA YALE SERIE E MINI</t>
  </si>
  <si>
    <t>CHJ0201</t>
  </si>
  <si>
    <t>CHAPA JAGUAR 1 CARA GRIS PLATA</t>
  </si>
  <si>
    <t>CHJ0401</t>
  </si>
  <si>
    <t>CHAPA JAGUAR 1 CARA BLANCO</t>
  </si>
  <si>
    <t>CPI0101</t>
  </si>
  <si>
    <t>CHAPETA CON CERRADURA PICOLORO CENTRAL (P4CPL)</t>
  </si>
  <si>
    <t>CRE0102</t>
  </si>
  <si>
    <t>CHAPETA RECIBIDOR PICOLORO CENTRAL (P4KS)</t>
  </si>
  <si>
    <t>CRE1302</t>
  </si>
  <si>
    <t>CHAPETA ESCUDO RECIBIDOR REDONDEADA TRASLAPE</t>
  </si>
  <si>
    <t>CYD0101</t>
  </si>
  <si>
    <t>CHAPA YALE PICOLORO DOBLE CILINDRO</t>
  </si>
  <si>
    <t>ELE1101</t>
  </si>
  <si>
    <t>ELEVADOR DE 1" X 3CM ESTANDAR</t>
  </si>
  <si>
    <t>EMP1301</t>
  </si>
  <si>
    <t>EMPAQUE ESPAGUETTI 3831 ANTIRRETRACRIL</t>
  </si>
  <si>
    <t>EMP1305</t>
  </si>
  <si>
    <t>EMPAQUE 744 -5020 REF 30433</t>
  </si>
  <si>
    <t>EMPA8025</t>
  </si>
  <si>
    <t>EMPAQUE 8025 REF 30110</t>
  </si>
  <si>
    <t>ESU0603</t>
  </si>
  <si>
    <t>ESQUINERO SUPERIOR NEGRO</t>
  </si>
  <si>
    <t>ESU1102</t>
  </si>
  <si>
    <t>ESQUINERO SUPERIOR (P4S)</t>
  </si>
  <si>
    <t>FALL0601</t>
  </si>
  <si>
    <t>FALLEBA DE PISO NEGRA</t>
  </si>
  <si>
    <t>FALLIMP</t>
  </si>
  <si>
    <t>FALLEBA IMPORTADA</t>
  </si>
  <si>
    <t>FEL0101</t>
  </si>
  <si>
    <t>FELPA</t>
  </si>
  <si>
    <t>GIN0101</t>
  </si>
  <si>
    <t>GUIA INFERIOR 744</t>
  </si>
  <si>
    <t>GPSL0101</t>
  </si>
  <si>
    <t>GUIA DE PISO OPTIGLASS</t>
  </si>
  <si>
    <t>GSU0101</t>
  </si>
  <si>
    <t>GUIA SUPERIOR 744</t>
  </si>
  <si>
    <t>KOP0101</t>
  </si>
  <si>
    <t>KIT OPTIGLAS</t>
  </si>
  <si>
    <t>MALMOSQ</t>
  </si>
  <si>
    <t>MALLA MOSQUITERA</t>
  </si>
  <si>
    <t>MBL0406</t>
  </si>
  <si>
    <t>MANIJA 3831 NACIONAL</t>
  </si>
  <si>
    <t>MDT0103</t>
  </si>
  <si>
    <t>MANIJA DOBLE TOVIC</t>
  </si>
  <si>
    <t>MLACERO</t>
  </si>
  <si>
    <t>MEDIA LUNA ACERO</t>
  </si>
  <si>
    <t>MPI0101</t>
  </si>
  <si>
    <t>MANIJA 3831 IMPORTADA</t>
  </si>
  <si>
    <t>MRO1106</t>
  </si>
  <si>
    <t>MANIJA TIPO ROMA 60-40 NEGRA</t>
  </si>
  <si>
    <t>MRO1108</t>
  </si>
  <si>
    <t>MANIJA TIPO ROMA 80-60</t>
  </si>
  <si>
    <t>PBU0901</t>
  </si>
  <si>
    <t>PERFIL  BURBUJA</t>
  </si>
  <si>
    <t>PER0901</t>
  </si>
  <si>
    <t>PERFIL ACRILICO 1.80 MTS</t>
  </si>
  <si>
    <t>PER0902</t>
  </si>
  <si>
    <t>PERFIL ACRILICO 1.20 MTS</t>
  </si>
  <si>
    <t>PGI0101</t>
  </si>
  <si>
    <t>PISTOLA DE GIRO FIJO LATERAL Y MONTANTE</t>
  </si>
  <si>
    <t>PPL0002</t>
  </si>
  <si>
    <t>PERFIL PLASTICO 8MM</t>
  </si>
  <si>
    <t>PSJ1102</t>
  </si>
  <si>
    <t>PIVOTE SUJECION A MURO DIV. BAÑO INOX</t>
  </si>
  <si>
    <t>RCE0101</t>
  </si>
  <si>
    <t>RECIBIDOR PARA CERROJO</t>
  </si>
  <si>
    <t>ROD0401</t>
  </si>
  <si>
    <t>RODACHINA DE CABINA</t>
  </si>
  <si>
    <t>ROD744</t>
  </si>
  <si>
    <t>RODAMIENTO 744 DE NYLON</t>
  </si>
  <si>
    <t>ROD8025HR</t>
  </si>
  <si>
    <t>RODAMIENTO 8025 HIERRO</t>
  </si>
  <si>
    <t>ROD8025NY</t>
  </si>
  <si>
    <t>RODAMIENTO 8025 NYLON</t>
  </si>
  <si>
    <t>RODRW01</t>
  </si>
  <si>
    <t>RODAMIENTO NYLON RIEL "W"</t>
  </si>
  <si>
    <t>SIL0001</t>
  </si>
  <si>
    <t>SILICONA TRANSPARENTE</t>
  </si>
  <si>
    <t>SIL0002</t>
  </si>
  <si>
    <t>SILICONA NEUTRA ESPEJOS</t>
  </si>
  <si>
    <t>SIL0003</t>
  </si>
  <si>
    <t>SILICONA NEGRA</t>
  </si>
  <si>
    <t>SIL0004</t>
  </si>
  <si>
    <t>SILICONA BLANCA</t>
  </si>
  <si>
    <t>SIL0005</t>
  </si>
  <si>
    <t>SILICONA GRIS</t>
  </si>
  <si>
    <t>SPB0101</t>
  </si>
  <si>
    <t>PORTABORRADOR LAMINA DE ACERO INOX</t>
  </si>
  <si>
    <t>SPB1106</t>
  </si>
  <si>
    <t>PORTABORRADOR ACERO INOX NEGRO</t>
  </si>
  <si>
    <t>SPE0101</t>
  </si>
  <si>
    <t>SOPORTE PELICANO M</t>
  </si>
  <si>
    <t>SPE0104</t>
  </si>
  <si>
    <t>SOPORTE PELICANO XL</t>
  </si>
  <si>
    <t>TAP0103</t>
  </si>
  <si>
    <t>TAPA PARA RIEL OPTIGLASS</t>
  </si>
  <si>
    <t>TCA0301</t>
  </si>
  <si>
    <t>TOPE CAZUELA / MEDIA LUNA</t>
  </si>
  <si>
    <t>TES1113</t>
  </si>
  <si>
    <t>TOCETO SIN BUJE (POSTE)</t>
  </si>
  <si>
    <t>TIRT801</t>
  </si>
  <si>
    <t>TIRADERA # 8 CABINA DE BAÑO</t>
  </si>
  <si>
    <t>TMM#201</t>
  </si>
  <si>
    <t>TIRADERA MULTIUSOS #2</t>
  </si>
  <si>
    <t>TOA0601</t>
  </si>
  <si>
    <t>TOALLERO EN ACERO DE 20CM NEGRO</t>
  </si>
  <si>
    <t>TOA1101</t>
  </si>
  <si>
    <t>TOALLERO EN ACERO DE 20CM</t>
  </si>
  <si>
    <t>TUB0316</t>
  </si>
  <si>
    <t>TUBO PARA KIT GLASVIT</t>
  </si>
  <si>
    <t>ZCE0104</t>
  </si>
  <si>
    <t>ZOCALO CON BASE Y CERRADURA</t>
  </si>
  <si>
    <t>P180601</t>
  </si>
  <si>
    <t>CANTIDAD</t>
  </si>
  <si>
    <t>MEDIDA</t>
  </si>
  <si>
    <t>UND</t>
  </si>
  <si>
    <t>MTS</t>
  </si>
  <si>
    <t>Etiquetas de fila</t>
  </si>
  <si>
    <t>(en blanco)</t>
  </si>
  <si>
    <t>Total general</t>
  </si>
  <si>
    <t>Suma de conversión</t>
  </si>
  <si>
    <t>Exi. WO</t>
  </si>
  <si>
    <t>Fisica</t>
  </si>
  <si>
    <t>ALF0205</t>
  </si>
  <si>
    <t>ANG0603</t>
  </si>
  <si>
    <t>TUB0303</t>
  </si>
  <si>
    <t>TUB8002</t>
  </si>
  <si>
    <t>ALFAJIA S-012 GRIS PLATA</t>
  </si>
  <si>
    <t>TUBULAR T-95 CRUDO</t>
  </si>
  <si>
    <t>CRUDO PINTADO</t>
  </si>
  <si>
    <t>PISAVIDRIO CURVO 635 MATE</t>
  </si>
  <si>
    <t>RIEL DUCASSE 1764 MATE</t>
  </si>
  <si>
    <t>ALEJANDRO</t>
  </si>
  <si>
    <t>BRYAM</t>
  </si>
  <si>
    <t>SANDRA</t>
  </si>
  <si>
    <t>MIGUEL</t>
  </si>
  <si>
    <t>ALBA</t>
  </si>
  <si>
    <t>JUAN CATAÑO</t>
  </si>
  <si>
    <t>CARLOS</t>
  </si>
  <si>
    <t>JORGE</t>
  </si>
  <si>
    <t>JUAN GOMEZ</t>
  </si>
  <si>
    <t>ELIECER</t>
  </si>
  <si>
    <t>NATALY</t>
  </si>
  <si>
    <t>JAVIER</t>
  </si>
  <si>
    <t>JOSE</t>
  </si>
  <si>
    <t>ALBERTO</t>
  </si>
  <si>
    <t>AURA</t>
  </si>
  <si>
    <t>LUIS</t>
  </si>
  <si>
    <t>INVENTARIO FEBRERO 28 DE 2026</t>
  </si>
  <si>
    <t>P-043</t>
  </si>
  <si>
    <t>C-1</t>
  </si>
  <si>
    <t>facturadas sin salida</t>
  </si>
  <si>
    <t>CREATUM ACCESORIOS SAS</t>
  </si>
  <si>
    <t>APOTEMA S.A.S.</t>
  </si>
  <si>
    <t xml:space="preserve">FUNDACION GREATER MEDELLIN </t>
  </si>
  <si>
    <t>GSU8025</t>
  </si>
  <si>
    <t>GIN8025</t>
  </si>
  <si>
    <t>CYM0101</t>
  </si>
  <si>
    <t>M802506</t>
  </si>
  <si>
    <t>INVENTARIO</t>
  </si>
  <si>
    <t>GUIA SUPERIOR 8025</t>
  </si>
  <si>
    <t>GUIA INFERIOR 8025</t>
  </si>
  <si>
    <t>CHAPA YALE PICOLORO MEDIO CILINDRO</t>
  </si>
  <si>
    <t>MANIJA 8025 NEGRO</t>
  </si>
  <si>
    <t>KDG0101</t>
  </si>
  <si>
    <t>KIT DESLIZANTE GLASVIT ANTIRUIDO 1,50</t>
  </si>
  <si>
    <t xml:space="preserve">PLATINA 1" P-18 NEGRO </t>
  </si>
  <si>
    <t>OPD</t>
  </si>
  <si>
    <t>mm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</si>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</sst>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sz val="8"/>
      <name val="Calibri"/>
      <family val="2"/>
      <scheme val="minor"/>
    </font>
    <font>
      <sz val="10"/>
      <name val="MS Sans Serif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rgb="FF00008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0"/>
      <color rgb="FF000080"/>
      <name val="MS Sans Serif"/>
    </font>
    <font>
      <b/>
      <sz val="11"/>
      <color rgb="FF0000FF"/>
      <name val="Calibri"/>
      <family val="2"/>
      <scheme val="minor"/>
    </font>
    <font>
      <b/>
      <sz val="10"/>
      <name val="MS Sans Serif"/>
    </font>
    <font>
      <b/>
      <sz val="11"/>
      <color theme="1"/>
      <name val="Calibri"/>
      <family val="2"/>
      <scheme val="minor"/>
    </font>
    <font>
      <sz val="10"/>
      <color rgb="FF000000"/>
      <name val="MS Sans Serif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8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6" fillId="2" borderId="1" xfId="0" applyFont="1" applyFill="1" applyBorder="1" applyAlignment="1">
      <alignment horizontal="center"/>
    </xf>
    <xf numFmtId="165" fontId="6" fillId="2" borderId="2" xfId="0" applyNumberFormat="1" applyFont="1" applyFill="1" applyBorder="1" applyAlignment="1">
      <alignment horizontal="left"/>
    </xf>
    <xf numFmtId="165" fontId="6" fillId="2" borderId="2" xfId="0" applyNumberFormat="1" applyFon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8" fillId="0" borderId="1" xfId="0" applyNumberFormat="1" applyFont="1" applyBorder="1" applyAlignment="1">
      <alignment horizontal="left"/>
    </xf>
    <xf numFmtId="165" fontId="8" fillId="0" borderId="1" xfId="0" applyNumberFormat="1" applyFont="1" applyBorder="1"/>
    <xf numFmtId="1" fontId="8" fillId="0" borderId="1" xfId="0" applyNumberFormat="1" applyFont="1" applyBorder="1" applyAlignment="1">
      <alignment horizontal="center"/>
    </xf>
    <xf numFmtId="165" fontId="8" fillId="3" borderId="1" xfId="0" applyNumberFormat="1" applyFont="1" applyFill="1" applyBorder="1" applyAlignment="1">
      <alignment horizontal="center"/>
    </xf>
    <xf numFmtId="165" fontId="9" fillId="0" borderId="1" xfId="0" applyNumberFormat="1" applyFont="1" applyBorder="1"/>
    <xf numFmtId="49" fontId="11" fillId="0" borderId="0" xfId="4" applyNumberFormat="1" applyFont="1" applyAlignment="1">
      <alignment horizontal="center"/>
    </xf>
    <xf numFmtId="0" fontId="12" fillId="0" borderId="0" xfId="0" applyFont="1"/>
    <xf numFmtId="4" fontId="13" fillId="0" borderId="0" xfId="4" applyNumberFormat="1" applyFont="1"/>
    <xf numFmtId="0" fontId="13" fillId="0" borderId="0" xfId="4" applyFont="1"/>
    <xf numFmtId="49" fontId="16" fillId="0" borderId="0" xfId="4" applyNumberFormat="1" applyFont="1" applyAlignment="1">
      <alignment horizontal="center"/>
    </xf>
    <xf numFmtId="43" fontId="2" fillId="0" borderId="0" xfId="5" applyFont="1"/>
    <xf numFmtId="4" fontId="2" fillId="0" borderId="0" xfId="0" applyNumberFormat="1" applyFont="1"/>
    <xf numFmtId="49" fontId="14" fillId="0" borderId="0" xfId="4" applyNumberFormat="1" applyFont="1" applyAlignment="1">
      <alignment horizontal="center"/>
    </xf>
    <xf numFmtId="43" fontId="6" fillId="0" borderId="7" xfId="5" applyFont="1" applyFill="1" applyBorder="1" applyAlignment="1"/>
    <xf numFmtId="43" fontId="8" fillId="0" borderId="1" xfId="5" applyFont="1" applyFill="1" applyBorder="1" applyAlignment="1"/>
    <xf numFmtId="43" fontId="8" fillId="0" borderId="0" xfId="5" applyFont="1" applyFill="1" applyAlignment="1"/>
    <xf numFmtId="165" fontId="8" fillId="0" borderId="0" xfId="0" applyNumberFormat="1" applyFont="1"/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165" fontId="8" fillId="0" borderId="1" xfId="0" applyNumberFormat="1" applyFont="1" applyFill="1" applyBorder="1"/>
    <xf numFmtId="1" fontId="8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165" fontId="8" fillId="0" borderId="1" xfId="0" applyNumberFormat="1" applyFont="1" applyFill="1" applyBorder="1" applyAlignment="1">
      <alignment horizontal="left"/>
    </xf>
    <xf numFmtId="165" fontId="8" fillId="0" borderId="1" xfId="0" applyNumberFormat="1" applyFont="1" applyFill="1" applyBorder="1" applyAlignment="1">
      <alignment horizontal="center"/>
    </xf>
    <xf numFmtId="0" fontId="8" fillId="0" borderId="0" xfId="0" applyFont="1" applyFill="1"/>
    <xf numFmtId="0" fontId="6" fillId="0" borderId="6" xfId="0" applyFont="1" applyFill="1" applyBorder="1" applyAlignment="1">
      <alignment horizontal="center"/>
    </xf>
    <xf numFmtId="165" fontId="6" fillId="0" borderId="7" xfId="0" applyNumberFormat="1" applyFont="1" applyFill="1" applyBorder="1" applyAlignment="1">
      <alignment horizontal="left"/>
    </xf>
    <xf numFmtId="165" fontId="6" fillId="0" borderId="7" xfId="0" applyNumberFormat="1" applyFont="1" applyFill="1" applyBorder="1" applyAlignment="1">
      <alignment horizontal="center"/>
    </xf>
    <xf numFmtId="1" fontId="6" fillId="0" borderId="7" xfId="0" applyNumberFormat="1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165" fontId="9" fillId="0" borderId="1" xfId="0" applyNumberFormat="1" applyFont="1" applyFill="1" applyBorder="1"/>
    <xf numFmtId="165" fontId="9" fillId="0" borderId="1" xfId="1" applyNumberFormat="1" applyFont="1" applyFill="1" applyBorder="1" applyAlignment="1">
      <alignment horizontal="left"/>
    </xf>
    <xf numFmtId="165" fontId="7" fillId="0" borderId="1" xfId="0" applyNumberFormat="1" applyFont="1" applyFill="1" applyBorder="1" applyAlignment="1">
      <alignment horizontal="left"/>
    </xf>
    <xf numFmtId="165" fontId="7" fillId="0" borderId="1" xfId="0" applyNumberFormat="1" applyFont="1" applyFill="1" applyBorder="1"/>
    <xf numFmtId="0" fontId="7" fillId="0" borderId="1" xfId="0" applyFont="1" applyFill="1" applyBorder="1"/>
    <xf numFmtId="1" fontId="8" fillId="0" borderId="6" xfId="0" applyNumberFormat="1" applyFont="1" applyFill="1" applyBorder="1" applyAlignment="1">
      <alignment horizontal="center"/>
    </xf>
    <xf numFmtId="165" fontId="8" fillId="0" borderId="1" xfId="0" applyNumberFormat="1" applyFont="1" applyFill="1" applyBorder="1" applyAlignment="1">
      <alignment horizontal="center" wrapText="1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1" fontId="8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43" fontId="15" fillId="0" borderId="0" xfId="5" applyFont="1" applyFill="1" applyAlignment="1">
      <alignment horizontal="center"/>
    </xf>
    <xf numFmtId="0" fontId="0" fillId="0" borderId="0" xfId="0" applyFill="1"/>
    <xf numFmtId="43" fontId="0" fillId="0" borderId="0" xfId="5" applyFont="1" applyFill="1"/>
    <xf numFmtId="0" fontId="15" fillId="0" borderId="0" xfId="0" applyFont="1"/>
    <xf numFmtId="0" fontId="17" fillId="4" borderId="8" xfId="0" applyFont="1" applyFill="1" applyBorder="1"/>
    <xf numFmtId="43" fontId="0" fillId="0" borderId="0" xfId="5" applyFont="1"/>
    <xf numFmtId="6" fontId="8" fillId="0" borderId="0" xfId="0" applyNumberFormat="1" applyFont="1" applyFill="1"/>
    <xf numFmtId="166" fontId="8" fillId="0" borderId="0" xfId="5" applyNumberFormat="1" applyFont="1" applyFill="1"/>
    <xf numFmtId="0" fontId="0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4" fontId="18" fillId="0" borderId="0" xfId="4" applyNumberFormat="1" applyFont="1"/>
    <xf numFmtId="4" fontId="18" fillId="0" borderId="0" xfId="4" applyNumberFormat="1" applyFont="1"/>
    <xf numFmtId="0" fontId="6" fillId="0" borderId="6" xfId="0" applyFont="1" applyBorder="1" applyAlignment="1">
      <alignment horizontal="center"/>
    </xf>
    <xf numFmtId="165" fontId="6" fillId="0" borderId="1" xfId="0" applyNumberFormat="1" applyFont="1" applyBorder="1" applyAlignment="1">
      <alignment horizontal="left"/>
    </xf>
    <xf numFmtId="165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left"/>
    </xf>
    <xf numFmtId="165" fontId="9" fillId="0" borderId="1" xfId="1" applyNumberFormat="1" applyFont="1" applyBorder="1" applyAlignment="1">
      <alignment horizontal="left"/>
    </xf>
    <xf numFmtId="0" fontId="8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165" fontId="8" fillId="5" borderId="1" xfId="0" applyNumberFormat="1" applyFont="1" applyFill="1" applyBorder="1"/>
    <xf numFmtId="165" fontId="8" fillId="5" borderId="1" xfId="0" applyNumberFormat="1" applyFont="1" applyFill="1" applyBorder="1" applyAlignment="1">
      <alignment horizontal="center"/>
    </xf>
    <xf numFmtId="1" fontId="8" fillId="5" borderId="1" xfId="0" applyNumberFormat="1" applyFont="1" applyFill="1" applyBorder="1" applyAlignment="1">
      <alignment horizontal="center"/>
    </xf>
    <xf numFmtId="43" fontId="8" fillId="5" borderId="1" xfId="5" applyFont="1" applyFill="1" applyBorder="1" applyAlignment="1"/>
    <xf numFmtId="0" fontId="6" fillId="5" borderId="1" xfId="0" applyFont="1" applyFill="1" applyBorder="1" applyAlignment="1">
      <alignment horizontal="center"/>
    </xf>
    <xf numFmtId="43" fontId="6" fillId="0" borderId="7" xfId="5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</cellXfs>
  <cellStyles count="8">
    <cellStyle name="Millares" xfId="5" builtinId="3"/>
    <cellStyle name="Millares 2" xfId="7" xr:uid="{B2C1076D-E951-4DAA-924C-4E4D4D41DF9D}"/>
    <cellStyle name="Moneda 2" xfId="2" xr:uid="{00000000-0005-0000-0000-000001000000}"/>
    <cellStyle name="Moneda 2 8" xfId="3" xr:uid="{00000000-0005-0000-0000-000002000000}"/>
    <cellStyle name="Normal" xfId="0" builtinId="0"/>
    <cellStyle name="Normal 2" xfId="1" xr:uid="{00000000-0005-0000-0000-000004000000}"/>
    <cellStyle name="Normal 3" xfId="4" xr:uid="{00000000-0005-0000-0000-000005000000}"/>
    <cellStyle name="Normal 4" xfId="6" xr:uid="{E4DB89AF-0970-4BA4-B520-2922CA949FE5}"/>
  </cellStyles>
  <dxfs count="0"/>
  <tableStyles count="0" defaultTableStyle="TableStyleMedium2" defaultPivotStyle="PivotStyleLight16"/>
  <colors>
    <mruColors>
      <color rgb="FFFF66FF"/>
      <color rgb="FF00FFFF"/>
      <color rgb="FFFF6600"/>
      <color rgb="FF0000FF"/>
      <color rgb="FFFF99CC"/>
      <color rgb="FFCC66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5\Vidrios%20Templex%20RED\PLANTILLA%20PARA%20COTIZACIONES\ORIGINAL%20PARA%20COPIAR%20COMPRAS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5\vidrios%20templex\SAP\SAP%202024%205150-\SAP%20588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Formato Digital"/>
      <sheetName val="Cabinas Corredizas"/>
      <sheetName val="Cabinas Batientes"/>
      <sheetName val="Tablero"/>
      <sheetName val="Ventanas"/>
      <sheetName val="Proyectantes"/>
      <sheetName val="SAINT"/>
      <sheetName val="Precios"/>
      <sheetName val="Modificar_Cotización"/>
      <sheetName val="Resumen_Cotizaciones"/>
      <sheetName val="Parametros"/>
      <sheetName val="COSTOS"/>
      <sheetName val="Hoja2"/>
      <sheetName val="COPIA SAINT"/>
      <sheetName val="DIANA 12.06.2019"/>
      <sheetName val="wo5_03_19"/>
      <sheetName val="Hoja1"/>
      <sheetName val="Word Off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TIPO DE CLIENTE</v>
          </cell>
          <cell r="E1" t="str">
            <v>ASESORES</v>
          </cell>
          <cell r="G1" t="str">
            <v>ESTADO</v>
          </cell>
        </row>
        <row r="2">
          <cell r="A2" t="str">
            <v>CLI</v>
          </cell>
          <cell r="E2" t="str">
            <v>Duber</v>
          </cell>
          <cell r="G2" t="str">
            <v>APROBADA</v>
          </cell>
        </row>
        <row r="3">
          <cell r="A3" t="str">
            <v>INS</v>
          </cell>
          <cell r="E3" t="str">
            <v>Bryan</v>
          </cell>
          <cell r="G3" t="str">
            <v>CANCELADO</v>
          </cell>
        </row>
        <row r="4">
          <cell r="A4" t="str">
            <v>TER</v>
          </cell>
          <cell r="E4" t="str">
            <v>Elizabeht</v>
          </cell>
          <cell r="G4" t="str">
            <v>PENDIENTE</v>
          </cell>
        </row>
        <row r="5">
          <cell r="A5" t="str">
            <v>ARQ</v>
          </cell>
          <cell r="E5" t="str">
            <v>Carolina</v>
          </cell>
          <cell r="G5" t="str">
            <v>PERDIDO</v>
          </cell>
        </row>
        <row r="6">
          <cell r="E6" t="str">
            <v>Alejandro</v>
          </cell>
        </row>
      </sheetData>
      <sheetData sheetId="12">
        <row r="1">
          <cell r="L1" t="str">
            <v>CODIGO</v>
          </cell>
          <cell r="M1" t="str">
            <v>DESCRIPCION</v>
          </cell>
          <cell r="N1" t="str">
            <v>CTO POR METRO</v>
          </cell>
          <cell r="O1" t="str">
            <v>CLI</v>
          </cell>
          <cell r="P1" t="str">
            <v>INS</v>
          </cell>
          <cell r="Q1" t="str">
            <v>TER</v>
          </cell>
          <cell r="R1" t="str">
            <v>ARQ</v>
          </cell>
          <cell r="S1" t="str">
            <v>UNIDAD A COTIZAR</v>
          </cell>
          <cell r="T1" t="str">
            <v>TIPO</v>
          </cell>
          <cell r="U1" t="str">
            <v>CTO POR PERFIL</v>
          </cell>
          <cell r="V1" t="str">
            <v>% DESCUENTO</v>
          </cell>
          <cell r="W1" t="str">
            <v>CON DESCUENTO</v>
          </cell>
          <cell r="Z1" t="str">
            <v>LISTA DE PRECIO</v>
          </cell>
        </row>
        <row r="2">
          <cell r="L2" t="str">
            <v>TUB0504</v>
          </cell>
          <cell r="Z2" t="str">
            <v>CL4MM01CR</v>
          </cell>
        </row>
        <row r="3">
          <cell r="L3" t="str">
            <v>ADA0404</v>
          </cell>
          <cell r="Z3" t="str">
            <v>CL5MM01CR</v>
          </cell>
        </row>
        <row r="4">
          <cell r="L4" t="str">
            <v>SIL0502</v>
          </cell>
          <cell r="Z4" t="str">
            <v>CL6MM01CR</v>
          </cell>
        </row>
        <row r="5">
          <cell r="L5" t="str">
            <v>ADA0305</v>
          </cell>
          <cell r="Z5" t="str">
            <v>CL8MM01CR</v>
          </cell>
        </row>
        <row r="6">
          <cell r="L6" t="str">
            <v>ADA0204</v>
          </cell>
          <cell r="Z6" t="str">
            <v>CL10MM01CR</v>
          </cell>
        </row>
        <row r="7">
          <cell r="L7" t="str">
            <v>SIL0103</v>
          </cell>
        </row>
        <row r="8">
          <cell r="L8" t="str">
            <v>DIV0502</v>
          </cell>
          <cell r="Z8" t="str">
            <v>CODIGO</v>
          </cell>
        </row>
        <row r="9">
          <cell r="L9" t="str">
            <v>DIV0101</v>
          </cell>
          <cell r="Z9" t="str">
            <v>PERF01</v>
          </cell>
        </row>
        <row r="10">
          <cell r="L10" t="str">
            <v>ESQ0501</v>
          </cell>
          <cell r="Z10" t="str">
            <v>BPB04</v>
          </cell>
        </row>
        <row r="11">
          <cell r="L11" t="str">
            <v>ESQ0103</v>
          </cell>
          <cell r="Z11" t="str">
            <v>BPB05</v>
          </cell>
        </row>
        <row r="12">
          <cell r="L12" t="str">
            <v>JAM0407</v>
          </cell>
          <cell r="Z12" t="str">
            <v>BPB10</v>
          </cell>
        </row>
        <row r="13">
          <cell r="L13" t="str">
            <v>JAM0101</v>
          </cell>
          <cell r="Z13" t="str">
            <v>BPB07</v>
          </cell>
        </row>
        <row r="14">
          <cell r="L14" t="str">
            <v>JAM0206</v>
          </cell>
          <cell r="Z14" t="str">
            <v>BOQN02</v>
          </cell>
        </row>
        <row r="15">
          <cell r="L15" t="str">
            <v>JAM0503</v>
          </cell>
          <cell r="Z15" t="str">
            <v>BOQN03</v>
          </cell>
        </row>
        <row r="16">
          <cell r="L16" t="str">
            <v>NAV0404</v>
          </cell>
          <cell r="Z16" t="str">
            <v>PERF01</v>
          </cell>
        </row>
        <row r="17">
          <cell r="L17" t="str">
            <v>NAV0503</v>
          </cell>
          <cell r="Z17" t="str">
            <v>PERF02</v>
          </cell>
        </row>
        <row r="18">
          <cell r="L18" t="str">
            <v>NAV0202</v>
          </cell>
          <cell r="Z18" t="str">
            <v>?MATI07</v>
          </cell>
        </row>
        <row r="19">
          <cell r="L19" t="str">
            <v>NAV0101</v>
          </cell>
          <cell r="Z19" t="str">
            <v>?MATI08</v>
          </cell>
        </row>
        <row r="20">
          <cell r="L20" t="str">
            <v>PIS0405</v>
          </cell>
          <cell r="Z20" t="str">
            <v>?MATI09</v>
          </cell>
        </row>
        <row r="21">
          <cell r="L21" t="str">
            <v>PIS0204</v>
          </cell>
          <cell r="Z21" t="str">
            <v>PELI31</v>
          </cell>
        </row>
        <row r="22">
          <cell r="L22" t="str">
            <v>PPR0501</v>
          </cell>
          <cell r="Z22" t="str">
            <v>PELI31</v>
          </cell>
        </row>
        <row r="23">
          <cell r="L23" t="str">
            <v>PIS0304</v>
          </cell>
          <cell r="Z23" t="str">
            <v>BOQE01</v>
          </cell>
        </row>
        <row r="24">
          <cell r="L24" t="str">
            <v>PPR0101</v>
          </cell>
        </row>
        <row r="25">
          <cell r="L25" t="str">
            <v>PIS0102</v>
          </cell>
          <cell r="Z25" t="str">
            <v>GASTOS DE INSTALACION</v>
          </cell>
        </row>
        <row r="26">
          <cell r="L26" t="str">
            <v>PIS0103</v>
          </cell>
          <cell r="Z26" t="str">
            <v>Codigo</v>
          </cell>
        </row>
        <row r="27">
          <cell r="L27" t="str">
            <v>ALF0105</v>
          </cell>
          <cell r="Z27" t="str">
            <v>GTFA26</v>
          </cell>
        </row>
        <row r="28">
          <cell r="L28" t="str">
            <v>SIL0415</v>
          </cell>
          <cell r="Z28" t="str">
            <v>ALQU36</v>
          </cell>
        </row>
        <row r="29">
          <cell r="L29" t="str">
            <v>SIL0504</v>
          </cell>
          <cell r="Z29" t="str">
            <v>SMO001</v>
          </cell>
        </row>
        <row r="30">
          <cell r="L30" t="str">
            <v>SIL0301</v>
          </cell>
          <cell r="Z30" t="str">
            <v>HUAC06</v>
          </cell>
        </row>
        <row r="31">
          <cell r="L31" t="str">
            <v>SIL0203</v>
          </cell>
          <cell r="Z31" t="str">
            <v>SMO01</v>
          </cell>
        </row>
        <row r="32">
          <cell r="L32" t="str">
            <v>SIL0102</v>
          </cell>
          <cell r="Z32" t="str">
            <v>SMO02</v>
          </cell>
        </row>
        <row r="33">
          <cell r="L33" t="str">
            <v>TUB0118</v>
          </cell>
          <cell r="Z33" t="str">
            <v>ESP01</v>
          </cell>
        </row>
        <row r="34">
          <cell r="L34" t="str">
            <v>CAB0410</v>
          </cell>
          <cell r="Z34" t="str">
            <v>ESP02</v>
          </cell>
        </row>
        <row r="35">
          <cell r="L35" t="str">
            <v>CAB0510</v>
          </cell>
          <cell r="Z35" t="str">
            <v>FLETE</v>
          </cell>
        </row>
        <row r="36">
          <cell r="L36" t="str">
            <v>CAB0307</v>
          </cell>
        </row>
        <row r="37">
          <cell r="L37" t="str">
            <v>CAB0203</v>
          </cell>
        </row>
        <row r="38">
          <cell r="L38" t="str">
            <v>CAB0102</v>
          </cell>
        </row>
        <row r="39">
          <cell r="L39" t="str">
            <v>ENG0406</v>
          </cell>
        </row>
        <row r="40">
          <cell r="L40" t="str">
            <v>ENG0504</v>
          </cell>
        </row>
        <row r="41">
          <cell r="L41" t="str">
            <v>ENG1001</v>
          </cell>
        </row>
        <row r="42">
          <cell r="L42" t="str">
            <v>ENG0102</v>
          </cell>
        </row>
        <row r="43">
          <cell r="L43" t="str">
            <v>ENG0103</v>
          </cell>
        </row>
        <row r="44">
          <cell r="L44" t="str">
            <v>HOR0408</v>
          </cell>
        </row>
        <row r="45">
          <cell r="L45" t="str">
            <v>HOR0502</v>
          </cell>
        </row>
        <row r="46">
          <cell r="L46" t="str">
            <v>HOR0307</v>
          </cell>
        </row>
        <row r="47">
          <cell r="L47" t="str">
            <v>HOR0204</v>
          </cell>
        </row>
        <row r="48">
          <cell r="L48" t="str">
            <v>HOR0101</v>
          </cell>
        </row>
        <row r="49">
          <cell r="L49" t="str">
            <v>JAM0403</v>
          </cell>
        </row>
        <row r="50">
          <cell r="L50" t="str">
            <v>JAM0504</v>
          </cell>
        </row>
        <row r="51">
          <cell r="L51" t="str">
            <v>JAM1001</v>
          </cell>
        </row>
        <row r="52">
          <cell r="L52" t="str">
            <v>JAM0102</v>
          </cell>
        </row>
        <row r="53">
          <cell r="L53" t="str">
            <v>JAM0103</v>
          </cell>
        </row>
        <row r="54">
          <cell r="L54" t="str">
            <v>ROD5020</v>
          </cell>
        </row>
        <row r="55">
          <cell r="L55" t="str">
            <v>SIL0416</v>
          </cell>
        </row>
        <row r="56">
          <cell r="L56" t="str">
            <v>SIL0506</v>
          </cell>
        </row>
        <row r="57">
          <cell r="L57" t="str">
            <v>SIL1002</v>
          </cell>
        </row>
        <row r="58">
          <cell r="L58" t="str">
            <v>SIL0205</v>
          </cell>
        </row>
        <row r="59">
          <cell r="L59" t="str">
            <v>SIL0104</v>
          </cell>
        </row>
        <row r="60">
          <cell r="L60" t="str">
            <v>SILL0102</v>
          </cell>
        </row>
        <row r="61">
          <cell r="L61" t="str">
            <v>TRA0307</v>
          </cell>
        </row>
        <row r="62">
          <cell r="L62" t="str">
            <v>TRA0102</v>
          </cell>
        </row>
        <row r="63">
          <cell r="L63" t="str">
            <v>TRA1001</v>
          </cell>
        </row>
        <row r="64">
          <cell r="L64" t="str">
            <v>TRA0201</v>
          </cell>
        </row>
        <row r="65">
          <cell r="L65" t="str">
            <v>TRA0103</v>
          </cell>
        </row>
        <row r="66">
          <cell r="L66" t="str">
            <v>TPR0101</v>
          </cell>
        </row>
        <row r="67">
          <cell r="L67" t="str">
            <v>ADA0405</v>
          </cell>
        </row>
        <row r="68">
          <cell r="L68" t="str">
            <v>ADA0504</v>
          </cell>
        </row>
        <row r="69">
          <cell r="L69" t="str">
            <v>ADA0206</v>
          </cell>
        </row>
        <row r="70">
          <cell r="L70" t="str">
            <v>ADA0103</v>
          </cell>
        </row>
        <row r="71">
          <cell r="L71" t="str">
            <v>CAB0402</v>
          </cell>
        </row>
        <row r="72">
          <cell r="L72" t="str">
            <v>CAB0508</v>
          </cell>
        </row>
        <row r="73">
          <cell r="L73" t="str">
            <v>CAB0202</v>
          </cell>
        </row>
        <row r="74">
          <cell r="L74" t="str">
            <v>CAV0101</v>
          </cell>
        </row>
        <row r="75">
          <cell r="L75" t="str">
            <v>ENG0403</v>
          </cell>
        </row>
        <row r="76">
          <cell r="L76" t="str">
            <v>ENG0505</v>
          </cell>
        </row>
        <row r="77">
          <cell r="L77" t="str">
            <v>ENG0202</v>
          </cell>
        </row>
        <row r="78">
          <cell r="L78" t="str">
            <v>ENG0101</v>
          </cell>
        </row>
        <row r="79">
          <cell r="L79" t="str">
            <v>HOI0402</v>
          </cell>
        </row>
        <row r="80">
          <cell r="L80" t="str">
            <v>HOI0503</v>
          </cell>
        </row>
        <row r="81">
          <cell r="L81" t="str">
            <v>HOI0204</v>
          </cell>
        </row>
        <row r="82">
          <cell r="L82" t="str">
            <v>HOI0101</v>
          </cell>
        </row>
        <row r="83">
          <cell r="L83" t="str">
            <v>HOS0401</v>
          </cell>
        </row>
        <row r="84">
          <cell r="L84" t="str">
            <v>HOS0503</v>
          </cell>
        </row>
        <row r="85">
          <cell r="L85" t="str">
            <v>HOS0202</v>
          </cell>
        </row>
        <row r="86">
          <cell r="L86" t="str">
            <v>HOS0101</v>
          </cell>
        </row>
        <row r="87">
          <cell r="L87" t="str">
            <v>JAM0402</v>
          </cell>
        </row>
        <row r="88">
          <cell r="L88" t="str">
            <v>JAM0505</v>
          </cell>
        </row>
        <row r="89">
          <cell r="L89" t="str">
            <v>JAM0744</v>
          </cell>
        </row>
        <row r="90">
          <cell r="L90" t="str">
            <v>JAM0108</v>
          </cell>
        </row>
        <row r="91">
          <cell r="L91" t="str">
            <v>SIL0408</v>
          </cell>
        </row>
        <row r="92">
          <cell r="L92" t="str">
            <v>SIL0507</v>
          </cell>
        </row>
        <row r="93">
          <cell r="L93" t="str">
            <v>SIL0212</v>
          </cell>
        </row>
        <row r="94">
          <cell r="L94" t="str">
            <v>SIL0744</v>
          </cell>
        </row>
        <row r="95">
          <cell r="L95" t="str">
            <v>TRA0402</v>
          </cell>
        </row>
        <row r="96">
          <cell r="L96" t="str">
            <v>TRA0203</v>
          </cell>
        </row>
        <row r="97">
          <cell r="L97" t="str">
            <v>TRA0101</v>
          </cell>
        </row>
        <row r="98">
          <cell r="L98" t="str">
            <v>TRA0105</v>
          </cell>
        </row>
        <row r="99">
          <cell r="L99" t="str">
            <v>CAB0505</v>
          </cell>
        </row>
        <row r="100">
          <cell r="L100" t="str">
            <v>CABE8025</v>
          </cell>
        </row>
        <row r="101">
          <cell r="L101" t="str">
            <v>CAB0504</v>
          </cell>
        </row>
        <row r="102">
          <cell r="L102" t="str">
            <v>CAB0106</v>
          </cell>
        </row>
        <row r="103">
          <cell r="L103" t="str">
            <v>EMPA8025</v>
          </cell>
        </row>
        <row r="104">
          <cell r="L104" t="str">
            <v>ENG0503</v>
          </cell>
        </row>
        <row r="105">
          <cell r="L105" t="str">
            <v>ENGA8025</v>
          </cell>
        </row>
        <row r="106">
          <cell r="L106" t="str">
            <v>HOI0505</v>
          </cell>
        </row>
        <row r="107">
          <cell r="L107" t="str">
            <v>HOIN8025</v>
          </cell>
        </row>
        <row r="108">
          <cell r="L108" t="str">
            <v>HOS0506</v>
          </cell>
        </row>
        <row r="109">
          <cell r="L109" t="str">
            <v>HOSU8025</v>
          </cell>
        </row>
        <row r="110">
          <cell r="L110" t="str">
            <v>JAM0506</v>
          </cell>
        </row>
        <row r="111">
          <cell r="L111" t="str">
            <v>JAM8025</v>
          </cell>
        </row>
        <row r="112">
          <cell r="L112" t="str">
            <v>JAM0508</v>
          </cell>
        </row>
        <row r="113">
          <cell r="L113" t="str">
            <v>JAM0106</v>
          </cell>
        </row>
        <row r="114">
          <cell r="L114" t="str">
            <v>SIL0510</v>
          </cell>
        </row>
        <row r="115">
          <cell r="L115" t="str">
            <v>SIL0106</v>
          </cell>
        </row>
        <row r="116">
          <cell r="L116" t="str">
            <v>SIL0508</v>
          </cell>
        </row>
        <row r="117">
          <cell r="L117" t="str">
            <v>SIL0110</v>
          </cell>
        </row>
        <row r="118">
          <cell r="L118" t="str">
            <v>TRA0502</v>
          </cell>
        </row>
        <row r="119">
          <cell r="L119" t="str">
            <v>TRAS8025</v>
          </cell>
        </row>
        <row r="120">
          <cell r="L120" t="str">
            <v>ACCBA01</v>
          </cell>
        </row>
        <row r="121">
          <cell r="L121" t="str">
            <v>ACCBO01</v>
          </cell>
        </row>
        <row r="122">
          <cell r="L122" t="str">
            <v>ACCBS01</v>
          </cell>
        </row>
        <row r="123">
          <cell r="L123" t="str">
            <v>ACCBP01</v>
          </cell>
        </row>
        <row r="124">
          <cell r="L124" t="str">
            <v>ALF0102</v>
          </cell>
        </row>
        <row r="125">
          <cell r="L125" t="str">
            <v>ALF0103</v>
          </cell>
        </row>
        <row r="126">
          <cell r="L126" t="str">
            <v>ALF0401</v>
          </cell>
        </row>
        <row r="127">
          <cell r="L127" t="str">
            <v>ANG0303</v>
          </cell>
        </row>
        <row r="128">
          <cell r="L128" t="str">
            <v>ANG1001</v>
          </cell>
        </row>
        <row r="129">
          <cell r="L129" t="str">
            <v>ANG0506</v>
          </cell>
        </row>
        <row r="130">
          <cell r="L130" t="str">
            <v>ANG0104</v>
          </cell>
        </row>
        <row r="131">
          <cell r="L131" t="str">
            <v>ANG0105</v>
          </cell>
        </row>
        <row r="132">
          <cell r="L132" t="str">
            <v>ANG0508</v>
          </cell>
        </row>
        <row r="133">
          <cell r="L133" t="str">
            <v>ANG0101</v>
          </cell>
        </row>
        <row r="134">
          <cell r="L134" t="str">
            <v>BAR1101</v>
          </cell>
        </row>
        <row r="135">
          <cell r="L135" t="str">
            <v>BES0302</v>
          </cell>
        </row>
        <row r="136">
          <cell r="L136" t="str">
            <v>BZO0301</v>
          </cell>
        </row>
        <row r="137">
          <cell r="L137" t="str">
            <v>BAR0101</v>
          </cell>
        </row>
        <row r="138">
          <cell r="L138" t="str">
            <v>BIB0101</v>
          </cell>
        </row>
        <row r="139">
          <cell r="L139" t="str">
            <v>BDO0301</v>
          </cell>
        </row>
        <row r="140">
          <cell r="L140" t="str">
            <v>BDO0302</v>
          </cell>
        </row>
        <row r="141">
          <cell r="L141" t="str">
            <v>BGM0101</v>
          </cell>
        </row>
        <row r="142">
          <cell r="L142" t="str">
            <v>BME1102</v>
          </cell>
        </row>
        <row r="143">
          <cell r="L143" t="str">
            <v>BME1101</v>
          </cell>
        </row>
        <row r="144">
          <cell r="L144" t="str">
            <v>BMM0101</v>
          </cell>
        </row>
        <row r="145">
          <cell r="L145" t="str">
            <v>BPM0101</v>
          </cell>
        </row>
        <row r="146">
          <cell r="L146" t="str">
            <v>BSE0307</v>
          </cell>
        </row>
        <row r="147">
          <cell r="L147" t="str">
            <v>BSE0301</v>
          </cell>
        </row>
        <row r="148">
          <cell r="L148" t="str">
            <v>BSE0305</v>
          </cell>
        </row>
        <row r="149">
          <cell r="L149" t="str">
            <v>BFL1102</v>
          </cell>
        </row>
        <row r="150">
          <cell r="L150" t="str">
            <v>BFL1103</v>
          </cell>
        </row>
        <row r="151">
          <cell r="L151" t="str">
            <v>PAS0101</v>
          </cell>
        </row>
        <row r="152">
          <cell r="L152" t="str">
            <v>1BOQN02</v>
          </cell>
        </row>
        <row r="153">
          <cell r="L153" t="str">
            <v>1BPB10</v>
          </cell>
        </row>
        <row r="154">
          <cell r="L154" t="str">
            <v>1BPB07</v>
          </cell>
        </row>
        <row r="155">
          <cell r="L155" t="str">
            <v>BHA1101</v>
          </cell>
        </row>
        <row r="156">
          <cell r="L156" t="str">
            <v>BHA1102</v>
          </cell>
        </row>
        <row r="157">
          <cell r="L157" t="str">
            <v>BHA0901</v>
          </cell>
        </row>
        <row r="158">
          <cell r="L158" t="str">
            <v>BHA0301</v>
          </cell>
        </row>
        <row r="159">
          <cell r="L159" t="str">
            <v>BHA0302</v>
          </cell>
        </row>
        <row r="160">
          <cell r="L160" t="str">
            <v>BRES0301</v>
          </cell>
        </row>
        <row r="161">
          <cell r="L161" t="str">
            <v>BHD0101</v>
          </cell>
        </row>
        <row r="162">
          <cell r="L162" t="str">
            <v>CAB0401</v>
          </cell>
        </row>
        <row r="163">
          <cell r="L163" t="str">
            <v>CAB0501</v>
          </cell>
        </row>
        <row r="164">
          <cell r="L164" t="str">
            <v>CAB1001</v>
          </cell>
        </row>
        <row r="165">
          <cell r="L165" t="str">
            <v>CAB0201</v>
          </cell>
        </row>
        <row r="166">
          <cell r="L166" t="str">
            <v>CAB0101</v>
          </cell>
        </row>
        <row r="167">
          <cell r="L167" t="str">
            <v>CAN0401</v>
          </cell>
        </row>
        <row r="168">
          <cell r="L168" t="str">
            <v>CEL0101</v>
          </cell>
        </row>
        <row r="169">
          <cell r="L169" t="str">
            <v>CER0302</v>
          </cell>
        </row>
        <row r="170">
          <cell r="L170" t="str">
            <v>CER0301</v>
          </cell>
        </row>
        <row r="171">
          <cell r="L171" t="str">
            <v>CM572A</v>
          </cell>
        </row>
        <row r="172">
          <cell r="L172" t="str">
            <v>CSO1101</v>
          </cell>
        </row>
        <row r="173">
          <cell r="L173" t="str">
            <v>CPI0101</v>
          </cell>
        </row>
        <row r="174">
          <cell r="L174" t="str">
            <v>CSH1301</v>
          </cell>
        </row>
        <row r="175">
          <cell r="L175" t="str">
            <v>CYC0101</v>
          </cell>
        </row>
        <row r="176">
          <cell r="L176" t="str">
            <v>CPTOR</v>
          </cell>
        </row>
        <row r="177">
          <cell r="L177" t="str">
            <v>CH802501</v>
          </cell>
        </row>
        <row r="178">
          <cell r="L178" t="str">
            <v>CH8025S</v>
          </cell>
        </row>
        <row r="179">
          <cell r="L179" t="str">
            <v>CRA0101</v>
          </cell>
        </row>
        <row r="180">
          <cell r="L180" t="str">
            <v>CHDP101</v>
          </cell>
        </row>
        <row r="181">
          <cell r="L181" t="str">
            <v>CHJ0101</v>
          </cell>
        </row>
        <row r="182">
          <cell r="L182" t="str">
            <v>CJU0301</v>
          </cell>
        </row>
        <row r="183">
          <cell r="L183" t="str">
            <v>CPLEYALE</v>
          </cell>
        </row>
        <row r="184">
          <cell r="L184" t="str">
            <v>CPDC0101</v>
          </cell>
        </row>
        <row r="185">
          <cell r="L185" t="str">
            <v>CHT1001</v>
          </cell>
        </row>
        <row r="186">
          <cell r="L186" t="str">
            <v>CHA0301</v>
          </cell>
        </row>
        <row r="187">
          <cell r="L187" t="str">
            <v>CCE0301</v>
          </cell>
        </row>
        <row r="188">
          <cell r="L188" t="str">
            <v>CCE0302</v>
          </cell>
        </row>
        <row r="189">
          <cell r="L189" t="str">
            <v>CCER01</v>
          </cell>
        </row>
        <row r="190">
          <cell r="L190" t="str">
            <v>CCC0101</v>
          </cell>
        </row>
        <row r="191">
          <cell r="L191" t="str">
            <v>CHA0303</v>
          </cell>
        </row>
        <row r="192">
          <cell r="L192" t="str">
            <v>CES0301</v>
          </cell>
        </row>
        <row r="193">
          <cell r="L193" t="str">
            <v>CERE01</v>
          </cell>
        </row>
        <row r="194">
          <cell r="L194" t="str">
            <v>CRE0102</v>
          </cell>
        </row>
        <row r="195">
          <cell r="L195" t="str">
            <v>CPE0101</v>
          </cell>
        </row>
        <row r="196">
          <cell r="L196" t="str">
            <v>DIL0301</v>
          </cell>
        </row>
        <row r="197">
          <cell r="L197" t="str">
            <v>PGC0101</v>
          </cell>
        </row>
        <row r="198">
          <cell r="L198" t="str">
            <v>CGA0101</v>
          </cell>
        </row>
        <row r="199">
          <cell r="L199" t="str">
            <v>CLM0101</v>
          </cell>
        </row>
        <row r="200">
          <cell r="L200" t="str">
            <v>CLC0101</v>
          </cell>
        </row>
        <row r="201">
          <cell r="L201" t="str">
            <v>ELE0801</v>
          </cell>
        </row>
        <row r="202">
          <cell r="L202" t="str">
            <v>ELE1103</v>
          </cell>
        </row>
        <row r="203">
          <cell r="L203" t="str">
            <v>ELE1101</v>
          </cell>
        </row>
        <row r="204">
          <cell r="L204" t="str">
            <v>ELE1102</v>
          </cell>
        </row>
        <row r="205">
          <cell r="L205" t="str">
            <v>EMP5020</v>
          </cell>
        </row>
        <row r="206">
          <cell r="L206" t="str">
            <v>EMP1305</v>
          </cell>
        </row>
        <row r="207">
          <cell r="L207" t="str">
            <v>EMP1306</v>
          </cell>
        </row>
        <row r="208">
          <cell r="L208" t="str">
            <v>EMP1302</v>
          </cell>
        </row>
        <row r="209">
          <cell r="L209" t="str">
            <v>EMP1303</v>
          </cell>
        </row>
        <row r="210">
          <cell r="L210" t="str">
            <v>EMP1301</v>
          </cell>
        </row>
        <row r="211">
          <cell r="L211" t="str">
            <v>EMP1307</v>
          </cell>
        </row>
        <row r="212">
          <cell r="L212" t="str">
            <v>EMP1304</v>
          </cell>
        </row>
        <row r="213">
          <cell r="L213" t="str">
            <v>ES0001</v>
          </cell>
        </row>
        <row r="214">
          <cell r="L214" t="str">
            <v>EPU0001</v>
          </cell>
        </row>
        <row r="215">
          <cell r="L215" t="str">
            <v>TAB0501</v>
          </cell>
        </row>
        <row r="216">
          <cell r="L216" t="str">
            <v>F080101</v>
          </cell>
        </row>
        <row r="217">
          <cell r="L217" t="str">
            <v>CHA0101</v>
          </cell>
        </row>
        <row r="218">
          <cell r="L218" t="str">
            <v>CHC0101</v>
          </cell>
        </row>
        <row r="219">
          <cell r="L219" t="str">
            <v>CHA0302</v>
          </cell>
        </row>
        <row r="220">
          <cell r="L220" t="str">
            <v>FALLEBAIMp</v>
          </cell>
        </row>
        <row r="221">
          <cell r="L221" t="str">
            <v>GHD0101</v>
          </cell>
        </row>
        <row r="222">
          <cell r="L222" t="str">
            <v>GHS0101</v>
          </cell>
        </row>
        <row r="223">
          <cell r="L223" t="str">
            <v>GHS0102</v>
          </cell>
        </row>
        <row r="224">
          <cell r="L224" t="str">
            <v>GUIA5020</v>
          </cell>
        </row>
        <row r="225">
          <cell r="L225" t="str">
            <v>GPI1101</v>
          </cell>
        </row>
        <row r="226">
          <cell r="L226" t="str">
            <v>GPSL0101</v>
          </cell>
        </row>
        <row r="227">
          <cell r="L227" t="str">
            <v>GIN8025</v>
          </cell>
        </row>
        <row r="228">
          <cell r="L228" t="str">
            <v>GSU8025</v>
          </cell>
        </row>
        <row r="229">
          <cell r="L229" t="str">
            <v>GIN0101</v>
          </cell>
        </row>
        <row r="230">
          <cell r="L230" t="str">
            <v>GSU0101</v>
          </cell>
        </row>
        <row r="231">
          <cell r="L231" t="str">
            <v>KDG0306</v>
          </cell>
        </row>
        <row r="232">
          <cell r="L232" t="str">
            <v>KDE0303</v>
          </cell>
        </row>
        <row r="233">
          <cell r="L233" t="str">
            <v>KDE0305</v>
          </cell>
        </row>
        <row r="234">
          <cell r="L234" t="str">
            <v>KDE0301</v>
          </cell>
        </row>
        <row r="235">
          <cell r="L235" t="str">
            <v>KDE0304</v>
          </cell>
        </row>
        <row r="236">
          <cell r="L236" t="str">
            <v>KDE0302</v>
          </cell>
        </row>
        <row r="237">
          <cell r="L237" t="str">
            <v>KIK0301</v>
          </cell>
        </row>
        <row r="238">
          <cell r="L238" t="str">
            <v>KOP0101</v>
          </cell>
        </row>
        <row r="239">
          <cell r="L239" t="str">
            <v>KVE001</v>
          </cell>
        </row>
        <row r="240">
          <cell r="L240" t="str">
            <v>MAN0101</v>
          </cell>
        </row>
        <row r="241">
          <cell r="L241" t="str">
            <v>MBL0406</v>
          </cell>
        </row>
        <row r="242">
          <cell r="L242" t="str">
            <v>MCE0101</v>
          </cell>
        </row>
        <row r="243">
          <cell r="L243" t="str">
            <v>MGI0301</v>
          </cell>
        </row>
        <row r="244">
          <cell r="L244" t="str">
            <v>MML0102</v>
          </cell>
        </row>
        <row r="245">
          <cell r="L245" t="str">
            <v>MMT0101</v>
          </cell>
        </row>
        <row r="246">
          <cell r="L246" t="str">
            <v>MRE0101</v>
          </cell>
        </row>
        <row r="247">
          <cell r="L247" t="str">
            <v>MAPR0101</v>
          </cell>
        </row>
        <row r="248">
          <cell r="L248" t="str">
            <v>MSE0101</v>
          </cell>
        </row>
        <row r="249">
          <cell r="L249" t="str">
            <v>MRO1101</v>
          </cell>
        </row>
        <row r="250">
          <cell r="L250" t="str">
            <v>MON1101</v>
          </cell>
        </row>
        <row r="251">
          <cell r="L251" t="str">
            <v>EIN1102</v>
          </cell>
        </row>
        <row r="252">
          <cell r="L252" t="str">
            <v>ESU1102</v>
          </cell>
        </row>
        <row r="253">
          <cell r="L253" t="str">
            <v>PDL0101</v>
          </cell>
        </row>
        <row r="254">
          <cell r="L254" t="str">
            <v>PEA0101</v>
          </cell>
        </row>
        <row r="255">
          <cell r="L255" t="str">
            <v>CCE0103</v>
          </cell>
        </row>
        <row r="256">
          <cell r="L256" t="str">
            <v>CCE0101</v>
          </cell>
        </row>
        <row r="257">
          <cell r="L257" t="str">
            <v>PBU0901</v>
          </cell>
        </row>
        <row r="258">
          <cell r="L258" t="str">
            <v>PER0902</v>
          </cell>
        </row>
        <row r="259">
          <cell r="L259" t="str">
            <v>PER0901</v>
          </cell>
        </row>
        <row r="260">
          <cell r="L260" t="str">
            <v>PER0301</v>
          </cell>
        </row>
        <row r="261">
          <cell r="L261" t="str">
            <v>PEP0301</v>
          </cell>
        </row>
        <row r="262">
          <cell r="L262" t="str">
            <v>PPL0001</v>
          </cell>
        </row>
        <row r="263">
          <cell r="L263" t="str">
            <v>1PERF01</v>
          </cell>
        </row>
        <row r="264">
          <cell r="L264" t="str">
            <v>PCE0503</v>
          </cell>
        </row>
        <row r="265">
          <cell r="L265" t="str">
            <v>PCE0202</v>
          </cell>
        </row>
        <row r="266">
          <cell r="L266" t="str">
            <v>PER0103</v>
          </cell>
        </row>
        <row r="267">
          <cell r="L267" t="str">
            <v>PIC0101</v>
          </cell>
        </row>
        <row r="268">
          <cell r="L268" t="str">
            <v>PGI0101</v>
          </cell>
        </row>
        <row r="269">
          <cell r="L269" t="str">
            <v>PAE1101</v>
          </cell>
        </row>
        <row r="270">
          <cell r="L270" t="str">
            <v>PPI1101</v>
          </cell>
        </row>
        <row r="271">
          <cell r="L271" t="str">
            <v>PPD1101</v>
          </cell>
        </row>
        <row r="272">
          <cell r="L272" t="str">
            <v>PPB0101</v>
          </cell>
        </row>
        <row r="273">
          <cell r="L273" t="str">
            <v>CRE1301</v>
          </cell>
        </row>
        <row r="274">
          <cell r="L274" t="str">
            <v>CRE1302</v>
          </cell>
        </row>
        <row r="275">
          <cell r="L275" t="str">
            <v>CRR1303</v>
          </cell>
        </row>
        <row r="276">
          <cell r="L276" t="str">
            <v>RCE0101</v>
          </cell>
        </row>
        <row r="277">
          <cell r="L277" t="str">
            <v>RIE0101</v>
          </cell>
        </row>
        <row r="278">
          <cell r="L278" t="str">
            <v>RDU0101</v>
          </cell>
        </row>
        <row r="279">
          <cell r="L279" t="str">
            <v>ROS0302</v>
          </cell>
        </row>
        <row r="280">
          <cell r="L280" t="str">
            <v>ROS0301</v>
          </cell>
        </row>
        <row r="281">
          <cell r="L281" t="str">
            <v>S-72</v>
          </cell>
        </row>
        <row r="282">
          <cell r="L282" t="str">
            <v>W0101</v>
          </cell>
        </row>
        <row r="283">
          <cell r="L283" t="str">
            <v>ROD0401</v>
          </cell>
        </row>
        <row r="284">
          <cell r="L284" t="str">
            <v>ROD0402</v>
          </cell>
        </row>
        <row r="285">
          <cell r="L285" t="str">
            <v>RIN0001</v>
          </cell>
        </row>
        <row r="286">
          <cell r="L286" t="str">
            <v>ROC0002</v>
          </cell>
        </row>
        <row r="287">
          <cell r="L287" t="str">
            <v>ROC0001</v>
          </cell>
        </row>
        <row r="288">
          <cell r="L288" t="str">
            <v>CCP1101</v>
          </cell>
        </row>
        <row r="289">
          <cell r="L289" t="str">
            <v>RCVTDU</v>
          </cell>
        </row>
        <row r="290">
          <cell r="L290" t="str">
            <v>ROD744</v>
          </cell>
        </row>
        <row r="291">
          <cell r="L291" t="str">
            <v>ROD8025NY</v>
          </cell>
        </row>
        <row r="292">
          <cell r="L292" t="str">
            <v>RODV153</v>
          </cell>
        </row>
        <row r="293">
          <cell r="L293" t="str">
            <v>RDU0102</v>
          </cell>
        </row>
        <row r="294">
          <cell r="L294" t="str">
            <v>RODA5020</v>
          </cell>
        </row>
        <row r="295">
          <cell r="L295" t="str">
            <v>SDR0301</v>
          </cell>
        </row>
        <row r="296">
          <cell r="L296" t="str">
            <v>TSL0101</v>
          </cell>
        </row>
        <row r="297">
          <cell r="L297" t="str">
            <v>SIL0002</v>
          </cell>
        </row>
        <row r="298">
          <cell r="L298" t="str">
            <v>SIL003</v>
          </cell>
        </row>
        <row r="299">
          <cell r="L299" t="str">
            <v>SIL0001</v>
          </cell>
        </row>
        <row r="300">
          <cell r="L300" t="str">
            <v>SIL0401</v>
          </cell>
        </row>
        <row r="301">
          <cell r="L301" t="str">
            <v>SIL0501</v>
          </cell>
        </row>
        <row r="302">
          <cell r="L302" t="str">
            <v>SIL1001</v>
          </cell>
        </row>
        <row r="303">
          <cell r="L303" t="str">
            <v>SIL0201</v>
          </cell>
        </row>
        <row r="304">
          <cell r="L304" t="str">
            <v>SIL0101</v>
          </cell>
        </row>
        <row r="305">
          <cell r="L305" t="str">
            <v>SAR0101</v>
          </cell>
        </row>
        <row r="306">
          <cell r="L306" t="str">
            <v>SML0301</v>
          </cell>
        </row>
        <row r="307">
          <cell r="L307" t="str">
            <v>SPE0102</v>
          </cell>
        </row>
        <row r="308">
          <cell r="L308" t="str">
            <v>SPE0101</v>
          </cell>
        </row>
        <row r="309">
          <cell r="L309" t="str">
            <v>TZO0301</v>
          </cell>
        </row>
        <row r="310">
          <cell r="L310" t="str">
            <v>TEN0101</v>
          </cell>
        </row>
        <row r="311">
          <cell r="L311" t="str">
            <v>TOA0901</v>
          </cell>
        </row>
        <row r="312">
          <cell r="L312" t="str">
            <v>TBO0301</v>
          </cell>
        </row>
        <row r="313">
          <cell r="L313" t="str">
            <v>TBO0302</v>
          </cell>
        </row>
        <row r="314">
          <cell r="L314" t="str">
            <v>TBO0303</v>
          </cell>
        </row>
        <row r="315">
          <cell r="L315" t="str">
            <v>TBO0304</v>
          </cell>
        </row>
        <row r="316">
          <cell r="L316" t="str">
            <v>TOA1101</v>
          </cell>
        </row>
        <row r="317">
          <cell r="L317" t="str">
            <v>TOA1102</v>
          </cell>
        </row>
        <row r="318">
          <cell r="L318" t="str">
            <v>TOA1103</v>
          </cell>
        </row>
        <row r="319">
          <cell r="L319" t="str">
            <v>TES1101</v>
          </cell>
        </row>
        <row r="320">
          <cell r="L320" t="str">
            <v>TES1102</v>
          </cell>
        </row>
        <row r="321">
          <cell r="L321" t="str">
            <v>TCA0301</v>
          </cell>
        </row>
        <row r="322">
          <cell r="L322" t="str">
            <v>TOR1101</v>
          </cell>
        </row>
        <row r="323">
          <cell r="L323" t="str">
            <v>TUB1102</v>
          </cell>
        </row>
        <row r="324">
          <cell r="L324" t="str">
            <v>TUB1101</v>
          </cell>
        </row>
        <row r="325">
          <cell r="L325" t="str">
            <v>TUB0101</v>
          </cell>
        </row>
        <row r="326">
          <cell r="L326" t="str">
            <v>TUB0203</v>
          </cell>
        </row>
        <row r="327">
          <cell r="L327" t="str">
            <v>TUB0102</v>
          </cell>
        </row>
        <row r="328">
          <cell r="L328" t="str">
            <v>TUB0103</v>
          </cell>
        </row>
        <row r="329">
          <cell r="L329" t="str">
            <v>TUB1000</v>
          </cell>
        </row>
        <row r="330">
          <cell r="L330" t="str">
            <v>TUB0111</v>
          </cell>
        </row>
        <row r="331">
          <cell r="L331" t="str">
            <v>TUB0410</v>
          </cell>
        </row>
        <row r="332">
          <cell r="L332" t="str">
            <v>TUB0605</v>
          </cell>
        </row>
        <row r="333">
          <cell r="L333" t="str">
            <v>TUB0501</v>
          </cell>
        </row>
        <row r="334">
          <cell r="L334" t="str">
            <v>TUB0312</v>
          </cell>
        </row>
        <row r="335">
          <cell r="L335" t="str">
            <v>TUB0211</v>
          </cell>
        </row>
        <row r="336">
          <cell r="L336" t="str">
            <v>TUB0409</v>
          </cell>
        </row>
        <row r="337">
          <cell r="L337" t="str">
            <v>TUB0502</v>
          </cell>
        </row>
        <row r="338">
          <cell r="L338" t="str">
            <v>TUB0415</v>
          </cell>
        </row>
        <row r="339">
          <cell r="L339" t="str">
            <v>TUB0506</v>
          </cell>
        </row>
        <row r="340">
          <cell r="L340" t="str">
            <v>TUB0105</v>
          </cell>
        </row>
        <row r="341">
          <cell r="L341" t="str">
            <v>TUB0508</v>
          </cell>
        </row>
        <row r="342">
          <cell r="L342" t="str">
            <v>TUB0514</v>
          </cell>
        </row>
        <row r="343">
          <cell r="L343" t="str">
            <v>TUB0106</v>
          </cell>
        </row>
        <row r="344">
          <cell r="L344" t="str">
            <v>TUB0107</v>
          </cell>
        </row>
        <row r="345">
          <cell r="L345" t="str">
            <v>TUB0104</v>
          </cell>
        </row>
        <row r="346">
          <cell r="L346" t="str">
            <v>TUB0117</v>
          </cell>
        </row>
        <row r="347">
          <cell r="L347" t="str">
            <v>U320401</v>
          </cell>
        </row>
        <row r="348">
          <cell r="L348" t="str">
            <v>U320501</v>
          </cell>
        </row>
        <row r="349">
          <cell r="L349" t="str">
            <v>U320101</v>
          </cell>
        </row>
        <row r="350">
          <cell r="L350" t="str">
            <v>U570401</v>
          </cell>
        </row>
        <row r="351">
          <cell r="L351" t="str">
            <v>U570502</v>
          </cell>
        </row>
        <row r="352">
          <cell r="L352" t="str">
            <v>U570101</v>
          </cell>
        </row>
        <row r="353">
          <cell r="L353" t="str">
            <v>U660101</v>
          </cell>
        </row>
        <row r="354">
          <cell r="L354" t="str">
            <v>U680401</v>
          </cell>
        </row>
        <row r="355">
          <cell r="L355" t="str">
            <v>U680501</v>
          </cell>
        </row>
        <row r="356">
          <cell r="L356" t="str">
            <v>U681001</v>
          </cell>
        </row>
        <row r="357">
          <cell r="L357" t="str">
            <v>U680201</v>
          </cell>
        </row>
        <row r="358">
          <cell r="L358" t="str">
            <v>U680101</v>
          </cell>
        </row>
        <row r="359">
          <cell r="L359" t="str">
            <v>U690101</v>
          </cell>
        </row>
        <row r="360">
          <cell r="L360" t="str">
            <v>U890101</v>
          </cell>
        </row>
        <row r="361">
          <cell r="L361" t="str">
            <v>AZ10MM01CR</v>
          </cell>
        </row>
        <row r="362">
          <cell r="L362" t="str">
            <v>AZ10MM03SP</v>
          </cell>
        </row>
        <row r="363">
          <cell r="L363" t="str">
            <v>AZ6MM01CR</v>
          </cell>
        </row>
        <row r="364">
          <cell r="L364" t="str">
            <v>BR10MM03SP</v>
          </cell>
        </row>
        <row r="365">
          <cell r="L365" t="str">
            <v>BR4MM01CR</v>
          </cell>
        </row>
        <row r="366">
          <cell r="L366" t="str">
            <v>BR5MM01CR</v>
          </cell>
        </row>
        <row r="367">
          <cell r="L367" t="str">
            <v>BR6MM01CR</v>
          </cell>
        </row>
        <row r="368">
          <cell r="L368" t="str">
            <v>BR6MM02TE</v>
          </cell>
        </row>
        <row r="369">
          <cell r="L369" t="str">
            <v>CL4MM08SP</v>
          </cell>
        </row>
        <row r="370">
          <cell r="L370" t="str">
            <v>CL10MM01CR</v>
          </cell>
        </row>
        <row r="371">
          <cell r="L371" t="str">
            <v>CL10MM03SP</v>
          </cell>
        </row>
        <row r="372">
          <cell r="L372" t="str">
            <v>CL15MM01CR</v>
          </cell>
        </row>
        <row r="373">
          <cell r="L373" t="str">
            <v>CL19MM01CR</v>
          </cell>
        </row>
        <row r="374">
          <cell r="L374" t="str">
            <v>CL4MM03LM</v>
          </cell>
        </row>
        <row r="375">
          <cell r="L375" t="str">
            <v>CL6MM03LM</v>
          </cell>
        </row>
        <row r="376">
          <cell r="L376" t="str">
            <v>CL8MM03LM</v>
          </cell>
        </row>
        <row r="377">
          <cell r="L377" t="str">
            <v>CL4MM01CR</v>
          </cell>
        </row>
        <row r="378">
          <cell r="L378" t="str">
            <v>CL4MM02TE</v>
          </cell>
        </row>
        <row r="379">
          <cell r="L379" t="str">
            <v>CL4MM03SP</v>
          </cell>
        </row>
        <row r="380">
          <cell r="L380" t="str">
            <v>CL10MM03LM</v>
          </cell>
        </row>
        <row r="381">
          <cell r="L381" t="str">
            <v>CL5MM01CR</v>
          </cell>
        </row>
        <row r="382">
          <cell r="L382" t="str">
            <v>CL5MM02TE</v>
          </cell>
        </row>
        <row r="383">
          <cell r="L383" t="str">
            <v>CL5MM03SP</v>
          </cell>
        </row>
        <row r="384">
          <cell r="L384" t="str">
            <v>CL12MM03LM</v>
          </cell>
        </row>
        <row r="385">
          <cell r="L385" t="str">
            <v>CL6MM01CR</v>
          </cell>
        </row>
        <row r="386">
          <cell r="L386" t="str">
            <v>CL6MM02TE</v>
          </cell>
        </row>
        <row r="387">
          <cell r="L387" t="str">
            <v>CL6MM03SP</v>
          </cell>
        </row>
        <row r="388">
          <cell r="L388" t="str">
            <v>CL6MM08SP</v>
          </cell>
        </row>
        <row r="389">
          <cell r="L389" t="str">
            <v>CL8MM01CR</v>
          </cell>
        </row>
        <row r="390">
          <cell r="L390" t="str">
            <v>CL8MM03SP</v>
          </cell>
        </row>
        <row r="391">
          <cell r="L391" t="str">
            <v>GR4MM01CR</v>
          </cell>
        </row>
        <row r="392">
          <cell r="L392" t="str">
            <v>GR6MM01CR</v>
          </cell>
        </row>
        <row r="393">
          <cell r="L393" t="str">
            <v>GR6MM03SP</v>
          </cell>
        </row>
        <row r="394">
          <cell r="L394" t="str">
            <v>VR10MM03SP</v>
          </cell>
        </row>
        <row r="395">
          <cell r="L395" t="str">
            <v>VR5MM01CR</v>
          </cell>
        </row>
        <row r="396">
          <cell r="L396" t="str">
            <v>VR6MM01CR</v>
          </cell>
        </row>
        <row r="397">
          <cell r="L397" t="str">
            <v>ZBT0101</v>
          </cell>
        </row>
        <row r="398">
          <cell r="L398" t="str">
            <v>ZCE0101</v>
          </cell>
        </row>
        <row r="399">
          <cell r="L399" t="str">
            <v>ZCE0102</v>
          </cell>
        </row>
        <row r="400">
          <cell r="L400" t="str">
            <v>ZRC0101</v>
          </cell>
        </row>
        <row r="401">
          <cell r="L401" t="str">
            <v>ZSE0502</v>
          </cell>
        </row>
        <row r="402">
          <cell r="L402" t="str">
            <v>ZSE0104</v>
          </cell>
        </row>
        <row r="403">
          <cell r="L403" t="str">
            <v>ZSE0101</v>
          </cell>
        </row>
        <row r="404">
          <cell r="L404" t="str">
            <v>BML0101</v>
          </cell>
        </row>
        <row r="405">
          <cell r="L405" t="str">
            <v>K1200</v>
          </cell>
        </row>
        <row r="406">
          <cell r="L406" t="str">
            <v>K1300</v>
          </cell>
        </row>
        <row r="407">
          <cell r="L407" t="str">
            <v>K1500</v>
          </cell>
        </row>
        <row r="408">
          <cell r="L408" t="str">
            <v>K2000</v>
          </cell>
        </row>
        <row r="409">
          <cell r="L409" t="str">
            <v>K1000</v>
          </cell>
        </row>
        <row r="410">
          <cell r="L410" t="str">
            <v>TUB0109</v>
          </cell>
        </row>
        <row r="411">
          <cell r="L411" t="str">
            <v>VC10MMBPB</v>
          </cell>
        </row>
        <row r="412">
          <cell r="L412" t="str">
            <v>ESP4MMBPB</v>
          </cell>
        </row>
        <row r="413">
          <cell r="L413" t="str">
            <v>BPB04</v>
          </cell>
        </row>
        <row r="414">
          <cell r="L414" t="str">
            <v>BPB05</v>
          </cell>
        </row>
        <row r="415">
          <cell r="L415" t="str">
            <v>BPB10</v>
          </cell>
        </row>
        <row r="416">
          <cell r="L416" t="str">
            <v>BPB07</v>
          </cell>
        </row>
        <row r="417">
          <cell r="L417" t="str">
            <v>BOQN02</v>
          </cell>
        </row>
        <row r="418">
          <cell r="L418" t="str">
            <v>BOQN03</v>
          </cell>
        </row>
        <row r="419">
          <cell r="L419" t="str">
            <v>PERF01</v>
          </cell>
        </row>
        <row r="420">
          <cell r="L420" t="str">
            <v>PERF02</v>
          </cell>
        </row>
        <row r="421">
          <cell r="L421" t="str">
            <v>MATI07</v>
          </cell>
        </row>
        <row r="422">
          <cell r="L422" t="str">
            <v>MATI08</v>
          </cell>
        </row>
        <row r="423">
          <cell r="L423" t="str">
            <v>MATI09</v>
          </cell>
        </row>
        <row r="424">
          <cell r="L424" t="str">
            <v>PELI31</v>
          </cell>
        </row>
        <row r="425">
          <cell r="L425" t="str">
            <v>PELI31</v>
          </cell>
        </row>
        <row r="426">
          <cell r="L426" t="str">
            <v>BOQE01</v>
          </cell>
        </row>
        <row r="427">
          <cell r="L427" t="str">
            <v>PERF01</v>
          </cell>
        </row>
        <row r="428">
          <cell r="L428" t="str">
            <v>GUIA5020</v>
          </cell>
        </row>
        <row r="429">
          <cell r="L429" t="str">
            <v>HOR0408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"/>
      <sheetName val="CALCULO "/>
      <sheetName val="INVENTARIO"/>
      <sheetName val="ACCES. BARRA ESTAB"/>
      <sheetName val="3831 VENTANAS"/>
      <sheetName val="3831 PUERTAS Y DIV"/>
      <sheetName val="CAB 6MM"/>
      <sheetName val="GLASV 6MM"/>
      <sheetName val="GLASV 8MM"/>
      <sheetName val="BAT+FIJO 28-40"/>
      <sheetName val="BAT+FIJO 25-30"/>
      <sheetName val="5020 XX"/>
      <sheetName val="744XX"/>
      <sheetName val="8025 XX"/>
      <sheetName val="MONUMENTAL XX"/>
      <sheetName val="PTA TIPOROMA"/>
      <sheetName val="OPTIGLASS"/>
      <sheetName val="SAP 588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EE0000"/>
  </sheetPr>
  <dimension ref="A1:E48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9" sqref="I19"/>
    </sheetView>
  </sheetViews>
  <sheetFormatPr baseColWidth="10" defaultRowHeight="15.75" x14ac:dyDescent="0.25"/>
  <cols>
    <col min="1" max="1" width="13" style="15" bestFit="1" customWidth="1"/>
    <col min="2" max="2" width="49.140625" style="15" bestFit="1" customWidth="1"/>
    <col min="3" max="3" width="12.7109375" style="27" bestFit="1" customWidth="1"/>
    <col min="4" max="4" width="8.5703125" style="28" bestFit="1" customWidth="1"/>
    <col min="5" max="5" width="16.42578125" style="15" bestFit="1" customWidth="1"/>
    <col min="6" max="16384" width="11.42578125" style="15"/>
  </cols>
  <sheetData>
    <row r="1" spans="1:5" x14ac:dyDescent="0.25">
      <c r="A1" s="14" t="s">
        <v>790</v>
      </c>
      <c r="B1" s="14" t="s">
        <v>791</v>
      </c>
      <c r="E1" s="26"/>
    </row>
    <row r="2" spans="1:5" x14ac:dyDescent="0.25">
      <c r="A2" s="16" t="s">
        <v>13</v>
      </c>
      <c r="B2" s="17" t="s">
        <v>276</v>
      </c>
      <c r="C2" s="27" t="s">
        <v>63</v>
      </c>
      <c r="D2" s="28">
        <v>965</v>
      </c>
    </row>
    <row r="3" spans="1:5" x14ac:dyDescent="0.25">
      <c r="A3" s="16" t="s">
        <v>277</v>
      </c>
      <c r="B3" s="17" t="s">
        <v>278</v>
      </c>
      <c r="C3" s="27" t="s">
        <v>63</v>
      </c>
      <c r="D3" s="28">
        <v>840</v>
      </c>
    </row>
    <row r="4" spans="1:5" x14ac:dyDescent="0.25">
      <c r="A4" s="16" t="s">
        <v>719</v>
      </c>
      <c r="B4" s="17" t="s">
        <v>720</v>
      </c>
      <c r="C4" s="27" t="s">
        <v>63</v>
      </c>
      <c r="D4" s="28">
        <v>158</v>
      </c>
    </row>
    <row r="5" spans="1:5" x14ac:dyDescent="0.25">
      <c r="A5" s="16" t="s">
        <v>12</v>
      </c>
      <c r="B5" s="17" t="s">
        <v>279</v>
      </c>
      <c r="C5" s="27" t="s">
        <v>63</v>
      </c>
      <c r="D5" s="28">
        <v>403</v>
      </c>
    </row>
    <row r="6" spans="1:5" x14ac:dyDescent="0.25">
      <c r="A6" s="16" t="s">
        <v>280</v>
      </c>
      <c r="B6" s="17" t="s">
        <v>281</v>
      </c>
      <c r="C6" s="27" t="s">
        <v>57</v>
      </c>
      <c r="D6" s="28">
        <v>158</v>
      </c>
    </row>
    <row r="7" spans="1:5" x14ac:dyDescent="0.25">
      <c r="A7" s="16" t="s">
        <v>282</v>
      </c>
      <c r="B7" s="17" t="s">
        <v>642</v>
      </c>
      <c r="C7" s="27" t="s">
        <v>57</v>
      </c>
      <c r="D7" s="28">
        <v>175</v>
      </c>
    </row>
    <row r="8" spans="1:5" x14ac:dyDescent="0.25">
      <c r="A8" s="16" t="s">
        <v>3</v>
      </c>
      <c r="B8" s="17" t="s">
        <v>643</v>
      </c>
      <c r="C8" s="27" t="s">
        <v>57</v>
      </c>
      <c r="D8" s="28">
        <v>403</v>
      </c>
    </row>
    <row r="9" spans="1:5" x14ac:dyDescent="0.25">
      <c r="A9" s="16" t="s">
        <v>196</v>
      </c>
      <c r="B9" s="17" t="s">
        <v>197</v>
      </c>
      <c r="C9" s="27" t="s">
        <v>992</v>
      </c>
      <c r="D9" s="28">
        <v>175</v>
      </c>
    </row>
    <row r="10" spans="1:5" x14ac:dyDescent="0.25">
      <c r="A10" s="16" t="s">
        <v>283</v>
      </c>
      <c r="B10" s="17" t="s">
        <v>284</v>
      </c>
      <c r="C10" s="27" t="s">
        <v>67</v>
      </c>
      <c r="D10" s="28">
        <v>840</v>
      </c>
    </row>
    <row r="11" spans="1:5" x14ac:dyDescent="0.25">
      <c r="A11" s="16" t="s">
        <v>285</v>
      </c>
      <c r="B11" s="17" t="s">
        <v>286</v>
      </c>
      <c r="C11" s="27" t="s">
        <v>67</v>
      </c>
      <c r="D11" s="28">
        <v>175</v>
      </c>
    </row>
    <row r="12" spans="1:5" x14ac:dyDescent="0.25">
      <c r="A12" s="16" t="s">
        <v>198</v>
      </c>
      <c r="B12" s="17" t="s">
        <v>199</v>
      </c>
      <c r="C12" s="27" t="s">
        <v>67</v>
      </c>
      <c r="D12" s="28">
        <v>403</v>
      </c>
    </row>
    <row r="13" spans="1:5" x14ac:dyDescent="0.25">
      <c r="A13" s="16" t="s">
        <v>655</v>
      </c>
      <c r="B13" s="17" t="s">
        <v>656</v>
      </c>
      <c r="C13" s="27" t="s">
        <v>56</v>
      </c>
      <c r="D13" s="28">
        <v>158</v>
      </c>
    </row>
    <row r="14" spans="1:5" x14ac:dyDescent="0.25">
      <c r="A14" s="16" t="s">
        <v>287</v>
      </c>
      <c r="B14" s="17" t="s">
        <v>288</v>
      </c>
      <c r="C14" s="27" t="s">
        <v>56</v>
      </c>
      <c r="D14" s="28">
        <v>403</v>
      </c>
    </row>
    <row r="15" spans="1:5" x14ac:dyDescent="0.25">
      <c r="A15" s="16" t="s">
        <v>725</v>
      </c>
      <c r="B15" s="17" t="s">
        <v>728</v>
      </c>
      <c r="C15" s="27" t="s">
        <v>54</v>
      </c>
      <c r="D15" s="28">
        <v>403</v>
      </c>
    </row>
    <row r="16" spans="1:5" x14ac:dyDescent="0.25">
      <c r="A16" s="16" t="s">
        <v>128</v>
      </c>
      <c r="B16" s="17" t="s">
        <v>289</v>
      </c>
      <c r="C16" s="27" t="s">
        <v>54</v>
      </c>
      <c r="D16" s="28">
        <v>158</v>
      </c>
    </row>
    <row r="17" spans="1:4" x14ac:dyDescent="0.25">
      <c r="A17" s="16" t="s">
        <v>158</v>
      </c>
      <c r="B17" s="17" t="s">
        <v>290</v>
      </c>
      <c r="C17" s="27" t="s">
        <v>54</v>
      </c>
      <c r="D17" s="28">
        <v>175</v>
      </c>
    </row>
    <row r="18" spans="1:4" x14ac:dyDescent="0.25">
      <c r="A18" s="16" t="s">
        <v>132</v>
      </c>
      <c r="B18" s="17" t="s">
        <v>291</v>
      </c>
      <c r="C18" s="27" t="s">
        <v>54</v>
      </c>
      <c r="D18" s="28">
        <v>840</v>
      </c>
    </row>
    <row r="19" spans="1:4" x14ac:dyDescent="0.25">
      <c r="A19" s="16" t="s">
        <v>33</v>
      </c>
      <c r="B19" s="17" t="s">
        <v>292</v>
      </c>
      <c r="C19" s="27" t="s">
        <v>63</v>
      </c>
      <c r="D19" s="28" t="s">
        <v>60</v>
      </c>
    </row>
    <row r="20" spans="1:4" x14ac:dyDescent="0.25">
      <c r="A20" s="16" t="s">
        <v>20</v>
      </c>
      <c r="B20" s="17" t="s">
        <v>293</v>
      </c>
      <c r="C20" s="27" t="s">
        <v>63</v>
      </c>
      <c r="D20" s="28">
        <v>413</v>
      </c>
    </row>
    <row r="21" spans="1:4" x14ac:dyDescent="0.25">
      <c r="A21" s="16" t="s">
        <v>200</v>
      </c>
      <c r="B21" s="17" t="s">
        <v>792</v>
      </c>
      <c r="C21" s="27" t="s">
        <v>63</v>
      </c>
      <c r="D21" s="28">
        <v>612</v>
      </c>
    </row>
    <row r="22" spans="1:4" x14ac:dyDescent="0.25">
      <c r="A22" s="16" t="s">
        <v>21</v>
      </c>
      <c r="B22" s="17" t="s">
        <v>294</v>
      </c>
      <c r="C22" s="27" t="s">
        <v>63</v>
      </c>
      <c r="D22" s="28" t="s">
        <v>678</v>
      </c>
    </row>
    <row r="23" spans="1:4" x14ac:dyDescent="0.25">
      <c r="A23" s="16" t="s">
        <v>29</v>
      </c>
      <c r="B23" s="17" t="s">
        <v>295</v>
      </c>
      <c r="C23" s="27" t="s">
        <v>63</v>
      </c>
      <c r="D23" s="28">
        <v>616</v>
      </c>
    </row>
    <row r="24" spans="1:4" x14ac:dyDescent="0.25">
      <c r="A24" s="16" t="s">
        <v>296</v>
      </c>
      <c r="B24" s="17" t="s">
        <v>297</v>
      </c>
      <c r="C24" s="27" t="s">
        <v>63</v>
      </c>
      <c r="D24" s="28">
        <v>449</v>
      </c>
    </row>
    <row r="25" spans="1:4" x14ac:dyDescent="0.25">
      <c r="A25" s="16" t="s">
        <v>603</v>
      </c>
      <c r="B25" s="17" t="s">
        <v>793</v>
      </c>
      <c r="C25" s="27" t="s">
        <v>63</v>
      </c>
      <c r="D25" s="28">
        <v>1123</v>
      </c>
    </row>
    <row r="26" spans="1:4" x14ac:dyDescent="0.25">
      <c r="A26" s="16" t="s">
        <v>79</v>
      </c>
      <c r="B26" s="17" t="s">
        <v>298</v>
      </c>
      <c r="C26" s="27" t="s">
        <v>57</v>
      </c>
      <c r="D26" s="28">
        <v>612</v>
      </c>
    </row>
    <row r="27" spans="1:4" x14ac:dyDescent="0.25">
      <c r="A27" s="16" t="s">
        <v>14</v>
      </c>
      <c r="B27" s="17" t="s">
        <v>794</v>
      </c>
      <c r="C27" s="27" t="s">
        <v>57</v>
      </c>
      <c r="D27" s="28" t="s">
        <v>60</v>
      </c>
    </row>
    <row r="28" spans="1:4" x14ac:dyDescent="0.25">
      <c r="A28" s="16" t="s">
        <v>652</v>
      </c>
      <c r="B28" s="17" t="s">
        <v>795</v>
      </c>
      <c r="C28" s="27" t="s">
        <v>57</v>
      </c>
      <c r="D28" s="28">
        <v>1123</v>
      </c>
    </row>
    <row r="29" spans="1:4" x14ac:dyDescent="0.25">
      <c r="A29" s="16" t="s">
        <v>726</v>
      </c>
      <c r="B29" s="17" t="s">
        <v>729</v>
      </c>
      <c r="C29" s="27" t="s">
        <v>57</v>
      </c>
      <c r="D29" s="28">
        <v>413</v>
      </c>
    </row>
    <row r="30" spans="1:4" x14ac:dyDescent="0.25">
      <c r="A30" s="16" t="s">
        <v>1239</v>
      </c>
      <c r="B30" s="17" t="s">
        <v>1243</v>
      </c>
      <c r="C30" s="27" t="s">
        <v>57</v>
      </c>
      <c r="D30" s="28" t="s">
        <v>678</v>
      </c>
    </row>
    <row r="31" spans="1:4" x14ac:dyDescent="0.25">
      <c r="A31" s="16" t="s">
        <v>201</v>
      </c>
      <c r="B31" s="17" t="s">
        <v>202</v>
      </c>
      <c r="C31" s="27" t="s">
        <v>992</v>
      </c>
      <c r="D31" s="28" t="s">
        <v>678</v>
      </c>
    </row>
    <row r="32" spans="1:4" x14ac:dyDescent="0.25">
      <c r="A32" s="16" t="s">
        <v>668</v>
      </c>
      <c r="B32" s="17" t="s">
        <v>669</v>
      </c>
      <c r="C32" s="27" t="s">
        <v>992</v>
      </c>
      <c r="D32" s="28" t="s">
        <v>60</v>
      </c>
    </row>
    <row r="33" spans="1:4" x14ac:dyDescent="0.25">
      <c r="A33" s="16" t="s">
        <v>203</v>
      </c>
      <c r="B33" s="17" t="s">
        <v>204</v>
      </c>
      <c r="C33" s="27" t="s">
        <v>67</v>
      </c>
      <c r="D33" s="28" t="s">
        <v>60</v>
      </c>
    </row>
    <row r="34" spans="1:4" x14ac:dyDescent="0.25">
      <c r="A34" s="16" t="s">
        <v>299</v>
      </c>
      <c r="B34" s="17" t="s">
        <v>300</v>
      </c>
      <c r="C34" s="27" t="s">
        <v>67</v>
      </c>
      <c r="D34" s="28" t="s">
        <v>678</v>
      </c>
    </row>
    <row r="35" spans="1:4" x14ac:dyDescent="0.25">
      <c r="A35" s="16" t="s">
        <v>596</v>
      </c>
      <c r="B35" s="17" t="s">
        <v>630</v>
      </c>
      <c r="C35" s="27" t="s">
        <v>67</v>
      </c>
      <c r="D35" s="28">
        <v>413</v>
      </c>
    </row>
    <row r="36" spans="1:4" x14ac:dyDescent="0.25">
      <c r="A36" s="16" t="s">
        <v>796</v>
      </c>
      <c r="B36" s="17" t="s">
        <v>797</v>
      </c>
      <c r="C36" s="27" t="s">
        <v>67</v>
      </c>
      <c r="D36" s="28">
        <v>1123</v>
      </c>
    </row>
    <row r="37" spans="1:4" x14ac:dyDescent="0.25">
      <c r="A37" s="16" t="s">
        <v>602</v>
      </c>
      <c r="B37" s="17" t="s">
        <v>798</v>
      </c>
      <c r="C37" s="27" t="s">
        <v>56</v>
      </c>
      <c r="D37" s="28">
        <v>1123</v>
      </c>
    </row>
    <row r="38" spans="1:4" x14ac:dyDescent="0.25">
      <c r="A38" s="16" t="s">
        <v>631</v>
      </c>
      <c r="B38" s="17" t="s">
        <v>632</v>
      </c>
      <c r="C38" s="27" t="s">
        <v>56</v>
      </c>
      <c r="D38" s="28">
        <v>413</v>
      </c>
    </row>
    <row r="39" spans="1:4" x14ac:dyDescent="0.25">
      <c r="A39" s="16" t="s">
        <v>605</v>
      </c>
      <c r="B39" s="17" t="s">
        <v>604</v>
      </c>
      <c r="C39" s="27" t="s">
        <v>56</v>
      </c>
      <c r="D39" s="28" t="s">
        <v>678</v>
      </c>
    </row>
    <row r="40" spans="1:4" x14ac:dyDescent="0.25">
      <c r="A40" s="16" t="s">
        <v>205</v>
      </c>
      <c r="B40" s="17" t="s">
        <v>799</v>
      </c>
      <c r="C40" s="27" t="s">
        <v>56</v>
      </c>
      <c r="D40" s="28">
        <v>612</v>
      </c>
    </row>
    <row r="41" spans="1:4" x14ac:dyDescent="0.25">
      <c r="A41" s="16" t="s">
        <v>35</v>
      </c>
      <c r="B41" s="17" t="s">
        <v>301</v>
      </c>
      <c r="C41" s="27" t="s">
        <v>56</v>
      </c>
      <c r="D41" s="28" t="s">
        <v>60</v>
      </c>
    </row>
    <row r="42" spans="1:4" x14ac:dyDescent="0.25">
      <c r="A42" s="16" t="s">
        <v>608</v>
      </c>
      <c r="B42" s="17" t="s">
        <v>800</v>
      </c>
      <c r="C42" s="27" t="s">
        <v>54</v>
      </c>
      <c r="D42" s="28">
        <v>1123</v>
      </c>
    </row>
    <row r="43" spans="1:4" x14ac:dyDescent="0.25">
      <c r="A43" s="16" t="s">
        <v>302</v>
      </c>
      <c r="B43" s="17" t="s">
        <v>801</v>
      </c>
      <c r="C43" s="27" t="s">
        <v>54</v>
      </c>
      <c r="D43" s="28">
        <v>612</v>
      </c>
    </row>
    <row r="44" spans="1:4" x14ac:dyDescent="0.25">
      <c r="A44" s="16" t="s">
        <v>303</v>
      </c>
      <c r="B44" s="17" t="s">
        <v>802</v>
      </c>
      <c r="C44" s="27" t="s">
        <v>54</v>
      </c>
      <c r="D44" s="28">
        <v>413</v>
      </c>
    </row>
    <row r="45" spans="1:4" x14ac:dyDescent="0.25">
      <c r="A45" s="16" t="s">
        <v>150</v>
      </c>
      <c r="B45" s="17" t="s">
        <v>803</v>
      </c>
      <c r="C45" s="27" t="s">
        <v>54</v>
      </c>
      <c r="D45" s="28" t="s">
        <v>60</v>
      </c>
    </row>
    <row r="46" spans="1:4" x14ac:dyDescent="0.25">
      <c r="A46" s="16" t="s">
        <v>151</v>
      </c>
      <c r="B46" s="17" t="s">
        <v>304</v>
      </c>
      <c r="C46" s="27" t="s">
        <v>54</v>
      </c>
      <c r="D46" s="28" t="s">
        <v>678</v>
      </c>
    </row>
    <row r="47" spans="1:4" x14ac:dyDescent="0.25">
      <c r="A47" s="16" t="s">
        <v>74</v>
      </c>
      <c r="B47" s="17" t="s">
        <v>765</v>
      </c>
      <c r="C47" s="27" t="s">
        <v>54</v>
      </c>
      <c r="D47" s="28">
        <v>449</v>
      </c>
    </row>
    <row r="48" spans="1:4" x14ac:dyDescent="0.25">
      <c r="A48" s="16" t="s">
        <v>72</v>
      </c>
      <c r="B48" s="17" t="s">
        <v>619</v>
      </c>
      <c r="C48" s="27" t="s">
        <v>63</v>
      </c>
      <c r="D48" s="28" t="s">
        <v>73</v>
      </c>
    </row>
    <row r="49" spans="1:4" x14ac:dyDescent="0.25">
      <c r="A49" s="16" t="s">
        <v>305</v>
      </c>
      <c r="B49" s="17" t="s">
        <v>804</v>
      </c>
      <c r="C49" s="27" t="s">
        <v>63</v>
      </c>
      <c r="D49" s="28" t="s">
        <v>1012</v>
      </c>
    </row>
    <row r="50" spans="1:4" x14ac:dyDescent="0.25">
      <c r="A50" s="16" t="s">
        <v>62</v>
      </c>
      <c r="B50" s="17" t="s">
        <v>805</v>
      </c>
      <c r="C50" s="27" t="s">
        <v>63</v>
      </c>
      <c r="D50" s="28" t="s">
        <v>1010</v>
      </c>
    </row>
    <row r="51" spans="1:4" x14ac:dyDescent="0.25">
      <c r="A51" s="16" t="s">
        <v>307</v>
      </c>
      <c r="B51" s="17" t="s">
        <v>754</v>
      </c>
      <c r="C51" s="27" t="s">
        <v>63</v>
      </c>
      <c r="D51" s="28" t="s">
        <v>81</v>
      </c>
    </row>
    <row r="52" spans="1:4" x14ac:dyDescent="0.25">
      <c r="A52" s="16" t="s">
        <v>308</v>
      </c>
      <c r="B52" s="17" t="s">
        <v>755</v>
      </c>
      <c r="C52" s="27" t="s">
        <v>63</v>
      </c>
      <c r="D52" s="28" t="s">
        <v>701</v>
      </c>
    </row>
    <row r="53" spans="1:4" x14ac:dyDescent="0.25">
      <c r="A53" s="16" t="s">
        <v>806</v>
      </c>
      <c r="B53" s="17" t="s">
        <v>807</v>
      </c>
      <c r="C53" s="27" t="s">
        <v>63</v>
      </c>
      <c r="D53" s="28" t="s">
        <v>1013</v>
      </c>
    </row>
    <row r="54" spans="1:4" x14ac:dyDescent="0.25">
      <c r="A54" s="16" t="s">
        <v>309</v>
      </c>
      <c r="B54" s="17" t="s">
        <v>808</v>
      </c>
      <c r="C54" s="27" t="s">
        <v>57</v>
      </c>
      <c r="D54" s="28" t="s">
        <v>81</v>
      </c>
    </row>
    <row r="55" spans="1:4" x14ac:dyDescent="0.25">
      <c r="A55" s="16" t="s">
        <v>809</v>
      </c>
      <c r="B55" s="17" t="s">
        <v>810</v>
      </c>
      <c r="C55" s="27" t="s">
        <v>67</v>
      </c>
      <c r="D55" s="28" t="s">
        <v>1010</v>
      </c>
    </row>
    <row r="56" spans="1:4" x14ac:dyDescent="0.25">
      <c r="A56" s="16" t="s">
        <v>692</v>
      </c>
      <c r="B56" s="17" t="s">
        <v>811</v>
      </c>
      <c r="C56" s="27" t="s">
        <v>57</v>
      </c>
      <c r="D56" s="28">
        <v>46</v>
      </c>
    </row>
    <row r="57" spans="1:4" x14ac:dyDescent="0.25">
      <c r="A57" s="16" t="s">
        <v>89</v>
      </c>
      <c r="B57" s="17" t="s">
        <v>812</v>
      </c>
      <c r="C57" s="27" t="s">
        <v>992</v>
      </c>
      <c r="D57" s="28">
        <v>46</v>
      </c>
    </row>
    <row r="58" spans="1:4" x14ac:dyDescent="0.25">
      <c r="A58" s="16" t="s">
        <v>311</v>
      </c>
      <c r="B58" s="17" t="s">
        <v>813</v>
      </c>
      <c r="C58" s="27" t="s">
        <v>992</v>
      </c>
      <c r="D58" s="28" t="s">
        <v>1014</v>
      </c>
    </row>
    <row r="59" spans="1:4" x14ac:dyDescent="0.25">
      <c r="A59" s="16" t="s">
        <v>94</v>
      </c>
      <c r="B59" s="17" t="s">
        <v>814</v>
      </c>
      <c r="C59" s="27" t="s">
        <v>992</v>
      </c>
      <c r="D59" s="28" t="s">
        <v>1013</v>
      </c>
    </row>
    <row r="60" spans="1:4" x14ac:dyDescent="0.25">
      <c r="A60" s="16" t="s">
        <v>171</v>
      </c>
      <c r="B60" s="17" t="s">
        <v>815</v>
      </c>
      <c r="C60" s="27" t="s">
        <v>992</v>
      </c>
      <c r="D60" s="28" t="s">
        <v>81</v>
      </c>
    </row>
    <row r="61" spans="1:4" x14ac:dyDescent="0.25">
      <c r="A61" s="16" t="s">
        <v>312</v>
      </c>
      <c r="B61" s="17" t="s">
        <v>787</v>
      </c>
      <c r="C61" s="27" t="s">
        <v>992</v>
      </c>
      <c r="D61" s="28" t="s">
        <v>1012</v>
      </c>
    </row>
    <row r="62" spans="1:4" x14ac:dyDescent="0.25">
      <c r="A62" s="16" t="s">
        <v>677</v>
      </c>
      <c r="B62" s="17" t="s">
        <v>693</v>
      </c>
      <c r="C62" s="27" t="s">
        <v>67</v>
      </c>
      <c r="D62" s="28" t="s">
        <v>73</v>
      </c>
    </row>
    <row r="63" spans="1:4" x14ac:dyDescent="0.25">
      <c r="A63" s="16" t="s">
        <v>313</v>
      </c>
      <c r="B63" s="17" t="s">
        <v>756</v>
      </c>
      <c r="C63" s="27" t="s">
        <v>67</v>
      </c>
      <c r="D63" s="28" t="s">
        <v>81</v>
      </c>
    </row>
    <row r="64" spans="1:4" x14ac:dyDescent="0.25">
      <c r="A64" s="16" t="s">
        <v>206</v>
      </c>
      <c r="B64" s="17" t="s">
        <v>816</v>
      </c>
      <c r="C64" s="27" t="s">
        <v>56</v>
      </c>
      <c r="D64" s="28" t="s">
        <v>1010</v>
      </c>
    </row>
    <row r="65" spans="1:4" x14ac:dyDescent="0.25">
      <c r="A65" s="16" t="s">
        <v>314</v>
      </c>
      <c r="B65" s="17" t="s">
        <v>817</v>
      </c>
      <c r="C65" s="27" t="s">
        <v>56</v>
      </c>
      <c r="D65" s="28" t="s">
        <v>701</v>
      </c>
    </row>
    <row r="66" spans="1:4" x14ac:dyDescent="0.25">
      <c r="A66" s="16" t="s">
        <v>80</v>
      </c>
      <c r="B66" s="17" t="s">
        <v>753</v>
      </c>
      <c r="C66" s="27" t="s">
        <v>56</v>
      </c>
      <c r="D66" s="28" t="s">
        <v>81</v>
      </c>
    </row>
    <row r="67" spans="1:4" x14ac:dyDescent="0.25">
      <c r="A67" s="16" t="s">
        <v>176</v>
      </c>
      <c r="B67" s="17" t="s">
        <v>306</v>
      </c>
      <c r="C67" s="27" t="s">
        <v>56</v>
      </c>
      <c r="D67" s="28" t="s">
        <v>73</v>
      </c>
    </row>
    <row r="68" spans="1:4" x14ac:dyDescent="0.25">
      <c r="A68" s="16" t="s">
        <v>315</v>
      </c>
      <c r="B68" s="17" t="s">
        <v>316</v>
      </c>
      <c r="C68" s="27" t="s">
        <v>54</v>
      </c>
      <c r="D68" s="28" t="s">
        <v>73</v>
      </c>
    </row>
    <row r="69" spans="1:4" x14ac:dyDescent="0.25">
      <c r="A69" s="16" t="s">
        <v>317</v>
      </c>
      <c r="B69" s="17" t="s">
        <v>757</v>
      </c>
      <c r="C69" s="27" t="s">
        <v>54</v>
      </c>
      <c r="D69" s="28" t="s">
        <v>701</v>
      </c>
    </row>
    <row r="70" spans="1:4" x14ac:dyDescent="0.25">
      <c r="A70" s="16" t="s">
        <v>1240</v>
      </c>
      <c r="B70" s="17" t="s">
        <v>1048</v>
      </c>
      <c r="C70" s="27" t="s">
        <v>54</v>
      </c>
      <c r="D70" s="28" t="s">
        <v>1010</v>
      </c>
    </row>
    <row r="71" spans="1:4" x14ac:dyDescent="0.25">
      <c r="A71" s="16" t="s">
        <v>165</v>
      </c>
      <c r="B71" s="17" t="s">
        <v>752</v>
      </c>
      <c r="C71" s="27" t="s">
        <v>54</v>
      </c>
      <c r="D71" s="28" t="s">
        <v>81</v>
      </c>
    </row>
    <row r="72" spans="1:4" x14ac:dyDescent="0.25">
      <c r="A72" s="16" t="s">
        <v>318</v>
      </c>
      <c r="B72" s="17" t="s">
        <v>818</v>
      </c>
      <c r="C72" s="27" t="s">
        <v>992</v>
      </c>
      <c r="D72" s="28" t="s">
        <v>1015</v>
      </c>
    </row>
    <row r="73" spans="1:4" x14ac:dyDescent="0.25">
      <c r="A73" s="16" t="s">
        <v>319</v>
      </c>
      <c r="B73" s="17" t="s">
        <v>621</v>
      </c>
      <c r="C73" s="27" t="s">
        <v>63</v>
      </c>
      <c r="D73" s="28" t="s">
        <v>68</v>
      </c>
    </row>
    <row r="74" spans="1:4" x14ac:dyDescent="0.25">
      <c r="A74" s="16" t="s">
        <v>122</v>
      </c>
      <c r="B74" s="17" t="s">
        <v>320</v>
      </c>
      <c r="C74" s="27" t="s">
        <v>63</v>
      </c>
      <c r="D74" s="28">
        <v>144</v>
      </c>
    </row>
    <row r="75" spans="1:4" x14ac:dyDescent="0.25">
      <c r="A75" s="16" t="s">
        <v>321</v>
      </c>
      <c r="B75" s="17" t="s">
        <v>322</v>
      </c>
      <c r="C75" s="27" t="s">
        <v>63</v>
      </c>
      <c r="D75" s="28">
        <v>700</v>
      </c>
    </row>
    <row r="76" spans="1:4" x14ac:dyDescent="0.25">
      <c r="A76" s="16" t="s">
        <v>694</v>
      </c>
      <c r="B76" s="17" t="s">
        <v>347</v>
      </c>
      <c r="C76" s="27" t="s">
        <v>63</v>
      </c>
      <c r="D76" s="28">
        <v>392</v>
      </c>
    </row>
    <row r="77" spans="1:4" x14ac:dyDescent="0.25">
      <c r="A77" s="16" t="s">
        <v>140</v>
      </c>
      <c r="B77" s="17" t="s">
        <v>323</v>
      </c>
      <c r="C77" s="27" t="s">
        <v>63</v>
      </c>
      <c r="D77" s="28">
        <v>706</v>
      </c>
    </row>
    <row r="78" spans="1:4" x14ac:dyDescent="0.25">
      <c r="A78" s="16" t="s">
        <v>772</v>
      </c>
      <c r="B78" s="17" t="s">
        <v>970</v>
      </c>
      <c r="C78" s="27" t="s">
        <v>63</v>
      </c>
      <c r="D78" s="28">
        <v>1857</v>
      </c>
    </row>
    <row r="79" spans="1:4" x14ac:dyDescent="0.25">
      <c r="A79" s="16" t="s">
        <v>154</v>
      </c>
      <c r="B79" s="17" t="s">
        <v>819</v>
      </c>
      <c r="C79" s="27" t="s">
        <v>57</v>
      </c>
      <c r="D79" s="28" t="s">
        <v>68</v>
      </c>
    </row>
    <row r="80" spans="1:4" x14ac:dyDescent="0.25">
      <c r="A80" s="16" t="s">
        <v>70</v>
      </c>
      <c r="B80" s="17" t="s">
        <v>993</v>
      </c>
      <c r="C80" s="27" t="s">
        <v>57</v>
      </c>
      <c r="D80" s="28">
        <v>392</v>
      </c>
    </row>
    <row r="81" spans="1:4" x14ac:dyDescent="0.25">
      <c r="A81" s="16" t="s">
        <v>28</v>
      </c>
      <c r="B81" s="17" t="s">
        <v>994</v>
      </c>
      <c r="C81" s="27" t="s">
        <v>57</v>
      </c>
      <c r="D81" s="28">
        <v>144</v>
      </c>
    </row>
    <row r="82" spans="1:4" x14ac:dyDescent="0.25">
      <c r="A82" s="16" t="s">
        <v>324</v>
      </c>
      <c r="B82" s="17" t="s">
        <v>649</v>
      </c>
      <c r="C82" s="27" t="s">
        <v>67</v>
      </c>
      <c r="D82" s="28">
        <v>151</v>
      </c>
    </row>
    <row r="83" spans="1:4" x14ac:dyDescent="0.25">
      <c r="A83" s="16" t="s">
        <v>23</v>
      </c>
      <c r="B83" s="17" t="s">
        <v>325</v>
      </c>
      <c r="C83" s="27" t="s">
        <v>67</v>
      </c>
      <c r="D83" s="28">
        <v>706</v>
      </c>
    </row>
    <row r="84" spans="1:4" x14ac:dyDescent="0.25">
      <c r="A84" s="16" t="s">
        <v>18</v>
      </c>
      <c r="B84" s="17" t="s">
        <v>326</v>
      </c>
      <c r="C84" s="27" t="s">
        <v>57</v>
      </c>
      <c r="D84" s="28">
        <v>151</v>
      </c>
    </row>
    <row r="85" spans="1:4" x14ac:dyDescent="0.25">
      <c r="A85" s="16" t="s">
        <v>207</v>
      </c>
      <c r="B85" s="17" t="s">
        <v>208</v>
      </c>
      <c r="C85" s="27" t="s">
        <v>992</v>
      </c>
      <c r="D85" s="28">
        <v>151</v>
      </c>
    </row>
    <row r="86" spans="1:4" x14ac:dyDescent="0.25">
      <c r="A86" s="16" t="s">
        <v>327</v>
      </c>
      <c r="B86" s="17" t="s">
        <v>662</v>
      </c>
      <c r="C86" s="27" t="s">
        <v>992</v>
      </c>
      <c r="D86" s="28">
        <v>700</v>
      </c>
    </row>
    <row r="87" spans="1:4" x14ac:dyDescent="0.25">
      <c r="A87" s="16" t="s">
        <v>702</v>
      </c>
      <c r="B87" s="17" t="s">
        <v>713</v>
      </c>
      <c r="C87" s="27" t="s">
        <v>992</v>
      </c>
      <c r="D87" s="28">
        <v>1730</v>
      </c>
    </row>
    <row r="88" spans="1:4" x14ac:dyDescent="0.25">
      <c r="A88" s="16" t="s">
        <v>820</v>
      </c>
      <c r="B88" s="17" t="s">
        <v>821</v>
      </c>
      <c r="C88" s="27" t="s">
        <v>992</v>
      </c>
      <c r="D88" s="28">
        <v>1730</v>
      </c>
    </row>
    <row r="89" spans="1:4" x14ac:dyDescent="0.25">
      <c r="A89" s="16" t="s">
        <v>722</v>
      </c>
      <c r="B89" s="17" t="s">
        <v>822</v>
      </c>
      <c r="C89" s="27" t="s">
        <v>992</v>
      </c>
      <c r="D89" s="28">
        <v>1857</v>
      </c>
    </row>
    <row r="90" spans="1:4" x14ac:dyDescent="0.25">
      <c r="A90" s="16" t="s">
        <v>823</v>
      </c>
      <c r="B90" s="17" t="s">
        <v>824</v>
      </c>
      <c r="C90" s="27" t="s">
        <v>992</v>
      </c>
      <c r="D90" s="28">
        <v>392</v>
      </c>
    </row>
    <row r="91" spans="1:4" x14ac:dyDescent="0.25">
      <c r="A91" s="16" t="s">
        <v>209</v>
      </c>
      <c r="B91" s="17" t="s">
        <v>210</v>
      </c>
      <c r="C91" s="27" t="s">
        <v>992</v>
      </c>
      <c r="D91" s="28">
        <v>144</v>
      </c>
    </row>
    <row r="92" spans="1:4" x14ac:dyDescent="0.25">
      <c r="A92" s="16" t="s">
        <v>22</v>
      </c>
      <c r="B92" s="17" t="s">
        <v>825</v>
      </c>
      <c r="C92" s="27" t="s">
        <v>67</v>
      </c>
      <c r="D92" s="28" t="s">
        <v>68</v>
      </c>
    </row>
    <row r="93" spans="1:4" x14ac:dyDescent="0.25">
      <c r="A93" s="16" t="s">
        <v>328</v>
      </c>
      <c r="B93" s="17" t="s">
        <v>329</v>
      </c>
      <c r="C93" s="27" t="s">
        <v>67</v>
      </c>
      <c r="D93" s="28">
        <v>392</v>
      </c>
    </row>
    <row r="94" spans="1:4" x14ac:dyDescent="0.25">
      <c r="A94" s="16" t="s">
        <v>330</v>
      </c>
      <c r="B94" s="17" t="s">
        <v>663</v>
      </c>
      <c r="C94" s="27" t="s">
        <v>67</v>
      </c>
      <c r="D94" s="28">
        <v>700</v>
      </c>
    </row>
    <row r="95" spans="1:4" x14ac:dyDescent="0.25">
      <c r="A95" s="16" t="s">
        <v>183</v>
      </c>
      <c r="B95" s="17" t="s">
        <v>331</v>
      </c>
      <c r="C95" s="27" t="s">
        <v>67</v>
      </c>
      <c r="D95" s="28">
        <v>144</v>
      </c>
    </row>
    <row r="96" spans="1:4" x14ac:dyDescent="0.25">
      <c r="A96" s="16" t="s">
        <v>102</v>
      </c>
      <c r="B96" s="17" t="s">
        <v>826</v>
      </c>
      <c r="C96" s="27" t="s">
        <v>56</v>
      </c>
      <c r="D96" s="28" t="s">
        <v>68</v>
      </c>
    </row>
    <row r="97" spans="1:4" x14ac:dyDescent="0.25">
      <c r="A97" s="16" t="s">
        <v>735</v>
      </c>
      <c r="B97" s="17" t="s">
        <v>734</v>
      </c>
      <c r="C97" s="27" t="s">
        <v>56</v>
      </c>
      <c r="D97" s="28">
        <v>700</v>
      </c>
    </row>
    <row r="98" spans="1:4" x14ac:dyDescent="0.25">
      <c r="A98" s="16" t="s">
        <v>332</v>
      </c>
      <c r="B98" s="17" t="s">
        <v>333</v>
      </c>
      <c r="C98" s="27" t="s">
        <v>56</v>
      </c>
      <c r="D98" s="28">
        <v>706</v>
      </c>
    </row>
    <row r="99" spans="1:4" x14ac:dyDescent="0.25">
      <c r="A99" s="16" t="s">
        <v>334</v>
      </c>
      <c r="B99" s="17" t="s">
        <v>335</v>
      </c>
      <c r="C99" s="27" t="s">
        <v>56</v>
      </c>
      <c r="D99" s="28">
        <v>151</v>
      </c>
    </row>
    <row r="100" spans="1:4" x14ac:dyDescent="0.25">
      <c r="A100" s="16" t="s">
        <v>336</v>
      </c>
      <c r="B100" s="17" t="s">
        <v>337</v>
      </c>
      <c r="C100" s="27" t="s">
        <v>56</v>
      </c>
      <c r="D100" s="28">
        <v>392</v>
      </c>
    </row>
    <row r="101" spans="1:4" x14ac:dyDescent="0.25">
      <c r="A101" s="16" t="s">
        <v>108</v>
      </c>
      <c r="B101" s="17" t="s">
        <v>338</v>
      </c>
      <c r="C101" s="27" t="s">
        <v>56</v>
      </c>
      <c r="D101" s="28">
        <v>144</v>
      </c>
    </row>
    <row r="102" spans="1:4" x14ac:dyDescent="0.25">
      <c r="A102" s="16" t="s">
        <v>45</v>
      </c>
      <c r="B102" s="17" t="s">
        <v>611</v>
      </c>
      <c r="C102" s="27" t="s">
        <v>54</v>
      </c>
      <c r="D102" s="28">
        <v>700</v>
      </c>
    </row>
    <row r="103" spans="1:4" x14ac:dyDescent="0.25">
      <c r="A103" s="16" t="s">
        <v>339</v>
      </c>
      <c r="B103" s="17" t="s">
        <v>344</v>
      </c>
      <c r="C103" s="27" t="s">
        <v>54</v>
      </c>
      <c r="D103" s="28">
        <v>392</v>
      </c>
    </row>
    <row r="104" spans="1:4" x14ac:dyDescent="0.25">
      <c r="A104" s="16" t="s">
        <v>340</v>
      </c>
      <c r="B104" s="17" t="s">
        <v>660</v>
      </c>
      <c r="C104" s="27" t="s">
        <v>54</v>
      </c>
      <c r="D104" s="28">
        <v>706</v>
      </c>
    </row>
    <row r="105" spans="1:4" x14ac:dyDescent="0.25">
      <c r="A105" s="16" t="s">
        <v>341</v>
      </c>
      <c r="B105" s="17" t="s">
        <v>614</v>
      </c>
      <c r="C105" s="27" t="s">
        <v>54</v>
      </c>
      <c r="D105" s="28">
        <v>151</v>
      </c>
    </row>
    <row r="106" spans="1:4" x14ac:dyDescent="0.25">
      <c r="A106" s="16" t="s">
        <v>342</v>
      </c>
      <c r="B106" s="17" t="s">
        <v>622</v>
      </c>
      <c r="C106" s="27" t="s">
        <v>54</v>
      </c>
      <c r="D106" s="28" t="s">
        <v>68</v>
      </c>
    </row>
    <row r="107" spans="1:4" x14ac:dyDescent="0.25">
      <c r="A107" s="16" t="s">
        <v>159</v>
      </c>
      <c r="B107" s="17" t="s">
        <v>343</v>
      </c>
      <c r="C107" s="27" t="s">
        <v>54</v>
      </c>
      <c r="D107" s="28">
        <v>144</v>
      </c>
    </row>
    <row r="108" spans="1:4" x14ac:dyDescent="0.25">
      <c r="A108" s="16" t="s">
        <v>971</v>
      </c>
      <c r="B108" s="17" t="s">
        <v>972</v>
      </c>
      <c r="C108" s="27" t="s">
        <v>54</v>
      </c>
      <c r="D108" s="28">
        <v>1857</v>
      </c>
    </row>
    <row r="109" spans="1:4" x14ac:dyDescent="0.25">
      <c r="A109" s="16" t="s">
        <v>983</v>
      </c>
      <c r="B109" s="17" t="s">
        <v>745</v>
      </c>
      <c r="C109" s="27" t="s">
        <v>54</v>
      </c>
      <c r="D109" s="28">
        <v>1730</v>
      </c>
    </row>
    <row r="110" spans="1:4" x14ac:dyDescent="0.25">
      <c r="A110" s="16" t="s">
        <v>211</v>
      </c>
      <c r="B110" s="17" t="s">
        <v>827</v>
      </c>
      <c r="C110" s="27" t="s">
        <v>992</v>
      </c>
      <c r="D110" s="28" t="s">
        <v>68</v>
      </c>
    </row>
    <row r="111" spans="1:4" x14ac:dyDescent="0.25">
      <c r="A111" s="16" t="s">
        <v>6</v>
      </c>
      <c r="B111" s="17" t="s">
        <v>613</v>
      </c>
      <c r="C111" s="27" t="s">
        <v>63</v>
      </c>
      <c r="D111" s="28">
        <v>1730</v>
      </c>
    </row>
    <row r="112" spans="1:4" x14ac:dyDescent="0.25">
      <c r="A112" s="16" t="s">
        <v>345</v>
      </c>
      <c r="B112" s="17" t="s">
        <v>346</v>
      </c>
      <c r="C112" s="27" t="s">
        <v>63</v>
      </c>
      <c r="D112" s="28">
        <v>151</v>
      </c>
    </row>
    <row r="113" spans="1:4" x14ac:dyDescent="0.25">
      <c r="A113" s="16" t="s">
        <v>212</v>
      </c>
      <c r="B113" s="17" t="s">
        <v>213</v>
      </c>
      <c r="C113" s="27" t="s">
        <v>67</v>
      </c>
      <c r="D113" s="28" t="s">
        <v>1032</v>
      </c>
    </row>
    <row r="114" spans="1:4" x14ac:dyDescent="0.25">
      <c r="A114" s="16" t="s">
        <v>129</v>
      </c>
      <c r="B114" s="17" t="s">
        <v>348</v>
      </c>
      <c r="C114" s="27" t="s">
        <v>63</v>
      </c>
      <c r="D114" s="28">
        <v>292</v>
      </c>
    </row>
    <row r="115" spans="1:4" x14ac:dyDescent="0.25">
      <c r="A115" s="16" t="s">
        <v>349</v>
      </c>
      <c r="B115" s="17" t="s">
        <v>350</v>
      </c>
      <c r="C115" s="27" t="s">
        <v>63</v>
      </c>
      <c r="D115" s="28">
        <v>1103</v>
      </c>
    </row>
    <row r="116" spans="1:4" x14ac:dyDescent="0.25">
      <c r="A116" s="16" t="s">
        <v>351</v>
      </c>
      <c r="B116" s="17" t="s">
        <v>352</v>
      </c>
      <c r="C116" s="27" t="s">
        <v>57</v>
      </c>
      <c r="D116" s="28">
        <v>292</v>
      </c>
    </row>
    <row r="117" spans="1:4" x14ac:dyDescent="0.25">
      <c r="A117" s="16" t="s">
        <v>214</v>
      </c>
      <c r="B117" s="17" t="s">
        <v>215</v>
      </c>
      <c r="C117" s="27" t="s">
        <v>992</v>
      </c>
      <c r="D117" s="28">
        <v>292</v>
      </c>
    </row>
    <row r="118" spans="1:4" x14ac:dyDescent="0.25">
      <c r="A118" s="16" t="s">
        <v>353</v>
      </c>
      <c r="B118" s="17" t="s">
        <v>354</v>
      </c>
      <c r="C118" s="27" t="s">
        <v>67</v>
      </c>
      <c r="D118" s="28">
        <v>292</v>
      </c>
    </row>
    <row r="119" spans="1:4" x14ac:dyDescent="0.25">
      <c r="A119" s="16" t="s">
        <v>355</v>
      </c>
      <c r="B119" s="17" t="s">
        <v>356</v>
      </c>
      <c r="C119" s="27" t="s">
        <v>56</v>
      </c>
      <c r="D119" s="28">
        <v>1103</v>
      </c>
    </row>
    <row r="120" spans="1:4" x14ac:dyDescent="0.25">
      <c r="A120" s="16" t="s">
        <v>8</v>
      </c>
      <c r="B120" s="17" t="s">
        <v>357</v>
      </c>
      <c r="C120" s="27" t="s">
        <v>56</v>
      </c>
      <c r="D120" s="28">
        <v>292</v>
      </c>
    </row>
    <row r="121" spans="1:4" x14ac:dyDescent="0.25">
      <c r="A121" s="16" t="s">
        <v>615</v>
      </c>
      <c r="B121" s="17" t="s">
        <v>616</v>
      </c>
      <c r="C121" s="27" t="s">
        <v>54</v>
      </c>
      <c r="D121" s="28">
        <v>1103</v>
      </c>
    </row>
    <row r="122" spans="1:4" x14ac:dyDescent="0.25">
      <c r="A122" s="16" t="s">
        <v>125</v>
      </c>
      <c r="B122" s="17" t="s">
        <v>358</v>
      </c>
      <c r="C122" s="27" t="s">
        <v>54</v>
      </c>
      <c r="D122" s="28">
        <v>292</v>
      </c>
    </row>
    <row r="123" spans="1:4" x14ac:dyDescent="0.25">
      <c r="A123" s="16" t="s">
        <v>359</v>
      </c>
      <c r="B123" s="17" t="s">
        <v>360</v>
      </c>
      <c r="C123" s="27" t="s">
        <v>63</v>
      </c>
      <c r="D123" s="28">
        <v>1871</v>
      </c>
    </row>
    <row r="124" spans="1:4" x14ac:dyDescent="0.25">
      <c r="A124" s="16" t="s">
        <v>119</v>
      </c>
      <c r="B124" s="17" t="s">
        <v>361</v>
      </c>
      <c r="C124" s="27" t="s">
        <v>63</v>
      </c>
      <c r="D124" s="28">
        <v>391</v>
      </c>
    </row>
    <row r="125" spans="1:4" x14ac:dyDescent="0.25">
      <c r="A125" s="16" t="s">
        <v>77</v>
      </c>
      <c r="B125" s="17" t="s">
        <v>995</v>
      </c>
      <c r="C125" s="27" t="s">
        <v>57</v>
      </c>
      <c r="D125" s="28">
        <v>147</v>
      </c>
    </row>
    <row r="126" spans="1:4" x14ac:dyDescent="0.25">
      <c r="A126" s="16" t="s">
        <v>142</v>
      </c>
      <c r="B126" s="17" t="s">
        <v>362</v>
      </c>
      <c r="C126" s="27" t="s">
        <v>63</v>
      </c>
      <c r="D126" s="28">
        <v>147</v>
      </c>
    </row>
    <row r="127" spans="1:4" x14ac:dyDescent="0.25">
      <c r="A127" s="16" t="s">
        <v>363</v>
      </c>
      <c r="B127" s="17" t="s">
        <v>364</v>
      </c>
      <c r="C127" s="27" t="s">
        <v>63</v>
      </c>
      <c r="D127" s="28">
        <v>705</v>
      </c>
    </row>
    <row r="128" spans="1:4" x14ac:dyDescent="0.25">
      <c r="A128" s="16" t="s">
        <v>192</v>
      </c>
      <c r="B128" s="17" t="s">
        <v>193</v>
      </c>
      <c r="C128" s="27" t="s">
        <v>63</v>
      </c>
      <c r="D128" s="28">
        <v>631</v>
      </c>
    </row>
    <row r="129" spans="1:4" x14ac:dyDescent="0.25">
      <c r="A129" s="16" t="s">
        <v>730</v>
      </c>
      <c r="B129" s="17" t="s">
        <v>366</v>
      </c>
      <c r="C129" s="27" t="s">
        <v>57</v>
      </c>
      <c r="D129" s="28">
        <v>191</v>
      </c>
    </row>
    <row r="130" spans="1:4" x14ac:dyDescent="0.25">
      <c r="A130" s="16" t="s">
        <v>365</v>
      </c>
      <c r="B130" s="17" t="s">
        <v>996</v>
      </c>
      <c r="C130" s="27" t="s">
        <v>57</v>
      </c>
      <c r="D130" s="28">
        <v>391</v>
      </c>
    </row>
    <row r="131" spans="1:4" x14ac:dyDescent="0.25">
      <c r="A131" s="16" t="s">
        <v>310</v>
      </c>
      <c r="B131" s="17" t="s">
        <v>1049</v>
      </c>
      <c r="C131" s="27" t="s">
        <v>1050</v>
      </c>
      <c r="D131" s="28" t="s">
        <v>1051</v>
      </c>
    </row>
    <row r="132" spans="1:4" x14ac:dyDescent="0.25">
      <c r="A132" s="16" t="s">
        <v>216</v>
      </c>
      <c r="B132" s="17" t="s">
        <v>217</v>
      </c>
      <c r="C132" s="27" t="s">
        <v>992</v>
      </c>
      <c r="D132" s="28">
        <v>191</v>
      </c>
    </row>
    <row r="133" spans="1:4" x14ac:dyDescent="0.25">
      <c r="A133" s="16" t="s">
        <v>367</v>
      </c>
      <c r="B133" s="17" t="s">
        <v>664</v>
      </c>
      <c r="C133" s="27" t="s">
        <v>992</v>
      </c>
      <c r="D133" s="28">
        <v>705</v>
      </c>
    </row>
    <row r="134" spans="1:4" x14ac:dyDescent="0.25">
      <c r="A134" s="16" t="s">
        <v>218</v>
      </c>
      <c r="B134" s="17" t="s">
        <v>219</v>
      </c>
      <c r="C134" s="27" t="s">
        <v>992</v>
      </c>
      <c r="D134" s="28">
        <v>391</v>
      </c>
    </row>
    <row r="135" spans="1:4" x14ac:dyDescent="0.25">
      <c r="A135" s="16" t="s">
        <v>220</v>
      </c>
      <c r="B135" s="17" t="s">
        <v>221</v>
      </c>
      <c r="C135" s="27" t="s">
        <v>67</v>
      </c>
      <c r="D135" s="28">
        <v>191</v>
      </c>
    </row>
    <row r="136" spans="1:4" x14ac:dyDescent="0.25">
      <c r="A136" s="16" t="s">
        <v>118</v>
      </c>
      <c r="B136" s="17" t="s">
        <v>368</v>
      </c>
      <c r="C136" s="27" t="s">
        <v>67</v>
      </c>
      <c r="D136" s="28">
        <v>391</v>
      </c>
    </row>
    <row r="137" spans="1:4" x14ac:dyDescent="0.25">
      <c r="A137" s="16" t="s">
        <v>369</v>
      </c>
      <c r="B137" s="17" t="s">
        <v>370</v>
      </c>
      <c r="C137" s="27" t="s">
        <v>67</v>
      </c>
      <c r="D137" s="28">
        <v>705</v>
      </c>
    </row>
    <row r="138" spans="1:4" x14ac:dyDescent="0.25">
      <c r="A138" s="16" t="s">
        <v>186</v>
      </c>
      <c r="B138" s="17" t="s">
        <v>371</v>
      </c>
      <c r="C138" s="27" t="s">
        <v>67</v>
      </c>
      <c r="D138" s="28">
        <v>147</v>
      </c>
    </row>
    <row r="139" spans="1:4" x14ac:dyDescent="0.25">
      <c r="A139" s="16" t="s">
        <v>828</v>
      </c>
      <c r="B139" s="17" t="s">
        <v>749</v>
      </c>
      <c r="C139" s="27" t="s">
        <v>56</v>
      </c>
      <c r="D139" s="28">
        <v>705</v>
      </c>
    </row>
    <row r="140" spans="1:4" x14ac:dyDescent="0.25">
      <c r="A140" s="16" t="s">
        <v>372</v>
      </c>
      <c r="B140" s="17" t="s">
        <v>373</v>
      </c>
      <c r="C140" s="27" t="s">
        <v>56</v>
      </c>
      <c r="D140" s="28">
        <v>191</v>
      </c>
    </row>
    <row r="141" spans="1:4" x14ac:dyDescent="0.25">
      <c r="A141" s="16" t="s">
        <v>109</v>
      </c>
      <c r="B141" s="17" t="s">
        <v>374</v>
      </c>
      <c r="C141" s="27" t="s">
        <v>56</v>
      </c>
      <c r="D141" s="28">
        <v>147</v>
      </c>
    </row>
    <row r="142" spans="1:4" x14ac:dyDescent="0.25">
      <c r="A142" s="16" t="s">
        <v>65</v>
      </c>
      <c r="B142" s="17" t="s">
        <v>375</v>
      </c>
      <c r="C142" s="27" t="s">
        <v>56</v>
      </c>
      <c r="D142" s="28">
        <v>391</v>
      </c>
    </row>
    <row r="143" spans="1:4" x14ac:dyDescent="0.25">
      <c r="A143" s="16" t="s">
        <v>147</v>
      </c>
      <c r="B143" s="17" t="s">
        <v>376</v>
      </c>
      <c r="C143" s="27" t="s">
        <v>54</v>
      </c>
      <c r="D143" s="28">
        <v>147</v>
      </c>
    </row>
    <row r="144" spans="1:4" x14ac:dyDescent="0.25">
      <c r="A144" s="16" t="s">
        <v>161</v>
      </c>
      <c r="B144" s="17" t="s">
        <v>379</v>
      </c>
      <c r="C144" s="27" t="s">
        <v>54</v>
      </c>
      <c r="D144" s="28">
        <v>391</v>
      </c>
    </row>
    <row r="145" spans="1:4" x14ac:dyDescent="0.25">
      <c r="A145" s="16" t="s">
        <v>133</v>
      </c>
      <c r="B145" s="17" t="s">
        <v>650</v>
      </c>
      <c r="C145" s="27" t="s">
        <v>54</v>
      </c>
      <c r="D145" s="28">
        <v>705</v>
      </c>
    </row>
    <row r="146" spans="1:4" x14ac:dyDescent="0.25">
      <c r="A146" s="16" t="s">
        <v>829</v>
      </c>
      <c r="B146" s="17" t="s">
        <v>830</v>
      </c>
      <c r="C146" s="27" t="s">
        <v>54</v>
      </c>
      <c r="D146" s="28">
        <v>1776</v>
      </c>
    </row>
    <row r="147" spans="1:4" x14ac:dyDescent="0.25">
      <c r="A147" s="16" t="s">
        <v>377</v>
      </c>
      <c r="B147" s="17" t="s">
        <v>378</v>
      </c>
      <c r="C147" s="27" t="s">
        <v>54</v>
      </c>
      <c r="D147" s="28">
        <v>191</v>
      </c>
    </row>
    <row r="148" spans="1:4" x14ac:dyDescent="0.25">
      <c r="A148" s="16" t="s">
        <v>1047</v>
      </c>
      <c r="B148" s="17" t="s">
        <v>1048</v>
      </c>
      <c r="C148" s="27" t="s">
        <v>54</v>
      </c>
      <c r="D148" s="28" t="s">
        <v>1010</v>
      </c>
    </row>
    <row r="149" spans="1:4" x14ac:dyDescent="0.25">
      <c r="A149" s="16" t="s">
        <v>222</v>
      </c>
      <c r="B149" s="17" t="s">
        <v>223</v>
      </c>
      <c r="C149" s="27" t="s">
        <v>992</v>
      </c>
      <c r="D149" s="28">
        <v>147</v>
      </c>
    </row>
    <row r="150" spans="1:4" x14ac:dyDescent="0.25">
      <c r="A150" s="16" t="s">
        <v>46</v>
      </c>
      <c r="B150" s="17" t="s">
        <v>380</v>
      </c>
      <c r="C150" s="27" t="s">
        <v>63</v>
      </c>
      <c r="D150" s="28">
        <v>191</v>
      </c>
    </row>
    <row r="151" spans="1:4" x14ac:dyDescent="0.25">
      <c r="A151" s="16" t="s">
        <v>85</v>
      </c>
      <c r="B151" s="17" t="s">
        <v>381</v>
      </c>
      <c r="C151" s="27" t="s">
        <v>63</v>
      </c>
      <c r="D151" s="28">
        <v>416</v>
      </c>
    </row>
    <row r="152" spans="1:4" x14ac:dyDescent="0.25">
      <c r="A152" s="16" t="s">
        <v>224</v>
      </c>
      <c r="B152" s="17" t="s">
        <v>225</v>
      </c>
      <c r="C152" s="27" t="s">
        <v>992</v>
      </c>
      <c r="D152" s="28">
        <v>416</v>
      </c>
    </row>
    <row r="153" spans="1:4" x14ac:dyDescent="0.25">
      <c r="A153" s="16" t="s">
        <v>382</v>
      </c>
      <c r="B153" s="17" t="s">
        <v>383</v>
      </c>
      <c r="C153" s="27" t="s">
        <v>56</v>
      </c>
      <c r="D153" s="28">
        <v>416</v>
      </c>
    </row>
    <row r="154" spans="1:4" x14ac:dyDescent="0.25">
      <c r="A154" s="16" t="s">
        <v>384</v>
      </c>
      <c r="B154" s="17" t="s">
        <v>385</v>
      </c>
      <c r="C154" s="27" t="s">
        <v>54</v>
      </c>
      <c r="D154" s="28">
        <v>416</v>
      </c>
    </row>
    <row r="155" spans="1:4" x14ac:dyDescent="0.25">
      <c r="A155" s="16" t="s">
        <v>179</v>
      </c>
      <c r="B155" s="17" t="s">
        <v>690</v>
      </c>
      <c r="C155" s="27" t="s">
        <v>63</v>
      </c>
      <c r="D155" s="28" t="s">
        <v>180</v>
      </c>
    </row>
    <row r="156" spans="1:4" x14ac:dyDescent="0.25">
      <c r="A156" s="16" t="s">
        <v>699</v>
      </c>
      <c r="B156" s="17" t="s">
        <v>691</v>
      </c>
      <c r="C156" s="27" t="s">
        <v>56</v>
      </c>
      <c r="D156" s="28" t="s">
        <v>180</v>
      </c>
    </row>
    <row r="157" spans="1:4" x14ac:dyDescent="0.25">
      <c r="A157" s="16" t="s">
        <v>597</v>
      </c>
      <c r="B157" s="17" t="s">
        <v>759</v>
      </c>
      <c r="C157" s="27" t="s">
        <v>54</v>
      </c>
      <c r="D157" s="28" t="s">
        <v>180</v>
      </c>
    </row>
    <row r="158" spans="1:4" x14ac:dyDescent="0.25">
      <c r="A158" s="16" t="s">
        <v>30</v>
      </c>
      <c r="B158" s="17" t="s">
        <v>386</v>
      </c>
      <c r="C158" s="27" t="s">
        <v>63</v>
      </c>
      <c r="D158" s="28">
        <v>511</v>
      </c>
    </row>
    <row r="159" spans="1:4" x14ac:dyDescent="0.25">
      <c r="A159" s="16" t="s">
        <v>747</v>
      </c>
      <c r="B159" s="17" t="s">
        <v>1016</v>
      </c>
      <c r="C159" s="27" t="s">
        <v>67</v>
      </c>
      <c r="D159" s="28">
        <v>511</v>
      </c>
    </row>
    <row r="160" spans="1:4" x14ac:dyDescent="0.25">
      <c r="A160" s="16" t="s">
        <v>617</v>
      </c>
      <c r="B160" s="17" t="s">
        <v>618</v>
      </c>
      <c r="C160" s="27" t="s">
        <v>56</v>
      </c>
      <c r="D160" s="28">
        <v>511</v>
      </c>
    </row>
    <row r="161" spans="1:4" x14ac:dyDescent="0.25">
      <c r="A161" s="16" t="s">
        <v>639</v>
      </c>
      <c r="B161" s="17" t="s">
        <v>831</v>
      </c>
      <c r="C161" s="27" t="s">
        <v>54</v>
      </c>
      <c r="D161" s="28">
        <v>511</v>
      </c>
    </row>
    <row r="162" spans="1:4" x14ac:dyDescent="0.25">
      <c r="A162" s="16" t="s">
        <v>121</v>
      </c>
      <c r="B162" s="17" t="s">
        <v>387</v>
      </c>
      <c r="C162" s="27" t="s">
        <v>63</v>
      </c>
      <c r="D162" s="28">
        <v>390</v>
      </c>
    </row>
    <row r="163" spans="1:4" x14ac:dyDescent="0.25">
      <c r="A163" s="16" t="s">
        <v>695</v>
      </c>
      <c r="B163" s="17" t="s">
        <v>832</v>
      </c>
      <c r="C163" s="27" t="s">
        <v>63</v>
      </c>
      <c r="D163" s="28">
        <v>157</v>
      </c>
    </row>
    <row r="164" spans="1:4" x14ac:dyDescent="0.25">
      <c r="A164" s="16" t="s">
        <v>32</v>
      </c>
      <c r="B164" s="17" t="s">
        <v>388</v>
      </c>
      <c r="C164" s="27" t="s">
        <v>57</v>
      </c>
      <c r="D164" s="28">
        <v>390</v>
      </c>
    </row>
    <row r="165" spans="1:4" x14ac:dyDescent="0.25">
      <c r="A165" s="16" t="s">
        <v>389</v>
      </c>
      <c r="B165" s="17" t="s">
        <v>833</v>
      </c>
      <c r="C165" s="27" t="s">
        <v>57</v>
      </c>
      <c r="D165" s="28">
        <v>157</v>
      </c>
    </row>
    <row r="166" spans="1:4" x14ac:dyDescent="0.25">
      <c r="A166" s="16" t="s">
        <v>226</v>
      </c>
      <c r="B166" s="17" t="s">
        <v>834</v>
      </c>
      <c r="C166" s="27" t="s">
        <v>992</v>
      </c>
      <c r="D166" s="28">
        <v>157</v>
      </c>
    </row>
    <row r="167" spans="1:4" x14ac:dyDescent="0.25">
      <c r="A167" s="16" t="s">
        <v>835</v>
      </c>
      <c r="B167" s="17" t="s">
        <v>836</v>
      </c>
      <c r="C167" s="27" t="s">
        <v>992</v>
      </c>
      <c r="D167" s="28">
        <v>390</v>
      </c>
    </row>
    <row r="168" spans="1:4" x14ac:dyDescent="0.25">
      <c r="A168" s="16" t="s">
        <v>390</v>
      </c>
      <c r="B168" s="17" t="s">
        <v>391</v>
      </c>
      <c r="C168" s="27" t="s">
        <v>67</v>
      </c>
      <c r="D168" s="28">
        <v>390</v>
      </c>
    </row>
    <row r="169" spans="1:4" x14ac:dyDescent="0.25">
      <c r="A169" s="16" t="s">
        <v>227</v>
      </c>
      <c r="B169" s="17" t="s">
        <v>837</v>
      </c>
      <c r="C169" s="27" t="s">
        <v>67</v>
      </c>
      <c r="D169" s="28">
        <v>157</v>
      </c>
    </row>
    <row r="170" spans="1:4" x14ac:dyDescent="0.25">
      <c r="A170" s="16" t="s">
        <v>392</v>
      </c>
      <c r="B170" s="17" t="s">
        <v>393</v>
      </c>
      <c r="C170" s="27" t="s">
        <v>56</v>
      </c>
      <c r="D170" s="28">
        <v>390</v>
      </c>
    </row>
    <row r="171" spans="1:4" x14ac:dyDescent="0.25">
      <c r="A171" s="16" t="s">
        <v>394</v>
      </c>
      <c r="B171" s="17" t="s">
        <v>838</v>
      </c>
      <c r="C171" s="27" t="s">
        <v>56</v>
      </c>
      <c r="D171" s="28">
        <v>157</v>
      </c>
    </row>
    <row r="172" spans="1:4" x14ac:dyDescent="0.25">
      <c r="A172" s="16" t="s">
        <v>696</v>
      </c>
      <c r="B172" s="17" t="s">
        <v>839</v>
      </c>
      <c r="C172" s="27" t="s">
        <v>54</v>
      </c>
      <c r="D172" s="28">
        <v>157</v>
      </c>
    </row>
    <row r="173" spans="1:4" x14ac:dyDescent="0.25">
      <c r="A173" s="16" t="s">
        <v>697</v>
      </c>
      <c r="B173" s="17" t="s">
        <v>657</v>
      </c>
      <c r="C173" s="27" t="s">
        <v>54</v>
      </c>
      <c r="D173" s="28">
        <v>390</v>
      </c>
    </row>
    <row r="174" spans="1:4" x14ac:dyDescent="0.25">
      <c r="A174" s="16" t="s">
        <v>149</v>
      </c>
      <c r="B174" s="17" t="s">
        <v>396</v>
      </c>
      <c r="C174" s="27" t="s">
        <v>63</v>
      </c>
      <c r="D174" s="28">
        <v>148</v>
      </c>
    </row>
    <row r="175" spans="1:4" x14ac:dyDescent="0.25">
      <c r="A175" s="16" t="s">
        <v>397</v>
      </c>
      <c r="B175" s="17" t="s">
        <v>840</v>
      </c>
      <c r="C175" s="27" t="s">
        <v>63</v>
      </c>
      <c r="D175" s="28">
        <v>703</v>
      </c>
    </row>
    <row r="176" spans="1:4" x14ac:dyDescent="0.25">
      <c r="A176" s="16" t="s">
        <v>181</v>
      </c>
      <c r="B176" s="17" t="s">
        <v>997</v>
      </c>
      <c r="C176" s="27" t="s">
        <v>57</v>
      </c>
      <c r="D176" s="28">
        <v>148</v>
      </c>
    </row>
    <row r="177" spans="1:4" x14ac:dyDescent="0.25">
      <c r="A177" s="16" t="s">
        <v>398</v>
      </c>
      <c r="B177" s="17" t="s">
        <v>841</v>
      </c>
      <c r="C177" s="27" t="s">
        <v>992</v>
      </c>
      <c r="D177" s="28">
        <v>703</v>
      </c>
    </row>
    <row r="178" spans="1:4" x14ac:dyDescent="0.25">
      <c r="A178" s="16" t="s">
        <v>228</v>
      </c>
      <c r="B178" s="17" t="s">
        <v>229</v>
      </c>
      <c r="C178" s="27" t="s">
        <v>992</v>
      </c>
      <c r="D178" s="28">
        <v>148</v>
      </c>
    </row>
    <row r="179" spans="1:4" x14ac:dyDescent="0.25">
      <c r="A179" s="16" t="s">
        <v>399</v>
      </c>
      <c r="B179" s="17" t="s">
        <v>400</v>
      </c>
      <c r="C179" s="27" t="s">
        <v>67</v>
      </c>
      <c r="D179" s="28">
        <v>703</v>
      </c>
    </row>
    <row r="180" spans="1:4" x14ac:dyDescent="0.25">
      <c r="A180" s="16" t="s">
        <v>401</v>
      </c>
      <c r="B180" s="17" t="s">
        <v>402</v>
      </c>
      <c r="C180" s="27" t="s">
        <v>67</v>
      </c>
      <c r="D180" s="28">
        <v>148</v>
      </c>
    </row>
    <row r="181" spans="1:4" x14ac:dyDescent="0.25">
      <c r="A181" s="16" t="s">
        <v>732</v>
      </c>
      <c r="B181" s="17" t="s">
        <v>733</v>
      </c>
      <c r="C181" s="27" t="s">
        <v>56</v>
      </c>
      <c r="D181" s="28">
        <v>703</v>
      </c>
    </row>
    <row r="182" spans="1:4" x14ac:dyDescent="0.25">
      <c r="A182" s="16" t="s">
        <v>111</v>
      </c>
      <c r="B182" s="17" t="s">
        <v>403</v>
      </c>
      <c r="C182" s="27" t="s">
        <v>56</v>
      </c>
      <c r="D182" s="28">
        <v>148</v>
      </c>
    </row>
    <row r="183" spans="1:4" x14ac:dyDescent="0.25">
      <c r="A183" s="16" t="s">
        <v>50</v>
      </c>
      <c r="B183" s="17" t="s">
        <v>651</v>
      </c>
      <c r="C183" s="27" t="s">
        <v>54</v>
      </c>
      <c r="D183" s="28">
        <v>703</v>
      </c>
    </row>
    <row r="184" spans="1:4" x14ac:dyDescent="0.25">
      <c r="A184" s="16" t="s">
        <v>144</v>
      </c>
      <c r="B184" s="17" t="s">
        <v>395</v>
      </c>
      <c r="C184" s="27" t="s">
        <v>54</v>
      </c>
      <c r="D184" s="28">
        <v>148</v>
      </c>
    </row>
    <row r="185" spans="1:4" x14ac:dyDescent="0.25">
      <c r="A185" s="16" t="s">
        <v>842</v>
      </c>
      <c r="B185" s="17" t="s">
        <v>843</v>
      </c>
      <c r="C185" s="27" t="s">
        <v>54</v>
      </c>
      <c r="D185" s="28">
        <v>1774</v>
      </c>
    </row>
    <row r="186" spans="1:4" x14ac:dyDescent="0.25">
      <c r="A186" s="16" t="s">
        <v>126</v>
      </c>
      <c r="B186" s="17" t="s">
        <v>844</v>
      </c>
      <c r="C186" s="27" t="s">
        <v>54</v>
      </c>
      <c r="D186" s="28">
        <v>156</v>
      </c>
    </row>
    <row r="187" spans="1:4" x14ac:dyDescent="0.25">
      <c r="A187" s="16" t="s">
        <v>113</v>
      </c>
      <c r="B187" s="17" t="s">
        <v>404</v>
      </c>
      <c r="C187" s="27" t="s">
        <v>63</v>
      </c>
      <c r="D187" s="28">
        <v>389</v>
      </c>
    </row>
    <row r="188" spans="1:4" x14ac:dyDescent="0.25">
      <c r="A188" s="16" t="s">
        <v>31</v>
      </c>
      <c r="B188" s="17" t="s">
        <v>998</v>
      </c>
      <c r="C188" s="27" t="s">
        <v>57</v>
      </c>
      <c r="D188" s="28">
        <v>389</v>
      </c>
    </row>
    <row r="189" spans="1:4" x14ac:dyDescent="0.25">
      <c r="A189" s="16" t="s">
        <v>405</v>
      </c>
      <c r="B189" s="17" t="s">
        <v>845</v>
      </c>
      <c r="C189" s="27" t="s">
        <v>57</v>
      </c>
      <c r="D189" s="28">
        <v>156</v>
      </c>
    </row>
    <row r="190" spans="1:4" x14ac:dyDescent="0.25">
      <c r="A190" s="16" t="s">
        <v>230</v>
      </c>
      <c r="B190" s="17" t="s">
        <v>846</v>
      </c>
      <c r="C190" s="27" t="s">
        <v>992</v>
      </c>
      <c r="D190" s="28">
        <v>156</v>
      </c>
    </row>
    <row r="191" spans="1:4" x14ac:dyDescent="0.25">
      <c r="A191" s="16" t="s">
        <v>847</v>
      </c>
      <c r="B191" s="17" t="s">
        <v>848</v>
      </c>
      <c r="C191" s="27" t="s">
        <v>992</v>
      </c>
      <c r="D191" s="28">
        <v>389</v>
      </c>
    </row>
    <row r="192" spans="1:4" x14ac:dyDescent="0.25">
      <c r="A192" s="16" t="s">
        <v>406</v>
      </c>
      <c r="B192" s="17" t="s">
        <v>407</v>
      </c>
      <c r="C192" s="27" t="s">
        <v>67</v>
      </c>
      <c r="D192" s="28">
        <v>389</v>
      </c>
    </row>
    <row r="193" spans="1:4" x14ac:dyDescent="0.25">
      <c r="A193" s="16" t="s">
        <v>231</v>
      </c>
      <c r="B193" s="17" t="s">
        <v>849</v>
      </c>
      <c r="C193" s="27" t="s">
        <v>67</v>
      </c>
      <c r="D193" s="28">
        <v>156</v>
      </c>
    </row>
    <row r="194" spans="1:4" x14ac:dyDescent="0.25">
      <c r="A194" s="16" t="s">
        <v>408</v>
      </c>
      <c r="B194" s="17" t="s">
        <v>409</v>
      </c>
      <c r="C194" s="27" t="s">
        <v>56</v>
      </c>
      <c r="D194" s="28">
        <v>389</v>
      </c>
    </row>
    <row r="195" spans="1:4" x14ac:dyDescent="0.25">
      <c r="A195" s="16" t="s">
        <v>410</v>
      </c>
      <c r="B195" s="17" t="s">
        <v>850</v>
      </c>
      <c r="C195" s="27" t="s">
        <v>56</v>
      </c>
      <c r="D195" s="28">
        <v>156</v>
      </c>
    </row>
    <row r="196" spans="1:4" x14ac:dyDescent="0.25">
      <c r="A196" s="16" t="s">
        <v>411</v>
      </c>
      <c r="B196" s="17" t="s">
        <v>412</v>
      </c>
      <c r="C196" s="27" t="s">
        <v>54</v>
      </c>
      <c r="D196" s="28">
        <v>389</v>
      </c>
    </row>
    <row r="197" spans="1:4" x14ac:dyDescent="0.25">
      <c r="A197" s="16" t="s">
        <v>413</v>
      </c>
      <c r="B197" s="17" t="s">
        <v>851</v>
      </c>
      <c r="C197" s="27" t="s">
        <v>63</v>
      </c>
      <c r="D197" s="28">
        <v>156</v>
      </c>
    </row>
    <row r="198" spans="1:4" x14ac:dyDescent="0.25">
      <c r="A198" s="16" t="s">
        <v>61</v>
      </c>
      <c r="B198" s="17" t="s">
        <v>414</v>
      </c>
      <c r="C198" s="27" t="s">
        <v>56</v>
      </c>
      <c r="D198" s="28">
        <v>174</v>
      </c>
    </row>
    <row r="199" spans="1:4" x14ac:dyDescent="0.25">
      <c r="A199" s="16" t="s">
        <v>76</v>
      </c>
      <c r="B199" s="17" t="s">
        <v>999</v>
      </c>
      <c r="C199" s="27" t="s">
        <v>57</v>
      </c>
      <c r="D199" s="28">
        <v>193</v>
      </c>
    </row>
    <row r="200" spans="1:4" x14ac:dyDescent="0.25">
      <c r="A200" s="16" t="s">
        <v>169</v>
      </c>
      <c r="B200" s="17" t="s">
        <v>415</v>
      </c>
      <c r="C200" s="27" t="s">
        <v>63</v>
      </c>
      <c r="D200" s="28">
        <v>193</v>
      </c>
    </row>
    <row r="201" spans="1:4" x14ac:dyDescent="0.25">
      <c r="A201" s="16" t="s">
        <v>416</v>
      </c>
      <c r="B201" s="17" t="s">
        <v>417</v>
      </c>
      <c r="C201" s="27" t="s">
        <v>63</v>
      </c>
      <c r="D201" s="28">
        <v>702</v>
      </c>
    </row>
    <row r="202" spans="1:4" x14ac:dyDescent="0.25">
      <c r="A202" s="16" t="s">
        <v>852</v>
      </c>
      <c r="B202" s="17" t="s">
        <v>853</v>
      </c>
      <c r="C202" s="27" t="s">
        <v>63</v>
      </c>
      <c r="D202" s="28">
        <v>1731</v>
      </c>
    </row>
    <row r="203" spans="1:4" x14ac:dyDescent="0.25">
      <c r="A203" s="16" t="s">
        <v>47</v>
      </c>
      <c r="B203" s="17" t="s">
        <v>418</v>
      </c>
      <c r="C203" s="27" t="s">
        <v>63</v>
      </c>
      <c r="D203" s="28">
        <v>708</v>
      </c>
    </row>
    <row r="204" spans="1:4" x14ac:dyDescent="0.25">
      <c r="A204" s="16" t="s">
        <v>43</v>
      </c>
      <c r="B204" s="17" t="s">
        <v>419</v>
      </c>
      <c r="C204" s="27" t="s">
        <v>63</v>
      </c>
      <c r="D204" s="28">
        <v>393</v>
      </c>
    </row>
    <row r="205" spans="1:4" x14ac:dyDescent="0.25">
      <c r="A205" s="16" t="s">
        <v>774</v>
      </c>
      <c r="B205" s="17" t="s">
        <v>991</v>
      </c>
      <c r="C205" s="27" t="s">
        <v>63</v>
      </c>
      <c r="D205" s="28">
        <v>1858</v>
      </c>
    </row>
    <row r="206" spans="1:4" x14ac:dyDescent="0.25">
      <c r="A206" s="16" t="s">
        <v>17</v>
      </c>
      <c r="B206" s="17" t="s">
        <v>420</v>
      </c>
      <c r="C206" s="27" t="s">
        <v>57</v>
      </c>
      <c r="D206" s="28">
        <v>174</v>
      </c>
    </row>
    <row r="207" spans="1:4" x14ac:dyDescent="0.25">
      <c r="A207" s="16" t="s">
        <v>421</v>
      </c>
      <c r="B207" s="17" t="s">
        <v>422</v>
      </c>
      <c r="C207" s="27" t="s">
        <v>57</v>
      </c>
      <c r="D207" s="28">
        <v>152</v>
      </c>
    </row>
    <row r="208" spans="1:4" x14ac:dyDescent="0.25">
      <c r="A208" s="16" t="s">
        <v>423</v>
      </c>
      <c r="B208" s="17" t="s">
        <v>424</v>
      </c>
      <c r="C208" s="27" t="s">
        <v>992</v>
      </c>
      <c r="D208" s="28">
        <v>152</v>
      </c>
    </row>
    <row r="209" spans="1:4" x14ac:dyDescent="0.25">
      <c r="A209" s="16" t="s">
        <v>425</v>
      </c>
      <c r="B209" s="17" t="s">
        <v>426</v>
      </c>
      <c r="C209" s="27" t="s">
        <v>992</v>
      </c>
      <c r="D209" s="28">
        <v>174</v>
      </c>
    </row>
    <row r="210" spans="1:4" x14ac:dyDescent="0.25">
      <c r="A210" s="16" t="s">
        <v>854</v>
      </c>
      <c r="B210" s="17" t="s">
        <v>855</v>
      </c>
      <c r="C210" s="27" t="s">
        <v>992</v>
      </c>
      <c r="D210" s="28">
        <v>708</v>
      </c>
    </row>
    <row r="211" spans="1:4" x14ac:dyDescent="0.25">
      <c r="A211" s="16" t="s">
        <v>856</v>
      </c>
      <c r="B211" s="17" t="s">
        <v>857</v>
      </c>
      <c r="C211" s="27" t="s">
        <v>992</v>
      </c>
      <c r="D211" s="28">
        <v>1731</v>
      </c>
    </row>
    <row r="212" spans="1:4" x14ac:dyDescent="0.25">
      <c r="A212" s="16" t="s">
        <v>723</v>
      </c>
      <c r="B212" s="17" t="s">
        <v>858</v>
      </c>
      <c r="C212" s="27" t="s">
        <v>992</v>
      </c>
      <c r="D212" s="28">
        <v>1858</v>
      </c>
    </row>
    <row r="213" spans="1:4" x14ac:dyDescent="0.25">
      <c r="A213" s="16" t="s">
        <v>739</v>
      </c>
      <c r="B213" s="17" t="s">
        <v>740</v>
      </c>
      <c r="C213" s="27" t="s">
        <v>992</v>
      </c>
      <c r="D213" s="28">
        <v>393</v>
      </c>
    </row>
    <row r="214" spans="1:4" x14ac:dyDescent="0.25">
      <c r="A214" s="16" t="s">
        <v>427</v>
      </c>
      <c r="B214" s="17" t="s">
        <v>676</v>
      </c>
      <c r="C214" s="27" t="s">
        <v>992</v>
      </c>
      <c r="D214" s="28">
        <v>702</v>
      </c>
    </row>
    <row r="215" spans="1:4" x14ac:dyDescent="0.25">
      <c r="A215" s="16" t="s">
        <v>859</v>
      </c>
      <c r="B215" s="17" t="s">
        <v>860</v>
      </c>
      <c r="C215" s="27" t="s">
        <v>67</v>
      </c>
      <c r="D215" s="28">
        <v>708</v>
      </c>
    </row>
    <row r="216" spans="1:4" x14ac:dyDescent="0.25">
      <c r="A216" s="16" t="s">
        <v>116</v>
      </c>
      <c r="B216" s="17" t="s">
        <v>428</v>
      </c>
      <c r="C216" s="27" t="s">
        <v>67</v>
      </c>
      <c r="D216" s="28">
        <v>393</v>
      </c>
    </row>
    <row r="217" spans="1:4" x14ac:dyDescent="0.25">
      <c r="A217" s="16" t="s">
        <v>166</v>
      </c>
      <c r="B217" s="17" t="s">
        <v>429</v>
      </c>
      <c r="C217" s="27" t="s">
        <v>67</v>
      </c>
      <c r="D217" s="28">
        <v>193</v>
      </c>
    </row>
    <row r="218" spans="1:4" x14ac:dyDescent="0.25">
      <c r="A218" s="16" t="s">
        <v>430</v>
      </c>
      <c r="B218" s="17" t="s">
        <v>675</v>
      </c>
      <c r="C218" s="27" t="s">
        <v>67</v>
      </c>
      <c r="D218" s="28">
        <v>702</v>
      </c>
    </row>
    <row r="219" spans="1:4" x14ac:dyDescent="0.25">
      <c r="A219" s="16" t="s">
        <v>431</v>
      </c>
      <c r="B219" s="17" t="s">
        <v>432</v>
      </c>
      <c r="C219" s="27" t="s">
        <v>67</v>
      </c>
      <c r="D219" s="28">
        <v>174</v>
      </c>
    </row>
    <row r="220" spans="1:4" x14ac:dyDescent="0.25">
      <c r="A220" s="16" t="s">
        <v>598</v>
      </c>
      <c r="B220" s="17" t="s">
        <v>601</v>
      </c>
      <c r="C220" s="27" t="s">
        <v>67</v>
      </c>
      <c r="D220" s="28">
        <v>152</v>
      </c>
    </row>
    <row r="221" spans="1:4" x14ac:dyDescent="0.25">
      <c r="A221" s="16" t="s">
        <v>760</v>
      </c>
      <c r="B221" s="17" t="s">
        <v>748</v>
      </c>
      <c r="C221" s="27" t="s">
        <v>56</v>
      </c>
      <c r="D221" s="28">
        <v>702</v>
      </c>
    </row>
    <row r="222" spans="1:4" x14ac:dyDescent="0.25">
      <c r="A222" s="16" t="s">
        <v>167</v>
      </c>
      <c r="B222" s="17" t="s">
        <v>433</v>
      </c>
      <c r="C222" s="27" t="s">
        <v>63</v>
      </c>
      <c r="D222" s="28">
        <v>174</v>
      </c>
    </row>
    <row r="223" spans="1:4" x14ac:dyDescent="0.25">
      <c r="A223" s="16" t="s">
        <v>112</v>
      </c>
      <c r="B223" s="17" t="s">
        <v>434</v>
      </c>
      <c r="C223" s="27" t="s">
        <v>56</v>
      </c>
      <c r="D223" s="28">
        <v>193</v>
      </c>
    </row>
    <row r="224" spans="1:4" x14ac:dyDescent="0.25">
      <c r="A224" s="16" t="s">
        <v>66</v>
      </c>
      <c r="B224" s="17" t="s">
        <v>435</v>
      </c>
      <c r="C224" s="27" t="s">
        <v>56</v>
      </c>
      <c r="D224" s="28">
        <v>393</v>
      </c>
    </row>
    <row r="225" spans="1:4" x14ac:dyDescent="0.25">
      <c r="A225" s="16" t="s">
        <v>436</v>
      </c>
      <c r="B225" s="17" t="s">
        <v>437</v>
      </c>
      <c r="C225" s="27" t="s">
        <v>56</v>
      </c>
      <c r="D225" s="28">
        <v>152</v>
      </c>
    </row>
    <row r="226" spans="1:4" x14ac:dyDescent="0.25">
      <c r="A226" s="16" t="s">
        <v>438</v>
      </c>
      <c r="B226" s="17" t="s">
        <v>439</v>
      </c>
      <c r="C226" s="27" t="s">
        <v>56</v>
      </c>
      <c r="D226" s="28">
        <v>708</v>
      </c>
    </row>
    <row r="227" spans="1:4" x14ac:dyDescent="0.25">
      <c r="A227" s="16" t="s">
        <v>440</v>
      </c>
      <c r="B227" s="17" t="s">
        <v>451</v>
      </c>
      <c r="C227" s="27" t="s">
        <v>54</v>
      </c>
      <c r="D227" s="28">
        <v>393</v>
      </c>
    </row>
    <row r="228" spans="1:4" x14ac:dyDescent="0.25">
      <c r="A228" s="16" t="s">
        <v>861</v>
      </c>
      <c r="B228" s="17" t="s">
        <v>862</v>
      </c>
      <c r="C228" s="27" t="s">
        <v>54</v>
      </c>
      <c r="D228" s="28">
        <v>1731</v>
      </c>
    </row>
    <row r="229" spans="1:4" x14ac:dyDescent="0.25">
      <c r="A229" s="16" t="s">
        <v>441</v>
      </c>
      <c r="B229" s="17" t="s">
        <v>672</v>
      </c>
      <c r="C229" s="27" t="s">
        <v>54</v>
      </c>
      <c r="D229" s="28">
        <v>702</v>
      </c>
    </row>
    <row r="230" spans="1:4" x14ac:dyDescent="0.25">
      <c r="A230" s="16" t="s">
        <v>187</v>
      </c>
      <c r="B230" s="17" t="s">
        <v>442</v>
      </c>
      <c r="C230" s="27" t="s">
        <v>54</v>
      </c>
      <c r="D230" s="28">
        <v>174</v>
      </c>
    </row>
    <row r="231" spans="1:4" x14ac:dyDescent="0.25">
      <c r="A231" s="16" t="s">
        <v>145</v>
      </c>
      <c r="B231" s="17" t="s">
        <v>443</v>
      </c>
      <c r="C231" s="27" t="s">
        <v>54</v>
      </c>
      <c r="D231" s="28">
        <v>193</v>
      </c>
    </row>
    <row r="232" spans="1:4" x14ac:dyDescent="0.25">
      <c r="A232" s="16" t="s">
        <v>954</v>
      </c>
      <c r="B232" s="17" t="s">
        <v>751</v>
      </c>
      <c r="C232" s="27" t="s">
        <v>54</v>
      </c>
      <c r="D232" s="28">
        <v>1858</v>
      </c>
    </row>
    <row r="233" spans="1:4" x14ac:dyDescent="0.25">
      <c r="A233" s="16" t="s">
        <v>444</v>
      </c>
      <c r="B233" s="17" t="s">
        <v>445</v>
      </c>
      <c r="C233" s="27" t="s">
        <v>54</v>
      </c>
      <c r="D233" s="28">
        <v>152</v>
      </c>
    </row>
    <row r="234" spans="1:4" x14ac:dyDescent="0.25">
      <c r="A234" s="16" t="s">
        <v>446</v>
      </c>
      <c r="B234" s="17" t="s">
        <v>447</v>
      </c>
      <c r="C234" s="27" t="s">
        <v>54</v>
      </c>
      <c r="D234" s="28">
        <v>708</v>
      </c>
    </row>
    <row r="235" spans="1:4" x14ac:dyDescent="0.25">
      <c r="A235" s="16" t="s">
        <v>448</v>
      </c>
      <c r="B235" s="17" t="s">
        <v>1000</v>
      </c>
      <c r="C235" s="27" t="s">
        <v>57</v>
      </c>
      <c r="D235" s="28">
        <v>393</v>
      </c>
    </row>
    <row r="236" spans="1:4" x14ac:dyDescent="0.25">
      <c r="A236" s="16" t="s">
        <v>232</v>
      </c>
      <c r="B236" s="17" t="s">
        <v>233</v>
      </c>
      <c r="C236" s="27" t="s">
        <v>992</v>
      </c>
      <c r="D236" s="28">
        <v>193</v>
      </c>
    </row>
    <row r="237" spans="1:4" x14ac:dyDescent="0.25">
      <c r="A237" s="16" t="s">
        <v>449</v>
      </c>
      <c r="B237" s="17" t="s">
        <v>450</v>
      </c>
      <c r="C237" s="27" t="s">
        <v>63</v>
      </c>
      <c r="D237" s="28">
        <v>152</v>
      </c>
    </row>
    <row r="238" spans="1:4" x14ac:dyDescent="0.25">
      <c r="A238" s="16" t="s">
        <v>95</v>
      </c>
      <c r="B238" s="17" t="s">
        <v>1040</v>
      </c>
      <c r="C238" s="27" t="s">
        <v>992</v>
      </c>
      <c r="D238" s="28" t="s">
        <v>1038</v>
      </c>
    </row>
    <row r="239" spans="1:4" x14ac:dyDescent="0.25">
      <c r="A239" s="16" t="s">
        <v>39</v>
      </c>
      <c r="B239" s="17" t="s">
        <v>1039</v>
      </c>
      <c r="C239" s="27" t="s">
        <v>63</v>
      </c>
      <c r="D239" s="28" t="s">
        <v>1038</v>
      </c>
    </row>
    <row r="240" spans="1:4" x14ac:dyDescent="0.25">
      <c r="A240" s="16" t="s">
        <v>175</v>
      </c>
      <c r="B240" s="17" t="s">
        <v>452</v>
      </c>
      <c r="C240" s="27" t="s">
        <v>63</v>
      </c>
      <c r="D240" s="28">
        <v>176</v>
      </c>
    </row>
    <row r="241" spans="1:4" x14ac:dyDescent="0.25">
      <c r="A241" s="16" t="s">
        <v>234</v>
      </c>
      <c r="B241" s="17" t="s">
        <v>1001</v>
      </c>
      <c r="C241" s="27" t="s">
        <v>57</v>
      </c>
      <c r="D241" s="28">
        <v>176</v>
      </c>
    </row>
    <row r="242" spans="1:4" x14ac:dyDescent="0.25">
      <c r="A242" s="16" t="s">
        <v>235</v>
      </c>
      <c r="B242" s="17" t="s">
        <v>236</v>
      </c>
      <c r="C242" s="27" t="s">
        <v>992</v>
      </c>
      <c r="D242" s="28">
        <v>176</v>
      </c>
    </row>
    <row r="243" spans="1:4" x14ac:dyDescent="0.25">
      <c r="A243" s="16" t="s">
        <v>93</v>
      </c>
      <c r="B243" s="17" t="s">
        <v>673</v>
      </c>
      <c r="C243" s="27" t="s">
        <v>67</v>
      </c>
      <c r="D243" s="28">
        <v>176</v>
      </c>
    </row>
    <row r="244" spans="1:4" x14ac:dyDescent="0.25">
      <c r="A244" s="16" t="s">
        <v>453</v>
      </c>
      <c r="B244" s="17" t="s">
        <v>454</v>
      </c>
      <c r="C244" s="27" t="s">
        <v>56</v>
      </c>
      <c r="D244" s="28">
        <v>176</v>
      </c>
    </row>
    <row r="245" spans="1:4" x14ac:dyDescent="0.25">
      <c r="A245" s="16" t="s">
        <v>188</v>
      </c>
      <c r="B245" s="17" t="s">
        <v>455</v>
      </c>
      <c r="C245" s="27" t="s">
        <v>54</v>
      </c>
      <c r="D245" s="28">
        <v>176</v>
      </c>
    </row>
    <row r="246" spans="1:4" x14ac:dyDescent="0.25">
      <c r="A246" s="16" t="s">
        <v>456</v>
      </c>
      <c r="B246" s="17" t="s">
        <v>863</v>
      </c>
      <c r="C246" s="27" t="s">
        <v>992</v>
      </c>
      <c r="D246" s="28" t="s">
        <v>1011</v>
      </c>
    </row>
    <row r="247" spans="1:4" x14ac:dyDescent="0.25">
      <c r="A247" s="16" t="s">
        <v>1228</v>
      </c>
      <c r="B247" s="17" t="s">
        <v>1282</v>
      </c>
      <c r="C247" s="27" t="s">
        <v>54</v>
      </c>
      <c r="D247" s="28" t="s">
        <v>1011</v>
      </c>
    </row>
    <row r="248" spans="1:4" x14ac:dyDescent="0.25">
      <c r="A248" s="16" t="s">
        <v>48</v>
      </c>
      <c r="B248" s="17" t="s">
        <v>1037</v>
      </c>
      <c r="C248" s="27" t="s">
        <v>63</v>
      </c>
      <c r="D248" s="28" t="s">
        <v>989</v>
      </c>
    </row>
    <row r="249" spans="1:4" x14ac:dyDescent="0.25">
      <c r="A249" s="16" t="s">
        <v>610</v>
      </c>
      <c r="B249" s="17" t="s">
        <v>1035</v>
      </c>
      <c r="C249" s="27" t="s">
        <v>992</v>
      </c>
      <c r="D249" s="28" t="s">
        <v>989</v>
      </c>
    </row>
    <row r="250" spans="1:4" x14ac:dyDescent="0.25">
      <c r="A250" s="16" t="s">
        <v>237</v>
      </c>
      <c r="B250" s="17" t="s">
        <v>1036</v>
      </c>
      <c r="C250" s="27" t="s">
        <v>54</v>
      </c>
      <c r="D250" s="28" t="s">
        <v>989</v>
      </c>
    </row>
    <row r="251" spans="1:4" x14ac:dyDescent="0.25">
      <c r="A251" s="16" t="s">
        <v>4</v>
      </c>
      <c r="B251" s="17" t="s">
        <v>686</v>
      </c>
      <c r="C251" s="27" t="s">
        <v>57</v>
      </c>
      <c r="D251" s="28">
        <v>315</v>
      </c>
    </row>
    <row r="252" spans="1:4" x14ac:dyDescent="0.25">
      <c r="A252" s="16" t="s">
        <v>11</v>
      </c>
      <c r="B252" s="17" t="s">
        <v>680</v>
      </c>
      <c r="C252" s="27" t="s">
        <v>54</v>
      </c>
      <c r="D252" s="28" t="s">
        <v>742</v>
      </c>
    </row>
    <row r="253" spans="1:4" x14ac:dyDescent="0.25">
      <c r="A253" s="16" t="s">
        <v>768</v>
      </c>
      <c r="B253" s="17" t="s">
        <v>769</v>
      </c>
      <c r="C253" s="27" t="s">
        <v>63</v>
      </c>
      <c r="D253" s="28" t="s">
        <v>1017</v>
      </c>
    </row>
    <row r="254" spans="1:4" x14ac:dyDescent="0.25">
      <c r="A254" s="16" t="s">
        <v>191</v>
      </c>
      <c r="B254" s="17" t="s">
        <v>864</v>
      </c>
      <c r="C254" s="27" t="s">
        <v>67</v>
      </c>
      <c r="D254" s="28" t="s">
        <v>1017</v>
      </c>
    </row>
    <row r="255" spans="1:4" x14ac:dyDescent="0.25">
      <c r="A255" s="16" t="s">
        <v>457</v>
      </c>
      <c r="B255" s="17" t="s">
        <v>458</v>
      </c>
      <c r="C255" s="27" t="s">
        <v>63</v>
      </c>
      <c r="D255" s="28" t="s">
        <v>1018</v>
      </c>
    </row>
    <row r="256" spans="1:4" x14ac:dyDescent="0.25">
      <c r="A256" s="16" t="s">
        <v>629</v>
      </c>
      <c r="B256" s="17" t="s">
        <v>628</v>
      </c>
      <c r="C256" s="27" t="s">
        <v>63</v>
      </c>
      <c r="D256" s="28">
        <v>315</v>
      </c>
    </row>
    <row r="257" spans="1:4" x14ac:dyDescent="0.25">
      <c r="A257" s="16" t="s">
        <v>127</v>
      </c>
      <c r="B257" s="17" t="s">
        <v>681</v>
      </c>
      <c r="C257" s="27" t="s">
        <v>63</v>
      </c>
      <c r="D257" s="28" t="s">
        <v>742</v>
      </c>
    </row>
    <row r="258" spans="1:4" x14ac:dyDescent="0.25">
      <c r="A258" s="16" t="s">
        <v>9</v>
      </c>
      <c r="B258" s="17" t="s">
        <v>679</v>
      </c>
      <c r="C258" s="27" t="s">
        <v>992</v>
      </c>
      <c r="D258" s="28" t="s">
        <v>742</v>
      </c>
    </row>
    <row r="259" spans="1:4" x14ac:dyDescent="0.25">
      <c r="A259" s="16" t="s">
        <v>1009</v>
      </c>
      <c r="B259" s="17" t="s">
        <v>1008</v>
      </c>
      <c r="C259" s="27" t="s">
        <v>992</v>
      </c>
      <c r="D259" s="28">
        <v>315</v>
      </c>
    </row>
    <row r="260" spans="1:4" x14ac:dyDescent="0.25">
      <c r="A260" s="16" t="s">
        <v>459</v>
      </c>
      <c r="B260" s="17" t="s">
        <v>688</v>
      </c>
      <c r="C260" s="27" t="s">
        <v>67</v>
      </c>
      <c r="D260" s="28">
        <v>315</v>
      </c>
    </row>
    <row r="261" spans="1:4" x14ac:dyDescent="0.25">
      <c r="A261" s="16" t="s">
        <v>865</v>
      </c>
      <c r="B261" s="17" t="s">
        <v>866</v>
      </c>
      <c r="C261" s="27" t="s">
        <v>56</v>
      </c>
      <c r="D261" s="28" t="s">
        <v>742</v>
      </c>
    </row>
    <row r="262" spans="1:4" x14ac:dyDescent="0.25">
      <c r="A262" s="16" t="s">
        <v>867</v>
      </c>
      <c r="B262" s="17" t="s">
        <v>687</v>
      </c>
      <c r="C262" s="27" t="s">
        <v>56</v>
      </c>
      <c r="D262" s="28">
        <v>315</v>
      </c>
    </row>
    <row r="263" spans="1:4" x14ac:dyDescent="0.25">
      <c r="A263" s="16" t="s">
        <v>185</v>
      </c>
      <c r="B263" s="17" t="s">
        <v>689</v>
      </c>
      <c r="C263" s="27" t="s">
        <v>54</v>
      </c>
      <c r="D263" s="28">
        <v>315</v>
      </c>
    </row>
    <row r="264" spans="1:4" x14ac:dyDescent="0.25">
      <c r="A264" s="16" t="s">
        <v>103</v>
      </c>
      <c r="B264" s="17" t="s">
        <v>460</v>
      </c>
      <c r="C264" s="27" t="s">
        <v>63</v>
      </c>
      <c r="D264" s="28">
        <v>481</v>
      </c>
    </row>
    <row r="265" spans="1:4" x14ac:dyDescent="0.25">
      <c r="A265" s="16" t="s">
        <v>461</v>
      </c>
      <c r="B265" s="17" t="s">
        <v>1246</v>
      </c>
      <c r="C265" s="27" t="s">
        <v>63</v>
      </c>
      <c r="D265" s="28">
        <v>635</v>
      </c>
    </row>
    <row r="266" spans="1:4" x14ac:dyDescent="0.25">
      <c r="A266" s="16" t="s">
        <v>238</v>
      </c>
      <c r="B266" s="17" t="s">
        <v>462</v>
      </c>
      <c r="C266" s="27" t="s">
        <v>63</v>
      </c>
      <c r="D266" s="28">
        <v>435</v>
      </c>
    </row>
    <row r="267" spans="1:4" x14ac:dyDescent="0.25">
      <c r="A267" s="16" t="s">
        <v>78</v>
      </c>
      <c r="B267" s="17" t="s">
        <v>1002</v>
      </c>
      <c r="C267" s="27" t="s">
        <v>57</v>
      </c>
      <c r="D267" s="28">
        <v>177</v>
      </c>
    </row>
    <row r="268" spans="1:4" x14ac:dyDescent="0.25">
      <c r="A268" s="16" t="s">
        <v>463</v>
      </c>
      <c r="B268" s="17" t="s">
        <v>464</v>
      </c>
      <c r="C268" s="27" t="s">
        <v>992</v>
      </c>
      <c r="D268" s="28">
        <v>177</v>
      </c>
    </row>
    <row r="269" spans="1:4" x14ac:dyDescent="0.25">
      <c r="A269" s="16" t="s">
        <v>868</v>
      </c>
      <c r="B269" s="17" t="s">
        <v>869</v>
      </c>
      <c r="C269" s="27" t="s">
        <v>67</v>
      </c>
      <c r="D269" s="28">
        <v>435</v>
      </c>
    </row>
    <row r="270" spans="1:4" x14ac:dyDescent="0.25">
      <c r="A270" s="16" t="s">
        <v>131</v>
      </c>
      <c r="B270" s="17" t="s">
        <v>870</v>
      </c>
      <c r="C270" s="27" t="s">
        <v>67</v>
      </c>
      <c r="D270" s="28">
        <v>177</v>
      </c>
    </row>
    <row r="271" spans="1:4" x14ac:dyDescent="0.25">
      <c r="A271" s="16" t="s">
        <v>52</v>
      </c>
      <c r="B271" s="17" t="s">
        <v>465</v>
      </c>
      <c r="C271" s="27" t="s">
        <v>54</v>
      </c>
      <c r="D271" s="28">
        <v>435</v>
      </c>
    </row>
    <row r="272" spans="1:4" x14ac:dyDescent="0.25">
      <c r="A272" s="16" t="s">
        <v>168</v>
      </c>
      <c r="B272" s="17" t="s">
        <v>466</v>
      </c>
      <c r="C272" s="27" t="s">
        <v>54</v>
      </c>
      <c r="D272" s="28">
        <v>177</v>
      </c>
    </row>
    <row r="273" spans="1:4" x14ac:dyDescent="0.25">
      <c r="A273" s="16" t="s">
        <v>653</v>
      </c>
      <c r="B273" s="17" t="s">
        <v>654</v>
      </c>
      <c r="C273" s="27" t="s">
        <v>992</v>
      </c>
      <c r="D273" s="28" t="s">
        <v>1019</v>
      </c>
    </row>
    <row r="274" spans="1:4" x14ac:dyDescent="0.25">
      <c r="A274" s="16" t="s">
        <v>174</v>
      </c>
      <c r="B274" s="17" t="s">
        <v>467</v>
      </c>
      <c r="C274" s="27" t="s">
        <v>63</v>
      </c>
      <c r="D274" s="28">
        <v>177</v>
      </c>
    </row>
    <row r="275" spans="1:4" x14ac:dyDescent="0.25">
      <c r="A275" s="16" t="s">
        <v>105</v>
      </c>
      <c r="B275" s="17" t="s">
        <v>468</v>
      </c>
      <c r="C275" s="27" t="s">
        <v>56</v>
      </c>
      <c r="D275" s="28">
        <v>177</v>
      </c>
    </row>
    <row r="276" spans="1:4" x14ac:dyDescent="0.25">
      <c r="A276" s="16" t="s">
        <v>469</v>
      </c>
      <c r="B276" s="17" t="s">
        <v>1247</v>
      </c>
      <c r="C276" s="27" t="s">
        <v>63</v>
      </c>
      <c r="D276" s="28">
        <v>1764</v>
      </c>
    </row>
    <row r="277" spans="1:4" x14ac:dyDescent="0.25">
      <c r="A277" s="16" t="s">
        <v>738</v>
      </c>
      <c r="B277" s="17" t="s">
        <v>1045</v>
      </c>
      <c r="C277" s="27" t="s">
        <v>54</v>
      </c>
      <c r="D277" s="28">
        <v>1764</v>
      </c>
    </row>
    <row r="278" spans="1:4" x14ac:dyDescent="0.25">
      <c r="A278" s="16" t="s">
        <v>871</v>
      </c>
      <c r="B278" s="17" t="s">
        <v>872</v>
      </c>
      <c r="C278" s="27" t="s">
        <v>992</v>
      </c>
      <c r="D278" s="28" t="s">
        <v>1007</v>
      </c>
    </row>
    <row r="279" spans="1:4" x14ac:dyDescent="0.25">
      <c r="A279" s="16" t="s">
        <v>135</v>
      </c>
      <c r="B279" s="17" t="s">
        <v>1043</v>
      </c>
      <c r="C279" s="27" t="s">
        <v>63</v>
      </c>
      <c r="D279" s="28" t="s">
        <v>136</v>
      </c>
    </row>
    <row r="280" spans="1:4" x14ac:dyDescent="0.25">
      <c r="A280" s="16" t="s">
        <v>134</v>
      </c>
      <c r="B280" s="17" t="s">
        <v>1033</v>
      </c>
      <c r="C280" s="27" t="s">
        <v>63</v>
      </c>
      <c r="D280" s="28" t="s">
        <v>721</v>
      </c>
    </row>
    <row r="281" spans="1:4" x14ac:dyDescent="0.25">
      <c r="A281" s="16" t="s">
        <v>764</v>
      </c>
      <c r="B281" s="17" t="s">
        <v>1044</v>
      </c>
      <c r="C281" s="27" t="s">
        <v>54</v>
      </c>
      <c r="D281" s="28" t="s">
        <v>136</v>
      </c>
    </row>
    <row r="282" spans="1:4" x14ac:dyDescent="0.25">
      <c r="A282" s="16" t="s">
        <v>727</v>
      </c>
      <c r="B282" s="17" t="s">
        <v>1034</v>
      </c>
      <c r="C282" s="27" t="s">
        <v>54</v>
      </c>
      <c r="D282" s="28" t="s">
        <v>721</v>
      </c>
    </row>
    <row r="283" spans="1:4" x14ac:dyDescent="0.25">
      <c r="A283" s="16" t="s">
        <v>873</v>
      </c>
      <c r="B283" s="17" t="s">
        <v>295</v>
      </c>
      <c r="C283" s="27" t="s">
        <v>63</v>
      </c>
      <c r="D283" s="28">
        <v>616</v>
      </c>
    </row>
    <row r="284" spans="1:4" x14ac:dyDescent="0.25">
      <c r="A284" s="16" t="s">
        <v>91</v>
      </c>
      <c r="B284" s="17" t="s">
        <v>623</v>
      </c>
      <c r="C284" s="27" t="s">
        <v>63</v>
      </c>
      <c r="D284" s="28" t="s">
        <v>92</v>
      </c>
    </row>
    <row r="285" spans="1:4" x14ac:dyDescent="0.25">
      <c r="A285" s="16" t="s">
        <v>124</v>
      </c>
      <c r="B285" s="17" t="s">
        <v>471</v>
      </c>
      <c r="C285" s="27" t="s">
        <v>63</v>
      </c>
      <c r="D285" s="28">
        <v>173</v>
      </c>
    </row>
    <row r="286" spans="1:4" x14ac:dyDescent="0.25">
      <c r="A286" s="16" t="s">
        <v>115</v>
      </c>
      <c r="B286" s="17" t="s">
        <v>472</v>
      </c>
      <c r="C286" s="27" t="s">
        <v>63</v>
      </c>
      <c r="D286" s="28">
        <v>175</v>
      </c>
    </row>
    <row r="287" spans="1:4" x14ac:dyDescent="0.25">
      <c r="A287" s="16" t="s">
        <v>143</v>
      </c>
      <c r="B287" s="17" t="s">
        <v>473</v>
      </c>
      <c r="C287" s="27" t="s">
        <v>63</v>
      </c>
      <c r="D287" s="28">
        <v>194</v>
      </c>
    </row>
    <row r="288" spans="1:4" x14ac:dyDescent="0.25">
      <c r="A288" s="16" t="s">
        <v>25</v>
      </c>
      <c r="B288" s="17" t="s">
        <v>874</v>
      </c>
      <c r="C288" s="27" t="s">
        <v>63</v>
      </c>
      <c r="D288" s="28">
        <v>701</v>
      </c>
    </row>
    <row r="289" spans="1:4" x14ac:dyDescent="0.25">
      <c r="A289" s="16" t="s">
        <v>607</v>
      </c>
      <c r="B289" s="17" t="s">
        <v>506</v>
      </c>
      <c r="C289" s="27" t="s">
        <v>63</v>
      </c>
      <c r="D289" s="28">
        <v>150</v>
      </c>
    </row>
    <row r="290" spans="1:4" x14ac:dyDescent="0.25">
      <c r="A290" s="16" t="s">
        <v>875</v>
      </c>
      <c r="B290" s="17" t="s">
        <v>876</v>
      </c>
      <c r="C290" s="27" t="s">
        <v>63</v>
      </c>
      <c r="D290" s="28">
        <v>775</v>
      </c>
    </row>
    <row r="291" spans="1:4" x14ac:dyDescent="0.25">
      <c r="A291" s="16" t="s">
        <v>715</v>
      </c>
      <c r="B291" s="17" t="s">
        <v>716</v>
      </c>
      <c r="C291" s="27" t="s">
        <v>63</v>
      </c>
      <c r="D291" s="28">
        <v>2190</v>
      </c>
    </row>
    <row r="292" spans="1:4" x14ac:dyDescent="0.25">
      <c r="A292" s="16" t="s">
        <v>773</v>
      </c>
      <c r="B292" s="17" t="s">
        <v>990</v>
      </c>
      <c r="C292" s="27" t="s">
        <v>63</v>
      </c>
      <c r="D292" s="28">
        <v>1856</v>
      </c>
    </row>
    <row r="293" spans="1:4" x14ac:dyDescent="0.25">
      <c r="A293" s="16" t="s">
        <v>173</v>
      </c>
      <c r="B293" s="17" t="s">
        <v>474</v>
      </c>
      <c r="C293" s="27" t="s">
        <v>63</v>
      </c>
      <c r="D293" s="28">
        <v>707</v>
      </c>
    </row>
    <row r="294" spans="1:4" x14ac:dyDescent="0.25">
      <c r="A294" s="16" t="s">
        <v>24</v>
      </c>
      <c r="B294" s="17" t="s">
        <v>624</v>
      </c>
      <c r="C294" s="27" t="s">
        <v>57</v>
      </c>
      <c r="D294" s="28" t="s">
        <v>92</v>
      </c>
    </row>
    <row r="295" spans="1:4" x14ac:dyDescent="0.25">
      <c r="A295" s="16" t="s">
        <v>51</v>
      </c>
      <c r="B295" s="17" t="s">
        <v>1003</v>
      </c>
      <c r="C295" s="27" t="s">
        <v>57</v>
      </c>
      <c r="D295" s="28">
        <v>173</v>
      </c>
    </row>
    <row r="296" spans="1:4" x14ac:dyDescent="0.25">
      <c r="A296" s="16" t="s">
        <v>75</v>
      </c>
      <c r="B296" s="17" t="s">
        <v>1004</v>
      </c>
      <c r="C296" s="27" t="s">
        <v>57</v>
      </c>
      <c r="D296" s="28">
        <v>194</v>
      </c>
    </row>
    <row r="297" spans="1:4" x14ac:dyDescent="0.25">
      <c r="A297" s="16" t="s">
        <v>475</v>
      </c>
      <c r="B297" s="17" t="s">
        <v>476</v>
      </c>
      <c r="C297" s="27" t="s">
        <v>57</v>
      </c>
      <c r="D297" s="28">
        <v>150</v>
      </c>
    </row>
    <row r="298" spans="1:4" x14ac:dyDescent="0.25">
      <c r="A298" s="16" t="s">
        <v>69</v>
      </c>
      <c r="B298" s="17" t="s">
        <v>1005</v>
      </c>
      <c r="C298" s="27" t="s">
        <v>57</v>
      </c>
      <c r="D298" s="28">
        <v>387</v>
      </c>
    </row>
    <row r="299" spans="1:4" x14ac:dyDescent="0.25">
      <c r="A299" s="16" t="s">
        <v>477</v>
      </c>
      <c r="B299" s="17" t="s">
        <v>478</v>
      </c>
      <c r="C299" s="27" t="s">
        <v>992</v>
      </c>
      <c r="D299" s="28">
        <v>173</v>
      </c>
    </row>
    <row r="300" spans="1:4" x14ac:dyDescent="0.25">
      <c r="A300" s="16" t="s">
        <v>239</v>
      </c>
      <c r="B300" s="17" t="s">
        <v>240</v>
      </c>
      <c r="C300" s="27" t="s">
        <v>992</v>
      </c>
      <c r="D300" s="28">
        <v>150</v>
      </c>
    </row>
    <row r="301" spans="1:4" x14ac:dyDescent="0.25">
      <c r="A301" s="16" t="s">
        <v>703</v>
      </c>
      <c r="B301" s="17" t="s">
        <v>712</v>
      </c>
      <c r="C301" s="27" t="s">
        <v>992</v>
      </c>
      <c r="D301" s="28">
        <v>2190</v>
      </c>
    </row>
    <row r="302" spans="1:4" x14ac:dyDescent="0.25">
      <c r="A302" s="16" t="s">
        <v>877</v>
      </c>
      <c r="B302" s="17" t="s">
        <v>878</v>
      </c>
      <c r="C302" s="27" t="s">
        <v>992</v>
      </c>
      <c r="D302" s="28">
        <v>387</v>
      </c>
    </row>
    <row r="303" spans="1:4" x14ac:dyDescent="0.25">
      <c r="A303" s="16" t="s">
        <v>724</v>
      </c>
      <c r="B303" s="17" t="s">
        <v>879</v>
      </c>
      <c r="C303" s="27" t="s">
        <v>992</v>
      </c>
      <c r="D303" s="28">
        <v>1856</v>
      </c>
    </row>
    <row r="304" spans="1:4" x14ac:dyDescent="0.25">
      <c r="A304" s="16" t="s">
        <v>479</v>
      </c>
      <c r="B304" s="17" t="s">
        <v>665</v>
      </c>
      <c r="C304" s="27" t="s">
        <v>992</v>
      </c>
      <c r="D304" s="28">
        <v>701</v>
      </c>
    </row>
    <row r="305" spans="1:4" x14ac:dyDescent="0.25">
      <c r="A305" s="16" t="s">
        <v>19</v>
      </c>
      <c r="B305" s="17" t="s">
        <v>625</v>
      </c>
      <c r="C305" s="27" t="s">
        <v>67</v>
      </c>
      <c r="D305" s="28" t="s">
        <v>92</v>
      </c>
    </row>
    <row r="306" spans="1:4" x14ac:dyDescent="0.25">
      <c r="A306" s="16" t="s">
        <v>480</v>
      </c>
      <c r="B306" s="17" t="s">
        <v>661</v>
      </c>
      <c r="C306" s="27" t="s">
        <v>67</v>
      </c>
      <c r="D306" s="28">
        <v>707</v>
      </c>
    </row>
    <row r="307" spans="1:4" x14ac:dyDescent="0.25">
      <c r="A307" s="16" t="s">
        <v>667</v>
      </c>
      <c r="B307" s="17" t="s">
        <v>606</v>
      </c>
      <c r="C307" s="27" t="s">
        <v>67</v>
      </c>
      <c r="D307" s="28">
        <v>150</v>
      </c>
    </row>
    <row r="308" spans="1:4" x14ac:dyDescent="0.25">
      <c r="A308" s="16" t="s">
        <v>481</v>
      </c>
      <c r="B308" s="17" t="s">
        <v>666</v>
      </c>
      <c r="C308" s="27" t="s">
        <v>67</v>
      </c>
      <c r="D308" s="28">
        <v>701</v>
      </c>
    </row>
    <row r="309" spans="1:4" x14ac:dyDescent="0.25">
      <c r="A309" s="16" t="s">
        <v>482</v>
      </c>
      <c r="B309" s="17" t="s">
        <v>483</v>
      </c>
      <c r="C309" s="27" t="s">
        <v>67</v>
      </c>
      <c r="D309" s="28">
        <v>387</v>
      </c>
    </row>
    <row r="310" spans="1:4" x14ac:dyDescent="0.25">
      <c r="A310" s="16" t="s">
        <v>484</v>
      </c>
      <c r="B310" s="17" t="s">
        <v>485</v>
      </c>
      <c r="C310" s="27" t="s">
        <v>67</v>
      </c>
      <c r="D310" s="28">
        <v>173</v>
      </c>
    </row>
    <row r="311" spans="1:4" x14ac:dyDescent="0.25">
      <c r="A311" s="16" t="s">
        <v>184</v>
      </c>
      <c r="B311" s="17" t="s">
        <v>486</v>
      </c>
      <c r="C311" s="27" t="s">
        <v>67</v>
      </c>
      <c r="D311" s="28">
        <v>194</v>
      </c>
    </row>
    <row r="312" spans="1:4" x14ac:dyDescent="0.25">
      <c r="A312" s="16" t="s">
        <v>101</v>
      </c>
      <c r="B312" s="17" t="s">
        <v>626</v>
      </c>
      <c r="C312" s="27" t="s">
        <v>56</v>
      </c>
      <c r="D312" s="28" t="s">
        <v>92</v>
      </c>
    </row>
    <row r="313" spans="1:4" x14ac:dyDescent="0.25">
      <c r="A313" s="16" t="s">
        <v>86</v>
      </c>
      <c r="B313" s="17" t="s">
        <v>487</v>
      </c>
      <c r="C313" s="27" t="s">
        <v>56</v>
      </c>
      <c r="D313" s="28">
        <v>175</v>
      </c>
    </row>
    <row r="314" spans="1:4" x14ac:dyDescent="0.25">
      <c r="A314" s="16" t="s">
        <v>736</v>
      </c>
      <c r="B314" s="17" t="s">
        <v>737</v>
      </c>
      <c r="C314" s="27" t="s">
        <v>56</v>
      </c>
      <c r="D314" s="28">
        <v>701</v>
      </c>
    </row>
    <row r="315" spans="1:4" x14ac:dyDescent="0.25">
      <c r="A315" s="16" t="s">
        <v>42</v>
      </c>
      <c r="B315" s="17" t="s">
        <v>488</v>
      </c>
      <c r="C315" s="27" t="s">
        <v>56</v>
      </c>
      <c r="D315" s="28">
        <v>173</v>
      </c>
    </row>
    <row r="316" spans="1:4" x14ac:dyDescent="0.25">
      <c r="A316" s="16" t="s">
        <v>977</v>
      </c>
      <c r="B316" s="17" t="s">
        <v>978</v>
      </c>
      <c r="C316" s="27" t="s">
        <v>56</v>
      </c>
      <c r="D316" s="28">
        <v>775</v>
      </c>
    </row>
    <row r="317" spans="1:4" x14ac:dyDescent="0.25">
      <c r="A317" s="16" t="s">
        <v>489</v>
      </c>
      <c r="B317" s="17" t="s">
        <v>490</v>
      </c>
      <c r="C317" s="27" t="s">
        <v>56</v>
      </c>
      <c r="D317" s="28">
        <v>194</v>
      </c>
    </row>
    <row r="318" spans="1:4" x14ac:dyDescent="0.25">
      <c r="A318" s="16" t="s">
        <v>114</v>
      </c>
      <c r="B318" s="17" t="s">
        <v>491</v>
      </c>
      <c r="C318" s="27" t="s">
        <v>56</v>
      </c>
      <c r="D318" s="28">
        <v>387</v>
      </c>
    </row>
    <row r="319" spans="1:4" x14ac:dyDescent="0.25">
      <c r="A319" s="16" t="s">
        <v>492</v>
      </c>
      <c r="B319" s="17" t="s">
        <v>880</v>
      </c>
      <c r="C319" s="27" t="s">
        <v>56</v>
      </c>
      <c r="D319" s="28">
        <v>707</v>
      </c>
    </row>
    <row r="320" spans="1:4" x14ac:dyDescent="0.25">
      <c r="A320" s="16" t="s">
        <v>493</v>
      </c>
      <c r="B320" s="17" t="s">
        <v>494</v>
      </c>
      <c r="C320" s="27" t="s">
        <v>56</v>
      </c>
      <c r="D320" s="28">
        <v>150</v>
      </c>
    </row>
    <row r="321" spans="1:4" x14ac:dyDescent="0.25">
      <c r="A321" s="16" t="s">
        <v>44</v>
      </c>
      <c r="B321" s="17" t="s">
        <v>495</v>
      </c>
      <c r="C321" s="27" t="s">
        <v>54</v>
      </c>
      <c r="D321" s="28">
        <v>701</v>
      </c>
    </row>
    <row r="322" spans="1:4" x14ac:dyDescent="0.25">
      <c r="A322" s="16" t="s">
        <v>496</v>
      </c>
      <c r="B322" s="17" t="s">
        <v>498</v>
      </c>
      <c r="C322" s="27" t="s">
        <v>54</v>
      </c>
      <c r="D322" s="28">
        <v>387</v>
      </c>
    </row>
    <row r="323" spans="1:4" x14ac:dyDescent="0.25">
      <c r="A323" s="16" t="s">
        <v>160</v>
      </c>
      <c r="B323" s="17" t="s">
        <v>497</v>
      </c>
      <c r="C323" s="27" t="s">
        <v>54</v>
      </c>
      <c r="D323" s="28">
        <v>194</v>
      </c>
    </row>
    <row r="324" spans="1:4" x14ac:dyDescent="0.25">
      <c r="A324" s="16" t="s">
        <v>973</v>
      </c>
      <c r="B324" s="17" t="s">
        <v>501</v>
      </c>
      <c r="C324" s="27" t="s">
        <v>54</v>
      </c>
      <c r="D324" s="28" t="s">
        <v>92</v>
      </c>
    </row>
    <row r="325" spans="1:4" x14ac:dyDescent="0.25">
      <c r="A325" s="16" t="s">
        <v>982</v>
      </c>
      <c r="B325" s="17" t="s">
        <v>746</v>
      </c>
      <c r="C325" s="27" t="s">
        <v>54</v>
      </c>
      <c r="D325" s="28">
        <v>2190</v>
      </c>
    </row>
    <row r="326" spans="1:4" x14ac:dyDescent="0.25">
      <c r="A326" s="16" t="s">
        <v>123</v>
      </c>
      <c r="B326" s="17" t="s">
        <v>499</v>
      </c>
      <c r="C326" s="27" t="s">
        <v>54</v>
      </c>
      <c r="D326" s="28">
        <v>173</v>
      </c>
    </row>
    <row r="327" spans="1:4" x14ac:dyDescent="0.25">
      <c r="A327" s="16" t="s">
        <v>500</v>
      </c>
      <c r="B327" s="17" t="s">
        <v>974</v>
      </c>
      <c r="C327" s="27" t="s">
        <v>54</v>
      </c>
      <c r="D327" s="28">
        <v>1856</v>
      </c>
    </row>
    <row r="328" spans="1:4" x14ac:dyDescent="0.25">
      <c r="A328" s="16" t="s">
        <v>130</v>
      </c>
      <c r="B328" s="17" t="s">
        <v>881</v>
      </c>
      <c r="C328" s="27" t="s">
        <v>54</v>
      </c>
      <c r="D328" s="28">
        <v>775</v>
      </c>
    </row>
    <row r="329" spans="1:4" x14ac:dyDescent="0.25">
      <c r="A329" s="16" t="s">
        <v>502</v>
      </c>
      <c r="B329" s="17" t="s">
        <v>503</v>
      </c>
      <c r="C329" s="27" t="s">
        <v>54</v>
      </c>
      <c r="D329" s="28">
        <v>150</v>
      </c>
    </row>
    <row r="330" spans="1:4" x14ac:dyDescent="0.25">
      <c r="A330" s="16" t="s">
        <v>139</v>
      </c>
      <c r="B330" s="17" t="s">
        <v>504</v>
      </c>
      <c r="C330" s="27" t="s">
        <v>54</v>
      </c>
      <c r="D330" s="28">
        <v>707</v>
      </c>
    </row>
    <row r="331" spans="1:4" x14ac:dyDescent="0.25">
      <c r="A331" s="16" t="s">
        <v>26</v>
      </c>
      <c r="B331" s="17" t="s">
        <v>505</v>
      </c>
      <c r="C331" s="27" t="s">
        <v>63</v>
      </c>
      <c r="D331" s="28">
        <v>387</v>
      </c>
    </row>
    <row r="332" spans="1:4" x14ac:dyDescent="0.25">
      <c r="A332" s="16" t="s">
        <v>241</v>
      </c>
      <c r="B332" s="17" t="s">
        <v>627</v>
      </c>
      <c r="C332" s="27" t="s">
        <v>992</v>
      </c>
      <c r="D332" s="28" t="s">
        <v>92</v>
      </c>
    </row>
    <row r="333" spans="1:4" x14ac:dyDescent="0.25">
      <c r="A333" s="16" t="s">
        <v>242</v>
      </c>
      <c r="B333" s="17" t="s">
        <v>243</v>
      </c>
      <c r="C333" s="27" t="s">
        <v>992</v>
      </c>
      <c r="D333" s="28">
        <v>194</v>
      </c>
    </row>
    <row r="334" spans="1:4" x14ac:dyDescent="0.25">
      <c r="A334" s="16" t="s">
        <v>612</v>
      </c>
      <c r="B334" s="17" t="s">
        <v>470</v>
      </c>
      <c r="C334" s="27" t="s">
        <v>63</v>
      </c>
      <c r="D334" s="28">
        <v>581</v>
      </c>
    </row>
    <row r="335" spans="1:4" x14ac:dyDescent="0.25">
      <c r="A335" s="16" t="s">
        <v>882</v>
      </c>
      <c r="B335" s="17" t="s">
        <v>1020</v>
      </c>
      <c r="C335" s="27" t="s">
        <v>992</v>
      </c>
      <c r="D335" s="28">
        <v>2190</v>
      </c>
    </row>
    <row r="336" spans="1:4" x14ac:dyDescent="0.25">
      <c r="A336" s="16" t="s">
        <v>646</v>
      </c>
      <c r="B336" s="17" t="s">
        <v>647</v>
      </c>
      <c r="C336" s="27" t="s">
        <v>56</v>
      </c>
      <c r="D336" s="28">
        <v>581</v>
      </c>
    </row>
    <row r="337" spans="1:4" x14ac:dyDescent="0.25">
      <c r="A337" s="16" t="s">
        <v>883</v>
      </c>
      <c r="B337" s="17" t="s">
        <v>884</v>
      </c>
      <c r="C337" s="27" t="s">
        <v>54</v>
      </c>
      <c r="D337" s="28">
        <v>581</v>
      </c>
    </row>
    <row r="338" spans="1:4" x14ac:dyDescent="0.25">
      <c r="A338" s="16" t="s">
        <v>96</v>
      </c>
      <c r="B338" s="17" t="s">
        <v>779</v>
      </c>
      <c r="C338" s="27" t="s">
        <v>63</v>
      </c>
      <c r="D338" s="28" t="s">
        <v>97</v>
      </c>
    </row>
    <row r="339" spans="1:4" x14ac:dyDescent="0.25">
      <c r="A339" s="16" t="s">
        <v>507</v>
      </c>
      <c r="B339" s="17" t="s">
        <v>885</v>
      </c>
      <c r="C339" s="27" t="s">
        <v>67</v>
      </c>
      <c r="D339" s="28" t="s">
        <v>97</v>
      </c>
    </row>
    <row r="340" spans="1:4" x14ac:dyDescent="0.25">
      <c r="A340" s="16" t="s">
        <v>138</v>
      </c>
      <c r="B340" s="17" t="s">
        <v>778</v>
      </c>
      <c r="C340" s="27" t="s">
        <v>54</v>
      </c>
      <c r="D340" s="28" t="s">
        <v>97</v>
      </c>
    </row>
    <row r="341" spans="1:4" x14ac:dyDescent="0.25">
      <c r="A341" s="16" t="s">
        <v>508</v>
      </c>
      <c r="B341" s="17" t="s">
        <v>786</v>
      </c>
      <c r="C341" s="27" t="s">
        <v>63</v>
      </c>
      <c r="D341" s="28" t="s">
        <v>707</v>
      </c>
    </row>
    <row r="342" spans="1:4" x14ac:dyDescent="0.25">
      <c r="A342" s="16" t="s">
        <v>509</v>
      </c>
      <c r="B342" s="17" t="s">
        <v>886</v>
      </c>
      <c r="C342" s="27" t="s">
        <v>57</v>
      </c>
      <c r="D342" s="28" t="s">
        <v>707</v>
      </c>
    </row>
    <row r="343" spans="1:4" x14ac:dyDescent="0.25">
      <c r="A343" s="16" t="s">
        <v>107</v>
      </c>
      <c r="B343" s="17" t="s">
        <v>510</v>
      </c>
      <c r="C343" s="27" t="s">
        <v>63</v>
      </c>
      <c r="D343" s="28">
        <v>462</v>
      </c>
    </row>
    <row r="344" spans="1:4" x14ac:dyDescent="0.25">
      <c r="A344" s="16" t="s">
        <v>674</v>
      </c>
      <c r="B344" s="17" t="s">
        <v>542</v>
      </c>
      <c r="C344" s="27" t="s">
        <v>57</v>
      </c>
      <c r="D344" s="28">
        <v>462</v>
      </c>
    </row>
    <row r="345" spans="1:4" x14ac:dyDescent="0.25">
      <c r="A345" s="16" t="s">
        <v>670</v>
      </c>
      <c r="B345" s="17" t="s">
        <v>671</v>
      </c>
      <c r="C345" s="27" t="s">
        <v>992</v>
      </c>
      <c r="D345" s="28">
        <v>462</v>
      </c>
    </row>
    <row r="346" spans="1:4" x14ac:dyDescent="0.25">
      <c r="A346" s="16" t="s">
        <v>104</v>
      </c>
      <c r="B346" s="17" t="s">
        <v>511</v>
      </c>
      <c r="C346" s="27" t="s">
        <v>67</v>
      </c>
      <c r="D346" s="28">
        <v>462</v>
      </c>
    </row>
    <row r="347" spans="1:4" x14ac:dyDescent="0.25">
      <c r="A347" s="16" t="s">
        <v>512</v>
      </c>
      <c r="B347" s="17" t="s">
        <v>513</v>
      </c>
      <c r="C347" s="27" t="s">
        <v>56</v>
      </c>
      <c r="D347" s="28">
        <v>462</v>
      </c>
    </row>
    <row r="348" spans="1:4" x14ac:dyDescent="0.25">
      <c r="A348" s="16" t="s">
        <v>887</v>
      </c>
      <c r="B348" s="17" t="s">
        <v>888</v>
      </c>
      <c r="C348" s="27" t="s">
        <v>54</v>
      </c>
      <c r="D348" s="28">
        <v>462</v>
      </c>
    </row>
    <row r="349" spans="1:4" x14ac:dyDescent="0.25">
      <c r="A349" s="16" t="s">
        <v>514</v>
      </c>
      <c r="B349" s="17" t="s">
        <v>1006</v>
      </c>
      <c r="C349" s="27" t="s">
        <v>57</v>
      </c>
      <c r="D349" s="28">
        <v>388</v>
      </c>
    </row>
    <row r="350" spans="1:4" x14ac:dyDescent="0.25">
      <c r="A350" s="16" t="s">
        <v>515</v>
      </c>
      <c r="B350" s="17" t="s">
        <v>516</v>
      </c>
      <c r="C350" s="27" t="s">
        <v>56</v>
      </c>
      <c r="D350" s="28">
        <v>192</v>
      </c>
    </row>
    <row r="351" spans="1:4" x14ac:dyDescent="0.25">
      <c r="A351" s="16" t="s">
        <v>141</v>
      </c>
      <c r="B351" s="17" t="s">
        <v>517</v>
      </c>
      <c r="C351" s="27" t="s">
        <v>63</v>
      </c>
      <c r="D351" s="28">
        <v>192</v>
      </c>
    </row>
    <row r="352" spans="1:4" x14ac:dyDescent="0.25">
      <c r="A352" s="16" t="s">
        <v>518</v>
      </c>
      <c r="B352" s="17" t="s">
        <v>519</v>
      </c>
      <c r="C352" s="27" t="s">
        <v>63</v>
      </c>
      <c r="D352" s="28">
        <v>704</v>
      </c>
    </row>
    <row r="353" spans="1:4" x14ac:dyDescent="0.25">
      <c r="A353" s="16" t="s">
        <v>110</v>
      </c>
      <c r="B353" s="17" t="s">
        <v>520</v>
      </c>
      <c r="C353" s="27" t="s">
        <v>63</v>
      </c>
      <c r="D353" s="28">
        <v>388</v>
      </c>
    </row>
    <row r="354" spans="1:4" x14ac:dyDescent="0.25">
      <c r="A354" s="16" t="s">
        <v>521</v>
      </c>
      <c r="B354" s="17" t="s">
        <v>522</v>
      </c>
      <c r="C354" s="27" t="s">
        <v>63</v>
      </c>
      <c r="D354" s="28">
        <v>633</v>
      </c>
    </row>
    <row r="355" spans="1:4" x14ac:dyDescent="0.25">
      <c r="A355" s="16" t="s">
        <v>523</v>
      </c>
      <c r="B355" s="17" t="s">
        <v>524</v>
      </c>
      <c r="C355" s="27" t="s">
        <v>57</v>
      </c>
      <c r="D355" s="28">
        <v>192</v>
      </c>
    </row>
    <row r="356" spans="1:4" x14ac:dyDescent="0.25">
      <c r="A356" s="16" t="s">
        <v>64</v>
      </c>
      <c r="B356" s="17" t="s">
        <v>525</v>
      </c>
      <c r="C356" s="27" t="s">
        <v>56</v>
      </c>
      <c r="D356" s="28">
        <v>388</v>
      </c>
    </row>
    <row r="357" spans="1:4" x14ac:dyDescent="0.25">
      <c r="A357" s="16" t="s">
        <v>526</v>
      </c>
      <c r="B357" s="17" t="s">
        <v>527</v>
      </c>
      <c r="C357" s="27" t="s">
        <v>57</v>
      </c>
      <c r="D357" s="28">
        <v>190</v>
      </c>
    </row>
    <row r="358" spans="1:4" x14ac:dyDescent="0.25">
      <c r="A358" s="16" t="s">
        <v>244</v>
      </c>
      <c r="B358" s="17" t="s">
        <v>245</v>
      </c>
      <c r="C358" s="27" t="s">
        <v>992</v>
      </c>
      <c r="D358" s="28">
        <v>190</v>
      </c>
    </row>
    <row r="359" spans="1:4" x14ac:dyDescent="0.25">
      <c r="A359" s="16" t="s">
        <v>528</v>
      </c>
      <c r="B359" s="17" t="s">
        <v>658</v>
      </c>
      <c r="C359" s="27" t="s">
        <v>992</v>
      </c>
      <c r="D359" s="28">
        <v>704</v>
      </c>
    </row>
    <row r="360" spans="1:4" x14ac:dyDescent="0.25">
      <c r="A360" s="16" t="s">
        <v>889</v>
      </c>
      <c r="B360" s="17" t="s">
        <v>890</v>
      </c>
      <c r="C360" s="27" t="s">
        <v>992</v>
      </c>
      <c r="D360" s="28">
        <v>388</v>
      </c>
    </row>
    <row r="361" spans="1:4" x14ac:dyDescent="0.25">
      <c r="A361" s="16" t="s">
        <v>529</v>
      </c>
      <c r="B361" s="17" t="s">
        <v>530</v>
      </c>
      <c r="C361" s="27" t="s">
        <v>67</v>
      </c>
      <c r="D361" s="28">
        <v>192</v>
      </c>
    </row>
    <row r="362" spans="1:4" x14ac:dyDescent="0.25">
      <c r="A362" s="16" t="s">
        <v>117</v>
      </c>
      <c r="B362" s="17" t="s">
        <v>531</v>
      </c>
      <c r="C362" s="27" t="s">
        <v>67</v>
      </c>
      <c r="D362" s="28">
        <v>388</v>
      </c>
    </row>
    <row r="363" spans="1:4" x14ac:dyDescent="0.25">
      <c r="A363" s="16" t="s">
        <v>532</v>
      </c>
      <c r="B363" s="17" t="s">
        <v>533</v>
      </c>
      <c r="C363" s="27" t="s">
        <v>67</v>
      </c>
      <c r="D363" s="28">
        <v>190</v>
      </c>
    </row>
    <row r="364" spans="1:4" x14ac:dyDescent="0.25">
      <c r="A364" s="16" t="s">
        <v>534</v>
      </c>
      <c r="B364" s="17" t="s">
        <v>535</v>
      </c>
      <c r="C364" s="27" t="s">
        <v>67</v>
      </c>
      <c r="D364" s="28">
        <v>704</v>
      </c>
    </row>
    <row r="365" spans="1:4" x14ac:dyDescent="0.25">
      <c r="A365" s="16" t="s">
        <v>891</v>
      </c>
      <c r="B365" s="17" t="s">
        <v>892</v>
      </c>
      <c r="C365" s="27" t="s">
        <v>56</v>
      </c>
      <c r="D365" s="28">
        <v>704</v>
      </c>
    </row>
    <row r="366" spans="1:4" x14ac:dyDescent="0.25">
      <c r="A366" s="16" t="s">
        <v>536</v>
      </c>
      <c r="B366" s="17" t="s">
        <v>537</v>
      </c>
      <c r="C366" s="27" t="s">
        <v>56</v>
      </c>
      <c r="D366" s="28">
        <v>190</v>
      </c>
    </row>
    <row r="367" spans="1:4" x14ac:dyDescent="0.25">
      <c r="A367" s="16" t="s">
        <v>71</v>
      </c>
      <c r="B367" s="17" t="s">
        <v>648</v>
      </c>
      <c r="C367" s="27" t="s">
        <v>54</v>
      </c>
      <c r="D367" s="28">
        <v>388</v>
      </c>
    </row>
    <row r="368" spans="1:4" x14ac:dyDescent="0.25">
      <c r="A368" s="16" t="s">
        <v>120</v>
      </c>
      <c r="B368" s="17" t="s">
        <v>659</v>
      </c>
      <c r="C368" s="27" t="s">
        <v>54</v>
      </c>
      <c r="D368" s="28">
        <v>704</v>
      </c>
    </row>
    <row r="369" spans="1:4" x14ac:dyDescent="0.25">
      <c r="A369" s="16" t="s">
        <v>893</v>
      </c>
      <c r="B369" s="17" t="s">
        <v>894</v>
      </c>
      <c r="C369" s="27" t="s">
        <v>54</v>
      </c>
      <c r="D369" s="28">
        <v>1775</v>
      </c>
    </row>
    <row r="370" spans="1:4" x14ac:dyDescent="0.25">
      <c r="A370" s="16" t="s">
        <v>146</v>
      </c>
      <c r="B370" s="17" t="s">
        <v>538</v>
      </c>
      <c r="C370" s="27" t="s">
        <v>54</v>
      </c>
      <c r="D370" s="28">
        <v>192</v>
      </c>
    </row>
    <row r="371" spans="1:4" x14ac:dyDescent="0.25">
      <c r="A371" s="16" t="s">
        <v>137</v>
      </c>
      <c r="B371" s="17" t="s">
        <v>539</v>
      </c>
      <c r="C371" s="27" t="s">
        <v>54</v>
      </c>
      <c r="D371" s="28">
        <v>190</v>
      </c>
    </row>
    <row r="372" spans="1:4" x14ac:dyDescent="0.25">
      <c r="A372" s="16" t="s">
        <v>246</v>
      </c>
      <c r="B372" s="17" t="s">
        <v>247</v>
      </c>
      <c r="C372" s="27" t="s">
        <v>992</v>
      </c>
      <c r="D372" s="28">
        <v>192</v>
      </c>
    </row>
    <row r="373" spans="1:4" x14ac:dyDescent="0.25">
      <c r="A373" s="16" t="s">
        <v>540</v>
      </c>
      <c r="B373" s="17" t="s">
        <v>541</v>
      </c>
      <c r="C373" s="27" t="s">
        <v>63</v>
      </c>
      <c r="D373" s="28">
        <v>190</v>
      </c>
    </row>
    <row r="374" spans="1:4" x14ac:dyDescent="0.25">
      <c r="A374" s="16" t="s">
        <v>543</v>
      </c>
      <c r="B374" s="17" t="s">
        <v>895</v>
      </c>
      <c r="C374" s="27" t="s">
        <v>63</v>
      </c>
      <c r="D374" s="28">
        <v>103</v>
      </c>
    </row>
    <row r="375" spans="1:4" x14ac:dyDescent="0.25">
      <c r="A375" s="16" t="s">
        <v>164</v>
      </c>
      <c r="B375" s="17" t="s">
        <v>770</v>
      </c>
      <c r="C375" s="27" t="s">
        <v>63</v>
      </c>
      <c r="D375" s="28" t="s">
        <v>100</v>
      </c>
    </row>
    <row r="376" spans="1:4" x14ac:dyDescent="0.25">
      <c r="A376" s="16" t="s">
        <v>41</v>
      </c>
      <c r="B376" s="17" t="s">
        <v>777</v>
      </c>
      <c r="C376" s="27" t="s">
        <v>63</v>
      </c>
      <c r="D376" s="28" t="s">
        <v>59</v>
      </c>
    </row>
    <row r="377" spans="1:4" x14ac:dyDescent="0.25">
      <c r="A377" s="16" t="s">
        <v>163</v>
      </c>
      <c r="B377" s="17" t="s">
        <v>775</v>
      </c>
      <c r="C377" s="27" t="s">
        <v>992</v>
      </c>
      <c r="D377" s="28" t="s">
        <v>99</v>
      </c>
    </row>
    <row r="378" spans="1:4" x14ac:dyDescent="0.25">
      <c r="A378" s="16" t="s">
        <v>172</v>
      </c>
      <c r="B378" s="17" t="s">
        <v>758</v>
      </c>
      <c r="C378" s="27" t="s">
        <v>63</v>
      </c>
      <c r="D378" s="28" t="s">
        <v>90</v>
      </c>
    </row>
    <row r="379" spans="1:4" x14ac:dyDescent="0.25">
      <c r="A379" s="16" t="s">
        <v>189</v>
      </c>
      <c r="B379" s="17" t="s">
        <v>544</v>
      </c>
      <c r="C379" s="27" t="s">
        <v>63</v>
      </c>
      <c r="D379" s="28" t="s">
        <v>99</v>
      </c>
    </row>
    <row r="380" spans="1:4" x14ac:dyDescent="0.25">
      <c r="A380" s="16" t="s">
        <v>190</v>
      </c>
      <c r="B380" s="17" t="s">
        <v>248</v>
      </c>
      <c r="C380" s="27" t="s">
        <v>63</v>
      </c>
      <c r="D380" s="28" t="s">
        <v>1021</v>
      </c>
    </row>
    <row r="381" spans="1:4" x14ac:dyDescent="0.25">
      <c r="A381" s="16" t="s">
        <v>7</v>
      </c>
      <c r="B381" s="17" t="s">
        <v>682</v>
      </c>
      <c r="C381" s="27" t="s">
        <v>992</v>
      </c>
      <c r="D381" s="28" t="s">
        <v>1022</v>
      </c>
    </row>
    <row r="382" spans="1:4" x14ac:dyDescent="0.25">
      <c r="A382" s="16" t="s">
        <v>249</v>
      </c>
      <c r="B382" s="17" t="s">
        <v>250</v>
      </c>
      <c r="C382" s="27" t="s">
        <v>63</v>
      </c>
      <c r="D382" s="28" t="s">
        <v>1023</v>
      </c>
    </row>
    <row r="383" spans="1:4" x14ac:dyDescent="0.25">
      <c r="A383" s="16" t="s">
        <v>38</v>
      </c>
      <c r="B383" s="17" t="s">
        <v>896</v>
      </c>
      <c r="C383" s="27" t="s">
        <v>63</v>
      </c>
      <c r="D383" s="28" t="s">
        <v>700</v>
      </c>
    </row>
    <row r="384" spans="1:4" x14ac:dyDescent="0.25">
      <c r="A384" s="16" t="s">
        <v>84</v>
      </c>
      <c r="B384" s="17" t="s">
        <v>633</v>
      </c>
      <c r="C384" s="27" t="s">
        <v>63</v>
      </c>
      <c r="D384" s="28">
        <v>1101</v>
      </c>
    </row>
    <row r="385" spans="1:4" x14ac:dyDescent="0.25">
      <c r="A385" s="16" t="s">
        <v>177</v>
      </c>
      <c r="B385" s="17" t="s">
        <v>545</v>
      </c>
      <c r="C385" s="27" t="s">
        <v>63</v>
      </c>
      <c r="D385" s="28" t="s">
        <v>178</v>
      </c>
    </row>
    <row r="386" spans="1:4" x14ac:dyDescent="0.25">
      <c r="A386" s="16" t="s">
        <v>717</v>
      </c>
      <c r="B386" s="17" t="s">
        <v>718</v>
      </c>
      <c r="C386" s="27" t="s">
        <v>63</v>
      </c>
      <c r="D386" s="28" t="s">
        <v>1024</v>
      </c>
    </row>
    <row r="387" spans="1:4" x14ac:dyDescent="0.25">
      <c r="A387" s="16" t="s">
        <v>82</v>
      </c>
      <c r="B387" s="17" t="s">
        <v>546</v>
      </c>
      <c r="C387" s="27" t="s">
        <v>63</v>
      </c>
      <c r="D387" s="28" t="s">
        <v>83</v>
      </c>
    </row>
    <row r="388" spans="1:4" x14ac:dyDescent="0.25">
      <c r="A388" s="16" t="s">
        <v>153</v>
      </c>
      <c r="B388" s="17" t="s">
        <v>645</v>
      </c>
      <c r="C388" s="27" t="s">
        <v>63</v>
      </c>
      <c r="D388" s="28">
        <v>1102</v>
      </c>
    </row>
    <row r="389" spans="1:4" x14ac:dyDescent="0.25">
      <c r="A389" s="16" t="s">
        <v>547</v>
      </c>
      <c r="B389" s="17" t="s">
        <v>897</v>
      </c>
      <c r="C389" s="27" t="s">
        <v>63</v>
      </c>
      <c r="D389" s="28" t="s">
        <v>741</v>
      </c>
    </row>
    <row r="390" spans="1:4" x14ac:dyDescent="0.25">
      <c r="A390" s="16" t="s">
        <v>704</v>
      </c>
      <c r="B390" s="17" t="s">
        <v>898</v>
      </c>
      <c r="C390" s="27" t="s">
        <v>63</v>
      </c>
      <c r="D390" s="28" t="s">
        <v>1025</v>
      </c>
    </row>
    <row r="391" spans="1:4" x14ac:dyDescent="0.25">
      <c r="A391" s="16" t="s">
        <v>49</v>
      </c>
      <c r="B391" s="17" t="s">
        <v>548</v>
      </c>
      <c r="C391" s="27" t="s">
        <v>63</v>
      </c>
      <c r="D391" s="28" t="s">
        <v>178</v>
      </c>
    </row>
    <row r="392" spans="1:4" x14ac:dyDescent="0.25">
      <c r="A392" s="16" t="s">
        <v>251</v>
      </c>
      <c r="B392" s="17" t="s">
        <v>899</v>
      </c>
      <c r="C392" s="27" t="s">
        <v>63</v>
      </c>
      <c r="D392" s="28" t="s">
        <v>1031</v>
      </c>
    </row>
    <row r="393" spans="1:4" x14ac:dyDescent="0.25">
      <c r="A393" s="16" t="s">
        <v>36</v>
      </c>
      <c r="B393" s="17" t="s">
        <v>900</v>
      </c>
      <c r="C393" s="27" t="s">
        <v>57</v>
      </c>
      <c r="D393" s="28" t="s">
        <v>100</v>
      </c>
    </row>
    <row r="394" spans="1:4" x14ac:dyDescent="0.25">
      <c r="A394" s="16" t="s">
        <v>901</v>
      </c>
      <c r="B394" s="17" t="s">
        <v>634</v>
      </c>
      <c r="C394" s="27" t="s">
        <v>57</v>
      </c>
      <c r="D394" s="28">
        <v>1101</v>
      </c>
    </row>
    <row r="395" spans="1:4" x14ac:dyDescent="0.25">
      <c r="A395" s="16" t="s">
        <v>252</v>
      </c>
      <c r="B395" s="17" t="s">
        <v>902</v>
      </c>
      <c r="C395" s="27" t="s">
        <v>67</v>
      </c>
      <c r="D395" s="28" t="s">
        <v>100</v>
      </c>
    </row>
    <row r="396" spans="1:4" x14ac:dyDescent="0.25">
      <c r="A396" s="16" t="s">
        <v>684</v>
      </c>
      <c r="B396" s="17" t="s">
        <v>685</v>
      </c>
      <c r="C396" s="27" t="s">
        <v>57</v>
      </c>
      <c r="D396" s="28" t="s">
        <v>83</v>
      </c>
    </row>
    <row r="397" spans="1:4" x14ac:dyDescent="0.25">
      <c r="A397" s="16" t="s">
        <v>87</v>
      </c>
      <c r="B397" s="17" t="s">
        <v>903</v>
      </c>
      <c r="C397" s="27" t="s">
        <v>57</v>
      </c>
      <c r="D397" s="28" t="s">
        <v>743</v>
      </c>
    </row>
    <row r="398" spans="1:4" x14ac:dyDescent="0.25">
      <c r="A398" s="16" t="s">
        <v>5</v>
      </c>
      <c r="B398" s="17" t="s">
        <v>904</v>
      </c>
      <c r="C398" s="27" t="s">
        <v>57</v>
      </c>
      <c r="D398" s="28" t="s">
        <v>59</v>
      </c>
    </row>
    <row r="399" spans="1:4" x14ac:dyDescent="0.25">
      <c r="A399" s="16" t="s">
        <v>253</v>
      </c>
      <c r="B399" s="17" t="s">
        <v>254</v>
      </c>
      <c r="C399" s="27" t="s">
        <v>57</v>
      </c>
      <c r="D399" s="28" t="s">
        <v>1023</v>
      </c>
    </row>
    <row r="400" spans="1:4" x14ac:dyDescent="0.25">
      <c r="A400" s="16" t="s">
        <v>549</v>
      </c>
      <c r="B400" s="17" t="s">
        <v>550</v>
      </c>
      <c r="C400" s="27" t="s">
        <v>63</v>
      </c>
      <c r="D400" s="28" t="s">
        <v>750</v>
      </c>
    </row>
    <row r="401" spans="1:4" x14ac:dyDescent="0.25">
      <c r="A401" s="16" t="s">
        <v>551</v>
      </c>
      <c r="B401" s="17" t="s">
        <v>905</v>
      </c>
      <c r="C401" s="27" t="s">
        <v>992</v>
      </c>
      <c r="D401" s="28" t="s">
        <v>59</v>
      </c>
    </row>
    <row r="402" spans="1:4" x14ac:dyDescent="0.25">
      <c r="A402" s="16" t="s">
        <v>599</v>
      </c>
      <c r="B402" s="17" t="s">
        <v>761</v>
      </c>
      <c r="C402" s="27" t="s">
        <v>992</v>
      </c>
      <c r="D402" s="28" t="s">
        <v>741</v>
      </c>
    </row>
    <row r="403" spans="1:4" x14ac:dyDescent="0.25">
      <c r="A403" s="16" t="s">
        <v>1241</v>
      </c>
      <c r="B403" s="17" t="s">
        <v>1244</v>
      </c>
      <c r="C403" s="27" t="s">
        <v>992</v>
      </c>
      <c r="D403" s="28" t="s">
        <v>90</v>
      </c>
    </row>
    <row r="404" spans="1:4" x14ac:dyDescent="0.25">
      <c r="A404" s="16" t="s">
        <v>255</v>
      </c>
      <c r="B404" s="17" t="s">
        <v>906</v>
      </c>
      <c r="C404" s="27" t="s">
        <v>992</v>
      </c>
      <c r="D404" s="28" t="s">
        <v>90</v>
      </c>
    </row>
    <row r="405" spans="1:4" x14ac:dyDescent="0.25">
      <c r="A405" s="16" t="s">
        <v>907</v>
      </c>
      <c r="B405" s="17" t="s">
        <v>908</v>
      </c>
      <c r="C405" s="27" t="s">
        <v>992</v>
      </c>
      <c r="D405" s="28">
        <v>1101</v>
      </c>
    </row>
    <row r="406" spans="1:4" x14ac:dyDescent="0.25">
      <c r="A406" s="16" t="s">
        <v>256</v>
      </c>
      <c r="B406" s="17" t="s">
        <v>257</v>
      </c>
      <c r="C406" s="27" t="s">
        <v>992</v>
      </c>
      <c r="D406" s="28" t="s">
        <v>700</v>
      </c>
    </row>
    <row r="407" spans="1:4" x14ac:dyDescent="0.25">
      <c r="A407" s="16" t="s">
        <v>258</v>
      </c>
      <c r="B407" s="17" t="s">
        <v>909</v>
      </c>
      <c r="C407" s="27" t="s">
        <v>992</v>
      </c>
      <c r="D407" s="28" t="s">
        <v>100</v>
      </c>
    </row>
    <row r="408" spans="1:4" x14ac:dyDescent="0.25">
      <c r="A408" s="16" t="s">
        <v>714</v>
      </c>
      <c r="B408" s="17" t="s">
        <v>635</v>
      </c>
      <c r="C408" s="27" t="s">
        <v>67</v>
      </c>
      <c r="D408" s="28">
        <v>1101</v>
      </c>
    </row>
    <row r="409" spans="1:4" x14ac:dyDescent="0.25">
      <c r="A409" s="16" t="s">
        <v>910</v>
      </c>
      <c r="B409" s="17" t="s">
        <v>911</v>
      </c>
      <c r="C409" s="27" t="s">
        <v>67</v>
      </c>
      <c r="D409" s="28" t="s">
        <v>90</v>
      </c>
    </row>
    <row r="410" spans="1:4" x14ac:dyDescent="0.25">
      <c r="A410" s="16" t="s">
        <v>912</v>
      </c>
      <c r="B410" s="17" t="s">
        <v>913</v>
      </c>
      <c r="C410" s="27" t="s">
        <v>67</v>
      </c>
      <c r="D410" s="28" t="s">
        <v>83</v>
      </c>
    </row>
    <row r="411" spans="1:4" x14ac:dyDescent="0.25">
      <c r="A411" s="16" t="s">
        <v>106</v>
      </c>
      <c r="B411" s="17" t="s">
        <v>709</v>
      </c>
      <c r="C411" s="27" t="s">
        <v>67</v>
      </c>
      <c r="D411" s="28">
        <v>1102</v>
      </c>
    </row>
    <row r="412" spans="1:4" x14ac:dyDescent="0.25">
      <c r="A412" s="16" t="s">
        <v>552</v>
      </c>
      <c r="B412" s="17" t="s">
        <v>553</v>
      </c>
      <c r="C412" s="27" t="s">
        <v>67</v>
      </c>
      <c r="D412" s="28" t="s">
        <v>700</v>
      </c>
    </row>
    <row r="413" spans="1:4" x14ac:dyDescent="0.25">
      <c r="A413" s="16" t="s">
        <v>554</v>
      </c>
      <c r="B413" s="17" t="s">
        <v>766</v>
      </c>
      <c r="C413" s="27" t="s">
        <v>67</v>
      </c>
      <c r="D413" s="28" t="s">
        <v>59</v>
      </c>
    </row>
    <row r="414" spans="1:4" x14ac:dyDescent="0.25">
      <c r="A414" s="16" t="s">
        <v>259</v>
      </c>
      <c r="B414" s="17" t="s">
        <v>914</v>
      </c>
      <c r="C414" s="27" t="s">
        <v>67</v>
      </c>
      <c r="D414" s="28" t="s">
        <v>743</v>
      </c>
    </row>
    <row r="415" spans="1:4" x14ac:dyDescent="0.25">
      <c r="A415" s="16" t="s">
        <v>260</v>
      </c>
      <c r="B415" s="17" t="s">
        <v>261</v>
      </c>
      <c r="C415" s="27" t="s">
        <v>67</v>
      </c>
      <c r="D415" s="28" t="s">
        <v>1026</v>
      </c>
    </row>
    <row r="416" spans="1:4" x14ac:dyDescent="0.25">
      <c r="A416" s="16" t="s">
        <v>555</v>
      </c>
      <c r="B416" s="17" t="s">
        <v>785</v>
      </c>
      <c r="C416" s="27" t="s">
        <v>56</v>
      </c>
      <c r="D416" s="28" t="s">
        <v>100</v>
      </c>
    </row>
    <row r="417" spans="1:4" x14ac:dyDescent="0.25">
      <c r="A417" s="16" t="s">
        <v>182</v>
      </c>
      <c r="B417" s="17" t="s">
        <v>915</v>
      </c>
      <c r="C417" s="27" t="s">
        <v>56</v>
      </c>
      <c r="D417" s="28" t="s">
        <v>59</v>
      </c>
    </row>
    <row r="418" spans="1:4" x14ac:dyDescent="0.25">
      <c r="A418" s="16" t="s">
        <v>600</v>
      </c>
      <c r="B418" s="17" t="s">
        <v>782</v>
      </c>
      <c r="C418" s="27" t="s">
        <v>63</v>
      </c>
      <c r="D418" s="28" t="s">
        <v>743</v>
      </c>
    </row>
    <row r="419" spans="1:4" x14ac:dyDescent="0.25">
      <c r="A419" s="16" t="s">
        <v>705</v>
      </c>
      <c r="B419" s="17" t="s">
        <v>708</v>
      </c>
      <c r="C419" s="27" t="s">
        <v>56</v>
      </c>
      <c r="D419" s="28">
        <v>1102</v>
      </c>
    </row>
    <row r="420" spans="1:4" x14ac:dyDescent="0.25">
      <c r="A420" s="16" t="s">
        <v>620</v>
      </c>
      <c r="B420" s="17" t="s">
        <v>784</v>
      </c>
      <c r="C420" s="27" t="s">
        <v>56</v>
      </c>
      <c r="D420" s="28" t="s">
        <v>741</v>
      </c>
    </row>
    <row r="421" spans="1:4" x14ac:dyDescent="0.25">
      <c r="A421" s="16" t="s">
        <v>37</v>
      </c>
      <c r="B421" s="17" t="s">
        <v>916</v>
      </c>
      <c r="C421" s="27" t="s">
        <v>56</v>
      </c>
      <c r="D421" s="28" t="s">
        <v>90</v>
      </c>
    </row>
    <row r="422" spans="1:4" x14ac:dyDescent="0.25">
      <c r="A422" s="16" t="s">
        <v>636</v>
      </c>
      <c r="B422" s="17" t="s">
        <v>637</v>
      </c>
      <c r="C422" s="27" t="s">
        <v>56</v>
      </c>
      <c r="D422" s="28">
        <v>1101</v>
      </c>
    </row>
    <row r="423" spans="1:4" x14ac:dyDescent="0.25">
      <c r="A423" s="16" t="s">
        <v>556</v>
      </c>
      <c r="B423" s="17" t="s">
        <v>557</v>
      </c>
      <c r="C423" s="27" t="s">
        <v>56</v>
      </c>
      <c r="D423" s="28" t="s">
        <v>1024</v>
      </c>
    </row>
    <row r="424" spans="1:4" x14ac:dyDescent="0.25">
      <c r="A424" s="16" t="s">
        <v>558</v>
      </c>
      <c r="B424" s="17" t="s">
        <v>559</v>
      </c>
      <c r="C424" s="27" t="s">
        <v>56</v>
      </c>
      <c r="D424" s="28" t="s">
        <v>83</v>
      </c>
    </row>
    <row r="425" spans="1:4" x14ac:dyDescent="0.25">
      <c r="A425" s="16" t="s">
        <v>917</v>
      </c>
      <c r="B425" s="17" t="s">
        <v>918</v>
      </c>
      <c r="C425" s="27" t="s">
        <v>56</v>
      </c>
      <c r="D425" s="28" t="s">
        <v>1027</v>
      </c>
    </row>
    <row r="426" spans="1:4" x14ac:dyDescent="0.25">
      <c r="A426" s="16" t="s">
        <v>560</v>
      </c>
      <c r="B426" s="17" t="s">
        <v>561</v>
      </c>
      <c r="C426" s="27" t="s">
        <v>56</v>
      </c>
      <c r="D426" s="28" t="s">
        <v>99</v>
      </c>
    </row>
    <row r="427" spans="1:4" x14ac:dyDescent="0.25">
      <c r="A427" s="16" t="s">
        <v>562</v>
      </c>
      <c r="B427" s="17" t="s">
        <v>919</v>
      </c>
      <c r="C427" s="27" t="s">
        <v>56</v>
      </c>
      <c r="D427" s="28" t="s">
        <v>743</v>
      </c>
    </row>
    <row r="428" spans="1:4" x14ac:dyDescent="0.25">
      <c r="A428" s="16" t="s">
        <v>563</v>
      </c>
      <c r="B428" s="17" t="s">
        <v>566</v>
      </c>
      <c r="C428" s="27" t="s">
        <v>54</v>
      </c>
      <c r="D428" s="28">
        <v>1101</v>
      </c>
    </row>
    <row r="429" spans="1:4" x14ac:dyDescent="0.25">
      <c r="A429" s="16" t="s">
        <v>40</v>
      </c>
      <c r="B429" s="17" t="s">
        <v>920</v>
      </c>
      <c r="C429" s="27" t="s">
        <v>54</v>
      </c>
      <c r="D429" s="28" t="s">
        <v>90</v>
      </c>
    </row>
    <row r="430" spans="1:4" x14ac:dyDescent="0.25">
      <c r="A430" s="16" t="s">
        <v>98</v>
      </c>
      <c r="B430" s="17" t="s">
        <v>564</v>
      </c>
      <c r="C430" s="27" t="s">
        <v>54</v>
      </c>
      <c r="D430" s="28" t="s">
        <v>99</v>
      </c>
    </row>
    <row r="431" spans="1:4" x14ac:dyDescent="0.25">
      <c r="A431" s="16" t="s">
        <v>34</v>
      </c>
      <c r="B431" s="17" t="s">
        <v>762</v>
      </c>
      <c r="C431" s="27" t="s">
        <v>54</v>
      </c>
      <c r="D431" s="28" t="s">
        <v>100</v>
      </c>
    </row>
    <row r="432" spans="1:4" x14ac:dyDescent="0.25">
      <c r="A432" s="16" t="s">
        <v>565</v>
      </c>
      <c r="B432" s="17" t="s">
        <v>638</v>
      </c>
      <c r="C432" s="27" t="s">
        <v>54</v>
      </c>
      <c r="D432" s="28" t="s">
        <v>700</v>
      </c>
    </row>
    <row r="433" spans="1:4" x14ac:dyDescent="0.25">
      <c r="A433" s="16" t="s">
        <v>262</v>
      </c>
      <c r="B433" s="17" t="s">
        <v>767</v>
      </c>
      <c r="C433" s="27" t="s">
        <v>54</v>
      </c>
      <c r="D433" s="28" t="s">
        <v>741</v>
      </c>
    </row>
    <row r="434" spans="1:4" x14ac:dyDescent="0.25">
      <c r="A434" s="16" t="s">
        <v>706</v>
      </c>
      <c r="B434" s="17" t="s">
        <v>710</v>
      </c>
      <c r="C434" s="27" t="s">
        <v>54</v>
      </c>
      <c r="D434" s="28">
        <v>1102</v>
      </c>
    </row>
    <row r="435" spans="1:4" x14ac:dyDescent="0.25">
      <c r="A435" s="16" t="s">
        <v>58</v>
      </c>
      <c r="B435" s="17" t="s">
        <v>781</v>
      </c>
      <c r="C435" s="27" t="s">
        <v>54</v>
      </c>
      <c r="D435" s="28" t="s">
        <v>59</v>
      </c>
    </row>
    <row r="436" spans="1:4" x14ac:dyDescent="0.25">
      <c r="A436" s="16" t="s">
        <v>1052</v>
      </c>
      <c r="B436" s="17" t="s">
        <v>1053</v>
      </c>
      <c r="C436" s="27" t="s">
        <v>54</v>
      </c>
      <c r="D436" s="28" t="s">
        <v>1022</v>
      </c>
    </row>
    <row r="437" spans="1:4" x14ac:dyDescent="0.25">
      <c r="A437" s="16" t="s">
        <v>15</v>
      </c>
      <c r="B437" s="17" t="s">
        <v>567</v>
      </c>
      <c r="C437" s="27" t="s">
        <v>54</v>
      </c>
      <c r="D437" s="28" t="s">
        <v>83</v>
      </c>
    </row>
    <row r="438" spans="1:4" x14ac:dyDescent="0.25">
      <c r="A438" s="16" t="s">
        <v>263</v>
      </c>
      <c r="B438" s="17" t="s">
        <v>921</v>
      </c>
      <c r="C438" s="27" t="s">
        <v>56</v>
      </c>
      <c r="D438" s="28" t="s">
        <v>700</v>
      </c>
    </row>
    <row r="439" spans="1:4" x14ac:dyDescent="0.25">
      <c r="A439" s="16" t="s">
        <v>162</v>
      </c>
      <c r="B439" s="17" t="s">
        <v>922</v>
      </c>
      <c r="C439" s="27" t="s">
        <v>992</v>
      </c>
      <c r="D439" s="28" t="s">
        <v>743</v>
      </c>
    </row>
    <row r="440" spans="1:4" x14ac:dyDescent="0.25">
      <c r="A440" s="16" t="s">
        <v>1242</v>
      </c>
      <c r="B440" s="17" t="s">
        <v>903</v>
      </c>
      <c r="C440" s="27" t="s">
        <v>57</v>
      </c>
      <c r="D440" s="28" t="s">
        <v>743</v>
      </c>
    </row>
    <row r="441" spans="1:4" x14ac:dyDescent="0.25">
      <c r="A441" s="16" t="s">
        <v>640</v>
      </c>
      <c r="B441" s="17" t="s">
        <v>641</v>
      </c>
      <c r="C441" s="27" t="s">
        <v>54</v>
      </c>
      <c r="D441" s="28" t="s">
        <v>743</v>
      </c>
    </row>
    <row r="442" spans="1:4" x14ac:dyDescent="0.25">
      <c r="A442" s="16" t="s">
        <v>789</v>
      </c>
      <c r="B442" s="17" t="s">
        <v>788</v>
      </c>
      <c r="C442" s="27" t="s">
        <v>63</v>
      </c>
      <c r="D442" s="28" t="s">
        <v>988</v>
      </c>
    </row>
    <row r="443" spans="1:4" x14ac:dyDescent="0.25">
      <c r="A443" s="16" t="s">
        <v>986</v>
      </c>
      <c r="B443" s="17" t="s">
        <v>987</v>
      </c>
      <c r="C443" s="27" t="s">
        <v>56</v>
      </c>
      <c r="D443" s="28" t="s">
        <v>988</v>
      </c>
    </row>
    <row r="444" spans="1:4" x14ac:dyDescent="0.25">
      <c r="A444" s="16" t="s">
        <v>923</v>
      </c>
      <c r="B444" s="17" t="s">
        <v>568</v>
      </c>
      <c r="C444" s="27" t="s">
        <v>992</v>
      </c>
      <c r="D444" s="28" t="s">
        <v>988</v>
      </c>
    </row>
    <row r="445" spans="1:4" x14ac:dyDescent="0.25">
      <c r="A445" s="16" t="s">
        <v>155</v>
      </c>
      <c r="B445" s="17" t="s">
        <v>569</v>
      </c>
      <c r="C445" s="27" t="s">
        <v>63</v>
      </c>
      <c r="D445" s="28" t="s">
        <v>156</v>
      </c>
    </row>
    <row r="446" spans="1:4" x14ac:dyDescent="0.25">
      <c r="A446" s="16" t="s">
        <v>570</v>
      </c>
      <c r="B446" s="17" t="s">
        <v>780</v>
      </c>
      <c r="C446" s="27" t="s">
        <v>54</v>
      </c>
      <c r="D446" s="28" t="s">
        <v>156</v>
      </c>
    </row>
    <row r="447" spans="1:4" x14ac:dyDescent="0.25">
      <c r="A447" s="16" t="s">
        <v>194</v>
      </c>
      <c r="B447" s="17" t="s">
        <v>195</v>
      </c>
      <c r="C447" s="27" t="s">
        <v>57</v>
      </c>
      <c r="D447" s="28" t="s">
        <v>156</v>
      </c>
    </row>
    <row r="448" spans="1:4" x14ac:dyDescent="0.25">
      <c r="A448" s="16" t="s">
        <v>571</v>
      </c>
      <c r="B448" s="17" t="s">
        <v>924</v>
      </c>
      <c r="C448" s="27" t="s">
        <v>992</v>
      </c>
      <c r="D448" s="28" t="s">
        <v>156</v>
      </c>
    </row>
    <row r="449" spans="1:4" x14ac:dyDescent="0.25">
      <c r="A449" s="16" t="s">
        <v>27</v>
      </c>
      <c r="B449" s="17" t="s">
        <v>572</v>
      </c>
      <c r="C449" s="27" t="s">
        <v>67</v>
      </c>
      <c r="D449" s="28" t="s">
        <v>156</v>
      </c>
    </row>
    <row r="450" spans="1:4" x14ac:dyDescent="0.25">
      <c r="A450" s="16" t="s">
        <v>264</v>
      </c>
      <c r="B450" s="17" t="s">
        <v>265</v>
      </c>
      <c r="C450" s="27" t="s">
        <v>56</v>
      </c>
      <c r="D450" s="28" t="s">
        <v>156</v>
      </c>
    </row>
    <row r="451" spans="1:4" x14ac:dyDescent="0.25">
      <c r="A451" s="16" t="s">
        <v>573</v>
      </c>
      <c r="B451" s="17" t="s">
        <v>925</v>
      </c>
      <c r="C451" s="27" t="s">
        <v>63</v>
      </c>
      <c r="D451" s="28" t="s">
        <v>1028</v>
      </c>
    </row>
    <row r="452" spans="1:4" x14ac:dyDescent="0.25">
      <c r="A452" s="16" t="s">
        <v>574</v>
      </c>
      <c r="B452" s="17" t="s">
        <v>575</v>
      </c>
      <c r="C452" s="27" t="s">
        <v>56</v>
      </c>
      <c r="D452" s="28" t="s">
        <v>1028</v>
      </c>
    </row>
    <row r="453" spans="1:4" x14ac:dyDescent="0.25">
      <c r="A453" s="16" t="s">
        <v>576</v>
      </c>
      <c r="B453" s="17" t="s">
        <v>577</v>
      </c>
      <c r="C453" s="27" t="s">
        <v>63</v>
      </c>
      <c r="D453" s="28" t="s">
        <v>55</v>
      </c>
    </row>
    <row r="454" spans="1:4" x14ac:dyDescent="0.25">
      <c r="A454" s="16" t="s">
        <v>10</v>
      </c>
      <c r="B454" s="17" t="s">
        <v>578</v>
      </c>
      <c r="C454" s="27" t="s">
        <v>57</v>
      </c>
      <c r="D454" s="28" t="s">
        <v>55</v>
      </c>
    </row>
    <row r="455" spans="1:4" x14ac:dyDescent="0.25">
      <c r="A455" s="16" t="s">
        <v>266</v>
      </c>
      <c r="B455" s="17" t="s">
        <v>267</v>
      </c>
      <c r="C455" s="27" t="s">
        <v>992</v>
      </c>
      <c r="D455" s="28" t="s">
        <v>55</v>
      </c>
    </row>
    <row r="456" spans="1:4" x14ac:dyDescent="0.25">
      <c r="A456" s="16" t="s">
        <v>579</v>
      </c>
      <c r="B456" s="17" t="s">
        <v>580</v>
      </c>
      <c r="C456" s="27" t="s">
        <v>67</v>
      </c>
      <c r="D456" s="28" t="s">
        <v>55</v>
      </c>
    </row>
    <row r="457" spans="1:4" x14ac:dyDescent="0.25">
      <c r="A457" s="16" t="s">
        <v>581</v>
      </c>
      <c r="B457" s="17" t="s">
        <v>582</v>
      </c>
      <c r="C457" s="27" t="s">
        <v>56</v>
      </c>
      <c r="D457" s="28" t="s">
        <v>55</v>
      </c>
    </row>
    <row r="458" spans="1:4" x14ac:dyDescent="0.25">
      <c r="A458" s="16" t="s">
        <v>53</v>
      </c>
      <c r="B458" s="17" t="s">
        <v>583</v>
      </c>
      <c r="C458" s="27" t="s">
        <v>54</v>
      </c>
      <c r="D458" s="28" t="s">
        <v>55</v>
      </c>
    </row>
    <row r="459" spans="1:4" x14ac:dyDescent="0.25">
      <c r="A459" s="16" t="s">
        <v>268</v>
      </c>
      <c r="B459" s="17" t="s">
        <v>269</v>
      </c>
      <c r="C459" s="27" t="s">
        <v>63</v>
      </c>
      <c r="D459" s="28" t="s">
        <v>1029</v>
      </c>
    </row>
    <row r="460" spans="1:4" x14ac:dyDescent="0.25">
      <c r="A460" s="16" t="s">
        <v>584</v>
      </c>
      <c r="B460" s="17" t="s">
        <v>698</v>
      </c>
      <c r="C460" s="27" t="s">
        <v>63</v>
      </c>
      <c r="D460" s="28" t="s">
        <v>595</v>
      </c>
    </row>
    <row r="461" spans="1:4" x14ac:dyDescent="0.25">
      <c r="A461" s="16" t="s">
        <v>585</v>
      </c>
      <c r="B461" s="17" t="s">
        <v>586</v>
      </c>
      <c r="C461" s="27" t="s">
        <v>57</v>
      </c>
      <c r="D461" s="28" t="s">
        <v>595</v>
      </c>
    </row>
    <row r="462" spans="1:4" x14ac:dyDescent="0.25">
      <c r="A462" s="16" t="s">
        <v>587</v>
      </c>
      <c r="B462" s="17" t="s">
        <v>588</v>
      </c>
      <c r="C462" s="27" t="s">
        <v>67</v>
      </c>
      <c r="D462" s="28" t="s">
        <v>595</v>
      </c>
    </row>
    <row r="463" spans="1:4" x14ac:dyDescent="0.25">
      <c r="A463" s="16" t="s">
        <v>589</v>
      </c>
      <c r="B463" s="17" t="s">
        <v>590</v>
      </c>
      <c r="C463" s="27" t="s">
        <v>56</v>
      </c>
      <c r="D463" s="28" t="s">
        <v>595</v>
      </c>
    </row>
    <row r="464" spans="1:4" x14ac:dyDescent="0.25">
      <c r="A464" s="16" t="s">
        <v>591</v>
      </c>
      <c r="B464" s="17" t="s">
        <v>776</v>
      </c>
      <c r="C464" s="27" t="s">
        <v>54</v>
      </c>
      <c r="D464" s="28" t="s">
        <v>595</v>
      </c>
    </row>
    <row r="465" spans="1:4" x14ac:dyDescent="0.25">
      <c r="A465" s="16" t="s">
        <v>270</v>
      </c>
      <c r="B465" s="17" t="s">
        <v>271</v>
      </c>
      <c r="C465" s="27" t="s">
        <v>992</v>
      </c>
      <c r="D465" s="28" t="s">
        <v>595</v>
      </c>
    </row>
    <row r="466" spans="1:4" x14ac:dyDescent="0.25">
      <c r="A466" s="16" t="s">
        <v>272</v>
      </c>
      <c r="B466" s="17" t="s">
        <v>273</v>
      </c>
      <c r="C466" s="27" t="s">
        <v>63</v>
      </c>
      <c r="D466" s="28" t="s">
        <v>1030</v>
      </c>
    </row>
    <row r="467" spans="1:4" x14ac:dyDescent="0.25">
      <c r="A467" s="16" t="s">
        <v>148</v>
      </c>
      <c r="B467" s="17" t="s">
        <v>783</v>
      </c>
      <c r="C467" s="27" t="s">
        <v>63</v>
      </c>
      <c r="D467" s="28" t="s">
        <v>170</v>
      </c>
    </row>
    <row r="468" spans="1:4" x14ac:dyDescent="0.25">
      <c r="A468" s="16" t="s">
        <v>274</v>
      </c>
      <c r="B468" s="17" t="s">
        <v>275</v>
      </c>
      <c r="C468" s="27" t="s">
        <v>54</v>
      </c>
      <c r="D468" s="28" t="s">
        <v>170</v>
      </c>
    </row>
    <row r="469" spans="1:4" x14ac:dyDescent="0.25">
      <c r="A469" s="16" t="s">
        <v>926</v>
      </c>
      <c r="B469" s="17" t="s">
        <v>927</v>
      </c>
      <c r="C469" s="27" t="s">
        <v>63</v>
      </c>
      <c r="D469" s="28">
        <v>40</v>
      </c>
    </row>
    <row r="470" spans="1:4" x14ac:dyDescent="0.25">
      <c r="A470" s="16" t="s">
        <v>928</v>
      </c>
      <c r="B470" s="17" t="s">
        <v>929</v>
      </c>
      <c r="C470" s="27" t="s">
        <v>63</v>
      </c>
      <c r="D470" s="28">
        <v>40</v>
      </c>
    </row>
    <row r="471" spans="1:4" x14ac:dyDescent="0.25">
      <c r="A471" s="16" t="s">
        <v>930</v>
      </c>
      <c r="B471" s="17" t="s">
        <v>931</v>
      </c>
      <c r="C471" s="27" t="s">
        <v>63</v>
      </c>
      <c r="D471" s="28">
        <v>40</v>
      </c>
    </row>
    <row r="472" spans="1:4" x14ac:dyDescent="0.25">
      <c r="A472" s="16" t="s">
        <v>932</v>
      </c>
      <c r="B472" s="17" t="s">
        <v>933</v>
      </c>
      <c r="C472" s="27" t="s">
        <v>63</v>
      </c>
      <c r="D472" s="28">
        <v>40</v>
      </c>
    </row>
    <row r="473" spans="1:4" x14ac:dyDescent="0.25">
      <c r="A473" s="16" t="s">
        <v>934</v>
      </c>
      <c r="B473" s="17" t="s">
        <v>935</v>
      </c>
      <c r="C473" s="27" t="s">
        <v>63</v>
      </c>
      <c r="D473" s="28">
        <v>40</v>
      </c>
    </row>
    <row r="474" spans="1:4" x14ac:dyDescent="0.25">
      <c r="A474" s="16" t="s">
        <v>936</v>
      </c>
      <c r="B474" s="17" t="s">
        <v>937</v>
      </c>
      <c r="C474" s="27" t="s">
        <v>63</v>
      </c>
      <c r="D474" s="28">
        <v>40</v>
      </c>
    </row>
    <row r="475" spans="1:4" x14ac:dyDescent="0.25">
      <c r="A475" s="16" t="s">
        <v>938</v>
      </c>
      <c r="B475" s="17" t="s">
        <v>939</v>
      </c>
      <c r="C475" s="27" t="s">
        <v>63</v>
      </c>
      <c r="D475" s="28">
        <v>40</v>
      </c>
    </row>
    <row r="476" spans="1:4" x14ac:dyDescent="0.25">
      <c r="A476" s="16" t="s">
        <v>940</v>
      </c>
      <c r="B476" s="17" t="s">
        <v>941</v>
      </c>
      <c r="C476" s="27" t="s">
        <v>63</v>
      </c>
      <c r="D476" s="28">
        <v>40</v>
      </c>
    </row>
    <row r="477" spans="1:4" x14ac:dyDescent="0.25">
      <c r="A477" s="16" t="s">
        <v>942</v>
      </c>
      <c r="B477" s="17" t="s">
        <v>943</v>
      </c>
      <c r="C477" s="27" t="s">
        <v>63</v>
      </c>
      <c r="D477" s="28">
        <v>40</v>
      </c>
    </row>
    <row r="478" spans="1:4" x14ac:dyDescent="0.25">
      <c r="A478" s="16" t="s">
        <v>944</v>
      </c>
      <c r="B478" s="17" t="s">
        <v>945</v>
      </c>
      <c r="C478" s="27" t="s">
        <v>63</v>
      </c>
      <c r="D478" s="28">
        <v>40</v>
      </c>
    </row>
    <row r="479" spans="1:4" x14ac:dyDescent="0.25">
      <c r="A479" s="16" t="s">
        <v>946</v>
      </c>
      <c r="B479" s="17" t="s">
        <v>592</v>
      </c>
      <c r="C479" s="27" t="s">
        <v>992</v>
      </c>
      <c r="D479" s="28" t="s">
        <v>711</v>
      </c>
    </row>
    <row r="480" spans="1:4" x14ac:dyDescent="0.25">
      <c r="A480" s="16" t="s">
        <v>731</v>
      </c>
      <c r="B480" s="17" t="s">
        <v>947</v>
      </c>
      <c r="C480" s="27" t="s">
        <v>56</v>
      </c>
      <c r="D480" s="28" t="s">
        <v>157</v>
      </c>
    </row>
    <row r="481" spans="1:4" x14ac:dyDescent="0.25">
      <c r="A481" s="16" t="s">
        <v>948</v>
      </c>
      <c r="B481" s="17" t="s">
        <v>949</v>
      </c>
      <c r="C481" s="27" t="s">
        <v>56</v>
      </c>
      <c r="D481" s="28" t="s">
        <v>157</v>
      </c>
    </row>
    <row r="482" spans="1:4" x14ac:dyDescent="0.25">
      <c r="A482" s="16" t="s">
        <v>644</v>
      </c>
      <c r="B482" s="17" t="s">
        <v>950</v>
      </c>
      <c r="C482" s="27" t="s">
        <v>54</v>
      </c>
      <c r="D482" s="28" t="s">
        <v>157</v>
      </c>
    </row>
    <row r="483" spans="1:4" x14ac:dyDescent="0.25">
      <c r="A483" s="16" t="s">
        <v>16</v>
      </c>
      <c r="B483" s="17" t="s">
        <v>771</v>
      </c>
      <c r="C483" s="27" t="s">
        <v>63</v>
      </c>
      <c r="D483" s="28" t="s">
        <v>88</v>
      </c>
    </row>
    <row r="484" spans="1:4" x14ac:dyDescent="0.25">
      <c r="A484" s="16" t="s">
        <v>593</v>
      </c>
      <c r="B484" s="17" t="s">
        <v>951</v>
      </c>
      <c r="C484" s="27" t="s">
        <v>63</v>
      </c>
      <c r="D484" s="28" t="s">
        <v>157</v>
      </c>
    </row>
    <row r="485" spans="1:4" x14ac:dyDescent="0.25">
      <c r="A485" s="16" t="s">
        <v>152</v>
      </c>
      <c r="B485" s="17" t="s">
        <v>952</v>
      </c>
      <c r="C485" s="27" t="s">
        <v>54</v>
      </c>
      <c r="D485" s="28" t="s">
        <v>88</v>
      </c>
    </row>
    <row r="486" spans="1:4" x14ac:dyDescent="0.25">
      <c r="A486" s="16" t="s">
        <v>594</v>
      </c>
      <c r="B486" s="17" t="s">
        <v>953</v>
      </c>
      <c r="C486" s="27" t="s">
        <v>56</v>
      </c>
      <c r="D486" s="28" t="s">
        <v>88</v>
      </c>
    </row>
  </sheetData>
  <autoFilter ref="A1:D486" xr:uid="{00000000-0001-0000-0000-000000000000}"/>
  <sortState xmlns:xlrd2="http://schemas.microsoft.com/office/spreadsheetml/2017/richdata2" ref="A2:E486">
    <sortCondition ref="A3:A486"/>
  </sortState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5511-793D-4A88-9837-FF96B0909D6D}">
  <sheetPr codeName="Hoja2">
    <tabColor rgb="FFCC66FF"/>
  </sheetPr>
  <dimension ref="A1:R583"/>
  <sheetViews>
    <sheetView showGridLines="0" workbookViewId="0">
      <pane ySplit="2" topLeftCell="A3" activePane="bottomLeft" state="frozen"/>
      <selection pane="bottomLeft" activeCell="I588" sqref="I588"/>
    </sheetView>
  </sheetViews>
  <sheetFormatPr baseColWidth="10" defaultColWidth="11.5703125" defaultRowHeight="20.25" customHeight="1" x14ac:dyDescent="0.25"/>
  <cols>
    <col min="1" max="1" width="10.140625" style="49" customWidth="1"/>
    <col min="2" max="2" width="12.85546875" style="50" customWidth="1"/>
    <col min="3" max="3" width="42.85546875" style="36" customWidth="1"/>
    <col min="4" max="4" width="16.85546875" style="49" customWidth="1"/>
    <col min="5" max="5" width="9" style="51" customWidth="1"/>
    <col min="6" max="6" width="9.28515625" style="51" bestFit="1" customWidth="1"/>
    <col min="7" max="7" width="11" style="24" customWidth="1"/>
    <col min="8" max="8" width="9.85546875" style="49" customWidth="1"/>
    <col min="9" max="9" width="13" style="52" customWidth="1"/>
    <col min="10" max="10" width="11.5703125" style="36" hidden="1" customWidth="1"/>
    <col min="11" max="11" width="3.28515625" style="36" hidden="1" customWidth="1"/>
    <col min="12" max="12" width="14.42578125" style="36" hidden="1" customWidth="1"/>
    <col min="13" max="13" width="11.85546875" style="36" hidden="1" customWidth="1"/>
    <col min="14" max="14" width="10.140625" style="36" hidden="1" customWidth="1"/>
    <col min="15" max="15" width="12.7109375" style="36" hidden="1" customWidth="1"/>
    <col min="16" max="16" width="11.5703125" style="36" hidden="1" customWidth="1"/>
    <col min="17" max="18" width="11.5703125" style="36" customWidth="1"/>
    <col min="19" max="16384" width="11.5703125" style="36"/>
  </cols>
  <sheetData>
    <row r="1" spans="1:18" ht="20.25" customHeight="1" thickBot="1" x14ac:dyDescent="0.3">
      <c r="A1" s="83" t="s">
        <v>1264</v>
      </c>
      <c r="B1" s="84"/>
      <c r="C1" s="84"/>
      <c r="D1" s="84"/>
      <c r="E1" s="84"/>
      <c r="F1" s="84"/>
      <c r="G1" s="84"/>
      <c r="H1" s="84"/>
      <c r="I1" s="85"/>
    </row>
    <row r="2" spans="1:18" ht="20.25" customHeight="1" x14ac:dyDescent="0.25">
      <c r="A2" s="37" t="s">
        <v>683</v>
      </c>
      <c r="B2" s="38" t="s">
        <v>0</v>
      </c>
      <c r="C2" s="39" t="s">
        <v>1</v>
      </c>
      <c r="D2" s="39" t="s">
        <v>2</v>
      </c>
      <c r="E2" s="40" t="s">
        <v>609</v>
      </c>
      <c r="F2" s="40" t="s">
        <v>1284</v>
      </c>
      <c r="G2" s="82" t="s">
        <v>1285</v>
      </c>
      <c r="H2" s="41" t="s">
        <v>1283</v>
      </c>
      <c r="I2" s="41" t="s">
        <v>763</v>
      </c>
    </row>
    <row r="3" spans="1:18" ht="20.25" customHeight="1" x14ac:dyDescent="0.25">
      <c r="A3" s="29">
        <v>752</v>
      </c>
      <c r="B3" s="34" t="s">
        <v>10</v>
      </c>
      <c r="C3" s="31" t="str">
        <f>VLOOKUP(B3,BASE!$A:$B,2,0)</f>
        <v>U57 GRIS PLATA</v>
      </c>
      <c r="D3" s="35" t="str">
        <f>VLOOKUP(B3,BASE!$A:$D,3,0)</f>
        <v>GRIS PLATA</v>
      </c>
      <c r="E3" s="32" t="str">
        <f>VLOOKUP(B3,BASE!$A:$E,4,0)</f>
        <v>U-57</v>
      </c>
      <c r="F3" s="32">
        <v>2000</v>
      </c>
      <c r="G3" s="23">
        <f t="shared" ref="G3:G56" si="0">+F3/6000</f>
        <v>0.33333333333333331</v>
      </c>
      <c r="H3" s="29"/>
      <c r="I3" s="33" t="s">
        <v>961</v>
      </c>
      <c r="K3" s="36">
        <v>1</v>
      </c>
      <c r="L3" s="36" t="s">
        <v>1252</v>
      </c>
      <c r="M3" s="60">
        <v>7500000</v>
      </c>
      <c r="O3" s="61">
        <v>29290985</v>
      </c>
    </row>
    <row r="4" spans="1:18" ht="20.25" customHeight="1" x14ac:dyDescent="0.25">
      <c r="A4" s="29">
        <v>755</v>
      </c>
      <c r="B4" s="34" t="s">
        <v>10</v>
      </c>
      <c r="C4" s="31" t="str">
        <f>VLOOKUP(B4,BASE!$A:$B,2,0)</f>
        <v>U57 GRIS PLATA</v>
      </c>
      <c r="D4" s="35" t="str">
        <f>VLOOKUP(B4,BASE!$A:$D,3,0)</f>
        <v>GRIS PLATA</v>
      </c>
      <c r="E4" s="32" t="str">
        <f>VLOOKUP(B4,BASE!$A:$E,4,0)</f>
        <v>U-57</v>
      </c>
      <c r="F4" s="32">
        <v>1880</v>
      </c>
      <c r="G4" s="23">
        <f t="shared" si="0"/>
        <v>0.31333333333333335</v>
      </c>
      <c r="H4" s="29"/>
      <c r="I4" s="33" t="s">
        <v>961</v>
      </c>
      <c r="K4" s="36">
        <v>2</v>
      </c>
      <c r="L4" s="36" t="s">
        <v>1249</v>
      </c>
      <c r="M4" s="60">
        <v>3700000</v>
      </c>
      <c r="N4" s="60"/>
      <c r="O4" s="61">
        <v>304283</v>
      </c>
    </row>
    <row r="5" spans="1:18" ht="20.25" customHeight="1" x14ac:dyDescent="0.25">
      <c r="A5" s="29">
        <v>910</v>
      </c>
      <c r="B5" s="42" t="s">
        <v>731</v>
      </c>
      <c r="C5" s="31" t="str">
        <f>VLOOKUP(B5,BASE!$A:$B,2,0)</f>
        <v>ZOCALO 9CMS S-369 BRONCE MOVIL</v>
      </c>
      <c r="D5" s="35" t="str">
        <f>VLOOKUP(B5,BASE!$A:$D,3,0)</f>
        <v>BRONCE</v>
      </c>
      <c r="E5" s="32" t="str">
        <f>VLOOKUP(B5,BASE!$A:$E,4,0)</f>
        <v>S-369</v>
      </c>
      <c r="F5" s="32">
        <v>1300</v>
      </c>
      <c r="G5" s="23">
        <f t="shared" si="0"/>
        <v>0.21666666666666667</v>
      </c>
      <c r="H5" s="29"/>
      <c r="I5" s="33" t="s">
        <v>967</v>
      </c>
      <c r="K5" s="36">
        <v>3</v>
      </c>
      <c r="L5" s="36" t="s">
        <v>1248</v>
      </c>
      <c r="M5" s="60">
        <v>2617000</v>
      </c>
      <c r="N5" s="60"/>
      <c r="O5" s="61">
        <v>228334</v>
      </c>
    </row>
    <row r="6" spans="1:18" ht="20.25" customHeight="1" x14ac:dyDescent="0.25">
      <c r="A6" s="29">
        <v>1093</v>
      </c>
      <c r="B6" s="34" t="s">
        <v>18</v>
      </c>
      <c r="C6" s="31" t="str">
        <f>VLOOKUP(B6,BASE!$A:$B,2,0)</f>
        <v>8025 CABEZAL 151 GRIS PLATA</v>
      </c>
      <c r="D6" s="35" t="str">
        <f>VLOOKUP(B6,BASE!$A:$D,3,0)</f>
        <v>GRIS PLATA</v>
      </c>
      <c r="E6" s="32">
        <f>VLOOKUP(B6,BASE!$A:$E,4,0)</f>
        <v>151</v>
      </c>
      <c r="F6" s="32">
        <v>2600</v>
      </c>
      <c r="G6" s="23">
        <f t="shared" si="0"/>
        <v>0.43333333333333335</v>
      </c>
      <c r="H6" s="29"/>
      <c r="I6" s="33" t="s">
        <v>955</v>
      </c>
      <c r="K6" s="36">
        <v>4</v>
      </c>
      <c r="L6" s="36" t="s">
        <v>1251</v>
      </c>
      <c r="M6" s="60">
        <v>2100000</v>
      </c>
      <c r="N6" s="60"/>
      <c r="O6" s="61">
        <v>824850</v>
      </c>
    </row>
    <row r="7" spans="1:18" ht="20.25" customHeight="1" x14ac:dyDescent="0.25">
      <c r="A7" s="29">
        <v>1316</v>
      </c>
      <c r="B7" s="34" t="s">
        <v>22</v>
      </c>
      <c r="C7" s="31" t="str">
        <f>VLOOKUP(B7,BASE!$A:$B,2,0)</f>
        <v>CABEZAL CABINA S-319 BLANCO</v>
      </c>
      <c r="D7" s="35" t="str">
        <f>VLOOKUP(B7,BASE!$A:$D,3,0)</f>
        <v>BLANCO</v>
      </c>
      <c r="E7" s="32" t="str">
        <f>VLOOKUP(B7,BASE!$A:$E,4,0)</f>
        <v>S-319</v>
      </c>
      <c r="F7" s="32">
        <v>750</v>
      </c>
      <c r="G7" s="23">
        <f t="shared" si="0"/>
        <v>0.125</v>
      </c>
      <c r="H7" s="29"/>
      <c r="I7" s="33" t="s">
        <v>968</v>
      </c>
      <c r="K7" s="36">
        <v>5</v>
      </c>
      <c r="L7" s="36" t="s">
        <v>1262</v>
      </c>
      <c r="M7" s="60">
        <v>2000000</v>
      </c>
      <c r="N7" s="60"/>
      <c r="O7" s="61">
        <v>424637</v>
      </c>
    </row>
    <row r="8" spans="1:18" ht="20.25" customHeight="1" x14ac:dyDescent="0.25">
      <c r="A8" s="29">
        <v>1340</v>
      </c>
      <c r="B8" s="34" t="s">
        <v>23</v>
      </c>
      <c r="C8" s="31" t="str">
        <f>VLOOKUP(B8,BASE!$A:$B,2,0)</f>
        <v>8025 CABEZAL 706 BLANCO</v>
      </c>
      <c r="D8" s="35" t="str">
        <f>VLOOKUP(B8,BASE!$A:$D,3,0)</f>
        <v>BLANCO</v>
      </c>
      <c r="E8" s="32">
        <f>VLOOKUP(B8,BASE!$A:$E,4,0)</f>
        <v>706</v>
      </c>
      <c r="F8" s="32">
        <v>3490</v>
      </c>
      <c r="G8" s="23">
        <f t="shared" si="0"/>
        <v>0.58166666666666667</v>
      </c>
      <c r="H8" s="29"/>
      <c r="I8" s="33" t="s">
        <v>965</v>
      </c>
      <c r="K8" s="36">
        <v>6</v>
      </c>
      <c r="L8" s="36" t="s">
        <v>1259</v>
      </c>
      <c r="M8" s="60">
        <v>2000000</v>
      </c>
      <c r="N8" s="60"/>
      <c r="O8" s="61">
        <v>3954759</v>
      </c>
    </row>
    <row r="9" spans="1:18" ht="20.25" customHeight="1" x14ac:dyDescent="0.25">
      <c r="A9" s="29">
        <v>1341</v>
      </c>
      <c r="B9" s="34" t="s">
        <v>480</v>
      </c>
      <c r="C9" s="31" t="str">
        <f>VLOOKUP(B9,BASE!$A:$B,2,0)</f>
        <v>8025 SILLAR 707 BLANCO</v>
      </c>
      <c r="D9" s="35" t="str">
        <f>VLOOKUP(B9,BASE!$A:$D,3,0)</f>
        <v>BLANCO</v>
      </c>
      <c r="E9" s="32">
        <f>VLOOKUP(B9,BASE!$A:$E,4,0)</f>
        <v>707</v>
      </c>
      <c r="F9" s="32">
        <v>3490</v>
      </c>
      <c r="G9" s="23">
        <f t="shared" si="0"/>
        <v>0.58166666666666667</v>
      </c>
      <c r="H9" s="29"/>
      <c r="I9" s="33" t="s">
        <v>965</v>
      </c>
      <c r="K9" s="36">
        <v>7</v>
      </c>
      <c r="L9" s="36" t="s">
        <v>1260</v>
      </c>
      <c r="M9" s="60">
        <v>2000000</v>
      </c>
      <c r="N9" s="60"/>
      <c r="O9" s="61">
        <v>406800</v>
      </c>
    </row>
    <row r="10" spans="1:18" ht="20.25" customHeight="1" x14ac:dyDescent="0.25">
      <c r="A10" s="29">
        <v>1546</v>
      </c>
      <c r="B10" s="34" t="s">
        <v>29</v>
      </c>
      <c r="C10" s="31" t="str">
        <f>VLOOKUP(B10,BASE!$A:$B,2,0)</f>
        <v>SILLAR ALFAJIA 616 MATE</v>
      </c>
      <c r="D10" s="35" t="str">
        <f>VLOOKUP(B10,BASE!$A:$D,3,0)</f>
        <v>MATE</v>
      </c>
      <c r="E10" s="32">
        <f>VLOOKUP(B10,BASE!$A:$E,4,0)</f>
        <v>616</v>
      </c>
      <c r="F10" s="32">
        <v>6000</v>
      </c>
      <c r="G10" s="23">
        <f t="shared" si="0"/>
        <v>1</v>
      </c>
      <c r="H10" s="29"/>
      <c r="I10" s="33" t="s">
        <v>958</v>
      </c>
      <c r="K10" s="36">
        <v>8</v>
      </c>
      <c r="L10" s="36" t="s">
        <v>1254</v>
      </c>
      <c r="M10" s="60">
        <v>1997000</v>
      </c>
      <c r="N10" s="60"/>
      <c r="O10" s="61">
        <v>1000000</v>
      </c>
    </row>
    <row r="11" spans="1:18" ht="20.25" customHeight="1" x14ac:dyDescent="0.25">
      <c r="A11" s="29">
        <v>2054</v>
      </c>
      <c r="B11" s="34" t="s">
        <v>10</v>
      </c>
      <c r="C11" s="31" t="str">
        <f>VLOOKUP(B11,BASE!$A:$B,2,0)</f>
        <v>U57 GRIS PLATA</v>
      </c>
      <c r="D11" s="35" t="str">
        <f>VLOOKUP(B11,BASE!$A:$D,3,0)</f>
        <v>GRIS PLATA</v>
      </c>
      <c r="E11" s="32" t="str">
        <f>VLOOKUP(B11,BASE!$A:$E,4,0)</f>
        <v>U-57</v>
      </c>
      <c r="F11" s="32">
        <v>2600</v>
      </c>
      <c r="G11" s="23">
        <f t="shared" si="0"/>
        <v>0.43333333333333335</v>
      </c>
      <c r="H11" s="29"/>
      <c r="I11" s="33" t="s">
        <v>961</v>
      </c>
      <c r="K11" s="36">
        <v>9</v>
      </c>
      <c r="L11" s="36" t="s">
        <v>1263</v>
      </c>
      <c r="M11" s="60">
        <v>1997000</v>
      </c>
      <c r="N11" s="60"/>
      <c r="O11" s="61">
        <v>665500</v>
      </c>
    </row>
    <row r="12" spans="1:18" ht="20.25" customHeight="1" x14ac:dyDescent="0.25">
      <c r="A12" s="29">
        <v>2248</v>
      </c>
      <c r="B12" s="34" t="s">
        <v>49</v>
      </c>
      <c r="C12" s="31" t="str">
        <f>VLOOKUP(B12,BASE!$A:$B,2,0)</f>
        <v>CUARTO CIRCULAR 1 1/2 " MATE</v>
      </c>
      <c r="D12" s="35" t="str">
        <f>VLOOKUP(B12,BASE!$A:$D,3,0)</f>
        <v>MATE</v>
      </c>
      <c r="E12" s="32" t="str">
        <f>VLOOKUP(B12,BASE!$A:$E,4,0)</f>
        <v>T-280</v>
      </c>
      <c r="F12" s="32">
        <v>2600</v>
      </c>
      <c r="G12" s="23">
        <f t="shared" si="0"/>
        <v>0.43333333333333335</v>
      </c>
      <c r="H12" s="29"/>
      <c r="I12" s="33" t="s">
        <v>960</v>
      </c>
      <c r="K12" s="36">
        <v>10</v>
      </c>
      <c r="L12" s="36" t="s">
        <v>1253</v>
      </c>
      <c r="M12" s="60">
        <v>1970000</v>
      </c>
      <c r="N12" s="60"/>
      <c r="O12" s="61">
        <v>800000</v>
      </c>
    </row>
    <row r="13" spans="1:18" ht="20.25" customHeight="1" x14ac:dyDescent="0.25">
      <c r="A13" s="29">
        <v>2452</v>
      </c>
      <c r="B13" s="34" t="s">
        <v>22</v>
      </c>
      <c r="C13" s="31" t="str">
        <f>VLOOKUP(B13,BASE!$A:$B,2,0)</f>
        <v>CABEZAL CABINA S-319 BLANCO</v>
      </c>
      <c r="D13" s="35" t="str">
        <f>VLOOKUP(B13,BASE!$A:$D,3,0)</f>
        <v>BLANCO</v>
      </c>
      <c r="E13" s="32" t="str">
        <f>VLOOKUP(B13,BASE!$A:$E,4,0)</f>
        <v>S-319</v>
      </c>
      <c r="F13" s="32">
        <v>950</v>
      </c>
      <c r="G13" s="23">
        <f t="shared" si="0"/>
        <v>0.15833333333333333</v>
      </c>
      <c r="H13" s="29"/>
      <c r="I13" s="33" t="s">
        <v>968</v>
      </c>
      <c r="K13" s="36">
        <v>11</v>
      </c>
      <c r="L13" s="36" t="s">
        <v>1258</v>
      </c>
      <c r="M13" s="60">
        <v>1900000</v>
      </c>
      <c r="O13" s="61">
        <v>971160</v>
      </c>
      <c r="P13" s="60"/>
      <c r="Q13" s="60"/>
      <c r="R13" s="60"/>
    </row>
    <row r="14" spans="1:18" ht="20.25" customHeight="1" x14ac:dyDescent="0.25">
      <c r="A14" s="29">
        <v>2585</v>
      </c>
      <c r="B14" s="34" t="s">
        <v>28</v>
      </c>
      <c r="C14" s="31" t="str">
        <f>VLOOKUP(B14,BASE!$A:$B,2,0)</f>
        <v>5020 CABEZAL 144 GRIS PLATA</v>
      </c>
      <c r="D14" s="35" t="str">
        <f>VLOOKUP(B14,BASE!$A:$D,3,0)</f>
        <v>GRIS PLATA</v>
      </c>
      <c r="E14" s="32">
        <f>VLOOKUP(B14,BASE!$A:$E,4,0)</f>
        <v>144</v>
      </c>
      <c r="F14" s="32">
        <v>940</v>
      </c>
      <c r="G14" s="23">
        <f t="shared" si="0"/>
        <v>0.15666666666666668</v>
      </c>
      <c r="H14" s="29"/>
      <c r="I14" s="33" t="s">
        <v>968</v>
      </c>
      <c r="K14" s="36">
        <v>12</v>
      </c>
      <c r="L14" s="36" t="s">
        <v>1250</v>
      </c>
      <c r="M14" s="60">
        <v>1900000</v>
      </c>
      <c r="O14" s="61">
        <v>259420</v>
      </c>
    </row>
    <row r="15" spans="1:18" ht="20.25" customHeight="1" x14ac:dyDescent="0.25">
      <c r="A15" s="29">
        <v>2719</v>
      </c>
      <c r="B15" s="34" t="s">
        <v>102</v>
      </c>
      <c r="C15" s="31" t="str">
        <f>VLOOKUP(B15,BASE!$A:$B,2,0)</f>
        <v>CABEZAL CABINA S-319 BRONCE</v>
      </c>
      <c r="D15" s="35" t="str">
        <f>VLOOKUP(B15,BASE!$A:$D,3,0)</f>
        <v>BRONCE</v>
      </c>
      <c r="E15" s="32" t="str">
        <f>VLOOKUP(B15,BASE!$A:$E,4,0)</f>
        <v>S-319</v>
      </c>
      <c r="F15" s="32">
        <v>970</v>
      </c>
      <c r="G15" s="23">
        <f t="shared" si="0"/>
        <v>0.16166666666666665</v>
      </c>
      <c r="H15" s="29"/>
      <c r="I15" s="33" t="s">
        <v>968</v>
      </c>
      <c r="K15" s="36">
        <v>13</v>
      </c>
      <c r="L15" s="36" t="s">
        <v>1256</v>
      </c>
      <c r="M15" s="60">
        <v>1885000</v>
      </c>
      <c r="O15" s="61">
        <v>2732217</v>
      </c>
    </row>
    <row r="16" spans="1:18" ht="20.25" customHeight="1" x14ac:dyDescent="0.25">
      <c r="A16" s="29">
        <v>2979</v>
      </c>
      <c r="B16" s="34" t="s">
        <v>20</v>
      </c>
      <c r="C16" s="31" t="str">
        <f>VLOOKUP(B16,BASE!$A:$B,2,0)</f>
        <v>ALFAJIA 413 MATE</v>
      </c>
      <c r="D16" s="35" t="str">
        <f>VLOOKUP(B16,BASE!$A:$D,3,0)</f>
        <v>MATE</v>
      </c>
      <c r="E16" s="32">
        <f>VLOOKUP(B16,BASE!$A:$E,4,0)</f>
        <v>413</v>
      </c>
      <c r="F16" s="32">
        <v>2000</v>
      </c>
      <c r="G16" s="23">
        <f t="shared" si="0"/>
        <v>0.33333333333333331</v>
      </c>
      <c r="H16" s="29"/>
      <c r="I16" s="33" t="s">
        <v>964</v>
      </c>
      <c r="K16" s="36">
        <v>15</v>
      </c>
      <c r="L16" s="36" t="s">
        <v>1261</v>
      </c>
      <c r="M16" s="60">
        <v>1750905</v>
      </c>
      <c r="O16" s="61"/>
    </row>
    <row r="17" spans="1:15" ht="20.25" customHeight="1" x14ac:dyDescent="0.25">
      <c r="A17" s="29">
        <v>2981</v>
      </c>
      <c r="B17" s="34" t="s">
        <v>20</v>
      </c>
      <c r="C17" s="31" t="str">
        <f>VLOOKUP(B17,BASE!$A:$B,2,0)</f>
        <v>ALFAJIA 413 MATE</v>
      </c>
      <c r="D17" s="35" t="str">
        <f>VLOOKUP(B17,BASE!$A:$D,3,0)</f>
        <v>MATE</v>
      </c>
      <c r="E17" s="32">
        <f>VLOOKUP(B17,BASE!$A:$E,4,0)</f>
        <v>413</v>
      </c>
      <c r="F17" s="32">
        <v>1800</v>
      </c>
      <c r="G17" s="23">
        <f t="shared" si="0"/>
        <v>0.3</v>
      </c>
      <c r="H17" s="29"/>
      <c r="I17" s="33" t="s">
        <v>964</v>
      </c>
      <c r="K17" s="36">
        <v>16</v>
      </c>
      <c r="L17" s="36" t="s">
        <v>1257</v>
      </c>
      <c r="M17" s="60">
        <v>1750905</v>
      </c>
      <c r="O17" s="61"/>
    </row>
    <row r="18" spans="1:15" ht="20.25" customHeight="1" x14ac:dyDescent="0.25">
      <c r="A18" s="29">
        <v>2992</v>
      </c>
      <c r="B18" s="34" t="s">
        <v>20</v>
      </c>
      <c r="C18" s="31" t="str">
        <f>VLOOKUP(B18,BASE!$A:$B,2,0)</f>
        <v>ALFAJIA 413 MATE</v>
      </c>
      <c r="D18" s="35" t="str">
        <f>VLOOKUP(B18,BASE!$A:$D,3,0)</f>
        <v>MATE</v>
      </c>
      <c r="E18" s="32">
        <f>VLOOKUP(B18,BASE!$A:$E,4,0)</f>
        <v>413</v>
      </c>
      <c r="F18" s="32">
        <v>2100</v>
      </c>
      <c r="G18" s="23">
        <f t="shared" si="0"/>
        <v>0.35</v>
      </c>
      <c r="H18" s="29"/>
      <c r="I18" s="33" t="s">
        <v>964</v>
      </c>
      <c r="K18" s="36">
        <v>17</v>
      </c>
      <c r="L18" s="36" t="s">
        <v>1255</v>
      </c>
      <c r="M18" s="60">
        <v>1750905</v>
      </c>
      <c r="O18" s="61">
        <f>SUM(O3:O17)</f>
        <v>41862945</v>
      </c>
    </row>
    <row r="19" spans="1:15" ht="20.25" customHeight="1" x14ac:dyDescent="0.25">
      <c r="A19" s="29">
        <v>3203</v>
      </c>
      <c r="B19" s="34" t="s">
        <v>150</v>
      </c>
      <c r="C19" s="31" t="str">
        <f>VLOOKUP(B19,BASE!$A:$B,2,0)</f>
        <v>ALFAJIA S-332 NEGRA</v>
      </c>
      <c r="D19" s="35" t="str">
        <f>VLOOKUP(B19,BASE!$A:$D,3,0)</f>
        <v>NEGRO</v>
      </c>
      <c r="E19" s="32" t="str">
        <f>VLOOKUP(B19,BASE!$A:$E,4,0)</f>
        <v>S-332</v>
      </c>
      <c r="F19" s="32">
        <v>900</v>
      </c>
      <c r="G19" s="23">
        <f t="shared" si="0"/>
        <v>0.15</v>
      </c>
      <c r="H19" s="29"/>
      <c r="I19" s="33" t="s">
        <v>966</v>
      </c>
    </row>
    <row r="20" spans="1:15" ht="20.25" customHeight="1" x14ac:dyDescent="0.25">
      <c r="A20" s="29">
        <v>3255</v>
      </c>
      <c r="B20" s="42" t="s">
        <v>731</v>
      </c>
      <c r="C20" s="31" t="str">
        <f>VLOOKUP(B20,BASE!$A:$B,2,0)</f>
        <v>ZOCALO 9CMS S-369 BRONCE MOVIL</v>
      </c>
      <c r="D20" s="35" t="str">
        <f>VLOOKUP(B20,BASE!$A:$D,3,0)</f>
        <v>BRONCE</v>
      </c>
      <c r="E20" s="32" t="str">
        <f>VLOOKUP(B20,BASE!$A:$E,4,0)</f>
        <v>S-369</v>
      </c>
      <c r="F20" s="32">
        <v>1700</v>
      </c>
      <c r="G20" s="23">
        <f t="shared" si="0"/>
        <v>0.28333333333333333</v>
      </c>
      <c r="H20" s="29"/>
      <c r="I20" s="33" t="s">
        <v>960</v>
      </c>
    </row>
    <row r="21" spans="1:15" ht="20.25" customHeight="1" x14ac:dyDescent="0.25">
      <c r="A21" s="29">
        <v>3291</v>
      </c>
      <c r="B21" s="44" t="s">
        <v>274</v>
      </c>
      <c r="C21" s="31" t="str">
        <f>VLOOKUP(B21,BASE!$A:$B,2,0)</f>
        <v>U89 NEGRO</v>
      </c>
      <c r="D21" s="35" t="str">
        <f>VLOOKUP(B21,BASE!$A:$D,3,0)</f>
        <v>NEGRO</v>
      </c>
      <c r="E21" s="32" t="str">
        <f>VLOOKUP(B21,BASE!$A:$E,4,0)</f>
        <v>U-89</v>
      </c>
      <c r="F21" s="32">
        <v>6000</v>
      </c>
      <c r="G21" s="23">
        <f t="shared" si="0"/>
        <v>1</v>
      </c>
      <c r="H21" s="29"/>
      <c r="I21" s="33" t="s">
        <v>956</v>
      </c>
    </row>
    <row r="22" spans="1:15" ht="20.25" customHeight="1" x14ac:dyDescent="0.25">
      <c r="A22" s="29">
        <v>3295</v>
      </c>
      <c r="B22" s="43" t="s">
        <v>139</v>
      </c>
      <c r="C22" s="31" t="str">
        <f>VLOOKUP(B22,BASE!$A:$B,2,0)</f>
        <v>8025 SILLAR 707 NEGRO</v>
      </c>
      <c r="D22" s="35" t="str">
        <f>VLOOKUP(B22,BASE!$A:$D,3,0)</f>
        <v>NEGRO</v>
      </c>
      <c r="E22" s="32">
        <f>VLOOKUP(B22,BASE!$A:$E,4,0)</f>
        <v>707</v>
      </c>
      <c r="F22" s="32">
        <v>2800</v>
      </c>
      <c r="G22" s="23">
        <f t="shared" si="0"/>
        <v>0.46666666666666667</v>
      </c>
      <c r="H22" s="29"/>
      <c r="I22" s="33" t="s">
        <v>965</v>
      </c>
    </row>
    <row r="23" spans="1:15" ht="20.25" customHeight="1" x14ac:dyDescent="0.25">
      <c r="A23" s="29">
        <v>3317</v>
      </c>
      <c r="B23" s="43" t="s">
        <v>177</v>
      </c>
      <c r="C23" s="31" t="str">
        <f>VLOOKUP(B23,BASE!$A:$B,2,0)</f>
        <v>TUBULAR T-280 MATE</v>
      </c>
      <c r="D23" s="35" t="str">
        <f>VLOOKUP(B23,BASE!$A:$D,3,0)</f>
        <v>MATE</v>
      </c>
      <c r="E23" s="32" t="str">
        <f>VLOOKUP(B23,BASE!$A:$E,4,0)</f>
        <v>T-280</v>
      </c>
      <c r="F23" s="32">
        <v>2400</v>
      </c>
      <c r="G23" s="23">
        <f t="shared" si="0"/>
        <v>0.4</v>
      </c>
      <c r="H23" s="29"/>
      <c r="I23" s="33" t="s">
        <v>960</v>
      </c>
    </row>
    <row r="24" spans="1:15" ht="20.25" customHeight="1" x14ac:dyDescent="0.25">
      <c r="A24" s="29">
        <v>3737</v>
      </c>
      <c r="B24" s="34" t="s">
        <v>104</v>
      </c>
      <c r="C24" s="31" t="str">
        <f>VLOOKUP(B24,BASE!$A:$B,2,0)</f>
        <v>5020 TRASLAPE REFORZADO 462 BLANCO</v>
      </c>
      <c r="D24" s="35" t="str">
        <f>VLOOKUP(B24,BASE!$A:$D,3,0)</f>
        <v>BLANCO</v>
      </c>
      <c r="E24" s="32">
        <f>VLOOKUP(B24,BASE!$A:$E,4,0)</f>
        <v>462</v>
      </c>
      <c r="F24" s="32">
        <v>3300</v>
      </c>
      <c r="G24" s="23">
        <f t="shared" si="0"/>
        <v>0.55000000000000004</v>
      </c>
      <c r="H24" s="29"/>
      <c r="I24" s="33" t="s">
        <v>962</v>
      </c>
    </row>
    <row r="25" spans="1:15" ht="20.25" customHeight="1" x14ac:dyDescent="0.25">
      <c r="A25" s="29">
        <v>3817</v>
      </c>
      <c r="B25" s="34" t="s">
        <v>148</v>
      </c>
      <c r="C25" s="31" t="str">
        <f>VLOOKUP(B25,BASE!$A:$B,2,0)</f>
        <v>U-089 MATE</v>
      </c>
      <c r="D25" s="35" t="str">
        <f>VLOOKUP(B25,BASE!$A:$D,3,0)</f>
        <v>MATE</v>
      </c>
      <c r="E25" s="32" t="str">
        <f>VLOOKUP(B25,BASE!$A:$E,4,0)</f>
        <v>U-89</v>
      </c>
      <c r="F25" s="32">
        <v>1700</v>
      </c>
      <c r="G25" s="23">
        <f t="shared" si="0"/>
        <v>0.28333333333333333</v>
      </c>
      <c r="H25" s="29"/>
      <c r="I25" s="33" t="s">
        <v>961</v>
      </c>
    </row>
    <row r="26" spans="1:15" ht="20.25" customHeight="1" x14ac:dyDescent="0.25">
      <c r="A26" s="29">
        <v>3970</v>
      </c>
      <c r="B26" s="34" t="s">
        <v>22</v>
      </c>
      <c r="C26" s="31" t="str">
        <f>VLOOKUP(B26,BASE!$A:$B,2,0)</f>
        <v>CABEZAL CABINA S-319 BLANCO</v>
      </c>
      <c r="D26" s="35" t="str">
        <f>VLOOKUP(B26,BASE!$A:$D,3,0)</f>
        <v>BLANCO</v>
      </c>
      <c r="E26" s="32" t="str">
        <f>VLOOKUP(B26,BASE!$A:$E,4,0)</f>
        <v>S-319</v>
      </c>
      <c r="F26" s="32">
        <v>900</v>
      </c>
      <c r="G26" s="23">
        <f t="shared" si="0"/>
        <v>0.15</v>
      </c>
      <c r="H26" s="29"/>
      <c r="I26" s="33" t="s">
        <v>968</v>
      </c>
    </row>
    <row r="27" spans="1:15" ht="20.25" customHeight="1" x14ac:dyDescent="0.25">
      <c r="A27" s="29">
        <v>4055</v>
      </c>
      <c r="B27" s="34" t="s">
        <v>38</v>
      </c>
      <c r="C27" s="31" t="str">
        <f>VLOOKUP(B27,BASE!$A:$B,2,0)</f>
        <v>TUBULAR T-101 MATE</v>
      </c>
      <c r="D27" s="35" t="str">
        <f>VLOOKUP(B27,BASE!$A:$D,3,0)</f>
        <v>MATE</v>
      </c>
      <c r="E27" s="32" t="str">
        <f>VLOOKUP(B27,BASE!$A:$E,4,0)</f>
        <v>T-101</v>
      </c>
      <c r="F27" s="32">
        <v>1800</v>
      </c>
      <c r="G27" s="23">
        <f t="shared" si="0"/>
        <v>0.3</v>
      </c>
      <c r="H27" s="29"/>
      <c r="I27" s="33" t="s">
        <v>961</v>
      </c>
    </row>
    <row r="28" spans="1:15" ht="20.25" customHeight="1" x14ac:dyDescent="0.25">
      <c r="A28" s="29">
        <v>4072</v>
      </c>
      <c r="B28" s="34" t="s">
        <v>101</v>
      </c>
      <c r="C28" s="31" t="str">
        <f>VLOOKUP(B28,BASE!$A:$B,2,0)</f>
        <v>SILLAR CABINA S-201 BRONCE</v>
      </c>
      <c r="D28" s="35" t="str">
        <f>VLOOKUP(B28,BASE!$A:$D,3,0)</f>
        <v>BRONCE</v>
      </c>
      <c r="E28" s="32" t="str">
        <f>VLOOKUP(B28,BASE!$A:$E,4,0)</f>
        <v>S-201</v>
      </c>
      <c r="F28" s="32">
        <v>900</v>
      </c>
      <c r="G28" s="23">
        <f t="shared" si="0"/>
        <v>0.15</v>
      </c>
      <c r="H28" s="29"/>
      <c r="I28" s="33" t="s">
        <v>968</v>
      </c>
    </row>
    <row r="29" spans="1:15" ht="20.25" customHeight="1" x14ac:dyDescent="0.25">
      <c r="A29" s="29">
        <v>4264</v>
      </c>
      <c r="B29" s="34" t="s">
        <v>349</v>
      </c>
      <c r="C29" s="31" t="str">
        <f>VLOOKUP(B29,BASE!$A:$B,2,0)</f>
        <v>3831 DIVISOR 1103 MATE</v>
      </c>
      <c r="D29" s="35" t="str">
        <f>VLOOKUP(B29,BASE!$A:$D,3,0)</f>
        <v>MATE</v>
      </c>
      <c r="E29" s="32">
        <f>VLOOKUP(B29,BASE!$A:$E,4,0)</f>
        <v>1103</v>
      </c>
      <c r="F29" s="32">
        <v>1800</v>
      </c>
      <c r="G29" s="23">
        <f t="shared" si="0"/>
        <v>0.3</v>
      </c>
      <c r="H29" s="29"/>
      <c r="I29" s="33" t="s">
        <v>961</v>
      </c>
    </row>
    <row r="30" spans="1:15" ht="20.25" customHeight="1" x14ac:dyDescent="0.25">
      <c r="A30" s="29">
        <v>4279</v>
      </c>
      <c r="B30" s="34" t="s">
        <v>166</v>
      </c>
      <c r="C30" s="31" t="str">
        <f>VLOOKUP(B30,BASE!$A:$B,2,0)</f>
        <v>5020 JAMBA 193 BLANCO</v>
      </c>
      <c r="D30" s="35" t="str">
        <f>VLOOKUP(B30,BASE!$A:$D,3,0)</f>
        <v>BLANCO</v>
      </c>
      <c r="E30" s="32">
        <f>VLOOKUP(B30,BASE!$A:$E,4,0)</f>
        <v>193</v>
      </c>
      <c r="F30" s="32">
        <v>600</v>
      </c>
      <c r="G30" s="23">
        <f t="shared" si="0"/>
        <v>0.1</v>
      </c>
      <c r="H30" s="29"/>
      <c r="I30" s="33" t="s">
        <v>969</v>
      </c>
    </row>
    <row r="31" spans="1:15" ht="20.25" customHeight="1" x14ac:dyDescent="0.25">
      <c r="A31" s="29">
        <v>4315</v>
      </c>
      <c r="B31" s="34" t="s">
        <v>349</v>
      </c>
      <c r="C31" s="31" t="str">
        <f>VLOOKUP(B31,BASE!$A:$B,2,0)</f>
        <v>3831 DIVISOR 1103 MATE</v>
      </c>
      <c r="D31" s="35" t="str">
        <f>VLOOKUP(B31,BASE!$A:$D,3,0)</f>
        <v>MATE</v>
      </c>
      <c r="E31" s="32">
        <f>VLOOKUP(B31,BASE!$A:$E,4,0)</f>
        <v>1103</v>
      </c>
      <c r="F31" s="32">
        <v>6000</v>
      </c>
      <c r="G31" s="23">
        <f t="shared" si="0"/>
        <v>1</v>
      </c>
      <c r="H31" s="29"/>
      <c r="I31" s="33" t="s">
        <v>956</v>
      </c>
    </row>
    <row r="32" spans="1:15" ht="20.25" customHeight="1" x14ac:dyDescent="0.25">
      <c r="A32" s="29">
        <v>4874</v>
      </c>
      <c r="B32" s="34" t="s">
        <v>173</v>
      </c>
      <c r="C32" s="31" t="str">
        <f>VLOOKUP(B32,BASE!$A:$B,2,0)</f>
        <v>8025 SILLAR 707 MATE</v>
      </c>
      <c r="D32" s="35" t="str">
        <f>VLOOKUP(B32,BASE!$A:$D,3,0)</f>
        <v>MATE</v>
      </c>
      <c r="E32" s="32">
        <f>VLOOKUP(B32,BASE!$A:$E,4,0)</f>
        <v>707</v>
      </c>
      <c r="F32" s="32">
        <v>2900</v>
      </c>
      <c r="G32" s="23">
        <f t="shared" si="0"/>
        <v>0.48333333333333334</v>
      </c>
      <c r="H32" s="29"/>
      <c r="I32" s="33" t="s">
        <v>965</v>
      </c>
    </row>
    <row r="33" spans="1:9" ht="20.25" customHeight="1" x14ac:dyDescent="0.25">
      <c r="A33" s="29">
        <v>4964</v>
      </c>
      <c r="B33" s="45" t="s">
        <v>75</v>
      </c>
      <c r="C33" s="31" t="str">
        <f>VLOOKUP(B33,BASE!$A:$B,2,0)</f>
        <v>5020 SILLAR 194 GRIS PLATA</v>
      </c>
      <c r="D33" s="35" t="str">
        <f>VLOOKUP(B33,BASE!$A:$D,3,0)</f>
        <v>GRIS PLATA</v>
      </c>
      <c r="E33" s="32">
        <f>VLOOKUP(B33,BASE!$A:$E,4,0)</f>
        <v>194</v>
      </c>
      <c r="F33" s="32">
        <v>2600</v>
      </c>
      <c r="G33" s="23">
        <f t="shared" si="0"/>
        <v>0.43333333333333335</v>
      </c>
      <c r="H33" s="29"/>
      <c r="I33" s="33" t="s">
        <v>955</v>
      </c>
    </row>
    <row r="34" spans="1:9" ht="20.25" customHeight="1" x14ac:dyDescent="0.25">
      <c r="A34" s="29">
        <v>5081</v>
      </c>
      <c r="B34" s="45" t="s">
        <v>581</v>
      </c>
      <c r="C34" s="31" t="str">
        <f>VLOOKUP(B34,BASE!$A:$B,2,0)</f>
        <v>U57 BRONCE</v>
      </c>
      <c r="D34" s="35" t="str">
        <f>VLOOKUP(B34,BASE!$A:$D,3,0)</f>
        <v>BRONCE</v>
      </c>
      <c r="E34" s="32" t="str">
        <f>VLOOKUP(B34,BASE!$A:$E,4,0)</f>
        <v>U-57</v>
      </c>
      <c r="F34" s="32">
        <v>2100</v>
      </c>
      <c r="G34" s="23">
        <f t="shared" si="0"/>
        <v>0.35</v>
      </c>
      <c r="H34" s="29"/>
      <c r="I34" s="33" t="s">
        <v>961</v>
      </c>
    </row>
    <row r="35" spans="1:9" ht="20.25" customHeight="1" x14ac:dyDescent="0.25">
      <c r="A35" s="29">
        <v>5140</v>
      </c>
      <c r="B35" s="45" t="s">
        <v>369</v>
      </c>
      <c r="C35" s="31" t="str">
        <f>VLOOKUP(B35,BASE!$A:$B,2,0)</f>
        <v>7038 ENGANCHE 705 BLANCO</v>
      </c>
      <c r="D35" s="35" t="str">
        <f>VLOOKUP(B35,BASE!$A:$D,3,0)</f>
        <v>BLANCO</v>
      </c>
      <c r="E35" s="32">
        <f>VLOOKUP(B35,BASE!$A:$E,4,0)</f>
        <v>705</v>
      </c>
      <c r="F35" s="32">
        <v>2350</v>
      </c>
      <c r="G35" s="23">
        <f t="shared" si="0"/>
        <v>0.39166666666666666</v>
      </c>
      <c r="H35" s="29"/>
      <c r="I35" s="33" t="s">
        <v>959</v>
      </c>
    </row>
    <row r="36" spans="1:9" ht="20.25" customHeight="1" x14ac:dyDescent="0.25">
      <c r="A36" s="29">
        <v>5147</v>
      </c>
      <c r="B36" s="45" t="s">
        <v>438</v>
      </c>
      <c r="C36" s="31" t="str">
        <f>VLOOKUP(B36,BASE!$A:$B,2,0)</f>
        <v>8025 JAMBA 708 BRONCE</v>
      </c>
      <c r="D36" s="35" t="str">
        <f>VLOOKUP(B36,BASE!$A:$D,3,0)</f>
        <v>BRONCE</v>
      </c>
      <c r="E36" s="32">
        <f>VLOOKUP(B36,BASE!$A:$E,4,0)</f>
        <v>708</v>
      </c>
      <c r="F36" s="32">
        <v>3500</v>
      </c>
      <c r="G36" s="23">
        <f t="shared" si="0"/>
        <v>0.58333333333333337</v>
      </c>
      <c r="H36" s="29"/>
      <c r="I36" s="33" t="s">
        <v>965</v>
      </c>
    </row>
    <row r="37" spans="1:9" ht="20.25" customHeight="1" x14ac:dyDescent="0.25">
      <c r="A37" s="29">
        <v>5184</v>
      </c>
      <c r="B37" s="45" t="s">
        <v>26</v>
      </c>
      <c r="C37" s="31" t="str">
        <f>VLOOKUP(B37,BASE!$A:$B,2,0)</f>
        <v>744 SILLAR 387 MATE</v>
      </c>
      <c r="D37" s="35" t="str">
        <f>VLOOKUP(B37,BASE!$A:$D,3,0)</f>
        <v>MATE</v>
      </c>
      <c r="E37" s="32">
        <f>VLOOKUP(B37,BASE!$A:$E,4,0)</f>
        <v>387</v>
      </c>
      <c r="F37" s="32">
        <v>900</v>
      </c>
      <c r="G37" s="23">
        <f t="shared" si="0"/>
        <v>0.15</v>
      </c>
      <c r="H37" s="29"/>
      <c r="I37" s="33" t="s">
        <v>968</v>
      </c>
    </row>
    <row r="38" spans="1:9" ht="20.25" customHeight="1" x14ac:dyDescent="0.25">
      <c r="A38" s="29">
        <v>5193</v>
      </c>
      <c r="B38" s="45" t="s">
        <v>148</v>
      </c>
      <c r="C38" s="31" t="str">
        <f>VLOOKUP(B38,BASE!$A:$B,2,0)</f>
        <v>U-089 MATE</v>
      </c>
      <c r="D38" s="35" t="str">
        <f>VLOOKUP(B38,BASE!$A:$D,3,0)</f>
        <v>MATE</v>
      </c>
      <c r="E38" s="32" t="str">
        <f>VLOOKUP(B38,BASE!$A:$E,4,0)</f>
        <v>U-89</v>
      </c>
      <c r="F38" s="32">
        <v>1700</v>
      </c>
      <c r="G38" s="23">
        <f t="shared" si="0"/>
        <v>0.28333333333333333</v>
      </c>
      <c r="H38" s="29"/>
      <c r="I38" s="33" t="s">
        <v>961</v>
      </c>
    </row>
    <row r="39" spans="1:9" ht="20.25" customHeight="1" x14ac:dyDescent="0.25">
      <c r="A39" s="29">
        <v>5255</v>
      </c>
      <c r="B39" s="45" t="s">
        <v>509</v>
      </c>
      <c r="C39" s="31" t="str">
        <f>VLOOKUP(B39,BASE!$A:$B,2,0)</f>
        <v>TAPALUZ PT08 GRIS PLATA</v>
      </c>
      <c r="D39" s="35" t="str">
        <f>VLOOKUP(B39,BASE!$A:$D,3,0)</f>
        <v>GRIS PLATA</v>
      </c>
      <c r="E39" s="32" t="str">
        <f>VLOOKUP(B39,BASE!$A:$E,4,0)</f>
        <v>PT-08</v>
      </c>
      <c r="F39" s="32">
        <v>6000</v>
      </c>
      <c r="G39" s="23">
        <f t="shared" si="0"/>
        <v>1</v>
      </c>
      <c r="H39" s="29"/>
      <c r="I39" s="33" t="s">
        <v>958</v>
      </c>
    </row>
    <row r="40" spans="1:9" ht="20.25" customHeight="1" x14ac:dyDescent="0.25">
      <c r="A40" s="29">
        <v>5256</v>
      </c>
      <c r="B40" s="45" t="s">
        <v>509</v>
      </c>
      <c r="C40" s="31" t="str">
        <f>VLOOKUP(B40,BASE!$A:$B,2,0)</f>
        <v>TAPALUZ PT08 GRIS PLATA</v>
      </c>
      <c r="D40" s="35" t="str">
        <f>VLOOKUP(B40,BASE!$A:$D,3,0)</f>
        <v>GRIS PLATA</v>
      </c>
      <c r="E40" s="32" t="str">
        <f>VLOOKUP(B40,BASE!$A:$E,4,0)</f>
        <v>PT-08</v>
      </c>
      <c r="F40" s="32">
        <v>6000</v>
      </c>
      <c r="G40" s="23">
        <f t="shared" si="0"/>
        <v>1</v>
      </c>
      <c r="H40" s="29"/>
      <c r="I40" s="33" t="s">
        <v>958</v>
      </c>
    </row>
    <row r="41" spans="1:9" ht="20.25" customHeight="1" x14ac:dyDescent="0.25">
      <c r="A41" s="29">
        <v>5307</v>
      </c>
      <c r="B41" s="45" t="s">
        <v>26</v>
      </c>
      <c r="C41" s="31" t="str">
        <f>VLOOKUP(B41,BASE!$A:$B,2,0)</f>
        <v>744 SILLAR 387 MATE</v>
      </c>
      <c r="D41" s="35" t="str">
        <f>VLOOKUP(B41,BASE!$A:$D,3,0)</f>
        <v>MATE</v>
      </c>
      <c r="E41" s="32">
        <f>VLOOKUP(B41,BASE!$A:$E,4,0)</f>
        <v>387</v>
      </c>
      <c r="F41" s="32">
        <v>900</v>
      </c>
      <c r="G41" s="23">
        <f t="shared" si="0"/>
        <v>0.15</v>
      </c>
      <c r="H41" s="29"/>
      <c r="I41" s="33" t="s">
        <v>968</v>
      </c>
    </row>
    <row r="42" spans="1:9" ht="20.25" customHeight="1" x14ac:dyDescent="0.25">
      <c r="A42" s="29">
        <v>5314</v>
      </c>
      <c r="B42" s="45" t="s">
        <v>946</v>
      </c>
      <c r="C42" s="31" t="str">
        <f>VLOOKUP(B42,BASE!$A:$B,2,0)</f>
        <v>RIEL W CRUDO</v>
      </c>
      <c r="D42" s="35" t="str">
        <f>VLOOKUP(B42,BASE!$A:$D,3,0)</f>
        <v xml:space="preserve">CRUDO </v>
      </c>
      <c r="E42" s="32" t="str">
        <f>VLOOKUP(B42,BASE!$A:$E,4,0)</f>
        <v>S-479</v>
      </c>
      <c r="F42" s="32">
        <v>2000</v>
      </c>
      <c r="G42" s="23">
        <f t="shared" si="0"/>
        <v>0.33333333333333331</v>
      </c>
      <c r="H42" s="29"/>
      <c r="I42" s="33" t="s">
        <v>960</v>
      </c>
    </row>
    <row r="43" spans="1:9" ht="20.25" customHeight="1" x14ac:dyDescent="0.25">
      <c r="A43" s="29">
        <v>5409</v>
      </c>
      <c r="B43" s="45" t="s">
        <v>139</v>
      </c>
      <c r="C43" s="31" t="str">
        <f>VLOOKUP(B43,BASE!$A:$B,2,0)</f>
        <v>8025 SILLAR 707 NEGRO</v>
      </c>
      <c r="D43" s="35" t="str">
        <f>VLOOKUP(B43,BASE!$A:$D,3,0)</f>
        <v>NEGRO</v>
      </c>
      <c r="E43" s="32">
        <f>VLOOKUP(B43,BASE!$A:$E,4,0)</f>
        <v>707</v>
      </c>
      <c r="F43" s="32">
        <v>2700</v>
      </c>
      <c r="G43" s="23">
        <f t="shared" si="0"/>
        <v>0.45</v>
      </c>
      <c r="H43" s="29"/>
      <c r="I43" s="33" t="s">
        <v>965</v>
      </c>
    </row>
    <row r="44" spans="1:9" ht="20.25" customHeight="1" x14ac:dyDescent="0.25">
      <c r="A44" s="29">
        <v>5410</v>
      </c>
      <c r="B44" s="45" t="s">
        <v>340</v>
      </c>
      <c r="C44" s="31" t="str">
        <f>VLOOKUP(B44,BASE!$A:$B,2,0)</f>
        <v>8025 CABEZAL 706 NEGRO</v>
      </c>
      <c r="D44" s="35" t="str">
        <f>VLOOKUP(B44,BASE!$A:$D,3,0)</f>
        <v>NEGRO</v>
      </c>
      <c r="E44" s="32">
        <f>VLOOKUP(B44,BASE!$A:$E,4,0)</f>
        <v>706</v>
      </c>
      <c r="F44" s="32">
        <v>2700</v>
      </c>
      <c r="G44" s="23">
        <f t="shared" si="0"/>
        <v>0.45</v>
      </c>
      <c r="H44" s="29"/>
      <c r="I44" s="33" t="s">
        <v>965</v>
      </c>
    </row>
    <row r="45" spans="1:9" ht="20.25" customHeight="1" x14ac:dyDescent="0.25">
      <c r="A45" s="29">
        <v>5466</v>
      </c>
      <c r="B45" s="45" t="s">
        <v>565</v>
      </c>
      <c r="C45" s="31" t="str">
        <f>VLOOKUP(B45,BASE!$A:$B,2,0)</f>
        <v>TUBULAR T-101 NEGRO</v>
      </c>
      <c r="D45" s="35" t="str">
        <f>VLOOKUP(B45,BASE!$A:$D,3,0)</f>
        <v>NEGRO</v>
      </c>
      <c r="E45" s="32" t="str">
        <f>VLOOKUP(B45,BASE!$A:$E,4,0)</f>
        <v>T-101</v>
      </c>
      <c r="F45" s="32">
        <v>2100</v>
      </c>
      <c r="G45" s="23">
        <f t="shared" si="0"/>
        <v>0.35</v>
      </c>
      <c r="H45" s="29"/>
      <c r="I45" s="33" t="s">
        <v>961</v>
      </c>
    </row>
    <row r="46" spans="1:9" ht="20.25" customHeight="1" x14ac:dyDescent="0.25">
      <c r="A46" s="29">
        <v>5471</v>
      </c>
      <c r="B46" s="45" t="s">
        <v>173</v>
      </c>
      <c r="C46" s="31" t="str">
        <f>VLOOKUP(B46,BASE!$A:$B,2,0)</f>
        <v>8025 SILLAR 707 MATE</v>
      </c>
      <c r="D46" s="35" t="str">
        <f>VLOOKUP(B46,BASE!$A:$D,3,0)</f>
        <v>MATE</v>
      </c>
      <c r="E46" s="32">
        <f>VLOOKUP(B46,BASE!$A:$E,4,0)</f>
        <v>707</v>
      </c>
      <c r="F46" s="32">
        <v>3800</v>
      </c>
      <c r="G46" s="23">
        <f t="shared" si="0"/>
        <v>0.6333333333333333</v>
      </c>
      <c r="H46" s="29"/>
      <c r="I46" s="33" t="s">
        <v>965</v>
      </c>
    </row>
    <row r="47" spans="1:9" ht="20.25" customHeight="1" x14ac:dyDescent="0.25">
      <c r="A47" s="29">
        <v>5472</v>
      </c>
      <c r="B47" s="45" t="s">
        <v>140</v>
      </c>
      <c r="C47" s="31" t="str">
        <f>VLOOKUP(B47,BASE!$A:$B,2,0)</f>
        <v>8025 CABEZAL 706 MATE</v>
      </c>
      <c r="D47" s="35" t="str">
        <f>VLOOKUP(B47,BASE!$A:$D,3,0)</f>
        <v>MATE</v>
      </c>
      <c r="E47" s="32">
        <f>VLOOKUP(B47,BASE!$A:$E,4,0)</f>
        <v>706</v>
      </c>
      <c r="F47" s="32">
        <v>3800</v>
      </c>
      <c r="G47" s="23">
        <f t="shared" si="0"/>
        <v>0.6333333333333333</v>
      </c>
      <c r="H47" s="29"/>
      <c r="I47" s="33" t="s">
        <v>965</v>
      </c>
    </row>
    <row r="48" spans="1:9" ht="20.25" customHeight="1" x14ac:dyDescent="0.25">
      <c r="A48" s="29">
        <v>5618</v>
      </c>
      <c r="B48" s="45" t="s">
        <v>33</v>
      </c>
      <c r="C48" s="31" t="str">
        <f>VLOOKUP(B48,BASE!$A:$B,2,0)</f>
        <v>ALFAJIA S-332 MATE</v>
      </c>
      <c r="D48" s="35" t="str">
        <f>VLOOKUP(B48,BASE!$A:$D,3,0)</f>
        <v>MATE</v>
      </c>
      <c r="E48" s="32" t="str">
        <f>VLOOKUP(B48,BASE!$A:$E,4,0)</f>
        <v>S-332</v>
      </c>
      <c r="F48" s="32">
        <v>2100</v>
      </c>
      <c r="G48" s="23">
        <f t="shared" si="0"/>
        <v>0.35</v>
      </c>
      <c r="H48" s="29"/>
      <c r="I48" s="33" t="s">
        <v>964</v>
      </c>
    </row>
    <row r="49" spans="1:9" ht="20.25" customHeight="1" x14ac:dyDescent="0.25">
      <c r="A49" s="29">
        <v>5630</v>
      </c>
      <c r="B49" s="45" t="s">
        <v>714</v>
      </c>
      <c r="C49" s="31" t="str">
        <f>VLOOKUP(B49,BASE!$A:$B,2,0)</f>
        <v>TUBULAR 1101 BLANCO</v>
      </c>
      <c r="D49" s="35" t="str">
        <f>VLOOKUP(B49,BASE!$A:$D,3,0)</f>
        <v>BLANCO</v>
      </c>
      <c r="E49" s="32">
        <f>VLOOKUP(B49,BASE!$A:$E,4,0)</f>
        <v>1101</v>
      </c>
      <c r="F49" s="32">
        <v>3000</v>
      </c>
      <c r="G49" s="23">
        <f t="shared" si="0"/>
        <v>0.5</v>
      </c>
      <c r="H49" s="29"/>
      <c r="I49" s="33" t="s">
        <v>960</v>
      </c>
    </row>
    <row r="50" spans="1:9" ht="20.25" customHeight="1" x14ac:dyDescent="0.25">
      <c r="A50" s="29">
        <v>5638</v>
      </c>
      <c r="B50" s="45" t="s">
        <v>603</v>
      </c>
      <c r="C50" s="31" t="str">
        <f>VLOOKUP(B50,BASE!$A:$B,2,0)</f>
        <v>ALFAJIA 1123 MATE</v>
      </c>
      <c r="D50" s="35" t="str">
        <f>VLOOKUP(B50,BASE!$A:$D,3,0)</f>
        <v>MATE</v>
      </c>
      <c r="E50" s="32">
        <f>VLOOKUP(B50,BASE!$A:$E,4,0)</f>
        <v>1123</v>
      </c>
      <c r="F50" s="32">
        <v>1100</v>
      </c>
      <c r="G50" s="23">
        <f t="shared" si="0"/>
        <v>0.18333333333333332</v>
      </c>
      <c r="H50" s="29"/>
      <c r="I50" s="33" t="s">
        <v>966</v>
      </c>
    </row>
    <row r="51" spans="1:9" ht="20.25" customHeight="1" x14ac:dyDescent="0.25">
      <c r="A51" s="29">
        <v>5742</v>
      </c>
      <c r="B51" s="45" t="s">
        <v>602</v>
      </c>
      <c r="C51" s="31" t="str">
        <f>VLOOKUP(B51,BASE!$A:$B,2,0)</f>
        <v>ALFAJIA 1123 BRONCE</v>
      </c>
      <c r="D51" s="35" t="str">
        <f>VLOOKUP(B51,BASE!$A:$D,3,0)</f>
        <v>BRONCE</v>
      </c>
      <c r="E51" s="32">
        <f>VLOOKUP(B51,BASE!$A:$E,4,0)</f>
        <v>1123</v>
      </c>
      <c r="F51" s="32">
        <v>1100</v>
      </c>
      <c r="G51" s="23">
        <f t="shared" si="0"/>
        <v>0.18333333333333332</v>
      </c>
      <c r="H51" s="29"/>
      <c r="I51" s="33" t="s">
        <v>966</v>
      </c>
    </row>
    <row r="52" spans="1:9" ht="20.25" customHeight="1" x14ac:dyDescent="0.25">
      <c r="A52" s="29">
        <v>5743</v>
      </c>
      <c r="B52" s="45" t="s">
        <v>605</v>
      </c>
      <c r="C52" s="31" t="str">
        <f>VLOOKUP(B52,BASE!$A:$B,2,0)</f>
        <v>ALFAJIA S-012 BRONCE</v>
      </c>
      <c r="D52" s="35" t="str">
        <f>VLOOKUP(B52,BASE!$A:$D,3,0)</f>
        <v>BRONCE</v>
      </c>
      <c r="E52" s="32" t="str">
        <f>VLOOKUP(B52,BASE!$A:$E,4,0)</f>
        <v>S-012</v>
      </c>
      <c r="F52" s="32">
        <v>1100</v>
      </c>
      <c r="G52" s="23">
        <f t="shared" si="0"/>
        <v>0.18333333333333332</v>
      </c>
      <c r="H52" s="29"/>
      <c r="I52" s="33" t="s">
        <v>966</v>
      </c>
    </row>
    <row r="53" spans="1:9" ht="20.25" customHeight="1" x14ac:dyDescent="0.25">
      <c r="A53" s="29">
        <v>5745</v>
      </c>
      <c r="B53" s="45" t="s">
        <v>985</v>
      </c>
      <c r="C53" s="31" t="e">
        <f>VLOOKUP(B53,BASE!$A:$B,2,0)</f>
        <v>#N/A</v>
      </c>
      <c r="D53" s="35" t="e">
        <f>VLOOKUP(B53,BASE!$A:$D,3,0)</f>
        <v>#N/A</v>
      </c>
      <c r="E53" s="32">
        <v>1103</v>
      </c>
      <c r="F53" s="32">
        <v>3900</v>
      </c>
      <c r="G53" s="23">
        <f t="shared" si="0"/>
        <v>0.65</v>
      </c>
      <c r="H53" s="29"/>
      <c r="I53" s="33" t="s">
        <v>963</v>
      </c>
    </row>
    <row r="54" spans="1:9" ht="20.25" customHeight="1" x14ac:dyDescent="0.25">
      <c r="A54" s="29">
        <v>5854</v>
      </c>
      <c r="B54" s="45" t="s">
        <v>36</v>
      </c>
      <c r="C54" s="31" t="str">
        <f>VLOOKUP(B54,BASE!$A:$B,2,0)</f>
        <v>TUBULAR T-244 GRIS PLATA</v>
      </c>
      <c r="D54" s="35" t="str">
        <f>VLOOKUP(B54,BASE!$A:$D,3,0)</f>
        <v>GRIS PLATA</v>
      </c>
      <c r="E54" s="32" t="str">
        <f>VLOOKUP(B54,BASE!$A:$E,4,0)</f>
        <v>T-244</v>
      </c>
      <c r="F54" s="32">
        <v>2500</v>
      </c>
      <c r="G54" s="23">
        <f t="shared" si="0"/>
        <v>0.41666666666666669</v>
      </c>
      <c r="H54" s="29"/>
      <c r="I54" s="33" t="s">
        <v>961</v>
      </c>
    </row>
    <row r="55" spans="1:9" ht="20.25" customHeight="1" x14ac:dyDescent="0.25">
      <c r="A55" s="29">
        <v>5941</v>
      </c>
      <c r="B55" s="45" t="s">
        <v>646</v>
      </c>
      <c r="C55" s="31" t="str">
        <f>VLOOKUP(B55,BASE!$A:$B,2,0)</f>
        <v>5020 SILLAR ALFAJIA 581 BRONCE</v>
      </c>
      <c r="D55" s="35" t="str">
        <f>VLOOKUP(B55,BASE!$A:$D,3,0)</f>
        <v>BRONCE</v>
      </c>
      <c r="E55" s="32">
        <f>VLOOKUP(B55,BASE!$A:$E,4,0)</f>
        <v>581</v>
      </c>
      <c r="F55" s="32">
        <v>1100</v>
      </c>
      <c r="G55" s="23">
        <f t="shared" si="0"/>
        <v>0.18333333333333332</v>
      </c>
      <c r="H55" s="29"/>
      <c r="I55" s="33" t="s">
        <v>967</v>
      </c>
    </row>
    <row r="56" spans="1:9" ht="20.25" customHeight="1" x14ac:dyDescent="0.25">
      <c r="A56" s="29">
        <v>6004</v>
      </c>
      <c r="B56" s="45" t="s">
        <v>515</v>
      </c>
      <c r="C56" s="31" t="str">
        <f>VLOOKUP(B56,BASE!$A:$B,2,0)</f>
        <v>5020 TRASLAPE 192 BRONCE</v>
      </c>
      <c r="D56" s="35" t="str">
        <f>VLOOKUP(B56,BASE!$A:$D,3,0)</f>
        <v>BRONCE</v>
      </c>
      <c r="E56" s="32">
        <f>VLOOKUP(B56,BASE!$A:$E,4,0)</f>
        <v>192</v>
      </c>
      <c r="F56" s="32">
        <v>6000</v>
      </c>
      <c r="G56" s="23">
        <f t="shared" si="0"/>
        <v>1</v>
      </c>
      <c r="H56" s="29"/>
      <c r="I56" s="33" t="s">
        <v>957</v>
      </c>
    </row>
    <row r="57" spans="1:9" ht="20.25" customHeight="1" x14ac:dyDescent="0.25">
      <c r="A57" s="29">
        <v>6115</v>
      </c>
      <c r="B57" s="45" t="s">
        <v>475</v>
      </c>
      <c r="C57" s="31" t="str">
        <f>VLOOKUP(B57,BASE!$A:$B,2,0)</f>
        <v>8025 SILLAR 150 GRIS PLATA</v>
      </c>
      <c r="D57" s="35" t="str">
        <f>VLOOKUP(B57,BASE!$A:$D,3,0)</f>
        <v>GRIS PLATA</v>
      </c>
      <c r="E57" s="32">
        <f>VLOOKUP(B57,BASE!$A:$E,4,0)</f>
        <v>150</v>
      </c>
      <c r="F57" s="32">
        <v>1200</v>
      </c>
      <c r="G57" s="23">
        <f t="shared" ref="G57:G111" si="1">+F57/6000</f>
        <v>0.2</v>
      </c>
      <c r="H57" s="29"/>
      <c r="I57" s="33" t="s">
        <v>967</v>
      </c>
    </row>
    <row r="58" spans="1:9" ht="20.25" customHeight="1" x14ac:dyDescent="0.25">
      <c r="A58" s="29">
        <v>6116</v>
      </c>
      <c r="B58" s="45" t="s">
        <v>18</v>
      </c>
      <c r="C58" s="31" t="str">
        <f>VLOOKUP(B58,BASE!$A:$B,2,0)</f>
        <v>8025 CABEZAL 151 GRIS PLATA</v>
      </c>
      <c r="D58" s="35" t="str">
        <f>VLOOKUP(B58,BASE!$A:$D,3,0)</f>
        <v>GRIS PLATA</v>
      </c>
      <c r="E58" s="32">
        <f>VLOOKUP(B58,BASE!$A:$E,4,0)</f>
        <v>151</v>
      </c>
      <c r="F58" s="32">
        <v>1200</v>
      </c>
      <c r="G58" s="23">
        <f t="shared" si="1"/>
        <v>0.2</v>
      </c>
      <c r="H58" s="29"/>
      <c r="I58" s="33" t="s">
        <v>967</v>
      </c>
    </row>
    <row r="59" spans="1:9" ht="20.25" customHeight="1" x14ac:dyDescent="0.25">
      <c r="A59" s="29">
        <v>6117</v>
      </c>
      <c r="B59" s="45" t="s">
        <v>18</v>
      </c>
      <c r="C59" s="31" t="str">
        <f>VLOOKUP(B59,BASE!$A:$B,2,0)</f>
        <v>8025 CABEZAL 151 GRIS PLATA</v>
      </c>
      <c r="D59" s="35" t="str">
        <f>VLOOKUP(B59,BASE!$A:$D,3,0)</f>
        <v>GRIS PLATA</v>
      </c>
      <c r="E59" s="32">
        <f>VLOOKUP(B59,BASE!$A:$E,4,0)</f>
        <v>151</v>
      </c>
      <c r="F59" s="32">
        <v>1200</v>
      </c>
      <c r="G59" s="23">
        <f t="shared" si="1"/>
        <v>0.2</v>
      </c>
      <c r="H59" s="29"/>
      <c r="I59" s="33" t="s">
        <v>967</v>
      </c>
    </row>
    <row r="60" spans="1:9" ht="20.25" customHeight="1" x14ac:dyDescent="0.25">
      <c r="A60" s="29">
        <v>6118</v>
      </c>
      <c r="B60" s="45" t="s">
        <v>730</v>
      </c>
      <c r="C60" s="31" t="str">
        <f>VLOOKUP(B60,BASE!$A:$B,2,0)</f>
        <v>8025 ENGANCHE 191 GRIS PLATA</v>
      </c>
      <c r="D60" s="35" t="str">
        <f>VLOOKUP(B60,BASE!$A:$D,3,0)</f>
        <v>GRIS PLATA</v>
      </c>
      <c r="E60" s="32">
        <f>VLOOKUP(B60,BASE!$A:$E,4,0)</f>
        <v>191</v>
      </c>
      <c r="F60" s="32">
        <v>1300</v>
      </c>
      <c r="G60" s="23">
        <f t="shared" si="1"/>
        <v>0.21666666666666667</v>
      </c>
      <c r="H60" s="29"/>
      <c r="I60" s="33" t="s">
        <v>967</v>
      </c>
    </row>
    <row r="61" spans="1:9" ht="20.25" customHeight="1" x14ac:dyDescent="0.25">
      <c r="A61" s="29">
        <v>6119</v>
      </c>
      <c r="B61" s="45" t="s">
        <v>730</v>
      </c>
      <c r="C61" s="31" t="str">
        <f>VLOOKUP(B61,BASE!$A:$B,2,0)</f>
        <v>8025 ENGANCHE 191 GRIS PLATA</v>
      </c>
      <c r="D61" s="35" t="str">
        <f>VLOOKUP(B61,BASE!$A:$D,3,0)</f>
        <v>GRIS PLATA</v>
      </c>
      <c r="E61" s="32">
        <f>VLOOKUP(B61,BASE!$A:$E,4,0)</f>
        <v>191</v>
      </c>
      <c r="F61" s="32">
        <v>1300</v>
      </c>
      <c r="G61" s="23">
        <f t="shared" si="1"/>
        <v>0.21666666666666667</v>
      </c>
      <c r="H61" s="29"/>
      <c r="I61" s="33" t="s">
        <v>967</v>
      </c>
    </row>
    <row r="62" spans="1:9" ht="20.25" customHeight="1" x14ac:dyDescent="0.25">
      <c r="A62" s="29">
        <v>6120</v>
      </c>
      <c r="B62" s="45" t="s">
        <v>730</v>
      </c>
      <c r="C62" s="31" t="str">
        <f>VLOOKUP(B62,BASE!$A:$B,2,0)</f>
        <v>8025 ENGANCHE 191 GRIS PLATA</v>
      </c>
      <c r="D62" s="35" t="str">
        <f>VLOOKUP(B62,BASE!$A:$D,3,0)</f>
        <v>GRIS PLATA</v>
      </c>
      <c r="E62" s="32">
        <f>VLOOKUP(B62,BASE!$A:$E,4,0)</f>
        <v>191</v>
      </c>
      <c r="F62" s="32">
        <v>1300</v>
      </c>
      <c r="G62" s="23">
        <f t="shared" si="1"/>
        <v>0.21666666666666667</v>
      </c>
      <c r="H62" s="29"/>
      <c r="I62" s="33" t="s">
        <v>967</v>
      </c>
    </row>
    <row r="63" spans="1:9" ht="20.25" customHeight="1" x14ac:dyDescent="0.25">
      <c r="A63" s="29">
        <v>6121</v>
      </c>
      <c r="B63" s="45" t="s">
        <v>730</v>
      </c>
      <c r="C63" s="31" t="str">
        <f>VLOOKUP(B63,BASE!$A:$B,2,0)</f>
        <v>8025 ENGANCHE 191 GRIS PLATA</v>
      </c>
      <c r="D63" s="35" t="str">
        <f>VLOOKUP(B63,BASE!$A:$D,3,0)</f>
        <v>GRIS PLATA</v>
      </c>
      <c r="E63" s="32">
        <f>VLOOKUP(B63,BASE!$A:$E,4,0)</f>
        <v>191</v>
      </c>
      <c r="F63" s="32">
        <v>1300</v>
      </c>
      <c r="G63" s="23">
        <f t="shared" si="1"/>
        <v>0.21666666666666667</v>
      </c>
      <c r="H63" s="29"/>
      <c r="I63" s="33" t="s">
        <v>967</v>
      </c>
    </row>
    <row r="64" spans="1:9" ht="20.25" customHeight="1" x14ac:dyDescent="0.25">
      <c r="A64" s="29">
        <v>6143</v>
      </c>
      <c r="B64" s="45" t="s">
        <v>3</v>
      </c>
      <c r="C64" s="31" t="str">
        <f>VLOOKUP(B64,BASE!$A:$B,2,0)</f>
        <v>744 ADAPTADOR 403 GRIS PLATA</v>
      </c>
      <c r="D64" s="35" t="str">
        <f>VLOOKUP(B64,BASE!$A:$D,3,0)</f>
        <v>GRIS PLATA</v>
      </c>
      <c r="E64" s="32">
        <f>VLOOKUP(B64,BASE!$A:$E,4,0)</f>
        <v>403</v>
      </c>
      <c r="F64" s="32">
        <v>3900</v>
      </c>
      <c r="G64" s="23">
        <f t="shared" si="1"/>
        <v>0.65</v>
      </c>
      <c r="H64" s="29"/>
      <c r="I64" s="33" t="s">
        <v>963</v>
      </c>
    </row>
    <row r="65" spans="1:9" ht="20.25" customHeight="1" x14ac:dyDescent="0.25">
      <c r="A65" s="29">
        <v>6349</v>
      </c>
      <c r="B65" s="34" t="s">
        <v>35</v>
      </c>
      <c r="C65" s="31" t="str">
        <f>VLOOKUP(B65,BASE!$A:$B,2,0)</f>
        <v>ALFAJIA S-332 BRONCE</v>
      </c>
      <c r="D65" s="35" t="str">
        <f>VLOOKUP(B65,BASE!$A:$D,3,0)</f>
        <v>BRONCE</v>
      </c>
      <c r="E65" s="32" t="str">
        <f>VLOOKUP(B65,BASE!$A:$E,4,0)</f>
        <v>S-332</v>
      </c>
      <c r="F65" s="32">
        <v>1200</v>
      </c>
      <c r="G65" s="23">
        <f t="shared" si="1"/>
        <v>0.2</v>
      </c>
      <c r="H65" s="29"/>
      <c r="I65" s="33" t="s">
        <v>966</v>
      </c>
    </row>
    <row r="66" spans="1:9" ht="20.25" customHeight="1" x14ac:dyDescent="0.25">
      <c r="A66" s="29">
        <v>6382</v>
      </c>
      <c r="B66" s="34" t="s">
        <v>589</v>
      </c>
      <c r="C66" s="31" t="str">
        <f>VLOOKUP(B66,BASE!$A:$B,2,0)</f>
        <v>U68 BRONCE</v>
      </c>
      <c r="D66" s="35" t="str">
        <f>VLOOKUP(B66,BASE!$A:$D,3,0)</f>
        <v>BRONCE</v>
      </c>
      <c r="E66" s="32" t="str">
        <f>VLOOKUP(B66,BASE!$A:$E,4,0)</f>
        <v>U-68</v>
      </c>
      <c r="F66" s="32">
        <v>6000</v>
      </c>
      <c r="G66" s="23">
        <f t="shared" si="1"/>
        <v>1</v>
      </c>
      <c r="H66" s="29"/>
      <c r="I66" s="33" t="s">
        <v>958</v>
      </c>
    </row>
    <row r="67" spans="1:9" ht="20.25" customHeight="1" x14ac:dyDescent="0.25">
      <c r="A67" s="29">
        <v>6420</v>
      </c>
      <c r="B67" s="34" t="s">
        <v>706</v>
      </c>
      <c r="C67" s="31" t="str">
        <f>VLOOKUP(B67,BASE!$A:$B,2,0)</f>
        <v>TUBULAR 1102 NEGRO</v>
      </c>
      <c r="D67" s="35" t="str">
        <f>VLOOKUP(B67,BASE!$A:$D,3,0)</f>
        <v>NEGRO</v>
      </c>
      <c r="E67" s="32">
        <f>VLOOKUP(B67,BASE!$A:$E,4,0)</f>
        <v>1102</v>
      </c>
      <c r="F67" s="32">
        <v>1100</v>
      </c>
      <c r="G67" s="23">
        <f t="shared" si="1"/>
        <v>0.18333333333333332</v>
      </c>
      <c r="H67" s="29"/>
      <c r="I67" s="33" t="s">
        <v>967</v>
      </c>
    </row>
    <row r="68" spans="1:9" ht="20.25" customHeight="1" x14ac:dyDescent="0.25">
      <c r="A68" s="29">
        <v>6470</v>
      </c>
      <c r="B68" s="34" t="s">
        <v>309</v>
      </c>
      <c r="C68" s="31" t="str">
        <f>VLOOKUP(B68,BASE!$A:$B,2,0)</f>
        <v>ANGULO A-01 GRIS PLATA (1/2 X 1/2)</v>
      </c>
      <c r="D68" s="35" t="str">
        <f>VLOOKUP(B68,BASE!$A:$D,3,0)</f>
        <v>GRIS PLATA</v>
      </c>
      <c r="E68" s="32" t="str">
        <f>VLOOKUP(B68,BASE!$A:$E,4,0)</f>
        <v>A-01</v>
      </c>
      <c r="F68" s="32">
        <v>3000</v>
      </c>
      <c r="G68" s="23">
        <f t="shared" si="1"/>
        <v>0.5</v>
      </c>
      <c r="H68" s="29"/>
      <c r="I68" s="33" t="s">
        <v>984</v>
      </c>
    </row>
    <row r="69" spans="1:9" ht="20.25" customHeight="1" x14ac:dyDescent="0.25">
      <c r="A69" s="29">
        <v>6554</v>
      </c>
      <c r="B69" s="34" t="s">
        <v>148</v>
      </c>
      <c r="C69" s="31" t="str">
        <f>VLOOKUP(B69,BASE!$A:$B,2,0)</f>
        <v>U-089 MATE</v>
      </c>
      <c r="D69" s="35" t="str">
        <f>VLOOKUP(B69,BASE!$A:$D,3,0)</f>
        <v>MATE</v>
      </c>
      <c r="E69" s="32" t="str">
        <f>VLOOKUP(B69,BASE!$A:$E,4,0)</f>
        <v>U-89</v>
      </c>
      <c r="F69" s="32">
        <v>1200</v>
      </c>
      <c r="G69" s="23">
        <f t="shared" si="1"/>
        <v>0.2</v>
      </c>
      <c r="H69" s="29"/>
      <c r="I69" s="33" t="s">
        <v>967</v>
      </c>
    </row>
    <row r="70" spans="1:9" ht="20.25" customHeight="1" x14ac:dyDescent="0.25">
      <c r="A70" s="29">
        <v>6586</v>
      </c>
      <c r="B70" s="34" t="s">
        <v>186</v>
      </c>
      <c r="C70" s="31" t="str">
        <f>VLOOKUP(B70,BASE!$A:$B,2,0)</f>
        <v>5020 ENGANCHE 147 BLANCO</v>
      </c>
      <c r="D70" s="35" t="str">
        <f>VLOOKUP(B70,BASE!$A:$D,3,0)</f>
        <v>BLANCO</v>
      </c>
      <c r="E70" s="32">
        <f>VLOOKUP(B70,BASE!$A:$E,4,0)</f>
        <v>147</v>
      </c>
      <c r="F70" s="32">
        <v>800</v>
      </c>
      <c r="G70" s="23">
        <f t="shared" si="1"/>
        <v>0.13333333333333333</v>
      </c>
      <c r="H70" s="29"/>
      <c r="I70" s="33" t="s">
        <v>968</v>
      </c>
    </row>
    <row r="71" spans="1:9" ht="20.25" customHeight="1" x14ac:dyDescent="0.25">
      <c r="A71" s="29">
        <v>6587</v>
      </c>
      <c r="B71" s="34" t="s">
        <v>109</v>
      </c>
      <c r="C71" s="31" t="str">
        <f>VLOOKUP(B71,BASE!$A:$B,2,0)</f>
        <v>5020 ENGANCHE 147 BRONCE</v>
      </c>
      <c r="D71" s="35" t="str">
        <f>VLOOKUP(B71,BASE!$A:$D,3,0)</f>
        <v>BRONCE</v>
      </c>
      <c r="E71" s="32">
        <f>VLOOKUP(B71,BASE!$A:$E,4,0)</f>
        <v>147</v>
      </c>
      <c r="F71" s="32">
        <v>800</v>
      </c>
      <c r="G71" s="23">
        <f t="shared" si="1"/>
        <v>0.13333333333333333</v>
      </c>
      <c r="H71" s="29"/>
      <c r="I71" s="33" t="s">
        <v>968</v>
      </c>
    </row>
    <row r="72" spans="1:9" ht="20.25" customHeight="1" x14ac:dyDescent="0.25">
      <c r="A72" s="29">
        <v>6612</v>
      </c>
      <c r="B72" s="42" t="s">
        <v>492</v>
      </c>
      <c r="C72" s="31" t="str">
        <f>VLOOKUP(B72,BASE!$A:$B,2,0)</f>
        <v>8025 SILLAR 707 BRONCE</v>
      </c>
      <c r="D72" s="35" t="str">
        <f>VLOOKUP(B72,BASE!$A:$D,3,0)</f>
        <v>BRONCE</v>
      </c>
      <c r="E72" s="32">
        <f>VLOOKUP(B72,BASE!$A:$E,4,0)</f>
        <v>707</v>
      </c>
      <c r="F72" s="32">
        <v>4100</v>
      </c>
      <c r="G72" s="23">
        <f t="shared" si="1"/>
        <v>0.68333333333333335</v>
      </c>
      <c r="H72" s="29"/>
      <c r="I72" s="33" t="s">
        <v>965</v>
      </c>
    </row>
    <row r="73" spans="1:9" ht="20.25" customHeight="1" x14ac:dyDescent="0.25">
      <c r="A73" s="29">
        <v>6613</v>
      </c>
      <c r="B73" s="42" t="s">
        <v>332</v>
      </c>
      <c r="C73" s="31" t="str">
        <f>VLOOKUP(B73,BASE!$A:$B,2,0)</f>
        <v>8025 CABEZAL 706 BRONCE</v>
      </c>
      <c r="D73" s="35" t="str">
        <f>VLOOKUP(B73,BASE!$A:$D,3,0)</f>
        <v>BRONCE</v>
      </c>
      <c r="E73" s="32">
        <f>VLOOKUP(B73,BASE!$A:$E,4,0)</f>
        <v>706</v>
      </c>
      <c r="F73" s="32">
        <v>4100</v>
      </c>
      <c r="G73" s="23">
        <f t="shared" si="1"/>
        <v>0.68333333333333335</v>
      </c>
      <c r="H73" s="29"/>
      <c r="I73" s="33" t="s">
        <v>965</v>
      </c>
    </row>
    <row r="74" spans="1:9" ht="20.25" customHeight="1" x14ac:dyDescent="0.25">
      <c r="A74" s="29">
        <v>6626</v>
      </c>
      <c r="B74" s="42" t="s">
        <v>95</v>
      </c>
      <c r="C74" s="31" t="str">
        <f>VLOOKUP(B74,BASE!$A:$B,2,0)</f>
        <v xml:space="preserve">PERFIL MOSQUITERO M-364 </v>
      </c>
      <c r="D74" s="35" t="str">
        <f>VLOOKUP(B74,BASE!$A:$D,3,0)</f>
        <v xml:space="preserve">CRUDO </v>
      </c>
      <c r="E74" s="32" t="str">
        <f>VLOOKUP(B74,BASE!$A:$E,4,0)</f>
        <v>M-364</v>
      </c>
      <c r="F74" s="32">
        <v>2300</v>
      </c>
      <c r="G74" s="23">
        <f t="shared" si="1"/>
        <v>0.38333333333333336</v>
      </c>
      <c r="H74" s="29"/>
      <c r="I74" s="33" t="s">
        <v>961</v>
      </c>
    </row>
    <row r="75" spans="1:9" ht="20.25" customHeight="1" x14ac:dyDescent="0.25">
      <c r="A75" s="29">
        <v>6678</v>
      </c>
      <c r="B75" s="42" t="s">
        <v>436</v>
      </c>
      <c r="C75" s="31" t="str">
        <f>VLOOKUP(B75,BASE!$A:$B,2,0)</f>
        <v>8025 JAMBA 152 BRONCE</v>
      </c>
      <c r="D75" s="35" t="str">
        <f>VLOOKUP(B75,BASE!$A:$D,3,0)</f>
        <v>BRONCE</v>
      </c>
      <c r="E75" s="32">
        <f>VLOOKUP(B75,BASE!$A:$E,4,0)</f>
        <v>152</v>
      </c>
      <c r="F75" s="32">
        <v>1400</v>
      </c>
      <c r="G75" s="23">
        <f t="shared" si="1"/>
        <v>0.23333333333333334</v>
      </c>
      <c r="H75" s="29"/>
      <c r="I75" s="33" t="s">
        <v>967</v>
      </c>
    </row>
    <row r="76" spans="1:9" ht="20.25" customHeight="1" x14ac:dyDescent="0.25">
      <c r="A76" s="29">
        <v>6687</v>
      </c>
      <c r="B76" s="42" t="s">
        <v>489</v>
      </c>
      <c r="C76" s="31" t="str">
        <f>VLOOKUP(B76,BASE!$A:$B,2,0)</f>
        <v>5020 SILLAR 194 BRONCE</v>
      </c>
      <c r="D76" s="35" t="str">
        <f>VLOOKUP(B76,BASE!$A:$D,3,0)</f>
        <v>BRONCE</v>
      </c>
      <c r="E76" s="32">
        <f>VLOOKUP(B76,BASE!$A:$E,4,0)</f>
        <v>194</v>
      </c>
      <c r="F76" s="32">
        <v>600</v>
      </c>
      <c r="G76" s="23">
        <f t="shared" si="1"/>
        <v>0.1</v>
      </c>
      <c r="H76" s="29"/>
      <c r="I76" s="33" t="s">
        <v>969</v>
      </c>
    </row>
    <row r="77" spans="1:9" ht="20.25" customHeight="1" x14ac:dyDescent="0.25">
      <c r="A77" s="29">
        <v>6734</v>
      </c>
      <c r="B77" s="42" t="s">
        <v>8</v>
      </c>
      <c r="C77" s="31" t="str">
        <f>VLOOKUP(B77,BASE!$A:$B,2,0)</f>
        <v>3831 DIVISOR 292 BRONCE</v>
      </c>
      <c r="D77" s="35" t="str">
        <f>VLOOKUP(B77,BASE!$A:$D,3,0)</f>
        <v>BRONCE</v>
      </c>
      <c r="E77" s="32">
        <f>VLOOKUP(B77,BASE!$A:$E,4,0)</f>
        <v>292</v>
      </c>
      <c r="F77" s="32">
        <v>6000</v>
      </c>
      <c r="G77" s="23">
        <f t="shared" si="1"/>
        <v>1</v>
      </c>
      <c r="H77" s="29"/>
      <c r="I77" s="33" t="s">
        <v>956</v>
      </c>
    </row>
    <row r="78" spans="1:9" ht="20.25" customHeight="1" x14ac:dyDescent="0.25">
      <c r="A78" s="29">
        <v>6761</v>
      </c>
      <c r="B78" s="42" t="s">
        <v>714</v>
      </c>
      <c r="C78" s="31" t="str">
        <f>VLOOKUP(B78,BASE!$A:$B,2,0)</f>
        <v>TUBULAR 1101 BLANCO</v>
      </c>
      <c r="D78" s="35" t="str">
        <f>VLOOKUP(B78,BASE!$A:$D,3,0)</f>
        <v>BLANCO</v>
      </c>
      <c r="E78" s="32">
        <f>VLOOKUP(B78,BASE!$A:$E,4,0)</f>
        <v>1101</v>
      </c>
      <c r="F78" s="32">
        <v>3200</v>
      </c>
      <c r="G78" s="23">
        <f t="shared" si="1"/>
        <v>0.53333333333333333</v>
      </c>
      <c r="H78" s="29"/>
      <c r="I78" s="33" t="s">
        <v>963</v>
      </c>
    </row>
    <row r="79" spans="1:9" ht="20.25" customHeight="1" x14ac:dyDescent="0.25">
      <c r="A79" s="29">
        <v>6784</v>
      </c>
      <c r="B79" s="42" t="s">
        <v>372</v>
      </c>
      <c r="C79" s="31" t="str">
        <f>VLOOKUP(B79,BASE!$A:$B,2,0)</f>
        <v>8025 ENGANCHE 191 BRONCE</v>
      </c>
      <c r="D79" s="35" t="str">
        <f>VLOOKUP(B79,BASE!$A:$D,3,0)</f>
        <v>BRONCE</v>
      </c>
      <c r="E79" s="32">
        <f>VLOOKUP(B79,BASE!$A:$E,4,0)</f>
        <v>191</v>
      </c>
      <c r="F79" s="32">
        <v>1200</v>
      </c>
      <c r="G79" s="23">
        <f t="shared" si="1"/>
        <v>0.2</v>
      </c>
      <c r="H79" s="29"/>
      <c r="I79" s="33" t="s">
        <v>967</v>
      </c>
    </row>
    <row r="80" spans="1:9" ht="20.25" customHeight="1" x14ac:dyDescent="0.25">
      <c r="A80" s="29">
        <v>6785</v>
      </c>
      <c r="B80" s="42" t="s">
        <v>436</v>
      </c>
      <c r="C80" s="31" t="str">
        <f>VLOOKUP(B80,BASE!$A:$B,2,0)</f>
        <v>8025 JAMBA 152 BRONCE</v>
      </c>
      <c r="D80" s="35" t="str">
        <f>VLOOKUP(B80,BASE!$A:$D,3,0)</f>
        <v>BRONCE</v>
      </c>
      <c r="E80" s="32">
        <f>VLOOKUP(B80,BASE!$A:$E,4,0)</f>
        <v>152</v>
      </c>
      <c r="F80" s="32">
        <v>1200</v>
      </c>
      <c r="G80" s="23">
        <f t="shared" si="1"/>
        <v>0.2</v>
      </c>
      <c r="H80" s="29"/>
      <c r="I80" s="33" t="s">
        <v>967</v>
      </c>
    </row>
    <row r="81" spans="1:9" ht="20.25" customHeight="1" x14ac:dyDescent="0.25">
      <c r="A81" s="29">
        <v>6810</v>
      </c>
      <c r="B81" s="45" t="s">
        <v>42</v>
      </c>
      <c r="C81" s="31" t="str">
        <f>VLOOKUP(B81,BASE!$A:$B,2,0)</f>
        <v>3831 SILLAR CABEZAL 173 BRONCE</v>
      </c>
      <c r="D81" s="35" t="str">
        <f>VLOOKUP(B81,BASE!$A:$D,3,0)</f>
        <v>BRONCE</v>
      </c>
      <c r="E81" s="32">
        <f>VLOOKUP(B81,BASE!$A:$E,4,0)</f>
        <v>173</v>
      </c>
      <c r="F81" s="32">
        <v>600</v>
      </c>
      <c r="G81" s="23">
        <f t="shared" si="1"/>
        <v>0.1</v>
      </c>
      <c r="H81" s="29">
        <v>23717</v>
      </c>
      <c r="I81" s="33" t="s">
        <v>969</v>
      </c>
    </row>
    <row r="82" spans="1:9" ht="20.25" customHeight="1" x14ac:dyDescent="0.25">
      <c r="A82" s="29">
        <v>6882</v>
      </c>
      <c r="B82" s="45" t="s">
        <v>184</v>
      </c>
      <c r="C82" s="31" t="str">
        <f>VLOOKUP(B82,BASE!$A:$B,2,0)</f>
        <v>5020 SILLAR 194 BLANCO</v>
      </c>
      <c r="D82" s="35" t="str">
        <f>VLOOKUP(B82,BASE!$A:$D,3,0)</f>
        <v>BLANCO</v>
      </c>
      <c r="E82" s="32">
        <f>VLOOKUP(B82,BASE!$A:$E,4,0)</f>
        <v>194</v>
      </c>
      <c r="F82" s="32">
        <v>4500</v>
      </c>
      <c r="G82" s="23">
        <f t="shared" si="1"/>
        <v>0.75</v>
      </c>
      <c r="H82" s="29"/>
      <c r="I82" s="33" t="s">
        <v>962</v>
      </c>
    </row>
    <row r="83" spans="1:9" ht="20.25" customHeight="1" x14ac:dyDescent="0.25">
      <c r="A83" s="29">
        <v>6883</v>
      </c>
      <c r="B83" s="45" t="s">
        <v>183</v>
      </c>
      <c r="C83" s="31" t="str">
        <f>VLOOKUP(B83,BASE!$A:$B,2,0)</f>
        <v>5020 CABEZAL 144 BLANCO</v>
      </c>
      <c r="D83" s="35" t="str">
        <f>VLOOKUP(B83,BASE!$A:$D,3,0)</f>
        <v>BLANCO</v>
      </c>
      <c r="E83" s="32">
        <f>VLOOKUP(B83,BASE!$A:$E,4,0)</f>
        <v>144</v>
      </c>
      <c r="F83" s="32">
        <v>4500</v>
      </c>
      <c r="G83" s="23">
        <f t="shared" si="1"/>
        <v>0.75</v>
      </c>
      <c r="H83" s="29"/>
      <c r="I83" s="33" t="s">
        <v>962</v>
      </c>
    </row>
    <row r="84" spans="1:9" ht="20.25" customHeight="1" x14ac:dyDescent="0.25">
      <c r="A84" s="29">
        <v>6893</v>
      </c>
      <c r="B84" s="45" t="s">
        <v>492</v>
      </c>
      <c r="C84" s="31" t="str">
        <f>VLOOKUP(B84,BASE!$A:$B,2,0)</f>
        <v>8025 SILLAR 707 BRONCE</v>
      </c>
      <c r="D84" s="35" t="str">
        <f>VLOOKUP(B84,BASE!$A:$D,3,0)</f>
        <v>BRONCE</v>
      </c>
      <c r="E84" s="32">
        <f>VLOOKUP(B84,BASE!$A:$E,4,0)</f>
        <v>707</v>
      </c>
      <c r="F84" s="32">
        <v>3600</v>
      </c>
      <c r="G84" s="23">
        <f t="shared" si="1"/>
        <v>0.6</v>
      </c>
      <c r="H84" s="29"/>
      <c r="I84" s="33" t="s">
        <v>965</v>
      </c>
    </row>
    <row r="85" spans="1:9" ht="20.25" customHeight="1" x14ac:dyDescent="0.25">
      <c r="A85" s="29">
        <v>6894</v>
      </c>
      <c r="B85" s="45" t="s">
        <v>332</v>
      </c>
      <c r="C85" s="31" t="str">
        <f>VLOOKUP(B85,BASE!$A:$B,2,0)</f>
        <v>8025 CABEZAL 706 BRONCE</v>
      </c>
      <c r="D85" s="35" t="str">
        <f>VLOOKUP(B85,BASE!$A:$D,3,0)</f>
        <v>BRONCE</v>
      </c>
      <c r="E85" s="32">
        <f>VLOOKUP(B85,BASE!$A:$E,4,0)</f>
        <v>706</v>
      </c>
      <c r="F85" s="32">
        <v>3600</v>
      </c>
      <c r="G85" s="23">
        <f t="shared" si="1"/>
        <v>0.6</v>
      </c>
      <c r="H85" s="29"/>
      <c r="I85" s="33" t="s">
        <v>965</v>
      </c>
    </row>
    <row r="86" spans="1:9" ht="20.25" customHeight="1" x14ac:dyDescent="0.25">
      <c r="A86" s="29">
        <v>6895</v>
      </c>
      <c r="B86" s="45" t="s">
        <v>736</v>
      </c>
      <c r="C86" s="31" t="str">
        <f>VLOOKUP(B86,BASE!$A:$B,2,0)</f>
        <v>7038 SILLAR 701 BRONCE</v>
      </c>
      <c r="D86" s="35" t="str">
        <f>VLOOKUP(B86,BASE!$A:$D,3,0)</f>
        <v>BRONCE</v>
      </c>
      <c r="E86" s="32">
        <f>VLOOKUP(B86,BASE!$A:$E,4,0)</f>
        <v>701</v>
      </c>
      <c r="F86" s="32">
        <v>3500</v>
      </c>
      <c r="G86" s="23">
        <f t="shared" si="1"/>
        <v>0.58333333333333337</v>
      </c>
      <c r="H86" s="29"/>
      <c r="I86" s="33" t="s">
        <v>965</v>
      </c>
    </row>
    <row r="87" spans="1:9" ht="20.25" customHeight="1" x14ac:dyDescent="0.25">
      <c r="A87" s="29">
        <v>6903</v>
      </c>
      <c r="B87" s="45" t="s">
        <v>617</v>
      </c>
      <c r="C87" s="31" t="str">
        <f>VLOOKUP(B87,BASE!$A:$B,2,0)</f>
        <v>FALSA RETICULA 511 BRONCE</v>
      </c>
      <c r="D87" s="35" t="str">
        <f>VLOOKUP(B87,BASE!$A:$D,3,0)</f>
        <v>BRONCE</v>
      </c>
      <c r="E87" s="32">
        <f>VLOOKUP(B87,BASE!$A:$E,4,0)</f>
        <v>511</v>
      </c>
      <c r="F87" s="32">
        <v>3900</v>
      </c>
      <c r="G87" s="23">
        <f t="shared" si="1"/>
        <v>0.65</v>
      </c>
      <c r="H87" s="29"/>
      <c r="I87" s="33" t="s">
        <v>963</v>
      </c>
    </row>
    <row r="88" spans="1:9" ht="20.25" customHeight="1" x14ac:dyDescent="0.25">
      <c r="A88" s="29">
        <v>6910</v>
      </c>
      <c r="B88" s="45" t="s">
        <v>372</v>
      </c>
      <c r="C88" s="31" t="str">
        <f>VLOOKUP(B88,BASE!$A:$B,2,0)</f>
        <v>8025 ENGANCHE 191 BRONCE</v>
      </c>
      <c r="D88" s="35" t="str">
        <f>VLOOKUP(B88,BASE!$A:$D,3,0)</f>
        <v>BRONCE</v>
      </c>
      <c r="E88" s="32">
        <f>VLOOKUP(B88,BASE!$A:$E,4,0)</f>
        <v>191</v>
      </c>
      <c r="F88" s="32">
        <v>1600</v>
      </c>
      <c r="G88" s="23">
        <f t="shared" si="1"/>
        <v>0.26666666666666666</v>
      </c>
      <c r="H88" s="29"/>
      <c r="I88" s="33" t="s">
        <v>959</v>
      </c>
    </row>
    <row r="89" spans="1:9" ht="20.25" customHeight="1" x14ac:dyDescent="0.25">
      <c r="A89" s="29">
        <v>6918</v>
      </c>
      <c r="B89" s="45" t="s">
        <v>438</v>
      </c>
      <c r="C89" s="31" t="str">
        <f>VLOOKUP(B89,BASE!$A:$B,2,0)</f>
        <v>8025 JAMBA 708 BRONCE</v>
      </c>
      <c r="D89" s="35" t="str">
        <f>VLOOKUP(B89,BASE!$A:$D,3,0)</f>
        <v>BRONCE</v>
      </c>
      <c r="E89" s="32">
        <f>VLOOKUP(B89,BASE!$A:$E,4,0)</f>
        <v>708</v>
      </c>
      <c r="F89" s="32">
        <v>2100</v>
      </c>
      <c r="G89" s="23">
        <f t="shared" si="1"/>
        <v>0.35</v>
      </c>
      <c r="H89" s="29"/>
      <c r="I89" s="33" t="s">
        <v>960</v>
      </c>
    </row>
    <row r="90" spans="1:9" ht="20.25" customHeight="1" x14ac:dyDescent="0.25">
      <c r="A90" s="29">
        <v>6919</v>
      </c>
      <c r="B90" s="42" t="s">
        <v>436</v>
      </c>
      <c r="C90" s="31" t="str">
        <f>VLOOKUP(B90,BASE!$A:$B,2,0)</f>
        <v>8025 JAMBA 152 BRONCE</v>
      </c>
      <c r="D90" s="35" t="str">
        <f>VLOOKUP(B90,BASE!$A:$D,3,0)</f>
        <v>BRONCE</v>
      </c>
      <c r="E90" s="32">
        <f>VLOOKUP(B90,BASE!$A:$E,4,0)</f>
        <v>152</v>
      </c>
      <c r="F90" s="32">
        <v>1600</v>
      </c>
      <c r="G90" s="23">
        <f t="shared" si="1"/>
        <v>0.26666666666666666</v>
      </c>
      <c r="H90" s="29"/>
      <c r="I90" s="33" t="s">
        <v>959</v>
      </c>
    </row>
    <row r="91" spans="1:9" ht="20.25" customHeight="1" x14ac:dyDescent="0.25">
      <c r="A91" s="29">
        <v>6935</v>
      </c>
      <c r="B91" s="34" t="s">
        <v>529</v>
      </c>
      <c r="C91" s="31" t="str">
        <f>VLOOKUP(B91,BASE!$A:$B,2,0)</f>
        <v>5020 TRASLAPE 192 BLANCO</v>
      </c>
      <c r="D91" s="35" t="str">
        <f>VLOOKUP(B91,BASE!$A:$D,3,0)</f>
        <v>BLANCO</v>
      </c>
      <c r="E91" s="32">
        <f>VLOOKUP(B91,BASE!$A:$E,4,0)</f>
        <v>192</v>
      </c>
      <c r="F91" s="32">
        <v>1200</v>
      </c>
      <c r="G91" s="23">
        <f t="shared" si="1"/>
        <v>0.2</v>
      </c>
      <c r="H91" s="29"/>
      <c r="I91" s="33" t="s">
        <v>967</v>
      </c>
    </row>
    <row r="92" spans="1:9" ht="20.25" customHeight="1" x14ac:dyDescent="0.25">
      <c r="A92" s="29">
        <v>6963</v>
      </c>
      <c r="B92" s="45" t="s">
        <v>8</v>
      </c>
      <c r="C92" s="31" t="str">
        <f>VLOOKUP(B92,BASE!$A:$B,2,0)</f>
        <v>3831 DIVISOR 292 BRONCE</v>
      </c>
      <c r="D92" s="35" t="str">
        <f>VLOOKUP(B92,BASE!$A:$D,3,0)</f>
        <v>BRONCE</v>
      </c>
      <c r="E92" s="32">
        <f>VLOOKUP(B92,BASE!$A:$E,4,0)</f>
        <v>292</v>
      </c>
      <c r="F92" s="32">
        <v>900</v>
      </c>
      <c r="G92" s="23">
        <f t="shared" si="1"/>
        <v>0.15</v>
      </c>
      <c r="H92" s="29"/>
      <c r="I92" s="33" t="s">
        <v>968</v>
      </c>
    </row>
    <row r="93" spans="1:9" ht="20.25" customHeight="1" x14ac:dyDescent="0.25">
      <c r="A93" s="29">
        <v>6971</v>
      </c>
      <c r="B93" s="45" t="s">
        <v>285</v>
      </c>
      <c r="C93" s="31" t="str">
        <f>VLOOKUP(B93,BASE!$A:$B,2,0)</f>
        <v>3831 ADAPTADOR 175 BLANCO</v>
      </c>
      <c r="D93" s="35" t="str">
        <f>VLOOKUP(B93,BASE!$A:$D,3,0)</f>
        <v>BLANCO</v>
      </c>
      <c r="E93" s="32">
        <f>VLOOKUP(B93,BASE!$A:$E,4,0)</f>
        <v>175</v>
      </c>
      <c r="F93" s="32">
        <v>1000</v>
      </c>
      <c r="G93" s="23">
        <f t="shared" si="1"/>
        <v>0.16666666666666666</v>
      </c>
      <c r="H93" s="29"/>
      <c r="I93" s="33" t="s">
        <v>968</v>
      </c>
    </row>
    <row r="94" spans="1:9" ht="20.25" customHeight="1" x14ac:dyDescent="0.25">
      <c r="A94" s="29">
        <v>6981</v>
      </c>
      <c r="B94" s="45" t="s">
        <v>401</v>
      </c>
      <c r="C94" s="31" t="str">
        <f>VLOOKUP(B94,BASE!$A:$B,2,0)</f>
        <v>5020 HORIZONTAL 148 BLANCO</v>
      </c>
      <c r="D94" s="35" t="str">
        <f>VLOOKUP(B94,BASE!$A:$D,3,0)</f>
        <v>BLANCO</v>
      </c>
      <c r="E94" s="32">
        <f>VLOOKUP(B94,BASE!$A:$E,4,0)</f>
        <v>148</v>
      </c>
      <c r="F94" s="32">
        <v>500</v>
      </c>
      <c r="G94" s="23">
        <f t="shared" si="1"/>
        <v>8.3333333333333329E-2</v>
      </c>
      <c r="H94" s="29"/>
      <c r="I94" s="33" t="s">
        <v>969</v>
      </c>
    </row>
    <row r="95" spans="1:9" ht="20.25" customHeight="1" x14ac:dyDescent="0.25">
      <c r="A95" s="29">
        <v>6982</v>
      </c>
      <c r="B95" s="45" t="s">
        <v>166</v>
      </c>
      <c r="C95" s="31" t="str">
        <f>VLOOKUP(B95,BASE!$A:$B,2,0)</f>
        <v>5020 JAMBA 193 BLANCO</v>
      </c>
      <c r="D95" s="35" t="str">
        <f>VLOOKUP(B95,BASE!$A:$D,3,0)</f>
        <v>BLANCO</v>
      </c>
      <c r="E95" s="32">
        <f>VLOOKUP(B95,BASE!$A:$E,4,0)</f>
        <v>193</v>
      </c>
      <c r="F95" s="32">
        <v>600</v>
      </c>
      <c r="G95" s="23">
        <f t="shared" si="1"/>
        <v>0.1</v>
      </c>
      <c r="H95" s="29"/>
      <c r="I95" s="33" t="s">
        <v>969</v>
      </c>
    </row>
    <row r="96" spans="1:9" ht="20.25" customHeight="1" x14ac:dyDescent="0.25">
      <c r="A96" s="29">
        <v>6983</v>
      </c>
      <c r="B96" s="45" t="s">
        <v>891</v>
      </c>
      <c r="C96" s="31" t="str">
        <f>VLOOKUP(B96,BASE!$A:$B,2,0)</f>
        <v>7038 TRASLAPE 704 BRONCE</v>
      </c>
      <c r="D96" s="35" t="str">
        <f>VLOOKUP(B96,BASE!$A:$D,3,0)</f>
        <v>BRONCE</v>
      </c>
      <c r="E96" s="32">
        <f>VLOOKUP(B96,BASE!$A:$E,4,0)</f>
        <v>704</v>
      </c>
      <c r="F96" s="32">
        <v>2200</v>
      </c>
      <c r="G96" s="23">
        <f t="shared" si="1"/>
        <v>0.36666666666666664</v>
      </c>
      <c r="H96" s="29"/>
      <c r="I96" s="33" t="s">
        <v>960</v>
      </c>
    </row>
    <row r="97" spans="1:9" ht="20.25" customHeight="1" x14ac:dyDescent="0.25">
      <c r="A97" s="29">
        <v>6984</v>
      </c>
      <c r="B97" s="45" t="s">
        <v>828</v>
      </c>
      <c r="C97" s="31" t="str">
        <f>VLOOKUP(B97,BASE!$A:$B,2,0)</f>
        <v>7038 ENGANCHE 705 BRONCE</v>
      </c>
      <c r="D97" s="35" t="str">
        <f>VLOOKUP(B97,BASE!$A:$D,3,0)</f>
        <v>BRONCE</v>
      </c>
      <c r="E97" s="32">
        <f>VLOOKUP(B97,BASE!$A:$E,4,0)</f>
        <v>705</v>
      </c>
      <c r="F97" s="32">
        <v>2200</v>
      </c>
      <c r="G97" s="23">
        <f t="shared" si="1"/>
        <v>0.36666666666666664</v>
      </c>
      <c r="H97" s="29"/>
      <c r="I97" s="33" t="s">
        <v>960</v>
      </c>
    </row>
    <row r="98" spans="1:9" ht="20.25" customHeight="1" x14ac:dyDescent="0.25">
      <c r="A98" s="29">
        <v>7001</v>
      </c>
      <c r="B98" s="45" t="s">
        <v>986</v>
      </c>
      <c r="C98" s="31" t="str">
        <f>VLOOKUP(B98,BASE!$A:$B,2,0)</f>
        <v>TUBULAR T-50 BRONCE</v>
      </c>
      <c r="D98" s="35" t="str">
        <f>VLOOKUP(B98,BASE!$A:$D,3,0)</f>
        <v>BRONCE</v>
      </c>
      <c r="E98" s="32" t="str">
        <f>VLOOKUP(B98,BASE!$A:$E,4,0)</f>
        <v>T-50</v>
      </c>
      <c r="F98" s="32">
        <v>4800</v>
      </c>
      <c r="G98" s="23">
        <f t="shared" si="1"/>
        <v>0.8</v>
      </c>
      <c r="H98" s="29"/>
      <c r="I98" s="33" t="s">
        <v>963</v>
      </c>
    </row>
    <row r="99" spans="1:9" ht="20.25" customHeight="1" x14ac:dyDescent="0.25">
      <c r="A99" s="29">
        <v>7018</v>
      </c>
      <c r="B99" s="46" t="s">
        <v>438</v>
      </c>
      <c r="C99" s="31" t="str">
        <f>VLOOKUP(B99,BASE!$A:$B,2,0)</f>
        <v>8025 JAMBA 708 BRONCE</v>
      </c>
      <c r="D99" s="35" t="str">
        <f>VLOOKUP(B99,BASE!$A:$D,3,0)</f>
        <v>BRONCE</v>
      </c>
      <c r="E99" s="32">
        <f>VLOOKUP(B99,BASE!$A:$E,4,0)</f>
        <v>708</v>
      </c>
      <c r="F99" s="32">
        <v>1900</v>
      </c>
      <c r="G99" s="23">
        <f t="shared" si="1"/>
        <v>0.31666666666666665</v>
      </c>
      <c r="H99" s="29"/>
      <c r="I99" s="33" t="s">
        <v>960</v>
      </c>
    </row>
    <row r="100" spans="1:9" ht="20.25" customHeight="1" x14ac:dyDescent="0.25">
      <c r="A100" s="29">
        <v>7094</v>
      </c>
      <c r="B100" s="45" t="s">
        <v>747</v>
      </c>
      <c r="C100" s="31" t="str">
        <f>VLOOKUP(B100,BASE!$A:$B,2,0)</f>
        <v>FALSA RETICULA 511 BLANCA</v>
      </c>
      <c r="D100" s="35" t="str">
        <f>VLOOKUP(B100,BASE!$A:$D,3,0)</f>
        <v>BLANCO</v>
      </c>
      <c r="E100" s="32">
        <f>VLOOKUP(B100,BASE!$A:$E,4,0)</f>
        <v>511</v>
      </c>
      <c r="F100" s="32">
        <v>3700</v>
      </c>
      <c r="G100" s="23">
        <f t="shared" si="1"/>
        <v>0.6166666666666667</v>
      </c>
      <c r="H100" s="29"/>
      <c r="I100" s="33" t="s">
        <v>963</v>
      </c>
    </row>
    <row r="101" spans="1:9" ht="20.25" customHeight="1" x14ac:dyDescent="0.25">
      <c r="A101" s="29">
        <v>7107</v>
      </c>
      <c r="B101" s="45" t="s">
        <v>747</v>
      </c>
      <c r="C101" s="31" t="str">
        <f>VLOOKUP(B101,BASE!$A:$B,2,0)</f>
        <v>FALSA RETICULA 511 BLANCA</v>
      </c>
      <c r="D101" s="35" t="str">
        <f>VLOOKUP(B101,BASE!$A:$D,3,0)</f>
        <v>BLANCO</v>
      </c>
      <c r="E101" s="32">
        <f>VLOOKUP(B101,BASE!$A:$E,4,0)</f>
        <v>511</v>
      </c>
      <c r="F101" s="32">
        <v>2400</v>
      </c>
      <c r="G101" s="23">
        <f t="shared" si="1"/>
        <v>0.4</v>
      </c>
      <c r="H101" s="29"/>
      <c r="I101" s="33" t="s">
        <v>959</v>
      </c>
    </row>
    <row r="102" spans="1:9" ht="20.25" customHeight="1" x14ac:dyDescent="0.25">
      <c r="A102" s="29">
        <v>7177</v>
      </c>
      <c r="B102" s="45" t="s">
        <v>489</v>
      </c>
      <c r="C102" s="31" t="str">
        <f>VLOOKUP(B102,BASE!$A:$B,2,0)</f>
        <v>5020 SILLAR 194 BRONCE</v>
      </c>
      <c r="D102" s="35" t="str">
        <f>VLOOKUP(B102,BASE!$A:$D,3,0)</f>
        <v>BRONCE</v>
      </c>
      <c r="E102" s="32">
        <f>VLOOKUP(B102,BASE!$A:$E,4,0)</f>
        <v>194</v>
      </c>
      <c r="F102" s="32">
        <v>6000</v>
      </c>
      <c r="G102" s="23">
        <f t="shared" si="1"/>
        <v>1</v>
      </c>
      <c r="H102" s="29"/>
      <c r="I102" s="33" t="s">
        <v>957</v>
      </c>
    </row>
    <row r="103" spans="1:9" ht="20.25" customHeight="1" x14ac:dyDescent="0.25">
      <c r="A103" s="29">
        <v>7213</v>
      </c>
      <c r="B103" s="46" t="s">
        <v>512</v>
      </c>
      <c r="C103" s="31" t="str">
        <f>VLOOKUP(B103,BASE!$A:$B,2,0)</f>
        <v>5020 TRASLAPE REFORZADO 462 BRONCE</v>
      </c>
      <c r="D103" s="35" t="str">
        <f>VLOOKUP(B103,BASE!$A:$D,3,0)</f>
        <v>BRONCE</v>
      </c>
      <c r="E103" s="32">
        <f>VLOOKUP(B103,BASE!$A:$E,4,0)</f>
        <v>462</v>
      </c>
      <c r="F103" s="32">
        <v>1600</v>
      </c>
      <c r="G103" s="23">
        <f t="shared" si="1"/>
        <v>0.26666666666666666</v>
      </c>
      <c r="H103" s="29"/>
      <c r="I103" s="33" t="s">
        <v>955</v>
      </c>
    </row>
    <row r="104" spans="1:9" ht="20.25" customHeight="1" x14ac:dyDescent="0.25">
      <c r="A104" s="29">
        <v>7229</v>
      </c>
      <c r="B104" s="46" t="s">
        <v>608</v>
      </c>
      <c r="C104" s="31" t="str">
        <f>VLOOKUP(B104,BASE!$A:$B,2,0)</f>
        <v>ALFAJIA 1123 NEGRO</v>
      </c>
      <c r="D104" s="35" t="str">
        <f>VLOOKUP(B104,BASE!$A:$D,3,0)</f>
        <v>NEGRO</v>
      </c>
      <c r="E104" s="32">
        <f>VLOOKUP(B104,BASE!$A:$E,4,0)</f>
        <v>1123</v>
      </c>
      <c r="F104" s="32">
        <v>1300</v>
      </c>
      <c r="G104" s="23">
        <f t="shared" si="1"/>
        <v>0.21666666666666667</v>
      </c>
      <c r="H104" s="29"/>
      <c r="I104" s="33" t="s">
        <v>966</v>
      </c>
    </row>
    <row r="105" spans="1:9" ht="20.25" customHeight="1" x14ac:dyDescent="0.25">
      <c r="A105" s="29">
        <v>7230</v>
      </c>
      <c r="B105" s="46" t="s">
        <v>608</v>
      </c>
      <c r="C105" s="31" t="str">
        <f>VLOOKUP(B105,BASE!$A:$B,2,0)</f>
        <v>ALFAJIA 1123 NEGRO</v>
      </c>
      <c r="D105" s="35" t="str">
        <f>VLOOKUP(B105,BASE!$A:$D,3,0)</f>
        <v>NEGRO</v>
      </c>
      <c r="E105" s="32">
        <f>VLOOKUP(B105,BASE!$A:$E,4,0)</f>
        <v>1123</v>
      </c>
      <c r="F105" s="32">
        <v>1300</v>
      </c>
      <c r="G105" s="23">
        <f t="shared" si="1"/>
        <v>0.21666666666666667</v>
      </c>
      <c r="H105" s="29"/>
      <c r="I105" s="33" t="s">
        <v>966</v>
      </c>
    </row>
    <row r="106" spans="1:9" ht="20.25" customHeight="1" x14ac:dyDescent="0.25">
      <c r="A106" s="29">
        <v>7231</v>
      </c>
      <c r="B106" s="46" t="s">
        <v>608</v>
      </c>
      <c r="C106" s="31" t="str">
        <f>VLOOKUP(B106,BASE!$A:$B,2,0)</f>
        <v>ALFAJIA 1123 NEGRO</v>
      </c>
      <c r="D106" s="35" t="str">
        <f>VLOOKUP(B106,BASE!$A:$D,3,0)</f>
        <v>NEGRO</v>
      </c>
      <c r="E106" s="32">
        <f>VLOOKUP(B106,BASE!$A:$E,4,0)</f>
        <v>1123</v>
      </c>
      <c r="F106" s="32">
        <v>1300</v>
      </c>
      <c r="G106" s="23">
        <f t="shared" si="1"/>
        <v>0.21666666666666667</v>
      </c>
      <c r="H106" s="29"/>
      <c r="I106" s="33" t="s">
        <v>966</v>
      </c>
    </row>
    <row r="107" spans="1:9" ht="20.25" customHeight="1" x14ac:dyDescent="0.25">
      <c r="A107" s="29">
        <v>7232</v>
      </c>
      <c r="B107" s="46" t="s">
        <v>608</v>
      </c>
      <c r="C107" s="31" t="str">
        <f>VLOOKUP(B107,BASE!$A:$B,2,0)</f>
        <v>ALFAJIA 1123 NEGRO</v>
      </c>
      <c r="D107" s="35" t="str">
        <f>VLOOKUP(B107,BASE!$A:$D,3,0)</f>
        <v>NEGRO</v>
      </c>
      <c r="E107" s="32">
        <f>VLOOKUP(B107,BASE!$A:$E,4,0)</f>
        <v>1123</v>
      </c>
      <c r="F107" s="32">
        <v>1100</v>
      </c>
      <c r="G107" s="23">
        <f t="shared" si="1"/>
        <v>0.18333333333333332</v>
      </c>
      <c r="H107" s="29"/>
      <c r="I107" s="33" t="s">
        <v>966</v>
      </c>
    </row>
    <row r="108" spans="1:9" ht="20.25" customHeight="1" x14ac:dyDescent="0.25">
      <c r="A108" s="29">
        <v>7256</v>
      </c>
      <c r="B108" s="45" t="s">
        <v>42</v>
      </c>
      <c r="C108" s="31" t="str">
        <f>VLOOKUP(B108,BASE!$A:$B,2,0)</f>
        <v>3831 SILLAR CABEZAL 173 BRONCE</v>
      </c>
      <c r="D108" s="35" t="str">
        <f>VLOOKUP(B108,BASE!$A:$D,3,0)</f>
        <v>BRONCE</v>
      </c>
      <c r="E108" s="32">
        <f>VLOOKUP(B108,BASE!$A:$E,4,0)</f>
        <v>173</v>
      </c>
      <c r="F108" s="32">
        <v>900</v>
      </c>
      <c r="G108" s="23">
        <f t="shared" si="1"/>
        <v>0.15</v>
      </c>
      <c r="H108" s="29">
        <v>23717</v>
      </c>
      <c r="I108" s="33" t="s">
        <v>968</v>
      </c>
    </row>
    <row r="109" spans="1:9" ht="20.25" customHeight="1" x14ac:dyDescent="0.25">
      <c r="A109" s="29">
        <v>7301</v>
      </c>
      <c r="B109" s="46" t="s">
        <v>441</v>
      </c>
      <c r="C109" s="31" t="str">
        <f>VLOOKUP(B109,BASE!$A:$B,2,0)</f>
        <v>7038 JAMBA 702 NEGRO</v>
      </c>
      <c r="D109" s="35" t="str">
        <f>VLOOKUP(B109,BASE!$A:$D,3,0)</f>
        <v>NEGRO</v>
      </c>
      <c r="E109" s="32">
        <f>VLOOKUP(B109,BASE!$A:$E,4,0)</f>
        <v>702</v>
      </c>
      <c r="F109" s="32">
        <v>2000</v>
      </c>
      <c r="G109" s="23">
        <f t="shared" si="1"/>
        <v>0.33333333333333331</v>
      </c>
      <c r="H109" s="29"/>
      <c r="I109" s="33" t="s">
        <v>959</v>
      </c>
    </row>
    <row r="110" spans="1:9" ht="20.25" customHeight="1" x14ac:dyDescent="0.25">
      <c r="A110" s="29">
        <v>7303</v>
      </c>
      <c r="B110" s="45" t="s">
        <v>372</v>
      </c>
      <c r="C110" s="31" t="str">
        <f>VLOOKUP(B110,BASE!$A:$B,2,0)</f>
        <v>8025 ENGANCHE 191 BRONCE</v>
      </c>
      <c r="D110" s="35" t="str">
        <f>VLOOKUP(B110,BASE!$A:$D,3,0)</f>
        <v>BRONCE</v>
      </c>
      <c r="E110" s="32">
        <f>VLOOKUP(B110,BASE!$A:$E,4,0)</f>
        <v>191</v>
      </c>
      <c r="F110" s="32">
        <v>1800</v>
      </c>
      <c r="G110" s="23">
        <f t="shared" si="1"/>
        <v>0.3</v>
      </c>
      <c r="H110" s="29"/>
      <c r="I110" s="33" t="s">
        <v>959</v>
      </c>
    </row>
    <row r="111" spans="1:9" ht="20.25" customHeight="1" x14ac:dyDescent="0.25">
      <c r="A111" s="29">
        <v>7305</v>
      </c>
      <c r="B111" s="42" t="s">
        <v>436</v>
      </c>
      <c r="C111" s="31" t="str">
        <f>VLOOKUP(B111,BASE!$A:$B,2,0)</f>
        <v>8025 JAMBA 152 BRONCE</v>
      </c>
      <c r="D111" s="35" t="str">
        <f>VLOOKUP(B111,BASE!$A:$D,3,0)</f>
        <v>BRONCE</v>
      </c>
      <c r="E111" s="32">
        <f>VLOOKUP(B111,BASE!$A:$E,4,0)</f>
        <v>152</v>
      </c>
      <c r="F111" s="32">
        <v>1700</v>
      </c>
      <c r="G111" s="23">
        <f t="shared" si="1"/>
        <v>0.28333333333333333</v>
      </c>
      <c r="H111" s="29"/>
      <c r="I111" s="33" t="s">
        <v>960</v>
      </c>
    </row>
    <row r="112" spans="1:9" ht="20.25" customHeight="1" x14ac:dyDescent="0.25">
      <c r="A112" s="29">
        <v>7306</v>
      </c>
      <c r="B112" s="46" t="s">
        <v>446</v>
      </c>
      <c r="C112" s="31" t="str">
        <f>VLOOKUP(B112,BASE!$A:$B,2,0)</f>
        <v>8025 JAMBA 708 NEGRO</v>
      </c>
      <c r="D112" s="35" t="str">
        <f>VLOOKUP(B112,BASE!$A:$D,3,0)</f>
        <v>NEGRO</v>
      </c>
      <c r="E112" s="32">
        <f>VLOOKUP(B112,BASE!$A:$E,4,0)</f>
        <v>708</v>
      </c>
      <c r="F112" s="32">
        <v>1800</v>
      </c>
      <c r="G112" s="23">
        <f t="shared" ref="G112:G172" si="2">+F112/6000</f>
        <v>0.3</v>
      </c>
      <c r="H112" s="29"/>
      <c r="I112" s="33" t="s">
        <v>960</v>
      </c>
    </row>
    <row r="113" spans="1:9" ht="20.25" customHeight="1" x14ac:dyDescent="0.25">
      <c r="A113" s="29">
        <v>7355</v>
      </c>
      <c r="B113" s="46" t="s">
        <v>150</v>
      </c>
      <c r="C113" s="31" t="str">
        <f>VLOOKUP(B113,BASE!$A:$B,2,0)</f>
        <v>ALFAJIA S-332 NEGRA</v>
      </c>
      <c r="D113" s="35" t="str">
        <f>VLOOKUP(B113,BASE!$A:$D,3,0)</f>
        <v>NEGRO</v>
      </c>
      <c r="E113" s="32" t="str">
        <f>VLOOKUP(B113,BASE!$A:$E,4,0)</f>
        <v>S-332</v>
      </c>
      <c r="F113" s="32">
        <v>6000</v>
      </c>
      <c r="G113" s="23">
        <f t="shared" si="2"/>
        <v>1</v>
      </c>
      <c r="H113" s="29"/>
      <c r="I113" s="33" t="s">
        <v>957</v>
      </c>
    </row>
    <row r="114" spans="1:9" ht="20.25" customHeight="1" x14ac:dyDescent="0.25">
      <c r="A114" s="29">
        <v>7367</v>
      </c>
      <c r="B114" s="46" t="s">
        <v>74</v>
      </c>
      <c r="C114" s="31" t="str">
        <f>VLOOKUP(B114,BASE!$A:$B,2,0)</f>
        <v>ALFAJIA 449 NEGRA</v>
      </c>
      <c r="D114" s="35" t="str">
        <f>VLOOKUP(B114,BASE!$A:$D,3,0)</f>
        <v>NEGRO</v>
      </c>
      <c r="E114" s="32">
        <f>VLOOKUP(B114,BASE!$A:$E,4,0)</f>
        <v>449</v>
      </c>
      <c r="F114" s="32">
        <v>4700</v>
      </c>
      <c r="G114" s="23">
        <f t="shared" si="2"/>
        <v>0.78333333333333333</v>
      </c>
      <c r="H114" s="29"/>
      <c r="I114" s="33" t="s">
        <v>958</v>
      </c>
    </row>
    <row r="115" spans="1:9" ht="20.25" customHeight="1" x14ac:dyDescent="0.25">
      <c r="A115" s="29">
        <v>7442</v>
      </c>
      <c r="B115" s="30" t="s">
        <v>576</v>
      </c>
      <c r="C115" s="31" t="str">
        <f>VLOOKUP(B115,BASE!$A:$B,2,0)</f>
        <v>U57 MATE</v>
      </c>
      <c r="D115" s="35" t="str">
        <f>VLOOKUP(B115,BASE!$A:$D,3,0)</f>
        <v>MATE</v>
      </c>
      <c r="E115" s="32" t="str">
        <f>VLOOKUP(B115,BASE!$A:$E,4,0)</f>
        <v>U-57</v>
      </c>
      <c r="F115" s="32">
        <v>1800</v>
      </c>
      <c r="G115" s="23">
        <f t="shared" si="2"/>
        <v>0.3</v>
      </c>
      <c r="H115" s="29"/>
      <c r="I115" s="33" t="s">
        <v>961</v>
      </c>
    </row>
    <row r="116" spans="1:9" ht="20.25" customHeight="1" x14ac:dyDescent="0.25">
      <c r="A116" s="29">
        <v>7445</v>
      </c>
      <c r="B116" s="30" t="s">
        <v>117</v>
      </c>
      <c r="C116" s="31" t="str">
        <f>VLOOKUP(B116,BASE!$A:$B,2,0)</f>
        <v>744 TRASLAPE 388 BLANCO</v>
      </c>
      <c r="D116" s="35" t="str">
        <f>VLOOKUP(B116,BASE!$A:$D,3,0)</f>
        <v>BLANCO</v>
      </c>
      <c r="E116" s="32">
        <f>VLOOKUP(B116,BASE!$A:$E,4,0)</f>
        <v>388</v>
      </c>
      <c r="F116" s="32">
        <v>1000</v>
      </c>
      <c r="G116" s="23">
        <f t="shared" si="2"/>
        <v>0.16666666666666666</v>
      </c>
      <c r="H116" s="29"/>
      <c r="I116" s="33" t="s">
        <v>968</v>
      </c>
    </row>
    <row r="117" spans="1:9" ht="20.25" customHeight="1" x14ac:dyDescent="0.25">
      <c r="A117" s="29">
        <v>7458</v>
      </c>
      <c r="B117" s="30" t="s">
        <v>576</v>
      </c>
      <c r="C117" s="31" t="str">
        <f>VLOOKUP(B117,BASE!$A:$B,2,0)</f>
        <v>U57 MATE</v>
      </c>
      <c r="D117" s="35" t="str">
        <f>VLOOKUP(B117,BASE!$A:$D,3,0)</f>
        <v>MATE</v>
      </c>
      <c r="E117" s="32" t="str">
        <f>VLOOKUP(B117,BASE!$A:$E,4,0)</f>
        <v>U-57</v>
      </c>
      <c r="F117" s="32">
        <v>2000</v>
      </c>
      <c r="G117" s="23">
        <f t="shared" si="2"/>
        <v>0.33333333333333331</v>
      </c>
      <c r="H117" s="29"/>
      <c r="I117" s="33" t="s">
        <v>961</v>
      </c>
    </row>
    <row r="118" spans="1:9" ht="20.25" customHeight="1" x14ac:dyDescent="0.25">
      <c r="A118" s="29">
        <v>7461</v>
      </c>
      <c r="B118" s="30" t="s">
        <v>74</v>
      </c>
      <c r="C118" s="31" t="str">
        <f>VLOOKUP(B118,BASE!$A:$B,2,0)</f>
        <v>ALFAJIA 449 NEGRA</v>
      </c>
      <c r="D118" s="35" t="str">
        <f>VLOOKUP(B118,BASE!$A:$D,3,0)</f>
        <v>NEGRO</v>
      </c>
      <c r="E118" s="32">
        <f>VLOOKUP(B118,BASE!$A:$E,4,0)</f>
        <v>449</v>
      </c>
      <c r="F118" s="32">
        <v>1180</v>
      </c>
      <c r="G118" s="23">
        <f t="shared" si="2"/>
        <v>0.19666666666666666</v>
      </c>
      <c r="H118" s="29"/>
      <c r="I118" s="33" t="s">
        <v>966</v>
      </c>
    </row>
    <row r="119" spans="1:9" ht="20.25" customHeight="1" x14ac:dyDescent="0.25">
      <c r="A119" s="29">
        <v>7462</v>
      </c>
      <c r="B119" s="30" t="s">
        <v>74</v>
      </c>
      <c r="C119" s="31" t="str">
        <f>VLOOKUP(B119,BASE!$A:$B,2,0)</f>
        <v>ALFAJIA 449 NEGRA</v>
      </c>
      <c r="D119" s="35" t="str">
        <f>VLOOKUP(B119,BASE!$A:$D,3,0)</f>
        <v>NEGRO</v>
      </c>
      <c r="E119" s="32">
        <f>VLOOKUP(B119,BASE!$A:$E,4,0)</f>
        <v>449</v>
      </c>
      <c r="F119" s="32">
        <v>1180</v>
      </c>
      <c r="G119" s="23">
        <f t="shared" si="2"/>
        <v>0.19666666666666666</v>
      </c>
      <c r="H119" s="29"/>
      <c r="I119" s="33" t="s">
        <v>966</v>
      </c>
    </row>
    <row r="120" spans="1:9" ht="20.25" customHeight="1" x14ac:dyDescent="0.25">
      <c r="A120" s="29">
        <v>7463</v>
      </c>
      <c r="B120" s="30" t="s">
        <v>74</v>
      </c>
      <c r="C120" s="31" t="str">
        <f>VLOOKUP(B120,BASE!$A:$B,2,0)</f>
        <v>ALFAJIA 449 NEGRA</v>
      </c>
      <c r="D120" s="35" t="str">
        <f>VLOOKUP(B120,BASE!$A:$D,3,0)</f>
        <v>NEGRO</v>
      </c>
      <c r="E120" s="32">
        <f>VLOOKUP(B120,BASE!$A:$E,4,0)</f>
        <v>449</v>
      </c>
      <c r="F120" s="32">
        <v>1180</v>
      </c>
      <c r="G120" s="23">
        <f t="shared" si="2"/>
        <v>0.19666666666666666</v>
      </c>
      <c r="H120" s="29"/>
      <c r="I120" s="33" t="s">
        <v>966</v>
      </c>
    </row>
    <row r="121" spans="1:9" ht="20.25" customHeight="1" x14ac:dyDescent="0.25">
      <c r="A121" s="29">
        <v>7465</v>
      </c>
      <c r="B121" s="30" t="s">
        <v>74</v>
      </c>
      <c r="C121" s="31" t="str">
        <f>VLOOKUP(B121,BASE!$A:$B,2,0)</f>
        <v>ALFAJIA 449 NEGRA</v>
      </c>
      <c r="D121" s="35" t="str">
        <f>VLOOKUP(B121,BASE!$A:$D,3,0)</f>
        <v>NEGRO</v>
      </c>
      <c r="E121" s="32">
        <f>VLOOKUP(B121,BASE!$A:$E,4,0)</f>
        <v>449</v>
      </c>
      <c r="F121" s="32">
        <v>1580</v>
      </c>
      <c r="G121" s="23">
        <f t="shared" si="2"/>
        <v>0.26333333333333331</v>
      </c>
      <c r="H121" s="29"/>
      <c r="I121" s="33" t="s">
        <v>964</v>
      </c>
    </row>
    <row r="122" spans="1:9" ht="20.25" customHeight="1" x14ac:dyDescent="0.25">
      <c r="A122" s="29">
        <v>7466</v>
      </c>
      <c r="B122" s="30" t="s">
        <v>74</v>
      </c>
      <c r="C122" s="31" t="str">
        <f>VLOOKUP(B122,BASE!$A:$B,2,0)</f>
        <v>ALFAJIA 449 NEGRA</v>
      </c>
      <c r="D122" s="35" t="str">
        <f>VLOOKUP(B122,BASE!$A:$D,3,0)</f>
        <v>NEGRO</v>
      </c>
      <c r="E122" s="32">
        <f>VLOOKUP(B122,BASE!$A:$E,4,0)</f>
        <v>449</v>
      </c>
      <c r="F122" s="32">
        <v>2480</v>
      </c>
      <c r="G122" s="23">
        <f t="shared" si="2"/>
        <v>0.41333333333333333</v>
      </c>
      <c r="H122" s="29"/>
      <c r="I122" s="33" t="s">
        <v>964</v>
      </c>
    </row>
    <row r="123" spans="1:9" ht="20.25" customHeight="1" x14ac:dyDescent="0.25">
      <c r="A123" s="29">
        <v>7467</v>
      </c>
      <c r="B123" s="30" t="s">
        <v>74</v>
      </c>
      <c r="C123" s="31" t="str">
        <f>VLOOKUP(B123,BASE!$A:$B,2,0)</f>
        <v>ALFAJIA 449 NEGRA</v>
      </c>
      <c r="D123" s="35" t="str">
        <f>VLOOKUP(B123,BASE!$A:$D,3,0)</f>
        <v>NEGRO</v>
      </c>
      <c r="E123" s="32">
        <f>VLOOKUP(B123,BASE!$A:$E,4,0)</f>
        <v>449</v>
      </c>
      <c r="F123" s="32">
        <v>1180</v>
      </c>
      <c r="G123" s="23">
        <f t="shared" si="2"/>
        <v>0.19666666666666666</v>
      </c>
      <c r="H123" s="29"/>
      <c r="I123" s="33" t="s">
        <v>966</v>
      </c>
    </row>
    <row r="124" spans="1:9" ht="20.25" customHeight="1" x14ac:dyDescent="0.25">
      <c r="A124" s="29">
        <v>7468</v>
      </c>
      <c r="B124" s="30" t="s">
        <v>74</v>
      </c>
      <c r="C124" s="31" t="str">
        <f>VLOOKUP(B124,BASE!$A:$B,2,0)</f>
        <v>ALFAJIA 449 NEGRA</v>
      </c>
      <c r="D124" s="35" t="str">
        <f>VLOOKUP(B124,BASE!$A:$D,3,0)</f>
        <v>NEGRO</v>
      </c>
      <c r="E124" s="32">
        <f>VLOOKUP(B124,BASE!$A:$E,4,0)</f>
        <v>449</v>
      </c>
      <c r="F124" s="32">
        <v>1180</v>
      </c>
      <c r="G124" s="23">
        <f t="shared" si="2"/>
        <v>0.19666666666666666</v>
      </c>
      <c r="H124" s="29"/>
      <c r="I124" s="33" t="s">
        <v>966</v>
      </c>
    </row>
    <row r="125" spans="1:9" ht="20.25" customHeight="1" x14ac:dyDescent="0.25">
      <c r="A125" s="29">
        <v>7523</v>
      </c>
      <c r="B125" s="30" t="s">
        <v>382</v>
      </c>
      <c r="C125" s="31" t="str">
        <f>VLOOKUP(B125,BASE!$A:$B,2,0)</f>
        <v>3831 ESQUINERO 416 BRONCE</v>
      </c>
      <c r="D125" s="35" t="str">
        <f>VLOOKUP(B125,BASE!$A:$D,3,0)</f>
        <v>BRONCE</v>
      </c>
      <c r="E125" s="32">
        <f>VLOOKUP(B125,BASE!$A:$E,4,0)</f>
        <v>416</v>
      </c>
      <c r="F125" s="32">
        <v>2700</v>
      </c>
      <c r="G125" s="23">
        <f t="shared" si="2"/>
        <v>0.45</v>
      </c>
      <c r="H125" s="29"/>
      <c r="I125" s="33" t="s">
        <v>959</v>
      </c>
    </row>
    <row r="126" spans="1:9" ht="20.25" customHeight="1" x14ac:dyDescent="0.25">
      <c r="A126" s="29">
        <v>7526</v>
      </c>
      <c r="B126" s="30" t="s">
        <v>252</v>
      </c>
      <c r="C126" s="31" t="str">
        <f>VLOOKUP(B126,BASE!$A:$B,2,0)</f>
        <v>TUBULAR T-244 BLANCO</v>
      </c>
      <c r="D126" s="35" t="str">
        <f>VLOOKUP(B126,BASE!$A:$D,3,0)</f>
        <v>BLANCO</v>
      </c>
      <c r="E126" s="32" t="str">
        <f>VLOOKUP(B126,BASE!$A:$E,4,0)</f>
        <v>T-244</v>
      </c>
      <c r="F126" s="32">
        <v>1500</v>
      </c>
      <c r="G126" s="23">
        <f t="shared" si="2"/>
        <v>0.25</v>
      </c>
      <c r="H126" s="29"/>
      <c r="I126" s="33" t="s">
        <v>961</v>
      </c>
    </row>
    <row r="127" spans="1:9" ht="20.25" customHeight="1" x14ac:dyDescent="0.25">
      <c r="A127" s="29">
        <v>7530</v>
      </c>
      <c r="B127" s="30" t="s">
        <v>475</v>
      </c>
      <c r="C127" s="31" t="str">
        <f>VLOOKUP(B127,BASE!$A:$B,2,0)</f>
        <v>8025 SILLAR 150 GRIS PLATA</v>
      </c>
      <c r="D127" s="35" t="str">
        <f>VLOOKUP(B127,BASE!$A:$D,3,0)</f>
        <v>GRIS PLATA</v>
      </c>
      <c r="E127" s="32">
        <f>VLOOKUP(B127,BASE!$A:$E,4,0)</f>
        <v>150</v>
      </c>
      <c r="F127" s="32">
        <v>1200</v>
      </c>
      <c r="G127" s="23">
        <f t="shared" si="2"/>
        <v>0.2</v>
      </c>
      <c r="H127" s="29"/>
      <c r="I127" s="33" t="s">
        <v>967</v>
      </c>
    </row>
    <row r="128" spans="1:9" ht="20.25" customHeight="1" x14ac:dyDescent="0.25">
      <c r="A128" s="29">
        <v>7531</v>
      </c>
      <c r="B128" s="30" t="s">
        <v>579</v>
      </c>
      <c r="C128" s="31" t="str">
        <f>VLOOKUP(B128,BASE!$A:$B,2,0)</f>
        <v>U57 BLANCO</v>
      </c>
      <c r="D128" s="35" t="str">
        <f>VLOOKUP(B128,BASE!$A:$D,3,0)</f>
        <v>BLANCO</v>
      </c>
      <c r="E128" s="32" t="str">
        <f>VLOOKUP(B128,BASE!$A:$E,4,0)</f>
        <v>U-57</v>
      </c>
      <c r="F128" s="32">
        <v>1300</v>
      </c>
      <c r="G128" s="23">
        <f t="shared" si="2"/>
        <v>0.21666666666666667</v>
      </c>
      <c r="H128" s="29"/>
      <c r="I128" s="33" t="s">
        <v>967</v>
      </c>
    </row>
    <row r="129" spans="1:9" ht="20.25" customHeight="1" x14ac:dyDescent="0.25">
      <c r="A129" s="29">
        <v>7600</v>
      </c>
      <c r="B129" s="30" t="s">
        <v>108</v>
      </c>
      <c r="C129" s="31" t="str">
        <f>VLOOKUP(B129,BASE!$A:$B,2,0)</f>
        <v>5020 CABEZAL 144 BRONCE</v>
      </c>
      <c r="D129" s="35" t="str">
        <f>VLOOKUP(B129,BASE!$A:$D,3,0)</f>
        <v>BRONCE</v>
      </c>
      <c r="E129" s="32">
        <f>VLOOKUP(B129,BASE!$A:$E,4,0)</f>
        <v>144</v>
      </c>
      <c r="F129" s="32">
        <v>6000</v>
      </c>
      <c r="G129" s="23">
        <f t="shared" si="2"/>
        <v>1</v>
      </c>
      <c r="H129" s="29"/>
      <c r="I129" s="33" t="s">
        <v>957</v>
      </c>
    </row>
    <row r="130" spans="1:9" ht="20.25" customHeight="1" x14ac:dyDescent="0.25">
      <c r="A130" s="29">
        <v>7622</v>
      </c>
      <c r="B130" s="30" t="s">
        <v>382</v>
      </c>
      <c r="C130" s="31" t="str">
        <f>VLOOKUP(B130,BASE!$A:$B,2,0)</f>
        <v>3831 ESQUINERO 416 BRONCE</v>
      </c>
      <c r="D130" s="35" t="str">
        <f>VLOOKUP(B130,BASE!$A:$D,3,0)</f>
        <v>BRONCE</v>
      </c>
      <c r="E130" s="32">
        <f>VLOOKUP(B130,BASE!$A:$E,4,0)</f>
        <v>416</v>
      </c>
      <c r="F130" s="32">
        <v>3100</v>
      </c>
      <c r="G130" s="23">
        <f t="shared" si="2"/>
        <v>0.51666666666666672</v>
      </c>
      <c r="H130" s="29"/>
      <c r="I130" s="33" t="s">
        <v>955</v>
      </c>
    </row>
    <row r="131" spans="1:9" ht="20.25" customHeight="1" x14ac:dyDescent="0.25">
      <c r="A131" s="29">
        <v>7640</v>
      </c>
      <c r="B131" s="43" t="s">
        <v>139</v>
      </c>
      <c r="C131" s="31" t="str">
        <f>VLOOKUP(B131,BASE!$A:$B,2,0)</f>
        <v>8025 SILLAR 707 NEGRO</v>
      </c>
      <c r="D131" s="35" t="str">
        <f>VLOOKUP(B131,BASE!$A:$D,3,0)</f>
        <v>NEGRO</v>
      </c>
      <c r="E131" s="32">
        <f>VLOOKUP(B131,BASE!$A:$E,4,0)</f>
        <v>707</v>
      </c>
      <c r="F131" s="32">
        <v>2500</v>
      </c>
      <c r="G131" s="23">
        <f t="shared" si="2"/>
        <v>0.41666666666666669</v>
      </c>
      <c r="H131" s="29"/>
      <c r="I131" s="33" t="s">
        <v>959</v>
      </c>
    </row>
    <row r="132" spans="1:9" ht="20.25" customHeight="1" x14ac:dyDescent="0.25">
      <c r="A132" s="29">
        <v>7641</v>
      </c>
      <c r="B132" s="43" t="s">
        <v>139</v>
      </c>
      <c r="C132" s="31" t="str">
        <f>VLOOKUP(B132,BASE!$A:$B,2,0)</f>
        <v>8025 SILLAR 707 NEGRO</v>
      </c>
      <c r="D132" s="35" t="str">
        <f>VLOOKUP(B132,BASE!$A:$D,3,0)</f>
        <v>NEGRO</v>
      </c>
      <c r="E132" s="32">
        <f>VLOOKUP(B132,BASE!$A:$E,4,0)</f>
        <v>707</v>
      </c>
      <c r="F132" s="32">
        <v>2500</v>
      </c>
      <c r="G132" s="23">
        <f t="shared" si="2"/>
        <v>0.41666666666666669</v>
      </c>
      <c r="H132" s="29"/>
      <c r="I132" s="33" t="s">
        <v>959</v>
      </c>
    </row>
    <row r="133" spans="1:9" ht="20.25" customHeight="1" x14ac:dyDescent="0.25">
      <c r="A133" s="29">
        <v>7642</v>
      </c>
      <c r="B133" s="43" t="s">
        <v>139</v>
      </c>
      <c r="C133" s="31" t="str">
        <f>VLOOKUP(B133,BASE!$A:$B,2,0)</f>
        <v>8025 SILLAR 707 NEGRO</v>
      </c>
      <c r="D133" s="35" t="str">
        <f>VLOOKUP(B133,BASE!$A:$D,3,0)</f>
        <v>NEGRO</v>
      </c>
      <c r="E133" s="32">
        <f>VLOOKUP(B133,BASE!$A:$E,4,0)</f>
        <v>707</v>
      </c>
      <c r="F133" s="32">
        <v>2700</v>
      </c>
      <c r="G133" s="23">
        <f t="shared" si="2"/>
        <v>0.45</v>
      </c>
      <c r="H133" s="29"/>
      <c r="I133" s="33" t="s">
        <v>960</v>
      </c>
    </row>
    <row r="134" spans="1:9" ht="20.25" customHeight="1" x14ac:dyDescent="0.25">
      <c r="A134" s="29">
        <v>7643</v>
      </c>
      <c r="B134" s="43" t="s">
        <v>340</v>
      </c>
      <c r="C134" s="31" t="str">
        <f>VLOOKUP(B134,BASE!$A:$B,2,0)</f>
        <v>8025 CABEZAL 706 NEGRO</v>
      </c>
      <c r="D134" s="35" t="str">
        <f>VLOOKUP(B134,BASE!$A:$D,3,0)</f>
        <v>NEGRO</v>
      </c>
      <c r="E134" s="32">
        <f>VLOOKUP(B134,BASE!$A:$E,4,0)</f>
        <v>706</v>
      </c>
      <c r="F134" s="32">
        <v>2500</v>
      </c>
      <c r="G134" s="23">
        <f t="shared" si="2"/>
        <v>0.41666666666666669</v>
      </c>
      <c r="H134" s="29"/>
      <c r="I134" s="33" t="s">
        <v>960</v>
      </c>
    </row>
    <row r="135" spans="1:9" ht="20.25" customHeight="1" x14ac:dyDescent="0.25">
      <c r="A135" s="29">
        <v>7644</v>
      </c>
      <c r="B135" s="43" t="s">
        <v>340</v>
      </c>
      <c r="C135" s="31" t="str">
        <f>VLOOKUP(B135,BASE!$A:$B,2,0)</f>
        <v>8025 CABEZAL 706 NEGRO</v>
      </c>
      <c r="D135" s="35" t="str">
        <f>VLOOKUP(B135,BASE!$A:$D,3,0)</f>
        <v>NEGRO</v>
      </c>
      <c r="E135" s="32">
        <f>VLOOKUP(B135,BASE!$A:$E,4,0)</f>
        <v>706</v>
      </c>
      <c r="F135" s="32">
        <v>2500</v>
      </c>
      <c r="G135" s="23">
        <f t="shared" si="2"/>
        <v>0.41666666666666669</v>
      </c>
      <c r="H135" s="29"/>
      <c r="I135" s="33" t="s">
        <v>960</v>
      </c>
    </row>
    <row r="136" spans="1:9" ht="20.25" customHeight="1" x14ac:dyDescent="0.25">
      <c r="A136" s="29">
        <v>7645</v>
      </c>
      <c r="B136" s="43" t="s">
        <v>340</v>
      </c>
      <c r="C136" s="31" t="str">
        <f>VLOOKUP(B136,BASE!$A:$B,2,0)</f>
        <v>8025 CABEZAL 706 NEGRO</v>
      </c>
      <c r="D136" s="35" t="str">
        <f>VLOOKUP(B136,BASE!$A:$D,3,0)</f>
        <v>NEGRO</v>
      </c>
      <c r="E136" s="32">
        <f>VLOOKUP(B136,BASE!$A:$E,4,0)</f>
        <v>706</v>
      </c>
      <c r="F136" s="32">
        <v>2700</v>
      </c>
      <c r="G136" s="23">
        <f t="shared" si="2"/>
        <v>0.45</v>
      </c>
      <c r="H136" s="29"/>
      <c r="I136" s="33" t="s">
        <v>960</v>
      </c>
    </row>
    <row r="137" spans="1:9" ht="20.25" customHeight="1" x14ac:dyDescent="0.25">
      <c r="A137" s="29">
        <v>7661</v>
      </c>
      <c r="B137" s="42" t="s">
        <v>11</v>
      </c>
      <c r="C137" s="31" t="str">
        <f>VLOOKUP(B137,BASE!$A:$B,2,0)</f>
        <v>PERFIL F 463 NEGRO</v>
      </c>
      <c r="D137" s="35" t="str">
        <f>VLOOKUP(B137,BASE!$A:$D,3,0)</f>
        <v>NEGRO</v>
      </c>
      <c r="E137" s="32" t="str">
        <f>VLOOKUP(B137,BASE!$A:$E,4,0)</f>
        <v>F-463</v>
      </c>
      <c r="F137" s="32">
        <v>600</v>
      </c>
      <c r="G137" s="23">
        <f t="shared" si="2"/>
        <v>0.1</v>
      </c>
      <c r="H137" s="29"/>
      <c r="I137" s="33" t="s">
        <v>969</v>
      </c>
    </row>
    <row r="138" spans="1:9" ht="20.25" customHeight="1" x14ac:dyDescent="0.25">
      <c r="A138" s="29">
        <v>7716</v>
      </c>
      <c r="B138" s="30" t="s">
        <v>74</v>
      </c>
      <c r="C138" s="31" t="str">
        <f>VLOOKUP(B138,BASE!$A:$B,2,0)</f>
        <v>ALFAJIA 449 NEGRA</v>
      </c>
      <c r="D138" s="35" t="str">
        <f>VLOOKUP(B138,BASE!$A:$D,3,0)</f>
        <v>NEGRO</v>
      </c>
      <c r="E138" s="32">
        <f>VLOOKUP(B138,BASE!$A:$E,4,0)</f>
        <v>449</v>
      </c>
      <c r="F138" s="32">
        <v>6000</v>
      </c>
      <c r="G138" s="23">
        <f t="shared" si="2"/>
        <v>1</v>
      </c>
      <c r="H138" s="29"/>
      <c r="I138" s="33" t="s">
        <v>956</v>
      </c>
    </row>
    <row r="139" spans="1:9" ht="20.25" customHeight="1" x14ac:dyDescent="0.25">
      <c r="A139" s="29">
        <v>7746</v>
      </c>
      <c r="B139" s="30" t="s">
        <v>194</v>
      </c>
      <c r="C139" s="31" t="str">
        <f>VLOOKUP(B139,BASE!$A:$B,2,0)</f>
        <v>U32 GRIS PLATA</v>
      </c>
      <c r="D139" s="35" t="str">
        <f>VLOOKUP(B139,BASE!$A:$D,3,0)</f>
        <v>GRIS PLATA</v>
      </c>
      <c r="E139" s="32" t="str">
        <f>VLOOKUP(B139,BASE!$A:$E,4,0)</f>
        <v>U-32</v>
      </c>
      <c r="F139" s="32">
        <v>5700</v>
      </c>
      <c r="G139" s="23">
        <f t="shared" si="2"/>
        <v>0.95</v>
      </c>
      <c r="H139" s="29"/>
      <c r="I139" s="33" t="s">
        <v>958</v>
      </c>
    </row>
    <row r="140" spans="1:9" ht="20.25" customHeight="1" x14ac:dyDescent="0.25">
      <c r="A140" s="29">
        <v>7755</v>
      </c>
      <c r="B140" s="45" t="s">
        <v>576</v>
      </c>
      <c r="C140" s="31" t="str">
        <f>VLOOKUP(B140,BASE!$A:$B,2,0)</f>
        <v>U57 MATE</v>
      </c>
      <c r="D140" s="35" t="str">
        <f>VLOOKUP(B140,BASE!$A:$D,3,0)</f>
        <v>MATE</v>
      </c>
      <c r="E140" s="32" t="str">
        <f>VLOOKUP(B140,BASE!$A:$E,4,0)</f>
        <v>U-57</v>
      </c>
      <c r="F140" s="32">
        <v>1700</v>
      </c>
      <c r="G140" s="23">
        <f t="shared" si="2"/>
        <v>0.28333333333333333</v>
      </c>
      <c r="H140" s="29"/>
      <c r="I140" s="33" t="s">
        <v>960</v>
      </c>
    </row>
    <row r="141" spans="1:9" ht="20.25" customHeight="1" x14ac:dyDescent="0.25">
      <c r="A141" s="29">
        <v>7761</v>
      </c>
      <c r="B141" s="30" t="s">
        <v>768</v>
      </c>
      <c r="C141" s="31" t="str">
        <f>VLOOKUP(B141,BASE!$A:$B,2,0)</f>
        <v>PERFIL U DE CABINA S-364 MATE</v>
      </c>
      <c r="D141" s="35" t="str">
        <f>VLOOKUP(B141,BASE!$A:$D,3,0)</f>
        <v>MATE</v>
      </c>
      <c r="E141" s="32" t="str">
        <f>VLOOKUP(B141,BASE!$A:$E,4,0)</f>
        <v>S-364</v>
      </c>
      <c r="F141" s="32">
        <v>3000</v>
      </c>
      <c r="G141" s="23">
        <f t="shared" si="2"/>
        <v>0.5</v>
      </c>
      <c r="H141" s="29"/>
      <c r="I141" s="33" t="s">
        <v>960</v>
      </c>
    </row>
    <row r="142" spans="1:9" ht="20.25" customHeight="1" x14ac:dyDescent="0.25">
      <c r="A142" s="29">
        <v>7764</v>
      </c>
      <c r="B142" s="30" t="s">
        <v>482</v>
      </c>
      <c r="C142" s="31" t="str">
        <f>VLOOKUP(B142,BASE!$A:$B,2,0)</f>
        <v>744 SILLAR 387 BLANCO</v>
      </c>
      <c r="D142" s="35" t="str">
        <f>VLOOKUP(B142,BASE!$A:$D,3,0)</f>
        <v>BLANCO</v>
      </c>
      <c r="E142" s="32">
        <f>VLOOKUP(B142,BASE!$A:$E,4,0)</f>
        <v>387</v>
      </c>
      <c r="F142" s="32">
        <v>1150</v>
      </c>
      <c r="G142" s="23">
        <f t="shared" si="2"/>
        <v>0.19166666666666668</v>
      </c>
      <c r="H142" s="29"/>
      <c r="I142" s="33" t="s">
        <v>967</v>
      </c>
    </row>
    <row r="143" spans="1:9" ht="20.25" customHeight="1" x14ac:dyDescent="0.25">
      <c r="A143" s="29">
        <v>7765</v>
      </c>
      <c r="B143" s="30" t="s">
        <v>328</v>
      </c>
      <c r="C143" s="31" t="str">
        <f>VLOOKUP(B143,BASE!$A:$B,2,0)</f>
        <v>744 CABEZAL 392 BLANCO</v>
      </c>
      <c r="D143" s="35" t="str">
        <f>VLOOKUP(B143,BASE!$A:$D,3,0)</f>
        <v>BLANCO</v>
      </c>
      <c r="E143" s="32">
        <f>VLOOKUP(B143,BASE!$A:$E,4,0)</f>
        <v>392</v>
      </c>
      <c r="F143" s="32">
        <v>1150</v>
      </c>
      <c r="G143" s="23">
        <f t="shared" si="2"/>
        <v>0.19166666666666668</v>
      </c>
      <c r="H143" s="29"/>
      <c r="I143" s="33" t="s">
        <v>967</v>
      </c>
    </row>
    <row r="144" spans="1:9" ht="20.25" customHeight="1" x14ac:dyDescent="0.25">
      <c r="A144" s="29">
        <v>7780</v>
      </c>
      <c r="B144" s="30" t="s">
        <v>163</v>
      </c>
      <c r="C144" s="31" t="str">
        <f>VLOOKUP(B144,BASE!$A:$B,2,0)</f>
        <v>TUBULAR T-97 CRUDO</v>
      </c>
      <c r="D144" s="35" t="str">
        <f>VLOOKUP(B144,BASE!$A:$D,3,0)</f>
        <v xml:space="preserve">CRUDO </v>
      </c>
      <c r="E144" s="32" t="str">
        <f>VLOOKUP(B144,BASE!$A:$E,4,0)</f>
        <v>T-97</v>
      </c>
      <c r="F144" s="32">
        <v>2600</v>
      </c>
      <c r="G144" s="23">
        <f t="shared" si="2"/>
        <v>0.43333333333333335</v>
      </c>
      <c r="H144" s="29"/>
      <c r="I144" s="33" t="s">
        <v>960</v>
      </c>
    </row>
    <row r="145" spans="1:9" ht="20.25" customHeight="1" x14ac:dyDescent="0.25">
      <c r="A145" s="29">
        <v>7799</v>
      </c>
      <c r="B145" s="30" t="s">
        <v>579</v>
      </c>
      <c r="C145" s="31" t="str">
        <f>VLOOKUP(B145,BASE!$A:$B,2,0)</f>
        <v>U57 BLANCO</v>
      </c>
      <c r="D145" s="35" t="str">
        <f>VLOOKUP(B145,BASE!$A:$D,3,0)</f>
        <v>BLANCO</v>
      </c>
      <c r="E145" s="32" t="str">
        <f>VLOOKUP(B145,BASE!$A:$E,4,0)</f>
        <v>U-57</v>
      </c>
      <c r="F145" s="32">
        <v>1200</v>
      </c>
      <c r="G145" s="23">
        <f t="shared" si="2"/>
        <v>0.2</v>
      </c>
      <c r="H145" s="29"/>
      <c r="I145" s="33" t="s">
        <v>967</v>
      </c>
    </row>
    <row r="146" spans="1:9" ht="20.25" customHeight="1" x14ac:dyDescent="0.25">
      <c r="A146" s="29">
        <v>7808</v>
      </c>
      <c r="B146" s="30" t="s">
        <v>138</v>
      </c>
      <c r="C146" s="31" t="str">
        <f>VLOOKUP(B146,BASE!$A:$B,2,0)</f>
        <v>TAPALUZ PT02 NEGRO</v>
      </c>
      <c r="D146" s="35" t="str">
        <f>VLOOKUP(B146,BASE!$A:$D,3,0)</f>
        <v>NEGRO</v>
      </c>
      <c r="E146" s="32" t="str">
        <f>VLOOKUP(B146,BASE!$A:$E,4,0)</f>
        <v>PT-02</v>
      </c>
      <c r="F146" s="32">
        <v>2000</v>
      </c>
      <c r="G146" s="23">
        <f t="shared" si="2"/>
        <v>0.33333333333333331</v>
      </c>
      <c r="H146" s="29"/>
      <c r="I146" s="33" t="s">
        <v>984</v>
      </c>
    </row>
    <row r="147" spans="1:9" ht="20.25" customHeight="1" x14ac:dyDescent="0.25">
      <c r="A147" s="29">
        <v>7820</v>
      </c>
      <c r="B147" s="30" t="s">
        <v>198</v>
      </c>
      <c r="C147" s="31" t="str">
        <f>VLOOKUP(B147,BASE!$A:$B,2,0)</f>
        <v>744 ADAPTADOR 403 BLANCO</v>
      </c>
      <c r="D147" s="35" t="str">
        <f>VLOOKUP(B147,BASE!$A:$D,3,0)</f>
        <v>BLANCO</v>
      </c>
      <c r="E147" s="32">
        <f>VLOOKUP(B147,BASE!$A:$E,4,0)</f>
        <v>403</v>
      </c>
      <c r="F147" s="32">
        <v>4000</v>
      </c>
      <c r="G147" s="23">
        <f t="shared" si="2"/>
        <v>0.66666666666666663</v>
      </c>
      <c r="H147" s="29"/>
      <c r="I147" s="33" t="s">
        <v>963</v>
      </c>
    </row>
    <row r="148" spans="1:9" ht="20.25" customHeight="1" x14ac:dyDescent="0.25">
      <c r="A148" s="29">
        <v>7821</v>
      </c>
      <c r="B148" s="30" t="s">
        <v>299</v>
      </c>
      <c r="C148" s="31" t="str">
        <f>VLOOKUP(B148,BASE!$A:$B,2,0)</f>
        <v>ALFAJIA S-012 BLANCA</v>
      </c>
      <c r="D148" s="35" t="str">
        <f>VLOOKUP(B148,BASE!$A:$D,3,0)</f>
        <v>BLANCO</v>
      </c>
      <c r="E148" s="32" t="str">
        <f>VLOOKUP(B148,BASE!$A:$E,4,0)</f>
        <v>S-012</v>
      </c>
      <c r="F148" s="32">
        <v>1130</v>
      </c>
      <c r="G148" s="23">
        <f t="shared" si="2"/>
        <v>0.18833333333333332</v>
      </c>
      <c r="H148" s="29"/>
      <c r="I148" s="33" t="s">
        <v>966</v>
      </c>
    </row>
    <row r="149" spans="1:9" ht="20.25" customHeight="1" x14ac:dyDescent="0.25">
      <c r="A149" s="29">
        <v>7822</v>
      </c>
      <c r="B149" s="30" t="s">
        <v>299</v>
      </c>
      <c r="C149" s="31" t="str">
        <f>VLOOKUP(B149,BASE!$A:$B,2,0)</f>
        <v>ALFAJIA S-012 BLANCA</v>
      </c>
      <c r="D149" s="35" t="str">
        <f>VLOOKUP(B149,BASE!$A:$D,3,0)</f>
        <v>BLANCO</v>
      </c>
      <c r="E149" s="32" t="str">
        <f>VLOOKUP(B149,BASE!$A:$E,4,0)</f>
        <v>S-012</v>
      </c>
      <c r="F149" s="32">
        <v>1130</v>
      </c>
      <c r="G149" s="23">
        <f t="shared" si="2"/>
        <v>0.18833333333333332</v>
      </c>
      <c r="H149" s="29"/>
      <c r="I149" s="33" t="s">
        <v>966</v>
      </c>
    </row>
    <row r="150" spans="1:9" ht="20.25" customHeight="1" x14ac:dyDescent="0.25">
      <c r="A150" s="29">
        <v>7827</v>
      </c>
      <c r="B150" s="30" t="s">
        <v>459</v>
      </c>
      <c r="C150" s="31" t="str">
        <f>VLOOKUP(B150,BASE!$A:$B,2,0)</f>
        <v>PERSIANA 315 BLANCO</v>
      </c>
      <c r="D150" s="35" t="str">
        <f>VLOOKUP(B150,BASE!$A:$D,3,0)</f>
        <v>BLANCO</v>
      </c>
      <c r="E150" s="32">
        <f>VLOOKUP(B150,BASE!$A:$E,4,0)</f>
        <v>315</v>
      </c>
      <c r="F150" s="32">
        <v>3400</v>
      </c>
      <c r="G150" s="23">
        <f t="shared" si="2"/>
        <v>0.56666666666666665</v>
      </c>
      <c r="H150" s="29"/>
      <c r="I150" s="33" t="s">
        <v>963</v>
      </c>
    </row>
    <row r="151" spans="1:9" ht="20.25" customHeight="1" x14ac:dyDescent="0.25">
      <c r="A151" s="29">
        <v>7833</v>
      </c>
      <c r="B151" s="30" t="s">
        <v>153</v>
      </c>
      <c r="C151" s="31" t="str">
        <f>VLOOKUP(B151,BASE!$A:$B,2,0)</f>
        <v>TUBULAR 1102 MATE</v>
      </c>
      <c r="D151" s="35" t="str">
        <f>VLOOKUP(B151,BASE!$A:$D,3,0)</f>
        <v>MATE</v>
      </c>
      <c r="E151" s="32">
        <f>VLOOKUP(B151,BASE!$A:$E,4,0)</f>
        <v>1102</v>
      </c>
      <c r="F151" s="32">
        <v>1160</v>
      </c>
      <c r="G151" s="23">
        <f t="shared" si="2"/>
        <v>0.19333333333333333</v>
      </c>
      <c r="H151" s="29"/>
      <c r="I151" s="33" t="s">
        <v>967</v>
      </c>
    </row>
    <row r="152" spans="1:9" ht="20.25" customHeight="1" x14ac:dyDescent="0.25">
      <c r="A152" s="29">
        <v>7869</v>
      </c>
      <c r="B152" s="30" t="s">
        <v>138</v>
      </c>
      <c r="C152" s="31" t="str">
        <f>VLOOKUP(B152,BASE!$A:$B,2,0)</f>
        <v>TAPALUZ PT02 NEGRO</v>
      </c>
      <c r="D152" s="35" t="str">
        <f>VLOOKUP(B152,BASE!$A:$D,3,0)</f>
        <v>NEGRO</v>
      </c>
      <c r="E152" s="32" t="str">
        <f>VLOOKUP(B152,BASE!$A:$E,4,0)</f>
        <v>PT-02</v>
      </c>
      <c r="F152" s="32">
        <v>2000</v>
      </c>
      <c r="G152" s="23">
        <f t="shared" si="2"/>
        <v>0.33333333333333331</v>
      </c>
      <c r="H152" s="29"/>
      <c r="I152" s="33" t="s">
        <v>984</v>
      </c>
    </row>
    <row r="153" spans="1:9" ht="20.25" customHeight="1" x14ac:dyDescent="0.25">
      <c r="A153" s="29">
        <v>7879</v>
      </c>
      <c r="B153" s="34" t="s">
        <v>148</v>
      </c>
      <c r="C153" s="31" t="str">
        <f>VLOOKUP(B153,BASE!$A:$B,2,0)</f>
        <v>U-089 MATE</v>
      </c>
      <c r="D153" s="35" t="str">
        <f>VLOOKUP(B153,BASE!$A:$D,3,0)</f>
        <v>MATE</v>
      </c>
      <c r="E153" s="32" t="str">
        <f>VLOOKUP(B153,BASE!$A:$E,4,0)</f>
        <v>U-89</v>
      </c>
      <c r="F153" s="32">
        <v>3300</v>
      </c>
      <c r="G153" s="23">
        <f t="shared" si="2"/>
        <v>0.55000000000000004</v>
      </c>
      <c r="H153" s="29"/>
      <c r="I153" s="33" t="s">
        <v>963</v>
      </c>
    </row>
    <row r="154" spans="1:9" ht="20.25" customHeight="1" x14ac:dyDescent="0.25">
      <c r="A154" s="29">
        <v>7907</v>
      </c>
      <c r="B154" s="34" t="s">
        <v>576</v>
      </c>
      <c r="C154" s="31" t="str">
        <f>VLOOKUP(B154,BASE!$A:$B,2,0)</f>
        <v>U57 MATE</v>
      </c>
      <c r="D154" s="35" t="str">
        <f>VLOOKUP(B154,BASE!$A:$D,3,0)</f>
        <v>MATE</v>
      </c>
      <c r="E154" s="32" t="str">
        <f>VLOOKUP(B154,BASE!$A:$E,4,0)</f>
        <v>U-57</v>
      </c>
      <c r="F154" s="32">
        <v>1919</v>
      </c>
      <c r="G154" s="23">
        <f t="shared" si="2"/>
        <v>0.31983333333333336</v>
      </c>
      <c r="H154" s="29"/>
      <c r="I154" s="33" t="s">
        <v>961</v>
      </c>
    </row>
    <row r="155" spans="1:9" ht="20.25" customHeight="1" x14ac:dyDescent="0.25">
      <c r="A155" s="29">
        <v>7908</v>
      </c>
      <c r="B155" s="34" t="s">
        <v>576</v>
      </c>
      <c r="C155" s="31" t="str">
        <f>VLOOKUP(B155,BASE!$A:$B,2,0)</f>
        <v>U57 MATE</v>
      </c>
      <c r="D155" s="35" t="str">
        <f>VLOOKUP(B155,BASE!$A:$D,3,0)</f>
        <v>MATE</v>
      </c>
      <c r="E155" s="32" t="str">
        <f>VLOOKUP(B155,BASE!$A:$E,4,0)</f>
        <v>U-57</v>
      </c>
      <c r="F155" s="32">
        <v>2020</v>
      </c>
      <c r="G155" s="23">
        <f t="shared" si="2"/>
        <v>0.33666666666666667</v>
      </c>
      <c r="H155" s="29"/>
      <c r="I155" s="33" t="s">
        <v>961</v>
      </c>
    </row>
    <row r="156" spans="1:9" ht="20.25" customHeight="1" x14ac:dyDescent="0.25">
      <c r="A156" s="29">
        <v>7909</v>
      </c>
      <c r="B156" s="34" t="s">
        <v>576</v>
      </c>
      <c r="C156" s="31" t="str">
        <f>VLOOKUP(B156,BASE!$A:$B,2,0)</f>
        <v>U57 MATE</v>
      </c>
      <c r="D156" s="35" t="str">
        <f>VLOOKUP(B156,BASE!$A:$D,3,0)</f>
        <v>MATE</v>
      </c>
      <c r="E156" s="32" t="str">
        <f>VLOOKUP(B156,BASE!$A:$E,4,0)</f>
        <v>U-57</v>
      </c>
      <c r="F156" s="32">
        <v>2005</v>
      </c>
      <c r="G156" s="23">
        <f t="shared" si="2"/>
        <v>0.33416666666666667</v>
      </c>
      <c r="H156" s="29"/>
      <c r="I156" s="33" t="s">
        <v>961</v>
      </c>
    </row>
    <row r="157" spans="1:9" ht="20.25" customHeight="1" x14ac:dyDescent="0.25">
      <c r="A157" s="29">
        <v>7947</v>
      </c>
      <c r="B157" s="34" t="s">
        <v>954</v>
      </c>
      <c r="C157" s="31" t="str">
        <f>VLOOKUP(B157,BASE!$A:$B,2,0)</f>
        <v>744 JAMBA TRES RIELES 1858 NEGRO</v>
      </c>
      <c r="D157" s="35" t="str">
        <f>VLOOKUP(B157,BASE!$A:$D,3,0)</f>
        <v>NEGRO</v>
      </c>
      <c r="E157" s="32">
        <f>VLOOKUP(B157,BASE!$A:$E,4,0)</f>
        <v>1858</v>
      </c>
      <c r="F157" s="32">
        <v>4300</v>
      </c>
      <c r="G157" s="23">
        <f t="shared" si="2"/>
        <v>0.71666666666666667</v>
      </c>
      <c r="H157" s="29"/>
      <c r="I157" s="33" t="s">
        <v>962</v>
      </c>
    </row>
    <row r="158" spans="1:9" ht="20.25" customHeight="1" x14ac:dyDescent="0.25">
      <c r="A158" s="29">
        <v>8010</v>
      </c>
      <c r="B158" s="34" t="s">
        <v>107</v>
      </c>
      <c r="C158" s="31" t="str">
        <f>VLOOKUP(B158,BASE!$A:$B,2,0)</f>
        <v>5020 TRASLAPE REFORZADO 462 MATE</v>
      </c>
      <c r="D158" s="35" t="str">
        <f>VLOOKUP(B158,BASE!$A:$D,3,0)</f>
        <v>MATE</v>
      </c>
      <c r="E158" s="32">
        <f>VLOOKUP(B158,BASE!$A:$E,4,0)</f>
        <v>462</v>
      </c>
      <c r="F158" s="32">
        <v>1150</v>
      </c>
      <c r="G158" s="23">
        <f t="shared" si="2"/>
        <v>0.19166666666666668</v>
      </c>
      <c r="H158" s="29"/>
      <c r="I158" s="33" t="s">
        <v>967</v>
      </c>
    </row>
    <row r="159" spans="1:9" ht="20.25" customHeight="1" x14ac:dyDescent="0.25">
      <c r="A159" s="29">
        <v>8046</v>
      </c>
      <c r="B159" s="34" t="s">
        <v>353</v>
      </c>
      <c r="C159" s="31" t="str">
        <f>VLOOKUP(B159,BASE!$A:$B,2,0)</f>
        <v>3831 DIVISOR 292 BLANCO</v>
      </c>
      <c r="D159" s="35" t="str">
        <f>VLOOKUP(B159,BASE!$A:$D,3,0)</f>
        <v>BLANCO</v>
      </c>
      <c r="E159" s="32">
        <f>VLOOKUP(B159,BASE!$A:$E,4,0)</f>
        <v>292</v>
      </c>
      <c r="F159" s="32">
        <v>3300</v>
      </c>
      <c r="G159" s="23">
        <f t="shared" si="2"/>
        <v>0.55000000000000004</v>
      </c>
      <c r="H159" s="29"/>
      <c r="I159" s="33" t="s">
        <v>962</v>
      </c>
    </row>
    <row r="160" spans="1:9" ht="20.25" customHeight="1" x14ac:dyDescent="0.25">
      <c r="A160" s="29">
        <v>8077</v>
      </c>
      <c r="B160" s="34" t="s">
        <v>725</v>
      </c>
      <c r="C160" s="31" t="str">
        <f>VLOOKUP(B160,BASE!$A:$B,2,0)</f>
        <v>744 ADAPTADOR 403 NEGRO</v>
      </c>
      <c r="D160" s="35" t="str">
        <f>VLOOKUP(B160,BASE!$A:$D,3,0)</f>
        <v>NEGRO</v>
      </c>
      <c r="E160" s="32">
        <f>VLOOKUP(B160,BASE!$A:$E,4,0)</f>
        <v>403</v>
      </c>
      <c r="F160" s="32">
        <v>1000</v>
      </c>
      <c r="G160" s="23">
        <f t="shared" si="2"/>
        <v>0.16666666666666666</v>
      </c>
      <c r="H160" s="29"/>
      <c r="I160" s="33" t="s">
        <v>968</v>
      </c>
    </row>
    <row r="161" spans="1:9" ht="20.25" customHeight="1" x14ac:dyDescent="0.25">
      <c r="A161" s="29">
        <v>8123</v>
      </c>
      <c r="B161" s="34" t="s">
        <v>313</v>
      </c>
      <c r="C161" s="31" t="str">
        <f>VLOOKUP(B161,BASE!$A:$B,2,0)</f>
        <v>ANGULO A-01 BLANCO (1/2 X 1/2)</v>
      </c>
      <c r="D161" s="35" t="str">
        <f>VLOOKUP(B161,BASE!$A:$D,3,0)</f>
        <v>BLANCO</v>
      </c>
      <c r="E161" s="32" t="str">
        <f>VLOOKUP(B161,BASE!$A:$E,4,0)</f>
        <v>A-01</v>
      </c>
      <c r="F161" s="32">
        <v>6000</v>
      </c>
      <c r="G161" s="23">
        <f t="shared" si="2"/>
        <v>1</v>
      </c>
      <c r="H161" s="29"/>
      <c r="I161" s="33" t="s">
        <v>958</v>
      </c>
    </row>
    <row r="162" spans="1:9" ht="20.25" customHeight="1" x14ac:dyDescent="0.25">
      <c r="A162" s="29">
        <v>8158</v>
      </c>
      <c r="B162" s="34" t="s">
        <v>549</v>
      </c>
      <c r="C162" s="31" t="str">
        <f>VLOOKUP(B162,BASE!$A:$B,2,0)</f>
        <v>TUBULAR T-90 MATE</v>
      </c>
      <c r="D162" s="35" t="str">
        <f>VLOOKUP(B162,BASE!$A:$D,3,0)</f>
        <v>MATE</v>
      </c>
      <c r="E162" s="32" t="str">
        <f>VLOOKUP(B162,BASE!$A:$E,4,0)</f>
        <v>T-90</v>
      </c>
      <c r="F162" s="32">
        <v>4000</v>
      </c>
      <c r="G162" s="23">
        <f t="shared" si="2"/>
        <v>0.66666666666666663</v>
      </c>
      <c r="H162" s="29"/>
      <c r="I162" s="33" t="s">
        <v>984</v>
      </c>
    </row>
    <row r="163" spans="1:9" ht="20.25" customHeight="1" x14ac:dyDescent="0.25">
      <c r="A163" s="29">
        <v>8169</v>
      </c>
      <c r="B163" s="34" t="s">
        <v>694</v>
      </c>
      <c r="C163" s="31" t="str">
        <f>VLOOKUP(B163,BASE!$A:$B,2,0)</f>
        <v>744 CABEZAL 392 MATE</v>
      </c>
      <c r="D163" s="35" t="str">
        <f>VLOOKUP(B163,BASE!$A:$D,3,0)</f>
        <v>MATE</v>
      </c>
      <c r="E163" s="32">
        <f>VLOOKUP(B163,BASE!$A:$E,4,0)</f>
        <v>392</v>
      </c>
      <c r="F163" s="32">
        <v>1090</v>
      </c>
      <c r="G163" s="23">
        <f t="shared" si="2"/>
        <v>0.18166666666666667</v>
      </c>
      <c r="H163" s="29"/>
      <c r="I163" s="33" t="s">
        <v>968</v>
      </c>
    </row>
    <row r="164" spans="1:9" ht="20.25" customHeight="1" x14ac:dyDescent="0.25">
      <c r="A164" s="29">
        <v>8176</v>
      </c>
      <c r="B164" s="34" t="s">
        <v>706</v>
      </c>
      <c r="C164" s="31" t="str">
        <f>VLOOKUP(B164,BASE!$A:$B,2,0)</f>
        <v>TUBULAR 1102 NEGRO</v>
      </c>
      <c r="D164" s="35" t="str">
        <f>VLOOKUP(B164,BASE!$A:$D,3,0)</f>
        <v>NEGRO</v>
      </c>
      <c r="E164" s="32">
        <f>VLOOKUP(B164,BASE!$A:$E,4,0)</f>
        <v>1102</v>
      </c>
      <c r="F164" s="32">
        <v>1330</v>
      </c>
      <c r="G164" s="23">
        <f t="shared" si="2"/>
        <v>0.22166666666666668</v>
      </c>
      <c r="H164" s="29"/>
      <c r="I164" s="33" t="s">
        <v>967</v>
      </c>
    </row>
    <row r="165" spans="1:9" ht="20.25" customHeight="1" x14ac:dyDescent="0.25">
      <c r="A165" s="29">
        <v>8285</v>
      </c>
      <c r="B165" s="34" t="s">
        <v>58</v>
      </c>
      <c r="C165" s="31" t="str">
        <f>VLOOKUP(B165,BASE!$A:$B,2,0)</f>
        <v>TUBULAR T-70 NEGRO</v>
      </c>
      <c r="D165" s="35" t="str">
        <f>VLOOKUP(B165,BASE!$A:$D,3,0)</f>
        <v>NEGRO</v>
      </c>
      <c r="E165" s="32" t="str">
        <f>VLOOKUP(B165,BASE!$A:$E,4,0)</f>
        <v>T-70</v>
      </c>
      <c r="F165" s="32">
        <v>1000</v>
      </c>
      <c r="G165" s="23">
        <f t="shared" si="2"/>
        <v>0.16666666666666666</v>
      </c>
      <c r="H165" s="29"/>
      <c r="I165" s="33" t="s">
        <v>968</v>
      </c>
    </row>
    <row r="166" spans="1:9" ht="20.25" customHeight="1" x14ac:dyDescent="0.25">
      <c r="A166" s="29">
        <v>8309</v>
      </c>
      <c r="B166" s="34" t="s">
        <v>726</v>
      </c>
      <c r="C166" s="31" t="str">
        <f>VLOOKUP(B166,BASE!$A:$B,2,0)</f>
        <v>ALFAJIA 413 GRIS PLATA</v>
      </c>
      <c r="D166" s="35" t="str">
        <f>VLOOKUP(B166,BASE!$A:$D,3,0)</f>
        <v>GRIS PLATA</v>
      </c>
      <c r="E166" s="32">
        <f>VLOOKUP(B166,BASE!$A:$E,4,0)</f>
        <v>413</v>
      </c>
      <c r="F166" s="32">
        <v>1300</v>
      </c>
      <c r="G166" s="23">
        <f t="shared" si="2"/>
        <v>0.21666666666666667</v>
      </c>
      <c r="H166" s="29"/>
      <c r="I166" s="33" t="s">
        <v>964</v>
      </c>
    </row>
    <row r="167" spans="1:9" ht="20.25" customHeight="1" x14ac:dyDescent="0.25">
      <c r="A167" s="29">
        <v>8380</v>
      </c>
      <c r="B167" s="34" t="s">
        <v>699</v>
      </c>
      <c r="C167" s="31" t="str">
        <f>VLOOKUP(B167,BASE!$A:$B,2,0)</f>
        <v>TABLILLA F-08 BRONCE</v>
      </c>
      <c r="D167" s="35" t="str">
        <f>VLOOKUP(B167,BASE!$A:$D,3,0)</f>
        <v>BRONCE</v>
      </c>
      <c r="E167" s="32" t="str">
        <f>VLOOKUP(B167,BASE!$A:$E,4,0)</f>
        <v>F-08</v>
      </c>
      <c r="F167" s="47">
        <v>1100</v>
      </c>
      <c r="G167" s="23">
        <f t="shared" si="2"/>
        <v>0.18333333333333332</v>
      </c>
      <c r="H167" s="29"/>
      <c r="I167" s="33" t="s">
        <v>966</v>
      </c>
    </row>
    <row r="168" spans="1:9" ht="20.25" customHeight="1" x14ac:dyDescent="0.25">
      <c r="A168" s="29">
        <v>8429</v>
      </c>
      <c r="B168" s="34" t="s">
        <v>74</v>
      </c>
      <c r="C168" s="31" t="str">
        <f>VLOOKUP(B168,BASE!$A:$B,2,0)</f>
        <v>ALFAJIA 449 NEGRA</v>
      </c>
      <c r="D168" s="35" t="str">
        <f>VLOOKUP(B168,BASE!$A:$D,3,0)</f>
        <v>NEGRO</v>
      </c>
      <c r="E168" s="32">
        <f>VLOOKUP(B168,BASE!$A:$E,4,0)</f>
        <v>449</v>
      </c>
      <c r="F168" s="32">
        <v>1500</v>
      </c>
      <c r="G168" s="23">
        <f t="shared" si="2"/>
        <v>0.25</v>
      </c>
      <c r="H168" s="29"/>
      <c r="I168" s="33" t="s">
        <v>964</v>
      </c>
    </row>
    <row r="169" spans="1:9" ht="20.25" customHeight="1" x14ac:dyDescent="0.25">
      <c r="A169" s="29">
        <v>8446</v>
      </c>
      <c r="B169" s="34" t="s">
        <v>954</v>
      </c>
      <c r="C169" s="31" t="str">
        <f>VLOOKUP(B169,BASE!$A:$B,2,0)</f>
        <v>744 JAMBA TRES RIELES 1858 NEGRO</v>
      </c>
      <c r="D169" s="35" t="str">
        <f>VLOOKUP(B169,BASE!$A:$D,3,0)</f>
        <v>NEGRO</v>
      </c>
      <c r="E169" s="32">
        <f>VLOOKUP(B169,BASE!$A:$E,4,0)</f>
        <v>1858</v>
      </c>
      <c r="F169" s="32">
        <v>1700</v>
      </c>
      <c r="G169" s="23">
        <f t="shared" si="2"/>
        <v>0.28333333333333333</v>
      </c>
      <c r="H169" s="29"/>
      <c r="I169" s="33" t="s">
        <v>955</v>
      </c>
    </row>
    <row r="170" spans="1:9" ht="20.25" customHeight="1" x14ac:dyDescent="0.25">
      <c r="A170" s="29">
        <v>8447</v>
      </c>
      <c r="B170" s="34" t="s">
        <v>954</v>
      </c>
      <c r="C170" s="31" t="str">
        <f>VLOOKUP(B170,BASE!$A:$B,2,0)</f>
        <v>744 JAMBA TRES RIELES 1858 NEGRO</v>
      </c>
      <c r="D170" s="35" t="str">
        <f>VLOOKUP(B170,BASE!$A:$D,3,0)</f>
        <v>NEGRO</v>
      </c>
      <c r="E170" s="32">
        <f>VLOOKUP(B170,BASE!$A:$E,4,0)</f>
        <v>1858</v>
      </c>
      <c r="F170" s="32">
        <v>1700</v>
      </c>
      <c r="G170" s="23">
        <f t="shared" si="2"/>
        <v>0.28333333333333333</v>
      </c>
      <c r="H170" s="29"/>
      <c r="I170" s="33" t="s">
        <v>955</v>
      </c>
    </row>
    <row r="171" spans="1:9" ht="20.25" customHeight="1" x14ac:dyDescent="0.25">
      <c r="A171" s="29">
        <v>8462</v>
      </c>
      <c r="B171" s="34" t="s">
        <v>85</v>
      </c>
      <c r="C171" s="31" t="str">
        <f>VLOOKUP(B171,BASE!$A:$B,2,0)</f>
        <v>3831 ESQUINERO 416 MATE</v>
      </c>
      <c r="D171" s="35" t="str">
        <f>VLOOKUP(B171,BASE!$A:$D,3,0)</f>
        <v>MATE</v>
      </c>
      <c r="E171" s="32">
        <f>VLOOKUP(B171,BASE!$A:$E,4,0)</f>
        <v>416</v>
      </c>
      <c r="F171" s="32">
        <v>900</v>
      </c>
      <c r="G171" s="23">
        <f t="shared" si="2"/>
        <v>0.15</v>
      </c>
      <c r="H171" s="29"/>
      <c r="I171" s="33" t="s">
        <v>968</v>
      </c>
    </row>
    <row r="172" spans="1:9" ht="20.25" customHeight="1" x14ac:dyDescent="0.25">
      <c r="A172" s="29">
        <v>8464</v>
      </c>
      <c r="B172" s="34" t="s">
        <v>85</v>
      </c>
      <c r="C172" s="31" t="str">
        <f>VLOOKUP(B172,BASE!$A:$B,2,0)</f>
        <v>3831 ESQUINERO 416 MATE</v>
      </c>
      <c r="D172" s="35" t="str">
        <f>VLOOKUP(B172,BASE!$A:$D,3,0)</f>
        <v>MATE</v>
      </c>
      <c r="E172" s="32">
        <f>VLOOKUP(B172,BASE!$A:$E,4,0)</f>
        <v>416</v>
      </c>
      <c r="F172" s="32">
        <v>800</v>
      </c>
      <c r="G172" s="23">
        <f t="shared" si="2"/>
        <v>0.13333333333333333</v>
      </c>
      <c r="H172" s="29"/>
      <c r="I172" s="33" t="s">
        <v>968</v>
      </c>
    </row>
    <row r="173" spans="1:9" ht="20.25" customHeight="1" x14ac:dyDescent="0.25">
      <c r="A173" s="29">
        <v>8466</v>
      </c>
      <c r="B173" s="34" t="s">
        <v>85</v>
      </c>
      <c r="C173" s="31" t="str">
        <f>VLOOKUP(B173,BASE!$A:$B,2,0)</f>
        <v>3831 ESQUINERO 416 MATE</v>
      </c>
      <c r="D173" s="35" t="str">
        <f>VLOOKUP(B173,BASE!$A:$D,3,0)</f>
        <v>MATE</v>
      </c>
      <c r="E173" s="32">
        <f>VLOOKUP(B173,BASE!$A:$E,4,0)</f>
        <v>416</v>
      </c>
      <c r="F173" s="32">
        <v>700</v>
      </c>
      <c r="G173" s="23">
        <f t="shared" ref="G173:G234" si="3">+F173/6000</f>
        <v>0.11666666666666667</v>
      </c>
      <c r="H173" s="29"/>
      <c r="I173" s="33" t="s">
        <v>968</v>
      </c>
    </row>
    <row r="174" spans="1:9" ht="20.25" customHeight="1" x14ac:dyDescent="0.25">
      <c r="A174" s="29">
        <v>8486</v>
      </c>
      <c r="B174" s="34" t="s">
        <v>303</v>
      </c>
      <c r="C174" s="31" t="str">
        <f>VLOOKUP(B174,BASE!$A:$B,2,0)</f>
        <v>ALFAJIA 413 NEGRA</v>
      </c>
      <c r="D174" s="35" t="str">
        <f>VLOOKUP(B174,BASE!$A:$D,3,0)</f>
        <v>NEGRO</v>
      </c>
      <c r="E174" s="32">
        <f>VLOOKUP(B174,BASE!$A:$E,4,0)</f>
        <v>413</v>
      </c>
      <c r="F174" s="32">
        <v>900</v>
      </c>
      <c r="G174" s="23">
        <f t="shared" si="3"/>
        <v>0.15</v>
      </c>
      <c r="H174" s="29"/>
      <c r="I174" s="33" t="s">
        <v>966</v>
      </c>
    </row>
    <row r="175" spans="1:9" ht="20.25" customHeight="1" x14ac:dyDescent="0.25">
      <c r="A175" s="29">
        <v>8494</v>
      </c>
      <c r="B175" s="34" t="s">
        <v>554</v>
      </c>
      <c r="C175" s="31" t="str">
        <f>VLOOKUP(B175,BASE!$A:$B,2,0)</f>
        <v>TUBULAR T-70 BLANCO</v>
      </c>
      <c r="D175" s="35" t="str">
        <f>VLOOKUP(B175,BASE!$A:$D,3,0)</f>
        <v>BLANCO</v>
      </c>
      <c r="E175" s="32" t="str">
        <f>VLOOKUP(B175,BASE!$A:$E,4,0)</f>
        <v>T-70</v>
      </c>
      <c r="F175" s="32">
        <v>4800</v>
      </c>
      <c r="G175" s="23">
        <f t="shared" si="3"/>
        <v>0.8</v>
      </c>
      <c r="H175" s="29"/>
      <c r="I175" s="33" t="s">
        <v>962</v>
      </c>
    </row>
    <row r="176" spans="1:9" ht="20.25" customHeight="1" x14ac:dyDescent="0.25">
      <c r="A176" s="29">
        <v>8519</v>
      </c>
      <c r="B176" s="34" t="s">
        <v>69</v>
      </c>
      <c r="C176" s="31" t="str">
        <f>VLOOKUP(B176,BASE!$A:$B,2,0)</f>
        <v>744 SILLAR 387 GRIS PLATA</v>
      </c>
      <c r="D176" s="35" t="str">
        <f>VLOOKUP(B176,BASE!$A:$D,3,0)</f>
        <v>GRIS PLATA</v>
      </c>
      <c r="E176" s="32">
        <f>VLOOKUP(B176,BASE!$A:$E,4,0)</f>
        <v>387</v>
      </c>
      <c r="F176" s="32">
        <v>1200</v>
      </c>
      <c r="G176" s="23">
        <f t="shared" si="3"/>
        <v>0.2</v>
      </c>
      <c r="H176" s="29"/>
      <c r="I176" s="33" t="s">
        <v>967</v>
      </c>
    </row>
    <row r="177" spans="1:9" ht="20.25" customHeight="1" x14ac:dyDescent="0.25">
      <c r="A177" s="29">
        <v>8538</v>
      </c>
      <c r="B177" s="34" t="s">
        <v>118</v>
      </c>
      <c r="C177" s="31" t="str">
        <f>VLOOKUP(B177,BASE!$A:$B,2,0)</f>
        <v>744 ENGANCHE 391 BLANCO</v>
      </c>
      <c r="D177" s="35" t="str">
        <f>VLOOKUP(B177,BASE!$A:$D,3,0)</f>
        <v>BLANCO</v>
      </c>
      <c r="E177" s="32">
        <f>VLOOKUP(B177,BASE!$A:$E,4,0)</f>
        <v>391</v>
      </c>
      <c r="F177" s="32">
        <v>2000</v>
      </c>
      <c r="G177" s="23">
        <f t="shared" si="3"/>
        <v>0.33333333333333331</v>
      </c>
      <c r="H177" s="29"/>
      <c r="I177" s="33" t="s">
        <v>955</v>
      </c>
    </row>
    <row r="178" spans="1:9" ht="20.25" customHeight="1" x14ac:dyDescent="0.25">
      <c r="A178" s="29">
        <v>8553</v>
      </c>
      <c r="B178" s="34" t="s">
        <v>31</v>
      </c>
      <c r="C178" s="31" t="str">
        <f>VLOOKUP(B178,BASE!$A:$B,2,0)</f>
        <v>744 HORIZONTAL SUPERIOR 389 GRIS PLATA</v>
      </c>
      <c r="D178" s="35" t="str">
        <f>VLOOKUP(B178,BASE!$A:$D,3,0)</f>
        <v>GRIS PLATA</v>
      </c>
      <c r="E178" s="32">
        <f>VLOOKUP(B178,BASE!$A:$E,4,0)</f>
        <v>389</v>
      </c>
      <c r="F178" s="32">
        <v>1600</v>
      </c>
      <c r="G178" s="23">
        <f t="shared" si="3"/>
        <v>0.26666666666666666</v>
      </c>
      <c r="H178" s="29"/>
      <c r="I178" s="33" t="s">
        <v>955</v>
      </c>
    </row>
    <row r="179" spans="1:9" ht="20.25" customHeight="1" x14ac:dyDescent="0.25">
      <c r="A179" s="29">
        <v>8561</v>
      </c>
      <c r="B179" s="34" t="s">
        <v>32</v>
      </c>
      <c r="C179" s="31" t="str">
        <f>VLOOKUP(B179,BASE!$A:$B,2,0)</f>
        <v>744 HORIZONTAL INFERIOR 390 GRIS PLATA</v>
      </c>
      <c r="D179" s="35" t="str">
        <f>VLOOKUP(B179,BASE!$A:$D,3,0)</f>
        <v>GRIS PLATA</v>
      </c>
      <c r="E179" s="32">
        <f>VLOOKUP(B179,BASE!$A:$E,4,0)</f>
        <v>390</v>
      </c>
      <c r="F179" s="32">
        <v>900</v>
      </c>
      <c r="G179" s="23">
        <f t="shared" si="3"/>
        <v>0.15</v>
      </c>
      <c r="H179" s="29"/>
      <c r="I179" s="33" t="s">
        <v>968</v>
      </c>
    </row>
    <row r="180" spans="1:9" ht="20.25" customHeight="1" x14ac:dyDescent="0.25">
      <c r="A180" s="29">
        <v>8564</v>
      </c>
      <c r="B180" s="34" t="s">
        <v>31</v>
      </c>
      <c r="C180" s="31" t="str">
        <f>VLOOKUP(B180,BASE!$A:$B,2,0)</f>
        <v>744 HORIZONTAL SUPERIOR 389 GRIS PLATA</v>
      </c>
      <c r="D180" s="35" t="str">
        <f>VLOOKUP(B180,BASE!$A:$D,3,0)</f>
        <v>GRIS PLATA</v>
      </c>
      <c r="E180" s="32">
        <f>VLOOKUP(B180,BASE!$A:$E,4,0)</f>
        <v>389</v>
      </c>
      <c r="F180" s="32">
        <v>900</v>
      </c>
      <c r="G180" s="23">
        <f t="shared" si="3"/>
        <v>0.15</v>
      </c>
      <c r="H180" s="29"/>
      <c r="I180" s="33" t="s">
        <v>968</v>
      </c>
    </row>
    <row r="181" spans="1:9" ht="20.25" customHeight="1" x14ac:dyDescent="0.25">
      <c r="A181" s="29">
        <v>8572</v>
      </c>
      <c r="B181" s="34" t="s">
        <v>45</v>
      </c>
      <c r="C181" s="31" t="str">
        <f>VLOOKUP(B181,BASE!$A:$B,2,0)</f>
        <v>7038 CABEZAL 700 NEGRO</v>
      </c>
      <c r="D181" s="35" t="str">
        <f>VLOOKUP(B181,BASE!$A:$D,3,0)</f>
        <v>NEGRO</v>
      </c>
      <c r="E181" s="32">
        <f>VLOOKUP(B181,BASE!$A:$E,4,0)</f>
        <v>700</v>
      </c>
      <c r="F181" s="32">
        <v>2700</v>
      </c>
      <c r="G181" s="23">
        <f t="shared" si="3"/>
        <v>0.45</v>
      </c>
      <c r="H181" s="29"/>
      <c r="I181" s="33" t="s">
        <v>965</v>
      </c>
    </row>
    <row r="182" spans="1:9" ht="20.25" customHeight="1" x14ac:dyDescent="0.25">
      <c r="A182" s="29">
        <v>8573</v>
      </c>
      <c r="B182" s="34" t="s">
        <v>416</v>
      </c>
      <c r="C182" s="31" t="str">
        <f>VLOOKUP(B182,BASE!$A:$B,2,0)</f>
        <v>7038 JAMBA 702 MATE</v>
      </c>
      <c r="D182" s="35" t="str">
        <f>VLOOKUP(B182,BASE!$A:$D,3,0)</f>
        <v>MATE</v>
      </c>
      <c r="E182" s="32">
        <f>VLOOKUP(B182,BASE!$A:$E,4,0)</f>
        <v>702</v>
      </c>
      <c r="F182" s="32">
        <v>2100</v>
      </c>
      <c r="G182" s="23">
        <f t="shared" si="3"/>
        <v>0.35</v>
      </c>
      <c r="H182" s="29"/>
      <c r="I182" s="33" t="s">
        <v>965</v>
      </c>
    </row>
    <row r="183" spans="1:9" ht="20.25" customHeight="1" x14ac:dyDescent="0.25">
      <c r="A183" s="29">
        <v>8587</v>
      </c>
      <c r="B183" s="34" t="s">
        <v>576</v>
      </c>
      <c r="C183" s="31" t="str">
        <f>VLOOKUP(B183,BASE!$A:$B,2,0)</f>
        <v>U57 MATE</v>
      </c>
      <c r="D183" s="35" t="str">
        <f>VLOOKUP(B183,BASE!$A:$D,3,0)</f>
        <v>MATE</v>
      </c>
      <c r="E183" s="32" t="str">
        <f>VLOOKUP(B183,BASE!$A:$E,4,0)</f>
        <v>U-57</v>
      </c>
      <c r="F183" s="32">
        <v>1700</v>
      </c>
      <c r="G183" s="23">
        <f t="shared" si="3"/>
        <v>0.28333333333333333</v>
      </c>
      <c r="H183" s="29"/>
      <c r="I183" s="33" t="s">
        <v>961</v>
      </c>
    </row>
    <row r="184" spans="1:9" ht="20.25" customHeight="1" x14ac:dyDescent="0.25">
      <c r="A184" s="29">
        <v>8626</v>
      </c>
      <c r="B184" s="34" t="s">
        <v>33</v>
      </c>
      <c r="C184" s="31" t="str">
        <f>VLOOKUP(B184,BASE!$A:$B,2,0)</f>
        <v>ALFAJIA S-332 MATE</v>
      </c>
      <c r="D184" s="35" t="str">
        <f>VLOOKUP(B184,BASE!$A:$D,3,0)</f>
        <v>MATE</v>
      </c>
      <c r="E184" s="32" t="str">
        <f>VLOOKUP(B184,BASE!$A:$E,4,0)</f>
        <v>S-332</v>
      </c>
      <c r="F184" s="32">
        <v>1000</v>
      </c>
      <c r="G184" s="23">
        <f t="shared" si="3"/>
        <v>0.16666666666666666</v>
      </c>
      <c r="H184" s="29"/>
      <c r="I184" s="33" t="s">
        <v>966</v>
      </c>
    </row>
    <row r="185" spans="1:9" ht="20.25" customHeight="1" x14ac:dyDescent="0.25">
      <c r="A185" s="29">
        <v>8628</v>
      </c>
      <c r="B185" s="34" t="s">
        <v>416</v>
      </c>
      <c r="C185" s="31" t="str">
        <f>VLOOKUP(B185,BASE!$A:$B,2,0)</f>
        <v>7038 JAMBA 702 MATE</v>
      </c>
      <c r="D185" s="35" t="str">
        <f>VLOOKUP(B185,BASE!$A:$D,3,0)</f>
        <v>MATE</v>
      </c>
      <c r="E185" s="32">
        <f>VLOOKUP(B185,BASE!$A:$E,4,0)</f>
        <v>702</v>
      </c>
      <c r="F185" s="32">
        <v>2600</v>
      </c>
      <c r="G185" s="23">
        <f t="shared" si="3"/>
        <v>0.43333333333333335</v>
      </c>
      <c r="H185" s="29"/>
      <c r="I185" s="33" t="s">
        <v>965</v>
      </c>
    </row>
    <row r="186" spans="1:9" ht="20.25" customHeight="1" x14ac:dyDescent="0.25">
      <c r="A186" s="29">
        <v>8647</v>
      </c>
      <c r="B186" s="34" t="s">
        <v>411</v>
      </c>
      <c r="C186" s="31" t="str">
        <f>VLOOKUP(B186,BASE!$A:$B,2,0)</f>
        <v>744 HORIZONTAL SUPERIOR 389 NEGRO</v>
      </c>
      <c r="D186" s="35" t="str">
        <f>VLOOKUP(B186,BASE!$A:$D,3,0)</f>
        <v>NEGRO</v>
      </c>
      <c r="E186" s="32">
        <f>VLOOKUP(B186,BASE!$A:$E,4,0)</f>
        <v>389</v>
      </c>
      <c r="F186" s="32">
        <v>6000</v>
      </c>
      <c r="G186" s="23">
        <f t="shared" si="3"/>
        <v>1</v>
      </c>
      <c r="H186" s="29"/>
      <c r="I186" s="33" t="s">
        <v>957</v>
      </c>
    </row>
    <row r="187" spans="1:9" ht="20.25" customHeight="1" x14ac:dyDescent="0.25">
      <c r="A187" s="29">
        <v>8680</v>
      </c>
      <c r="B187" s="34" t="s">
        <v>27</v>
      </c>
      <c r="C187" s="31" t="str">
        <f>VLOOKUP(B187,BASE!$A:$B,2,0)</f>
        <v>U32 BLANCA</v>
      </c>
      <c r="D187" s="35" t="str">
        <f>VLOOKUP(B187,BASE!$A:$D,3,0)</f>
        <v>BLANCO</v>
      </c>
      <c r="E187" s="32" t="str">
        <f>VLOOKUP(B187,BASE!$A:$E,4,0)</f>
        <v>U-32</v>
      </c>
      <c r="F187" s="32">
        <v>6000</v>
      </c>
      <c r="G187" s="23">
        <f t="shared" si="3"/>
        <v>1</v>
      </c>
      <c r="H187" s="29"/>
      <c r="I187" s="33" t="s">
        <v>958</v>
      </c>
    </row>
    <row r="188" spans="1:9" ht="20.25" customHeight="1" x14ac:dyDescent="0.25">
      <c r="A188" s="29">
        <v>8701</v>
      </c>
      <c r="B188" s="34" t="s">
        <v>330</v>
      </c>
      <c r="C188" s="31" t="str">
        <f>VLOOKUP(B188,BASE!$A:$B,2,0)</f>
        <v>7038 CABEZAL 700 BLANCO</v>
      </c>
      <c r="D188" s="35" t="str">
        <f>VLOOKUP(B188,BASE!$A:$D,3,0)</f>
        <v>BLANCO</v>
      </c>
      <c r="E188" s="32">
        <f>VLOOKUP(B188,BASE!$A:$E,4,0)</f>
        <v>700</v>
      </c>
      <c r="F188" s="32">
        <v>2900</v>
      </c>
      <c r="G188" s="23">
        <f t="shared" si="3"/>
        <v>0.48333333333333334</v>
      </c>
      <c r="H188" s="29"/>
      <c r="I188" s="33" t="s">
        <v>965</v>
      </c>
    </row>
    <row r="189" spans="1:9" ht="20.25" customHeight="1" x14ac:dyDescent="0.25">
      <c r="A189" s="29">
        <v>8702</v>
      </c>
      <c r="B189" s="34" t="s">
        <v>481</v>
      </c>
      <c r="C189" s="31" t="str">
        <f>VLOOKUP(B189,BASE!$A:$B,2,0)</f>
        <v>7038 SILLAR 701 BLANCO</v>
      </c>
      <c r="D189" s="35" t="str">
        <f>VLOOKUP(B189,BASE!$A:$D,3,0)</f>
        <v>BLANCO</v>
      </c>
      <c r="E189" s="32">
        <f>VLOOKUP(B189,BASE!$A:$E,4,0)</f>
        <v>701</v>
      </c>
      <c r="F189" s="32">
        <v>2900</v>
      </c>
      <c r="G189" s="23">
        <f t="shared" si="3"/>
        <v>0.48333333333333334</v>
      </c>
      <c r="H189" s="29"/>
      <c r="I189" s="33" t="s">
        <v>965</v>
      </c>
    </row>
    <row r="190" spans="1:9" ht="20.25" customHeight="1" x14ac:dyDescent="0.25">
      <c r="A190" s="29">
        <v>8706</v>
      </c>
      <c r="B190" s="34" t="s">
        <v>576</v>
      </c>
      <c r="C190" s="31" t="str">
        <f>VLOOKUP(B190,BASE!$A:$B,2,0)</f>
        <v>U57 MATE</v>
      </c>
      <c r="D190" s="35" t="str">
        <f>VLOOKUP(B190,BASE!$A:$D,3,0)</f>
        <v>MATE</v>
      </c>
      <c r="E190" s="32" t="str">
        <f>VLOOKUP(B190,BASE!$A:$E,4,0)</f>
        <v>U-57</v>
      </c>
      <c r="F190" s="32">
        <v>1400</v>
      </c>
      <c r="G190" s="23">
        <f t="shared" si="3"/>
        <v>0.23333333333333334</v>
      </c>
      <c r="H190" s="29"/>
      <c r="I190" s="33" t="s">
        <v>967</v>
      </c>
    </row>
    <row r="191" spans="1:9" ht="20.25" customHeight="1" x14ac:dyDescent="0.25">
      <c r="A191" s="29">
        <v>8707</v>
      </c>
      <c r="B191" s="34" t="s">
        <v>576</v>
      </c>
      <c r="C191" s="31" t="str">
        <f>VLOOKUP(B191,BASE!$A:$B,2,0)</f>
        <v>U57 MATE</v>
      </c>
      <c r="D191" s="35" t="str">
        <f>VLOOKUP(B191,BASE!$A:$D,3,0)</f>
        <v>MATE</v>
      </c>
      <c r="E191" s="32" t="str">
        <f>VLOOKUP(B191,BASE!$A:$E,4,0)</f>
        <v>U-57</v>
      </c>
      <c r="F191" s="32">
        <v>3600</v>
      </c>
      <c r="G191" s="23">
        <f t="shared" si="3"/>
        <v>0.6</v>
      </c>
      <c r="H191" s="29"/>
      <c r="I191" s="33" t="s">
        <v>963</v>
      </c>
    </row>
    <row r="192" spans="1:9" ht="20.25" customHeight="1" x14ac:dyDescent="0.25">
      <c r="A192" s="29">
        <v>8709</v>
      </c>
      <c r="B192" s="34" t="s">
        <v>53</v>
      </c>
      <c r="C192" s="31" t="str">
        <f>VLOOKUP(B192,BASE!$A:$B,2,0)</f>
        <v>U57 NEGRO</v>
      </c>
      <c r="D192" s="35" t="str">
        <f>VLOOKUP(B192,BASE!$A:$D,3,0)</f>
        <v>NEGRO</v>
      </c>
      <c r="E192" s="32" t="str">
        <f>VLOOKUP(B192,BASE!$A:$E,4,0)</f>
        <v>U-57</v>
      </c>
      <c r="F192" s="32">
        <v>2000</v>
      </c>
      <c r="G192" s="23">
        <f t="shared" si="3"/>
        <v>0.33333333333333331</v>
      </c>
      <c r="H192" s="29"/>
      <c r="I192" s="33" t="s">
        <v>961</v>
      </c>
    </row>
    <row r="193" spans="1:9" ht="20.25" customHeight="1" x14ac:dyDescent="0.25">
      <c r="A193" s="29">
        <v>8729</v>
      </c>
      <c r="B193" s="34" t="s">
        <v>706</v>
      </c>
      <c r="C193" s="31" t="str">
        <f>VLOOKUP(B193,BASE!$A:$B,2,0)</f>
        <v>TUBULAR 1102 NEGRO</v>
      </c>
      <c r="D193" s="35" t="str">
        <f>VLOOKUP(B193,BASE!$A:$D,3,0)</f>
        <v>NEGRO</v>
      </c>
      <c r="E193" s="32">
        <f>VLOOKUP(B193,BASE!$A:$E,4,0)</f>
        <v>1102</v>
      </c>
      <c r="F193" s="32">
        <v>3400</v>
      </c>
      <c r="G193" s="23">
        <f t="shared" si="3"/>
        <v>0.56666666666666665</v>
      </c>
      <c r="H193" s="29"/>
      <c r="I193" s="33" t="s">
        <v>963</v>
      </c>
    </row>
    <row r="194" spans="1:9" ht="20.25" customHeight="1" x14ac:dyDescent="0.25">
      <c r="A194" s="29">
        <v>8731</v>
      </c>
      <c r="B194" s="34" t="s">
        <v>706</v>
      </c>
      <c r="C194" s="31" t="str">
        <f>VLOOKUP(B194,BASE!$A:$B,2,0)</f>
        <v>TUBULAR 1102 NEGRO</v>
      </c>
      <c r="D194" s="35" t="str">
        <f>VLOOKUP(B194,BASE!$A:$D,3,0)</f>
        <v>NEGRO</v>
      </c>
      <c r="E194" s="32">
        <f>VLOOKUP(B194,BASE!$A:$E,4,0)</f>
        <v>1102</v>
      </c>
      <c r="F194" s="32">
        <v>1600</v>
      </c>
      <c r="G194" s="23">
        <f t="shared" si="3"/>
        <v>0.26666666666666666</v>
      </c>
      <c r="H194" s="29"/>
      <c r="I194" s="33" t="s">
        <v>961</v>
      </c>
    </row>
    <row r="195" spans="1:9" ht="20.25" customHeight="1" x14ac:dyDescent="0.25">
      <c r="A195" s="29">
        <v>8771</v>
      </c>
      <c r="B195" s="34" t="s">
        <v>27</v>
      </c>
      <c r="C195" s="31" t="str">
        <f>VLOOKUP(B195,BASE!$A:$B,2,0)</f>
        <v>U32 BLANCA</v>
      </c>
      <c r="D195" s="35" t="str">
        <f>VLOOKUP(B195,BASE!$A:$D,3,0)</f>
        <v>BLANCO</v>
      </c>
      <c r="E195" s="32" t="str">
        <f>VLOOKUP(B195,BASE!$A:$E,4,0)</f>
        <v>U-32</v>
      </c>
      <c r="F195" s="32">
        <v>4000</v>
      </c>
      <c r="G195" s="23">
        <f t="shared" si="3"/>
        <v>0.66666666666666663</v>
      </c>
      <c r="H195" s="29"/>
      <c r="I195" s="33" t="s">
        <v>984</v>
      </c>
    </row>
    <row r="196" spans="1:9" ht="20.25" customHeight="1" x14ac:dyDescent="0.25">
      <c r="A196" s="29">
        <v>8828</v>
      </c>
      <c r="B196" s="30" t="s">
        <v>234</v>
      </c>
      <c r="C196" s="31" t="str">
        <f>VLOOKUP(B196,BASE!$A:$B,2,0)</f>
        <v>3831 NAVE 176 GRIS PLATA</v>
      </c>
      <c r="D196" s="35" t="str">
        <f>VLOOKUP(B196,BASE!$A:$D,3,0)</f>
        <v>GRIS PLATA</v>
      </c>
      <c r="E196" s="32">
        <f>VLOOKUP(B196,BASE!$A:$E,4,0)</f>
        <v>176</v>
      </c>
      <c r="F196" s="32">
        <v>4400</v>
      </c>
      <c r="G196" s="23">
        <f t="shared" si="3"/>
        <v>0.73333333333333328</v>
      </c>
      <c r="H196" s="29"/>
      <c r="I196" s="33" t="s">
        <v>962</v>
      </c>
    </row>
    <row r="197" spans="1:9" ht="20.25" customHeight="1" x14ac:dyDescent="0.25">
      <c r="A197" s="29">
        <v>8830</v>
      </c>
      <c r="B197" s="30" t="s">
        <v>30</v>
      </c>
      <c r="C197" s="31" t="str">
        <f>VLOOKUP(B197,BASE!$A:$B,2,0)</f>
        <v>FALSA RETICULA 511 MATE</v>
      </c>
      <c r="D197" s="35" t="str">
        <f>VLOOKUP(B197,BASE!$A:$D,3,0)</f>
        <v>MATE</v>
      </c>
      <c r="E197" s="32">
        <f>VLOOKUP(B197,BASE!$A:$E,4,0)</f>
        <v>511</v>
      </c>
      <c r="F197" s="32">
        <v>4400</v>
      </c>
      <c r="G197" s="23">
        <f t="shared" si="3"/>
        <v>0.73333333333333328</v>
      </c>
      <c r="H197" s="29"/>
      <c r="I197" s="33" t="s">
        <v>963</v>
      </c>
    </row>
    <row r="198" spans="1:9" ht="20.25" customHeight="1" x14ac:dyDescent="0.25">
      <c r="A198" s="29">
        <v>8837</v>
      </c>
      <c r="B198" s="30" t="s">
        <v>563</v>
      </c>
      <c r="C198" s="31" t="str">
        <f>VLOOKUP(B198,BASE!$A:$B,2,0)</f>
        <v>TUBULAR 1101 NEGRO</v>
      </c>
      <c r="D198" s="35" t="str">
        <f>VLOOKUP(B198,BASE!$A:$D,3,0)</f>
        <v>NEGRO</v>
      </c>
      <c r="E198" s="32">
        <f>VLOOKUP(B198,BASE!$A:$E,4,0)</f>
        <v>1101</v>
      </c>
      <c r="F198" s="32">
        <v>1800</v>
      </c>
      <c r="G198" s="23">
        <f t="shared" si="3"/>
        <v>0.3</v>
      </c>
      <c r="H198" s="29"/>
      <c r="I198" s="33" t="s">
        <v>961</v>
      </c>
    </row>
    <row r="199" spans="1:9" ht="20.25" customHeight="1" x14ac:dyDescent="0.25">
      <c r="A199" s="29">
        <v>8887</v>
      </c>
      <c r="B199" s="30" t="s">
        <v>175</v>
      </c>
      <c r="C199" s="31" t="str">
        <f>VLOOKUP(B199,BASE!$A:$B,2,0)</f>
        <v>3831 NAVE 176 MATE</v>
      </c>
      <c r="D199" s="35" t="str">
        <f>VLOOKUP(B199,BASE!$A:$D,3,0)</f>
        <v>MATE</v>
      </c>
      <c r="E199" s="32">
        <f>VLOOKUP(B199,BASE!$A:$E,4,0)</f>
        <v>176</v>
      </c>
      <c r="F199" s="32">
        <v>500</v>
      </c>
      <c r="G199" s="23">
        <f t="shared" si="3"/>
        <v>8.3333333333333329E-2</v>
      </c>
      <c r="H199" s="29"/>
      <c r="I199" s="33" t="s">
        <v>969</v>
      </c>
    </row>
    <row r="200" spans="1:9" ht="20.25" customHeight="1" x14ac:dyDescent="0.25">
      <c r="A200" s="29">
        <v>8917</v>
      </c>
      <c r="B200" s="30" t="s">
        <v>189</v>
      </c>
      <c r="C200" s="31" t="str">
        <f>VLOOKUP(B200,BASE!$A:$B,2,0)</f>
        <v>TUBULAR T-97 MATE</v>
      </c>
      <c r="D200" s="35" t="str">
        <f>VLOOKUP(B200,BASE!$A:$D,3,0)</f>
        <v>MATE</v>
      </c>
      <c r="E200" s="32" t="str">
        <f>VLOOKUP(B200,BASE!$A:$E,4,0)</f>
        <v>T-97</v>
      </c>
      <c r="F200" s="32">
        <v>1300</v>
      </c>
      <c r="G200" s="23">
        <f t="shared" si="3"/>
        <v>0.21666666666666667</v>
      </c>
      <c r="H200" s="29"/>
      <c r="I200" s="33" t="s">
        <v>967</v>
      </c>
    </row>
    <row r="201" spans="1:9" ht="20.25" customHeight="1" x14ac:dyDescent="0.25">
      <c r="A201" s="29">
        <v>8931</v>
      </c>
      <c r="B201" s="30" t="s">
        <v>342</v>
      </c>
      <c r="C201" s="31" t="str">
        <f>VLOOKUP(B201,BASE!$A:$B,2,0)</f>
        <v>CABEZAL CABINA S-319 NEGRO</v>
      </c>
      <c r="D201" s="35" t="str">
        <f>VLOOKUP(B201,BASE!$A:$D,3,0)</f>
        <v>NEGRO</v>
      </c>
      <c r="E201" s="32" t="str">
        <f>VLOOKUP(B201,BASE!$A:$E,4,0)</f>
        <v>S-319</v>
      </c>
      <c r="F201" s="32">
        <v>700</v>
      </c>
      <c r="G201" s="23">
        <f t="shared" si="3"/>
        <v>0.11666666666666667</v>
      </c>
      <c r="H201" s="29"/>
      <c r="I201" s="33" t="s">
        <v>967</v>
      </c>
    </row>
    <row r="202" spans="1:9" ht="20.25" customHeight="1" x14ac:dyDescent="0.25">
      <c r="A202" s="29">
        <v>8935</v>
      </c>
      <c r="B202" s="30" t="s">
        <v>340</v>
      </c>
      <c r="C202" s="31" t="str">
        <f>VLOOKUP(B202,BASE!$A:$B,2,0)</f>
        <v>8025 CABEZAL 706 NEGRO</v>
      </c>
      <c r="D202" s="35" t="str">
        <f>VLOOKUP(B202,BASE!$A:$D,3,0)</f>
        <v>NEGRO</v>
      </c>
      <c r="E202" s="32">
        <f>VLOOKUP(B202,BASE!$A:$E,4,0)</f>
        <v>706</v>
      </c>
      <c r="F202" s="32">
        <v>2600</v>
      </c>
      <c r="G202" s="23">
        <f t="shared" si="3"/>
        <v>0.43333333333333335</v>
      </c>
      <c r="H202" s="29"/>
      <c r="I202" s="33" t="s">
        <v>965</v>
      </c>
    </row>
    <row r="203" spans="1:9" ht="20.25" customHeight="1" x14ac:dyDescent="0.25">
      <c r="A203" s="29">
        <v>8936</v>
      </c>
      <c r="B203" s="30" t="s">
        <v>139</v>
      </c>
      <c r="C203" s="31" t="str">
        <f>VLOOKUP(B203,BASE!$A:$B,2,0)</f>
        <v>8025 SILLAR 707 NEGRO</v>
      </c>
      <c r="D203" s="35" t="str">
        <f>VLOOKUP(B203,BASE!$A:$D,3,0)</f>
        <v>NEGRO</v>
      </c>
      <c r="E203" s="32">
        <f>VLOOKUP(B203,BASE!$A:$E,4,0)</f>
        <v>707</v>
      </c>
      <c r="F203" s="32">
        <v>2600</v>
      </c>
      <c r="G203" s="23">
        <f t="shared" si="3"/>
        <v>0.43333333333333335</v>
      </c>
      <c r="H203" s="29"/>
      <c r="I203" s="33" t="s">
        <v>965</v>
      </c>
    </row>
    <row r="204" spans="1:9" ht="20.25" customHeight="1" x14ac:dyDescent="0.25">
      <c r="A204" s="29">
        <v>8946</v>
      </c>
      <c r="B204" s="30" t="s">
        <v>441</v>
      </c>
      <c r="C204" s="31" t="str">
        <f>VLOOKUP(B204,BASE!$A:$B,2,0)</f>
        <v>7038 JAMBA 702 NEGRO</v>
      </c>
      <c r="D204" s="35" t="str">
        <f>VLOOKUP(B204,BASE!$A:$D,3,0)</f>
        <v>NEGRO</v>
      </c>
      <c r="E204" s="32">
        <f>VLOOKUP(B204,BASE!$A:$E,4,0)</f>
        <v>702</v>
      </c>
      <c r="F204" s="32">
        <v>6000</v>
      </c>
      <c r="G204" s="23">
        <f t="shared" si="3"/>
        <v>1</v>
      </c>
      <c r="H204" s="29"/>
      <c r="I204" s="33" t="s">
        <v>956</v>
      </c>
    </row>
    <row r="205" spans="1:9" ht="20.25" customHeight="1" x14ac:dyDescent="0.25">
      <c r="A205" s="29">
        <v>8948</v>
      </c>
      <c r="B205" s="30" t="s">
        <v>706</v>
      </c>
      <c r="C205" s="31" t="str">
        <f>VLOOKUP(B205,BASE!$A:$B,2,0)</f>
        <v>TUBULAR 1102 NEGRO</v>
      </c>
      <c r="D205" s="35" t="str">
        <f>VLOOKUP(B205,BASE!$A:$D,3,0)</f>
        <v>NEGRO</v>
      </c>
      <c r="E205" s="32">
        <f>VLOOKUP(B205,BASE!$A:$E,4,0)</f>
        <v>1102</v>
      </c>
      <c r="F205" s="32">
        <v>6000</v>
      </c>
      <c r="G205" s="23">
        <f t="shared" si="3"/>
        <v>1</v>
      </c>
      <c r="H205" s="29"/>
      <c r="I205" s="33" t="s">
        <v>956</v>
      </c>
    </row>
    <row r="206" spans="1:9" ht="20.25" customHeight="1" x14ac:dyDescent="0.25">
      <c r="A206" s="29">
        <v>8985</v>
      </c>
      <c r="B206" s="30" t="s">
        <v>774</v>
      </c>
      <c r="C206" s="31" t="str">
        <f>VLOOKUP(B206,BASE!$A:$B,2,0)</f>
        <v>744 JAMBA 1858 TRES RIELES MATE</v>
      </c>
      <c r="D206" s="35" t="str">
        <f>VLOOKUP(B206,BASE!$A:$D,3,0)</f>
        <v>MATE</v>
      </c>
      <c r="E206" s="32">
        <f>VLOOKUP(B206,BASE!$A:$E,4,0)</f>
        <v>1858</v>
      </c>
      <c r="F206" s="32">
        <v>4800</v>
      </c>
      <c r="G206" s="23">
        <f t="shared" si="3"/>
        <v>0.8</v>
      </c>
      <c r="H206" s="29"/>
      <c r="I206" s="33" t="s">
        <v>962</v>
      </c>
    </row>
    <row r="207" spans="1:9" ht="20.25" customHeight="1" x14ac:dyDescent="0.25">
      <c r="A207" s="29">
        <v>8986</v>
      </c>
      <c r="B207" s="30" t="s">
        <v>95</v>
      </c>
      <c r="C207" s="31" t="str">
        <f>VLOOKUP(B207,BASE!$A:$B,2,0)</f>
        <v xml:space="preserve">PERFIL MOSQUITERO M-364 </v>
      </c>
      <c r="D207" s="35" t="str">
        <f>VLOOKUP(B207,BASE!$A:$D,3,0)</f>
        <v xml:space="preserve">CRUDO </v>
      </c>
      <c r="E207" s="32" t="str">
        <f>VLOOKUP(B207,BASE!$A:$E,4,0)</f>
        <v>M-364</v>
      </c>
      <c r="F207" s="32">
        <v>5100</v>
      </c>
      <c r="G207" s="23">
        <f t="shared" si="3"/>
        <v>0.85</v>
      </c>
      <c r="H207" s="29"/>
      <c r="I207" s="33" t="s">
        <v>963</v>
      </c>
    </row>
    <row r="208" spans="1:9" ht="20.25" customHeight="1" x14ac:dyDescent="0.25">
      <c r="A208" s="29">
        <v>8990</v>
      </c>
      <c r="B208" s="30" t="s">
        <v>518</v>
      </c>
      <c r="C208" s="31" t="str">
        <f>VLOOKUP(B208,BASE!$A:$B,2,0)</f>
        <v>7038 TRASLAPE 704 MATE</v>
      </c>
      <c r="D208" s="35" t="str">
        <f>VLOOKUP(B208,BASE!$A:$D,3,0)</f>
        <v>MATE</v>
      </c>
      <c r="E208" s="32">
        <f>VLOOKUP(B208,BASE!$A:$E,4,0)</f>
        <v>704</v>
      </c>
      <c r="F208" s="32">
        <v>3000</v>
      </c>
      <c r="G208" s="23">
        <f t="shared" si="3"/>
        <v>0.5</v>
      </c>
      <c r="H208" s="29"/>
      <c r="I208" s="33" t="s">
        <v>960</v>
      </c>
    </row>
    <row r="209" spans="1:9" ht="20.25" customHeight="1" x14ac:dyDescent="0.25">
      <c r="A209" s="29">
        <v>8992</v>
      </c>
      <c r="B209" s="30" t="s">
        <v>397</v>
      </c>
      <c r="C209" s="31" t="str">
        <f>VLOOKUP(B209,BASE!$A:$B,2,0)</f>
        <v>7038 HORIZONTAL 703 MATE</v>
      </c>
      <c r="D209" s="35" t="str">
        <f>VLOOKUP(B209,BASE!$A:$D,3,0)</f>
        <v>MATE</v>
      </c>
      <c r="E209" s="32">
        <f>VLOOKUP(B209,BASE!$A:$E,4,0)</f>
        <v>703</v>
      </c>
      <c r="F209" s="32">
        <v>2400</v>
      </c>
      <c r="G209" s="23">
        <f t="shared" si="3"/>
        <v>0.4</v>
      </c>
      <c r="H209" s="29"/>
      <c r="I209" s="33" t="s">
        <v>960</v>
      </c>
    </row>
    <row r="210" spans="1:9" ht="20.25" customHeight="1" x14ac:dyDescent="0.25">
      <c r="A210" s="29">
        <v>8993</v>
      </c>
      <c r="B210" s="30" t="s">
        <v>397</v>
      </c>
      <c r="C210" s="31" t="str">
        <f>VLOOKUP(B210,BASE!$A:$B,2,0)</f>
        <v>7038 HORIZONTAL 703 MATE</v>
      </c>
      <c r="D210" s="35" t="str">
        <f>VLOOKUP(B210,BASE!$A:$D,3,0)</f>
        <v>MATE</v>
      </c>
      <c r="E210" s="32">
        <f>VLOOKUP(B210,BASE!$A:$E,4,0)</f>
        <v>703</v>
      </c>
      <c r="F210" s="32">
        <v>2400</v>
      </c>
      <c r="G210" s="23">
        <f t="shared" si="3"/>
        <v>0.4</v>
      </c>
      <c r="H210" s="29"/>
      <c r="I210" s="33" t="s">
        <v>960</v>
      </c>
    </row>
    <row r="211" spans="1:9" ht="20.25" customHeight="1" x14ac:dyDescent="0.25">
      <c r="A211" s="29">
        <v>8995</v>
      </c>
      <c r="B211" s="30" t="s">
        <v>416</v>
      </c>
      <c r="C211" s="31" t="str">
        <f>VLOOKUP(B211,BASE!$A:$B,2,0)</f>
        <v>7038 JAMBA 702 MATE</v>
      </c>
      <c r="D211" s="35" t="str">
        <f>VLOOKUP(B211,BASE!$A:$D,3,0)</f>
        <v>MATE</v>
      </c>
      <c r="E211" s="32">
        <f>VLOOKUP(B211,BASE!$A:$E,4,0)</f>
        <v>702</v>
      </c>
      <c r="F211" s="32">
        <v>2800</v>
      </c>
      <c r="G211" s="23">
        <f t="shared" si="3"/>
        <v>0.46666666666666667</v>
      </c>
      <c r="H211" s="29"/>
      <c r="I211" s="33" t="s">
        <v>965</v>
      </c>
    </row>
    <row r="212" spans="1:9" ht="20.25" customHeight="1" x14ac:dyDescent="0.25">
      <c r="A212" s="29">
        <v>8996</v>
      </c>
      <c r="B212" s="30" t="s">
        <v>430</v>
      </c>
      <c r="C212" s="31" t="str">
        <f>VLOOKUP(B212,BASE!$A:$B,2,0)</f>
        <v>7038 JAMBA 702 BLANCO</v>
      </c>
      <c r="D212" s="35" t="str">
        <f>VLOOKUP(B212,BASE!$A:$D,3,0)</f>
        <v>BLANCO</v>
      </c>
      <c r="E212" s="32">
        <f>VLOOKUP(B212,BASE!$A:$E,4,0)</f>
        <v>702</v>
      </c>
      <c r="F212" s="32">
        <v>3000</v>
      </c>
      <c r="G212" s="23">
        <f t="shared" si="3"/>
        <v>0.5</v>
      </c>
      <c r="H212" s="29"/>
      <c r="I212" s="33" t="s">
        <v>965</v>
      </c>
    </row>
    <row r="213" spans="1:9" ht="20.25" customHeight="1" x14ac:dyDescent="0.25">
      <c r="A213" s="29">
        <v>9005</v>
      </c>
      <c r="B213" s="30" t="s">
        <v>558</v>
      </c>
      <c r="C213" s="31" t="str">
        <f>VLOOKUP(B213,BASE!$A:$B,2,0)</f>
        <v>TUBULAR T-95 BRONCE</v>
      </c>
      <c r="D213" s="35" t="str">
        <f>VLOOKUP(B213,BASE!$A:$D,3,0)</f>
        <v>BRONCE</v>
      </c>
      <c r="E213" s="32" t="str">
        <f>VLOOKUP(B213,BASE!$A:$E,4,0)</f>
        <v>T-95</v>
      </c>
      <c r="F213" s="32">
        <v>1900</v>
      </c>
      <c r="G213" s="23">
        <f t="shared" si="3"/>
        <v>0.31666666666666665</v>
      </c>
      <c r="H213" s="29"/>
      <c r="I213" s="33" t="s">
        <v>961</v>
      </c>
    </row>
    <row r="214" spans="1:9" ht="20.25" customHeight="1" x14ac:dyDescent="0.25">
      <c r="A214" s="29">
        <v>9006</v>
      </c>
      <c r="B214" s="30" t="s">
        <v>153</v>
      </c>
      <c r="C214" s="31" t="str">
        <f>VLOOKUP(B214,BASE!$A:$B,2,0)</f>
        <v>TUBULAR 1102 MATE</v>
      </c>
      <c r="D214" s="35" t="str">
        <f>VLOOKUP(B214,BASE!$A:$D,3,0)</f>
        <v>MATE</v>
      </c>
      <c r="E214" s="32">
        <f>VLOOKUP(B214,BASE!$A:$E,4,0)</f>
        <v>1102</v>
      </c>
      <c r="F214" s="32">
        <v>1500</v>
      </c>
      <c r="G214" s="23">
        <f t="shared" si="3"/>
        <v>0.25</v>
      </c>
      <c r="H214" s="29"/>
      <c r="I214" s="33" t="s">
        <v>961</v>
      </c>
    </row>
    <row r="215" spans="1:9" ht="20.25" customHeight="1" x14ac:dyDescent="0.25">
      <c r="A215" s="29">
        <v>9008</v>
      </c>
      <c r="B215" s="30" t="s">
        <v>342</v>
      </c>
      <c r="C215" s="31" t="str">
        <f>VLOOKUP(B215,BASE!$A:$B,2,0)</f>
        <v>CABEZAL CABINA S-319 NEGRO</v>
      </c>
      <c r="D215" s="35" t="str">
        <f>VLOOKUP(B215,BASE!$A:$D,3,0)</f>
        <v>NEGRO</v>
      </c>
      <c r="E215" s="32" t="str">
        <f>VLOOKUP(B215,BASE!$A:$E,4,0)</f>
        <v>S-319</v>
      </c>
      <c r="F215" s="32">
        <v>1200</v>
      </c>
      <c r="G215" s="23">
        <f t="shared" si="3"/>
        <v>0.2</v>
      </c>
      <c r="H215" s="29"/>
      <c r="I215" s="33" t="s">
        <v>967</v>
      </c>
    </row>
    <row r="216" spans="1:9" ht="20.25" customHeight="1" x14ac:dyDescent="0.25">
      <c r="A216" s="29">
        <v>9022</v>
      </c>
      <c r="B216" s="30" t="s">
        <v>9</v>
      </c>
      <c r="C216" s="31" t="str">
        <f>VLOOKUP(B216,BASE!$A:$B,2,0)</f>
        <v>PERFIL F 463 CRUDO</v>
      </c>
      <c r="D216" s="35" t="str">
        <f>VLOOKUP(B216,BASE!$A:$D,3,0)</f>
        <v xml:space="preserve">CRUDO </v>
      </c>
      <c r="E216" s="32" t="str">
        <f>VLOOKUP(B216,BASE!$A:$E,4,0)</f>
        <v>F-463</v>
      </c>
      <c r="F216" s="32">
        <v>1900</v>
      </c>
      <c r="G216" s="23">
        <f t="shared" si="3"/>
        <v>0.31666666666666665</v>
      </c>
      <c r="H216" s="29"/>
      <c r="I216" s="33"/>
    </row>
    <row r="217" spans="1:9" ht="20.25" customHeight="1" x14ac:dyDescent="0.25">
      <c r="A217" s="29">
        <v>9023</v>
      </c>
      <c r="B217" s="30" t="s">
        <v>218</v>
      </c>
      <c r="C217" s="31" t="str">
        <f>VLOOKUP(B217,BASE!$A:$B,2,0)</f>
        <v>744 ENGANCHE 391 CRUDO</v>
      </c>
      <c r="D217" s="35" t="str">
        <f>VLOOKUP(B217,BASE!$A:$D,3,0)</f>
        <v xml:space="preserve">CRUDO </v>
      </c>
      <c r="E217" s="32">
        <f>VLOOKUP(B217,BASE!$A:$E,4,0)</f>
        <v>391</v>
      </c>
      <c r="F217" s="32">
        <v>1900</v>
      </c>
      <c r="G217" s="23">
        <f t="shared" si="3"/>
        <v>0.31666666666666665</v>
      </c>
      <c r="H217" s="29"/>
      <c r="I217" s="33"/>
    </row>
    <row r="218" spans="1:9" ht="20.25" customHeight="1" x14ac:dyDescent="0.25">
      <c r="A218" s="29">
        <v>9024</v>
      </c>
      <c r="B218" s="30" t="s">
        <v>889</v>
      </c>
      <c r="C218" s="31" t="str">
        <f>VLOOKUP(B218,BASE!$A:$B,2,0)</f>
        <v>744 TRASLAPE 388 CRUDO</v>
      </c>
      <c r="D218" s="35" t="str">
        <f>VLOOKUP(B218,BASE!$A:$D,3,0)</f>
        <v xml:space="preserve">CRUDO </v>
      </c>
      <c r="E218" s="32">
        <f>VLOOKUP(B218,BASE!$A:$E,4,0)</f>
        <v>388</v>
      </c>
      <c r="F218" s="32">
        <v>1900</v>
      </c>
      <c r="G218" s="23">
        <f t="shared" si="3"/>
        <v>0.31666666666666665</v>
      </c>
      <c r="H218" s="29"/>
      <c r="I218" s="33"/>
    </row>
    <row r="219" spans="1:9" ht="20.25" customHeight="1" x14ac:dyDescent="0.25">
      <c r="A219" s="29">
        <v>9025</v>
      </c>
      <c r="B219" s="30" t="s">
        <v>847</v>
      </c>
      <c r="C219" s="31" t="str">
        <f>VLOOKUP(B219,BASE!$A:$B,2,0)</f>
        <v>744 HORIZONTAL SUPERIOR 389 CRUDO</v>
      </c>
      <c r="D219" s="35" t="str">
        <f>VLOOKUP(B219,BASE!$A:$D,3,0)</f>
        <v xml:space="preserve">CRUDO </v>
      </c>
      <c r="E219" s="32">
        <f>VLOOKUP(B219,BASE!$A:$E,4,0)</f>
        <v>389</v>
      </c>
      <c r="F219" s="32">
        <v>3100</v>
      </c>
      <c r="G219" s="23">
        <f t="shared" si="3"/>
        <v>0.51666666666666672</v>
      </c>
      <c r="H219" s="29"/>
      <c r="I219" s="33"/>
    </row>
    <row r="220" spans="1:9" ht="20.25" customHeight="1" x14ac:dyDescent="0.25">
      <c r="A220" s="29">
        <v>9026</v>
      </c>
      <c r="B220" s="30" t="s">
        <v>425</v>
      </c>
      <c r="C220" s="31" t="str">
        <f>VLOOKUP(B220,BASE!$A:$B,2,0)</f>
        <v>3831 JAMBA 174 CRUDO</v>
      </c>
      <c r="D220" s="35" t="str">
        <f>VLOOKUP(B220,BASE!$A:$D,3,0)</f>
        <v xml:space="preserve">CRUDO </v>
      </c>
      <c r="E220" s="32">
        <f>VLOOKUP(B220,BASE!$A:$E,4,0)</f>
        <v>174</v>
      </c>
      <c r="F220" s="32">
        <v>1500</v>
      </c>
      <c r="G220" s="23">
        <f t="shared" si="3"/>
        <v>0.25</v>
      </c>
      <c r="H220" s="29"/>
      <c r="I220" s="33"/>
    </row>
    <row r="221" spans="1:9" ht="20.25" customHeight="1" x14ac:dyDescent="0.25">
      <c r="A221" s="29">
        <v>9028</v>
      </c>
      <c r="B221" s="30" t="s">
        <v>739</v>
      </c>
      <c r="C221" s="31" t="str">
        <f>VLOOKUP(B221,BASE!$A:$B,2,0)</f>
        <v>744 JAMBA 393 CRUDO</v>
      </c>
      <c r="D221" s="35" t="str">
        <f>VLOOKUP(B221,BASE!$A:$D,3,0)</f>
        <v xml:space="preserve">CRUDO </v>
      </c>
      <c r="E221" s="32">
        <f>VLOOKUP(B221,BASE!$A:$E,4,0)</f>
        <v>393</v>
      </c>
      <c r="F221" s="32">
        <v>1700</v>
      </c>
      <c r="G221" s="23">
        <f t="shared" si="3"/>
        <v>0.28333333333333333</v>
      </c>
      <c r="H221" s="29"/>
      <c r="I221" s="33"/>
    </row>
    <row r="222" spans="1:9" ht="20.25" customHeight="1" x14ac:dyDescent="0.25">
      <c r="A222" s="29">
        <v>9029</v>
      </c>
      <c r="B222" s="30" t="s">
        <v>477</v>
      </c>
      <c r="C222" s="31" t="str">
        <f>VLOOKUP(B222,BASE!$A:$B,2,0)</f>
        <v>3831 SILLAR CABEZAL 173 CRUDO</v>
      </c>
      <c r="D222" s="35" t="str">
        <f>VLOOKUP(B222,BASE!$A:$D,3,0)</f>
        <v xml:space="preserve">CRUDO </v>
      </c>
      <c r="E222" s="32">
        <v>173</v>
      </c>
      <c r="F222" s="32">
        <v>2100</v>
      </c>
      <c r="G222" s="23">
        <f t="shared" si="3"/>
        <v>0.35</v>
      </c>
      <c r="H222" s="29"/>
      <c r="I222" s="33"/>
    </row>
    <row r="223" spans="1:9" ht="20.25" customHeight="1" x14ac:dyDescent="0.25">
      <c r="A223" s="29">
        <v>9030</v>
      </c>
      <c r="B223" s="30" t="s">
        <v>1009</v>
      </c>
      <c r="C223" s="31" t="str">
        <f>VLOOKUP(B223,BASE!$A:$B,2,0)</f>
        <v>PERSIANA 315 CRUDO</v>
      </c>
      <c r="D223" s="35" t="str">
        <f>VLOOKUP(B223,BASE!$A:$D,3,0)</f>
        <v xml:space="preserve">CRUDO </v>
      </c>
      <c r="E223" s="32">
        <f>VLOOKUP(B223,BASE!$A:$E,4,0)</f>
        <v>315</v>
      </c>
      <c r="F223" s="32">
        <v>1300</v>
      </c>
      <c r="G223" s="23">
        <f t="shared" si="3"/>
        <v>0.21666666666666667</v>
      </c>
      <c r="H223" s="29"/>
      <c r="I223" s="33"/>
    </row>
    <row r="224" spans="1:9" ht="20.25" customHeight="1" x14ac:dyDescent="0.25">
      <c r="A224" s="29">
        <v>9032</v>
      </c>
      <c r="B224" s="30" t="s">
        <v>255</v>
      </c>
      <c r="C224" s="31" t="str">
        <f>VLOOKUP(B224,BASE!$A:$B,2,0)</f>
        <v>TUBULAR T-94 CRUDO</v>
      </c>
      <c r="D224" s="35" t="str">
        <f>VLOOKUP(B224,BASE!$A:$D,3,0)</f>
        <v xml:space="preserve">CRUDO </v>
      </c>
      <c r="E224" s="32" t="str">
        <f>VLOOKUP(B224,BASE!$A:$E,4,0)</f>
        <v>T-94</v>
      </c>
      <c r="F224" s="32">
        <v>1000</v>
      </c>
      <c r="G224" s="23">
        <f t="shared" si="3"/>
        <v>0.16666666666666666</v>
      </c>
      <c r="H224" s="29"/>
      <c r="I224" s="33"/>
    </row>
    <row r="225" spans="1:9" ht="20.25" customHeight="1" x14ac:dyDescent="0.25">
      <c r="A225" s="29">
        <v>9041</v>
      </c>
      <c r="B225" s="30" t="s">
        <v>1009</v>
      </c>
      <c r="C225" s="31" t="str">
        <f>VLOOKUP(B225,BASE!$A:$B,2,0)</f>
        <v>PERSIANA 315 CRUDO</v>
      </c>
      <c r="D225" s="35" t="str">
        <f>VLOOKUP(B225,BASE!$A:$D,3,0)</f>
        <v xml:space="preserve">CRUDO </v>
      </c>
      <c r="E225" s="32">
        <f>VLOOKUP(B225,BASE!$A:$E,4,0)</f>
        <v>315</v>
      </c>
      <c r="F225" s="32">
        <v>6000</v>
      </c>
      <c r="G225" s="23">
        <f t="shared" si="3"/>
        <v>1</v>
      </c>
      <c r="H225" s="29"/>
      <c r="I225" s="33" t="s">
        <v>957</v>
      </c>
    </row>
    <row r="226" spans="1:9" ht="20.25" customHeight="1" x14ac:dyDescent="0.25">
      <c r="A226" s="29">
        <v>9051</v>
      </c>
      <c r="B226" s="30" t="s">
        <v>597</v>
      </c>
      <c r="C226" s="31" t="str">
        <f>VLOOKUP(B226,BASE!$A:$B,2,0)</f>
        <v>TABLILLA F-08 NEGRA</v>
      </c>
      <c r="D226" s="35" t="str">
        <f>VLOOKUP(B226,BASE!$A:$D,3,0)</f>
        <v>NEGRO</v>
      </c>
      <c r="E226" s="32" t="str">
        <f>VLOOKUP(B226,BASE!$A:$E,4,0)</f>
        <v>F-08</v>
      </c>
      <c r="F226" s="32">
        <v>3300</v>
      </c>
      <c r="G226" s="23">
        <f t="shared" si="3"/>
        <v>0.55000000000000004</v>
      </c>
      <c r="H226" s="29"/>
      <c r="I226" s="33" t="s">
        <v>964</v>
      </c>
    </row>
    <row r="227" spans="1:9" ht="20.25" customHeight="1" x14ac:dyDescent="0.25">
      <c r="A227" s="29">
        <v>9052</v>
      </c>
      <c r="B227" s="30" t="s">
        <v>773</v>
      </c>
      <c r="C227" s="31" t="str">
        <f>VLOOKUP(B227,BASE!$A:$B,2,0)</f>
        <v>744 SILLAR 1856 TRES RIELES MATE</v>
      </c>
      <c r="D227" s="35" t="str">
        <f>VLOOKUP(B227,BASE!$A:$D,3,0)</f>
        <v>MATE</v>
      </c>
      <c r="E227" s="32">
        <f>VLOOKUP(B227,BASE!$A:$E,4,0)</f>
        <v>1856</v>
      </c>
      <c r="F227" s="32">
        <v>4000</v>
      </c>
      <c r="G227" s="23">
        <f t="shared" si="3"/>
        <v>0.66666666666666663</v>
      </c>
      <c r="H227" s="29"/>
      <c r="I227" s="33" t="s">
        <v>962</v>
      </c>
    </row>
    <row r="228" spans="1:9" ht="20.25" customHeight="1" x14ac:dyDescent="0.25">
      <c r="A228" s="29">
        <v>9053</v>
      </c>
      <c r="B228" s="30" t="s">
        <v>772</v>
      </c>
      <c r="C228" s="31" t="str">
        <f>VLOOKUP(B228,BASE!$A:$B,2,0)</f>
        <v>744 CABEZAL 1857 TRES RIELES MATE</v>
      </c>
      <c r="D228" s="35" t="str">
        <f>VLOOKUP(B228,BASE!$A:$D,3,0)</f>
        <v>MATE</v>
      </c>
      <c r="E228" s="32">
        <f>VLOOKUP(B228,BASE!$A:$E,4,0)</f>
        <v>1857</v>
      </c>
      <c r="F228" s="32">
        <v>4000</v>
      </c>
      <c r="G228" s="23">
        <f t="shared" si="3"/>
        <v>0.66666666666666663</v>
      </c>
      <c r="H228" s="29"/>
      <c r="I228" s="33" t="s">
        <v>962</v>
      </c>
    </row>
    <row r="229" spans="1:9" ht="20.25" customHeight="1" x14ac:dyDescent="0.25">
      <c r="A229" s="29">
        <v>9055</v>
      </c>
      <c r="B229" s="30" t="s">
        <v>706</v>
      </c>
      <c r="C229" s="31" t="str">
        <f>VLOOKUP(B229,BASE!$A:$B,2,0)</f>
        <v>TUBULAR 1102 NEGRO</v>
      </c>
      <c r="D229" s="35" t="str">
        <f>VLOOKUP(B229,BASE!$A:$D,3,0)</f>
        <v>NEGRO</v>
      </c>
      <c r="E229" s="32">
        <f>VLOOKUP(B229,BASE!$A:$E,4,0)</f>
        <v>1102</v>
      </c>
      <c r="F229" s="32">
        <v>700</v>
      </c>
      <c r="G229" s="23">
        <f t="shared" si="3"/>
        <v>0.11666666666666667</v>
      </c>
      <c r="H229" s="29"/>
      <c r="I229" s="33" t="s">
        <v>968</v>
      </c>
    </row>
    <row r="230" spans="1:9" ht="20.25" customHeight="1" x14ac:dyDescent="0.25">
      <c r="A230" s="29">
        <v>9056</v>
      </c>
      <c r="B230" s="30" t="s">
        <v>706</v>
      </c>
      <c r="C230" s="31" t="str">
        <f>VLOOKUP(B230,BASE!$A:$B,2,0)</f>
        <v>TUBULAR 1102 NEGRO</v>
      </c>
      <c r="D230" s="35" t="str">
        <f>VLOOKUP(B230,BASE!$A:$D,3,0)</f>
        <v>NEGRO</v>
      </c>
      <c r="E230" s="32">
        <f>VLOOKUP(B230,BASE!$A:$E,4,0)</f>
        <v>1102</v>
      </c>
      <c r="F230" s="32">
        <v>700</v>
      </c>
      <c r="G230" s="23">
        <f t="shared" si="3"/>
        <v>0.11666666666666667</v>
      </c>
      <c r="H230" s="29"/>
      <c r="I230" s="33" t="s">
        <v>969</v>
      </c>
    </row>
    <row r="231" spans="1:9" ht="20.25" customHeight="1" x14ac:dyDescent="0.25">
      <c r="A231" s="29">
        <v>9057</v>
      </c>
      <c r="B231" s="30" t="s">
        <v>11</v>
      </c>
      <c r="C231" s="31" t="str">
        <f>VLOOKUP(B231,BASE!$A:$B,2,0)</f>
        <v>PERFIL F 463 NEGRO</v>
      </c>
      <c r="D231" s="35" t="str">
        <f>VLOOKUP(B231,BASE!$A:$D,3,0)</f>
        <v>NEGRO</v>
      </c>
      <c r="E231" s="32" t="str">
        <f>VLOOKUP(B231,BASE!$A:$E,4,0)</f>
        <v>F-463</v>
      </c>
      <c r="F231" s="32">
        <v>700</v>
      </c>
      <c r="G231" s="23">
        <f t="shared" si="3"/>
        <v>0.11666666666666667</v>
      </c>
      <c r="H231" s="29"/>
      <c r="I231" s="33" t="s">
        <v>968</v>
      </c>
    </row>
    <row r="232" spans="1:9" ht="20.25" customHeight="1" x14ac:dyDescent="0.25">
      <c r="A232" s="29">
        <v>9075</v>
      </c>
      <c r="B232" s="30" t="s">
        <v>313</v>
      </c>
      <c r="C232" s="31" t="str">
        <f>VLOOKUP(B232,BASE!$A:$B,2,0)</f>
        <v>ANGULO A-01 BLANCO (1/2 X 1/2)</v>
      </c>
      <c r="D232" s="35" t="str">
        <f>VLOOKUP(B232,BASE!$A:$D,3,0)</f>
        <v>BLANCO</v>
      </c>
      <c r="E232" s="32" t="str">
        <f>VLOOKUP(B232,BASE!$A:$E,4,0)</f>
        <v>A-01</v>
      </c>
      <c r="F232" s="32">
        <v>2100</v>
      </c>
      <c r="G232" s="23">
        <f t="shared" si="3"/>
        <v>0.35</v>
      </c>
      <c r="H232" s="29"/>
      <c r="I232" s="33" t="s">
        <v>984</v>
      </c>
    </row>
    <row r="233" spans="1:9" ht="20.25" customHeight="1" x14ac:dyDescent="0.25">
      <c r="A233" s="29">
        <v>9082</v>
      </c>
      <c r="B233" s="30" t="s">
        <v>27</v>
      </c>
      <c r="C233" s="31" t="str">
        <f>VLOOKUP(B233,BASE!$A:$B,2,0)</f>
        <v>U32 BLANCA</v>
      </c>
      <c r="D233" s="35" t="str">
        <f>VLOOKUP(B233,BASE!$A:$D,3,0)</f>
        <v>BLANCO</v>
      </c>
      <c r="E233" s="32" t="str">
        <f>VLOOKUP(B233,BASE!$A:$E,4,0)</f>
        <v>U-32</v>
      </c>
      <c r="F233" s="32">
        <v>1800</v>
      </c>
      <c r="G233" s="23">
        <f t="shared" si="3"/>
        <v>0.3</v>
      </c>
      <c r="H233" s="29"/>
      <c r="I233" s="33" t="s">
        <v>984</v>
      </c>
    </row>
    <row r="234" spans="1:9" ht="20.25" customHeight="1" x14ac:dyDescent="0.25">
      <c r="A234" s="29">
        <v>9092</v>
      </c>
      <c r="B234" s="30" t="s">
        <v>182</v>
      </c>
      <c r="C234" s="31" t="str">
        <f>VLOOKUP(B234,BASE!$A:$B,2,0)</f>
        <v>TUBULAR T-70 BRONCE</v>
      </c>
      <c r="D234" s="35" t="str">
        <f>VLOOKUP(B234,BASE!$A:$D,3,0)</f>
        <v>BRONCE</v>
      </c>
      <c r="E234" s="32" t="str">
        <f>VLOOKUP(B234,BASE!$A:$E,4,0)</f>
        <v>T-70</v>
      </c>
      <c r="F234" s="32">
        <v>4700</v>
      </c>
      <c r="G234" s="23">
        <f t="shared" si="3"/>
        <v>0.78333333333333333</v>
      </c>
      <c r="H234" s="29"/>
      <c r="I234" s="33" t="s">
        <v>962</v>
      </c>
    </row>
    <row r="235" spans="1:9" ht="20.25" customHeight="1" x14ac:dyDescent="0.25">
      <c r="A235" s="29">
        <v>9139</v>
      </c>
      <c r="B235" s="30" t="s">
        <v>132</v>
      </c>
      <c r="C235" s="31" t="str">
        <f>VLOOKUP(B235,BASE!$A:$B,2,0)</f>
        <v>7038 ADAPTADOR 840 NEGRO</v>
      </c>
      <c r="D235" s="35" t="str">
        <f>VLOOKUP(B235,BASE!$A:$D,3,0)</f>
        <v>NEGRO</v>
      </c>
      <c r="E235" s="32">
        <f>VLOOKUP(B235,BASE!$A:$E,4,0)</f>
        <v>840</v>
      </c>
      <c r="F235" s="32">
        <v>2600</v>
      </c>
      <c r="G235" s="23">
        <f t="shared" ref="G235:G286" si="4">+F235/6000</f>
        <v>0.43333333333333335</v>
      </c>
      <c r="H235" s="29"/>
      <c r="I235" s="33" t="s">
        <v>960</v>
      </c>
    </row>
    <row r="236" spans="1:9" ht="20.25" customHeight="1" x14ac:dyDescent="0.25">
      <c r="A236" s="29">
        <v>9150</v>
      </c>
      <c r="B236" s="30" t="s">
        <v>372</v>
      </c>
      <c r="C236" s="31" t="str">
        <f>VLOOKUP(B236,BASE!$A:$B,2,0)</f>
        <v>8025 ENGANCHE 191 BRONCE</v>
      </c>
      <c r="D236" s="35" t="str">
        <f>VLOOKUP(B236,BASE!$A:$D,3,0)</f>
        <v>BRONCE</v>
      </c>
      <c r="E236" s="32">
        <f>VLOOKUP(B236,BASE!$A:$E,4,0)</f>
        <v>191</v>
      </c>
      <c r="F236" s="32">
        <v>1800</v>
      </c>
      <c r="G236" s="23">
        <f t="shared" si="4"/>
        <v>0.3</v>
      </c>
      <c r="H236" s="29"/>
      <c r="I236" s="33" t="s">
        <v>959</v>
      </c>
    </row>
    <row r="237" spans="1:9" ht="20.25" customHeight="1" x14ac:dyDescent="0.25">
      <c r="A237" s="29">
        <v>9154</v>
      </c>
      <c r="B237" s="30" t="s">
        <v>390</v>
      </c>
      <c r="C237" s="31" t="str">
        <f>VLOOKUP(B237,BASE!$A:$B,2,0)</f>
        <v>744 HORIZONTAL INFERIOR 390 BLANCO</v>
      </c>
      <c r="D237" s="35" t="str">
        <f>VLOOKUP(B237,BASE!$A:$D,3,0)</f>
        <v>BLANCO</v>
      </c>
      <c r="E237" s="32">
        <f>VLOOKUP(B237,BASE!$A:$E,4,0)</f>
        <v>390</v>
      </c>
      <c r="F237" s="32">
        <v>2000</v>
      </c>
      <c r="G237" s="23">
        <f t="shared" si="4"/>
        <v>0.33333333333333331</v>
      </c>
      <c r="H237" s="29"/>
      <c r="I237" s="33" t="s">
        <v>960</v>
      </c>
    </row>
    <row r="238" spans="1:9" ht="20.25" customHeight="1" x14ac:dyDescent="0.25">
      <c r="A238" s="29">
        <v>9158</v>
      </c>
      <c r="B238" s="30" t="s">
        <v>334</v>
      </c>
      <c r="C238" s="31" t="str">
        <f>VLOOKUP(B238,BASE!$A:$B,2,0)</f>
        <v>8025 CABEZAL 151 BRONCE</v>
      </c>
      <c r="D238" s="35" t="str">
        <f>VLOOKUP(B238,BASE!$A:$D,3,0)</f>
        <v>BRONCE</v>
      </c>
      <c r="E238" s="32">
        <f>VLOOKUP(B238,BASE!$A:$E,4,0)</f>
        <v>151</v>
      </c>
      <c r="F238" s="32">
        <v>1900</v>
      </c>
      <c r="G238" s="23">
        <f t="shared" si="4"/>
        <v>0.31666666666666665</v>
      </c>
      <c r="H238" s="29"/>
      <c r="I238" s="33" t="s">
        <v>959</v>
      </c>
    </row>
    <row r="239" spans="1:9" ht="20.25" customHeight="1" x14ac:dyDescent="0.25">
      <c r="A239" s="29">
        <v>9161</v>
      </c>
      <c r="B239" s="30" t="s">
        <v>20</v>
      </c>
      <c r="C239" s="31" t="str">
        <f>VLOOKUP(B239,BASE!$A:$B,2,0)</f>
        <v>ALFAJIA 413 MATE</v>
      </c>
      <c r="D239" s="35" t="str">
        <f>VLOOKUP(B239,BASE!$A:$D,3,0)</f>
        <v>MATE</v>
      </c>
      <c r="E239" s="32">
        <f>VLOOKUP(B239,BASE!$A:$E,4,0)</f>
        <v>413</v>
      </c>
      <c r="F239" s="32">
        <v>1700</v>
      </c>
      <c r="G239" s="23">
        <f t="shared" si="4"/>
        <v>0.28333333333333333</v>
      </c>
      <c r="H239" s="29"/>
      <c r="I239" s="33" t="s">
        <v>964</v>
      </c>
    </row>
    <row r="240" spans="1:9" ht="20.25" customHeight="1" x14ac:dyDescent="0.25">
      <c r="A240" s="29">
        <v>9164</v>
      </c>
      <c r="B240" s="30" t="s">
        <v>303</v>
      </c>
      <c r="C240" s="31" t="str">
        <f>VLOOKUP(B240,BASE!$A:$B,2,0)</f>
        <v>ALFAJIA 413 NEGRA</v>
      </c>
      <c r="D240" s="35" t="str">
        <f>VLOOKUP(B240,BASE!$A:$D,3,0)</f>
        <v>NEGRO</v>
      </c>
      <c r="E240" s="32">
        <f>VLOOKUP(B240,BASE!$A:$E,4,0)</f>
        <v>413</v>
      </c>
      <c r="F240" s="32">
        <v>2000</v>
      </c>
      <c r="G240" s="23">
        <f t="shared" si="4"/>
        <v>0.33333333333333331</v>
      </c>
      <c r="H240" s="29"/>
      <c r="I240" s="33" t="s">
        <v>964</v>
      </c>
    </row>
    <row r="241" spans="1:9" ht="20.25" customHeight="1" x14ac:dyDescent="0.25">
      <c r="A241" s="29">
        <v>9173</v>
      </c>
      <c r="B241" s="30" t="s">
        <v>536</v>
      </c>
      <c r="C241" s="31" t="str">
        <f>VLOOKUP(B241,BASE!$A:$B,2,0)</f>
        <v>8025 TRASLAPE 190 BRONCE</v>
      </c>
      <c r="D241" s="35" t="str">
        <f>VLOOKUP(B241,BASE!$A:$D,3,0)</f>
        <v>BRONCE</v>
      </c>
      <c r="E241" s="32">
        <f>VLOOKUP(B241,BASE!$A:$E,4,0)</f>
        <v>190</v>
      </c>
      <c r="F241" s="32">
        <v>1600</v>
      </c>
      <c r="G241" s="23">
        <f t="shared" si="4"/>
        <v>0.26666666666666666</v>
      </c>
      <c r="H241" s="29"/>
      <c r="I241" s="33" t="s">
        <v>959</v>
      </c>
    </row>
    <row r="242" spans="1:9" ht="20.25" customHeight="1" x14ac:dyDescent="0.25">
      <c r="A242" s="29">
        <v>9175</v>
      </c>
      <c r="B242" s="30" t="s">
        <v>181</v>
      </c>
      <c r="C242" s="31" t="str">
        <f>VLOOKUP(B242,BASE!$A:$B,2,0)</f>
        <v>5020 HORIZONTAL 148 GRIS PLATA</v>
      </c>
      <c r="D242" s="35" t="str">
        <f>VLOOKUP(B242,BASE!$A:$D,3,0)</f>
        <v>GRIS PLATA</v>
      </c>
      <c r="E242" s="32">
        <f>VLOOKUP(B242,BASE!$A:$E,4,0)</f>
        <v>148</v>
      </c>
      <c r="F242" s="32">
        <v>1200</v>
      </c>
      <c r="G242" s="23">
        <f t="shared" si="4"/>
        <v>0.2</v>
      </c>
      <c r="H242" s="29"/>
      <c r="I242" s="33" t="s">
        <v>967</v>
      </c>
    </row>
    <row r="243" spans="1:9" ht="20.25" customHeight="1" x14ac:dyDescent="0.25">
      <c r="A243" s="29">
        <v>9176</v>
      </c>
      <c r="B243" s="30" t="s">
        <v>38</v>
      </c>
      <c r="C243" s="31" t="str">
        <f>VLOOKUP(B243,BASE!$A:$B,2,0)</f>
        <v>TUBULAR T-101 MATE</v>
      </c>
      <c r="D243" s="35" t="str">
        <f>VLOOKUP(B243,BASE!$A:$D,3,0)</f>
        <v>MATE</v>
      </c>
      <c r="E243" s="32" t="str">
        <f>VLOOKUP(B243,BASE!$A:$E,4,0)</f>
        <v>T-101</v>
      </c>
      <c r="F243" s="32">
        <v>1400</v>
      </c>
      <c r="G243" s="23">
        <f t="shared" si="4"/>
        <v>0.23333333333333334</v>
      </c>
      <c r="H243" s="29"/>
      <c r="I243" s="33" t="s">
        <v>961</v>
      </c>
    </row>
    <row r="244" spans="1:9" ht="20.25" customHeight="1" x14ac:dyDescent="0.25">
      <c r="A244" s="29">
        <v>9177</v>
      </c>
      <c r="B244" s="30" t="s">
        <v>256</v>
      </c>
      <c r="C244" s="31" t="str">
        <f>VLOOKUP(B244,BASE!$A:$B,2,0)</f>
        <v>TUBULAR T-101 CRUDO</v>
      </c>
      <c r="D244" s="35" t="str">
        <f>VLOOKUP(B244,BASE!$A:$D,3,0)</f>
        <v xml:space="preserve">CRUDO </v>
      </c>
      <c r="E244" s="32" t="str">
        <f>VLOOKUP(B244,BASE!$A:$E,4,0)</f>
        <v>T-101</v>
      </c>
      <c r="F244" s="32">
        <v>1500</v>
      </c>
      <c r="G244" s="23">
        <f t="shared" si="4"/>
        <v>0.25</v>
      </c>
      <c r="H244" s="29"/>
      <c r="I244" s="33" t="s">
        <v>961</v>
      </c>
    </row>
    <row r="245" spans="1:9" ht="20.25" customHeight="1" x14ac:dyDescent="0.25">
      <c r="A245" s="29">
        <v>9179</v>
      </c>
      <c r="B245" s="30" t="s">
        <v>58</v>
      </c>
      <c r="C245" s="31" t="str">
        <f>VLOOKUP(B245,BASE!$A:$B,2,0)</f>
        <v>TUBULAR T-70 NEGRO</v>
      </c>
      <c r="D245" s="35" t="str">
        <f>VLOOKUP(B245,BASE!$A:$D,3,0)</f>
        <v>NEGRO</v>
      </c>
      <c r="E245" s="32" t="str">
        <f>VLOOKUP(B245,BASE!$A:$E,4,0)</f>
        <v>T-70</v>
      </c>
      <c r="F245" s="32">
        <v>1100</v>
      </c>
      <c r="G245" s="23">
        <f t="shared" si="4"/>
        <v>0.18333333333333332</v>
      </c>
      <c r="H245" s="29"/>
      <c r="I245" s="33" t="s">
        <v>967</v>
      </c>
    </row>
    <row r="246" spans="1:9" ht="20.25" customHeight="1" x14ac:dyDescent="0.25">
      <c r="A246" s="29">
        <v>9186</v>
      </c>
      <c r="B246" s="30" t="s">
        <v>719</v>
      </c>
      <c r="C246" s="31" t="str">
        <f>VLOOKUP(B246,BASE!$A:$B,2,0)</f>
        <v>8025 ADAPTADOR 158 MATE</v>
      </c>
      <c r="D246" s="35" t="str">
        <f>VLOOKUP(B246,BASE!$A:$D,3,0)</f>
        <v>MATE</v>
      </c>
      <c r="E246" s="32">
        <f>VLOOKUP(B246,BASE!$A:$E,4,0)</f>
        <v>158</v>
      </c>
      <c r="F246" s="32">
        <v>1600</v>
      </c>
      <c r="G246" s="23">
        <f t="shared" si="4"/>
        <v>0.26666666666666666</v>
      </c>
      <c r="H246" s="29"/>
      <c r="I246" s="33" t="s">
        <v>959</v>
      </c>
    </row>
    <row r="247" spans="1:9" ht="20.25" customHeight="1" x14ac:dyDescent="0.25">
      <c r="A247" s="29">
        <v>9195</v>
      </c>
      <c r="B247" s="30" t="s">
        <v>774</v>
      </c>
      <c r="C247" s="31" t="str">
        <f>VLOOKUP(B247,BASE!$A:$B,2,0)</f>
        <v>744 JAMBA 1858 TRES RIELES MATE</v>
      </c>
      <c r="D247" s="48" t="s">
        <v>1041</v>
      </c>
      <c r="E247" s="32">
        <f>VLOOKUP(B247,BASE!$A:$E,4,0)</f>
        <v>1858</v>
      </c>
      <c r="F247" s="32">
        <v>1200</v>
      </c>
      <c r="G247" s="23">
        <f t="shared" si="4"/>
        <v>0.2</v>
      </c>
      <c r="H247" s="29"/>
      <c r="I247" s="33" t="s">
        <v>967</v>
      </c>
    </row>
    <row r="248" spans="1:9" ht="20.25" customHeight="1" x14ac:dyDescent="0.25">
      <c r="A248" s="29">
        <v>9198</v>
      </c>
      <c r="B248" s="30" t="s">
        <v>973</v>
      </c>
      <c r="C248" s="31" t="str">
        <f>VLOOKUP(B248,BASE!$A:$B,2,0)</f>
        <v>SILLAR CABINA S-201 NEGRO</v>
      </c>
      <c r="D248" s="35" t="str">
        <f>VLOOKUP(B248,BASE!$A:$D,3,0)</f>
        <v>NEGRO</v>
      </c>
      <c r="E248" s="32" t="str">
        <f>VLOOKUP(B248,BASE!$A:$E,4,0)</f>
        <v>S-201</v>
      </c>
      <c r="F248" s="32">
        <v>900</v>
      </c>
      <c r="G248" s="23">
        <f t="shared" si="4"/>
        <v>0.15</v>
      </c>
      <c r="H248" s="29"/>
      <c r="I248" s="33" t="s">
        <v>967</v>
      </c>
    </row>
    <row r="249" spans="1:9" ht="20.25" customHeight="1" x14ac:dyDescent="0.25">
      <c r="A249" s="29">
        <v>9200</v>
      </c>
      <c r="B249" s="30" t="s">
        <v>4</v>
      </c>
      <c r="C249" s="31" t="str">
        <f>VLOOKUP(B249,BASE!$A:$B,2,0)</f>
        <v>PERSIANA 315 GRIS PLATA</v>
      </c>
      <c r="D249" s="35" t="str">
        <f>VLOOKUP(B249,BASE!$A:$D,3,0)</f>
        <v>GRIS PLATA</v>
      </c>
      <c r="E249" s="32">
        <f>VLOOKUP(B249,BASE!$A:$E,4,0)</f>
        <v>315</v>
      </c>
      <c r="F249" s="32">
        <v>1000</v>
      </c>
      <c r="G249" s="23">
        <f t="shared" si="4"/>
        <v>0.16666666666666666</v>
      </c>
      <c r="H249" s="29"/>
      <c r="I249" s="33" t="s">
        <v>966</v>
      </c>
    </row>
    <row r="250" spans="1:9" ht="20.25" customHeight="1" x14ac:dyDescent="0.25">
      <c r="A250" s="29">
        <v>9203</v>
      </c>
      <c r="B250" s="30" t="s">
        <v>187</v>
      </c>
      <c r="C250" s="31" t="str">
        <f>VLOOKUP(B250,BASE!$A:$B,2,0)</f>
        <v>3831 JAMBA 174 NEGRO</v>
      </c>
      <c r="D250" s="35" t="str">
        <f>VLOOKUP(B250,BASE!$A:$D,3,0)</f>
        <v>NEGRO</v>
      </c>
      <c r="E250" s="32">
        <f>VLOOKUP(B250,BASE!$A:$E,4,0)</f>
        <v>174</v>
      </c>
      <c r="F250" s="32">
        <v>700</v>
      </c>
      <c r="G250" s="23">
        <f t="shared" si="4"/>
        <v>0.11666666666666667</v>
      </c>
      <c r="H250" s="29"/>
      <c r="I250" s="33" t="s">
        <v>968</v>
      </c>
    </row>
    <row r="251" spans="1:9" ht="20.25" customHeight="1" x14ac:dyDescent="0.25">
      <c r="A251" s="29">
        <v>9204</v>
      </c>
      <c r="B251" s="30" t="s">
        <v>17</v>
      </c>
      <c r="C251" s="31" t="str">
        <f>VLOOKUP(B251,BASE!$A:$B,2,0)</f>
        <v>3831 JAMBA 174 GRIS PLATA</v>
      </c>
      <c r="D251" s="35" t="str">
        <f>VLOOKUP(B251,BASE!$A:$D,3,0)</f>
        <v>GRIS PLATA</v>
      </c>
      <c r="E251" s="32">
        <f>VLOOKUP(B251,BASE!$A:$E,4,0)</f>
        <v>174</v>
      </c>
      <c r="F251" s="32">
        <v>600</v>
      </c>
      <c r="G251" s="23">
        <f t="shared" si="4"/>
        <v>0.1</v>
      </c>
      <c r="H251" s="29"/>
      <c r="I251" s="33" t="s">
        <v>968</v>
      </c>
    </row>
    <row r="252" spans="1:9" ht="20.25" customHeight="1" x14ac:dyDescent="0.25">
      <c r="A252" s="29">
        <v>9213</v>
      </c>
      <c r="B252" s="30" t="s">
        <v>463</v>
      </c>
      <c r="C252" s="31" t="str">
        <f>VLOOKUP(B252,BASE!$A:$B,2,0)</f>
        <v>3831 PISAVIDRIO 177 CRUDO</v>
      </c>
      <c r="D252" s="35" t="str">
        <f>VLOOKUP(B252,BASE!$A:$D,3,0)</f>
        <v xml:space="preserve">CRUDO </v>
      </c>
      <c r="E252" s="32">
        <f>VLOOKUP(B252,BASE!$A:$E,4,0)</f>
        <v>177</v>
      </c>
      <c r="F252" s="32">
        <v>6000</v>
      </c>
      <c r="G252" s="23">
        <f t="shared" si="4"/>
        <v>1</v>
      </c>
      <c r="H252" s="29"/>
      <c r="I252" s="33" t="s">
        <v>957</v>
      </c>
    </row>
    <row r="253" spans="1:9" ht="20.25" customHeight="1" x14ac:dyDescent="0.25">
      <c r="A253" s="29">
        <v>9246</v>
      </c>
      <c r="B253" s="30" t="s">
        <v>585</v>
      </c>
      <c r="C253" s="31" t="str">
        <f>VLOOKUP(B253,BASE!$A:$B,2,0)</f>
        <v>U68 GRIS PLATA</v>
      </c>
      <c r="D253" s="35" t="str">
        <f>VLOOKUP(B253,BASE!$A:$D,3,0)</f>
        <v>GRIS PLATA</v>
      </c>
      <c r="E253" s="32" t="str">
        <f>VLOOKUP(B253,BASE!$A:$E,4,0)</f>
        <v>U-68</v>
      </c>
      <c r="F253" s="32">
        <v>1900</v>
      </c>
      <c r="G253" s="23">
        <f t="shared" si="4"/>
        <v>0.31666666666666665</v>
      </c>
      <c r="H253" s="29"/>
      <c r="I253" s="33" t="s">
        <v>984</v>
      </c>
    </row>
    <row r="254" spans="1:9" ht="20.25" customHeight="1" x14ac:dyDescent="0.25">
      <c r="A254" s="29">
        <v>9255</v>
      </c>
      <c r="B254" s="30" t="s">
        <v>102</v>
      </c>
      <c r="C254" s="31" t="str">
        <f>VLOOKUP(B254,BASE!$A:$B,2,0)</f>
        <v>CABEZAL CABINA S-319 BRONCE</v>
      </c>
      <c r="D254" s="35" t="str">
        <f>VLOOKUP(B254,BASE!$A:$D,3,0)</f>
        <v>BRONCE</v>
      </c>
      <c r="E254" s="32" t="str">
        <f>VLOOKUP(B254,BASE!$A:$E,4,0)</f>
        <v>S-319</v>
      </c>
      <c r="F254" s="32">
        <v>3700</v>
      </c>
      <c r="G254" s="23">
        <f t="shared" si="4"/>
        <v>0.6166666666666667</v>
      </c>
      <c r="H254" s="29"/>
      <c r="I254" s="33" t="s">
        <v>963</v>
      </c>
    </row>
    <row r="255" spans="1:9" ht="20.25" customHeight="1" x14ac:dyDescent="0.25">
      <c r="A255" s="29">
        <v>9271</v>
      </c>
      <c r="B255" s="30" t="s">
        <v>117</v>
      </c>
      <c r="C255" s="31" t="str">
        <f>VLOOKUP(B255,BASE!$A:$B,2,0)</f>
        <v>744 TRASLAPE 388 BLANCO</v>
      </c>
      <c r="D255" s="35" t="str">
        <f>VLOOKUP(B255,BASE!$A:$D,3,0)</f>
        <v>BLANCO</v>
      </c>
      <c r="E255" s="32">
        <f>VLOOKUP(B255,BASE!$A:$E,4,0)</f>
        <v>388</v>
      </c>
      <c r="F255" s="32">
        <v>2400</v>
      </c>
      <c r="G255" s="23">
        <f t="shared" si="4"/>
        <v>0.4</v>
      </c>
      <c r="H255" s="29"/>
      <c r="I255" s="33" t="s">
        <v>960</v>
      </c>
    </row>
    <row r="256" spans="1:9" ht="20.25" customHeight="1" x14ac:dyDescent="0.25">
      <c r="A256" s="29">
        <v>9281</v>
      </c>
      <c r="B256" s="30" t="s">
        <v>469</v>
      </c>
      <c r="C256" s="31" t="str">
        <f>VLOOKUP(B256,BASE!$A:$B,2,0)</f>
        <v>RIEL DUCASSE 1764 MATE</v>
      </c>
      <c r="D256" s="35" t="str">
        <f>VLOOKUP(B256,BASE!$A:$D,3,0)</f>
        <v>MATE</v>
      </c>
      <c r="E256" s="32">
        <f>VLOOKUP(B256,BASE!$A:$E,4,0)</f>
        <v>1764</v>
      </c>
      <c r="F256" s="32">
        <v>1500</v>
      </c>
      <c r="G256" s="23">
        <f t="shared" si="4"/>
        <v>0.25</v>
      </c>
      <c r="H256" s="29"/>
      <c r="I256" s="33" t="s">
        <v>967</v>
      </c>
    </row>
    <row r="257" spans="1:9" ht="20.25" customHeight="1" x14ac:dyDescent="0.25">
      <c r="A257" s="29">
        <v>9286</v>
      </c>
      <c r="B257" s="30" t="s">
        <v>339</v>
      </c>
      <c r="C257" s="31" t="str">
        <f>VLOOKUP(B257,BASE!$A:$B,2,0)</f>
        <v>744 CABEZAL 392 NEGRO</v>
      </c>
      <c r="D257" s="35" t="str">
        <f>VLOOKUP(B257,BASE!$A:$D,3,0)</f>
        <v>NEGRO</v>
      </c>
      <c r="E257" s="32">
        <f>VLOOKUP(B257,BASE!$A:$E,4,0)</f>
        <v>392</v>
      </c>
      <c r="F257" s="32">
        <v>1000</v>
      </c>
      <c r="G257" s="23">
        <f t="shared" si="4"/>
        <v>0.16666666666666666</v>
      </c>
      <c r="H257" s="29"/>
      <c r="I257" s="33" t="s">
        <v>968</v>
      </c>
    </row>
    <row r="258" spans="1:9" ht="20.25" customHeight="1" x14ac:dyDescent="0.25">
      <c r="A258" s="29">
        <v>9287</v>
      </c>
      <c r="B258" s="30" t="s">
        <v>39</v>
      </c>
      <c r="C258" s="31" t="str">
        <f>VLOOKUP(B258,BASE!$A:$B,2,0)</f>
        <v>PERFIL MOSQUITERO M-364 MATE</v>
      </c>
      <c r="D258" s="35" t="str">
        <f>VLOOKUP(B258,BASE!$A:$D,3,0)</f>
        <v>MATE</v>
      </c>
      <c r="E258" s="32" t="str">
        <f>VLOOKUP(B258,BASE!$A:$E,4,0)</f>
        <v>M-364</v>
      </c>
      <c r="F258" s="32">
        <v>2000</v>
      </c>
      <c r="G258" s="23">
        <f t="shared" si="4"/>
        <v>0.33333333333333331</v>
      </c>
      <c r="H258" s="29"/>
      <c r="I258" s="33" t="s">
        <v>955</v>
      </c>
    </row>
    <row r="259" spans="1:9" ht="20.25" customHeight="1" x14ac:dyDescent="0.25">
      <c r="A259" s="29">
        <v>9295</v>
      </c>
      <c r="B259" s="30" t="s">
        <v>84</v>
      </c>
      <c r="C259" s="31" t="str">
        <f>VLOOKUP(B259,BASE!$A:$B,2,0)</f>
        <v>TUBULAR 1101 MATE</v>
      </c>
      <c r="D259" s="35" t="str">
        <f>VLOOKUP(B259,BASE!$A:$D,3,0)</f>
        <v>MATE</v>
      </c>
      <c r="E259" s="32">
        <f>VLOOKUP(B259,BASE!$A:$E,4,0)</f>
        <v>1101</v>
      </c>
      <c r="F259" s="32">
        <v>700</v>
      </c>
      <c r="G259" s="23">
        <f t="shared" si="4"/>
        <v>0.11666666666666667</v>
      </c>
      <c r="H259" s="29"/>
      <c r="I259" s="33" t="s">
        <v>968</v>
      </c>
    </row>
    <row r="260" spans="1:9" ht="20.25" customHeight="1" x14ac:dyDescent="0.25">
      <c r="A260" s="29">
        <v>9297</v>
      </c>
      <c r="B260" s="30" t="s">
        <v>40</v>
      </c>
      <c r="C260" s="31" t="str">
        <f>VLOOKUP(B260,BASE!$A:$B,2,0)</f>
        <v>TUBULAR T-94 NEGRO</v>
      </c>
      <c r="D260" s="35" t="str">
        <f>VLOOKUP(B260,BASE!$A:$D,3,0)</f>
        <v>NEGRO</v>
      </c>
      <c r="E260" s="32" t="str">
        <f>VLOOKUP(B260,BASE!$A:$E,4,0)</f>
        <v>T-94</v>
      </c>
      <c r="F260" s="32">
        <v>900</v>
      </c>
      <c r="G260" s="23">
        <f t="shared" si="4"/>
        <v>0.15</v>
      </c>
      <c r="H260" s="29"/>
      <c r="I260" s="33" t="s">
        <v>968</v>
      </c>
    </row>
    <row r="261" spans="1:9" ht="20.25" customHeight="1" x14ac:dyDescent="0.25">
      <c r="A261" s="29">
        <v>9298</v>
      </c>
      <c r="B261" s="30" t="s">
        <v>35</v>
      </c>
      <c r="C261" s="31" t="str">
        <f>VLOOKUP(B261,BASE!$A:$B,2,0)</f>
        <v>ALFAJIA S-332 BRONCE</v>
      </c>
      <c r="D261" s="35" t="str">
        <f>VLOOKUP(B261,BASE!$A:$D,3,0)</f>
        <v>BRONCE</v>
      </c>
      <c r="E261" s="32" t="str">
        <f>VLOOKUP(B261,BASE!$A:$E,4,0)</f>
        <v>S-332</v>
      </c>
      <c r="F261" s="32">
        <v>1000</v>
      </c>
      <c r="G261" s="23">
        <f t="shared" si="4"/>
        <v>0.16666666666666666</v>
      </c>
      <c r="H261" s="29"/>
      <c r="I261" s="33" t="s">
        <v>966</v>
      </c>
    </row>
    <row r="262" spans="1:9" ht="20.25" customHeight="1" x14ac:dyDescent="0.25">
      <c r="A262" s="29">
        <v>9302</v>
      </c>
      <c r="B262" s="30" t="s">
        <v>39</v>
      </c>
      <c r="C262" s="31" t="str">
        <f>VLOOKUP(B262,BASE!$A:$B,2,0)</f>
        <v>PERFIL MOSQUITERO M-364 MATE</v>
      </c>
      <c r="D262" s="35" t="str">
        <f>VLOOKUP(B262,BASE!$A:$D,3,0)</f>
        <v>MATE</v>
      </c>
      <c r="E262" s="32" t="str">
        <f>VLOOKUP(B262,BASE!$A:$E,4,0)</f>
        <v>M-364</v>
      </c>
      <c r="F262" s="32">
        <v>800</v>
      </c>
      <c r="G262" s="23">
        <f t="shared" si="4"/>
        <v>0.13333333333333333</v>
      </c>
      <c r="H262" s="29"/>
      <c r="I262" s="33" t="s">
        <v>968</v>
      </c>
    </row>
    <row r="263" spans="1:9" ht="20.25" customHeight="1" x14ac:dyDescent="0.25">
      <c r="A263" s="29">
        <v>9303</v>
      </c>
      <c r="B263" s="30" t="s">
        <v>43</v>
      </c>
      <c r="C263" s="31" t="str">
        <f>VLOOKUP(B263,BASE!$A:$B,2,0)</f>
        <v>744 JAMBA 393 MATE</v>
      </c>
      <c r="D263" s="35" t="str">
        <f>VLOOKUP(B263,BASE!$A:$D,3,0)</f>
        <v>MATE</v>
      </c>
      <c r="E263" s="32">
        <f>VLOOKUP(B263,BASE!$A:$E,4,0)</f>
        <v>393</v>
      </c>
      <c r="F263" s="32">
        <v>1000</v>
      </c>
      <c r="G263" s="23">
        <f t="shared" si="4"/>
        <v>0.16666666666666666</v>
      </c>
      <c r="H263" s="29"/>
      <c r="I263" s="33" t="s">
        <v>967</v>
      </c>
    </row>
    <row r="264" spans="1:9" ht="20.25" customHeight="1" x14ac:dyDescent="0.25">
      <c r="A264" s="29">
        <v>9305</v>
      </c>
      <c r="B264" s="30" t="s">
        <v>101</v>
      </c>
      <c r="C264" s="31" t="str">
        <f>VLOOKUP(B264,BASE!$A:$B,2,0)</f>
        <v>SILLAR CABINA S-201 BRONCE</v>
      </c>
      <c r="D264" s="35" t="str">
        <f>VLOOKUP(B264,BASE!$A:$D,3,0)</f>
        <v>BRONCE</v>
      </c>
      <c r="E264" s="32" t="str">
        <f>VLOOKUP(B264,BASE!$A:$E,4,0)</f>
        <v>S-201</v>
      </c>
      <c r="F264" s="32">
        <v>800</v>
      </c>
      <c r="G264" s="23">
        <f t="shared" si="4"/>
        <v>0.13333333333333333</v>
      </c>
      <c r="H264" s="29"/>
      <c r="I264" s="33" t="s">
        <v>968</v>
      </c>
    </row>
    <row r="265" spans="1:9" ht="20.25" customHeight="1" x14ac:dyDescent="0.25">
      <c r="A265" s="29">
        <v>9329</v>
      </c>
      <c r="B265" s="30" t="s">
        <v>188</v>
      </c>
      <c r="C265" s="31" t="str">
        <f>VLOOKUP(B265,BASE!$A:$B,2,0)</f>
        <v>3831 NAVE 176 NEGRO</v>
      </c>
      <c r="D265" s="35" t="str">
        <f>VLOOKUP(B265,BASE!$A:$D,3,0)</f>
        <v>NEGRO</v>
      </c>
      <c r="E265" s="32">
        <f>VLOOKUP(B265,BASE!$A:$E,4,0)</f>
        <v>176</v>
      </c>
      <c r="F265" s="32">
        <v>4100</v>
      </c>
      <c r="G265" s="23">
        <f t="shared" si="4"/>
        <v>0.68333333333333335</v>
      </c>
      <c r="H265" s="29">
        <v>23771</v>
      </c>
      <c r="I265" s="33"/>
    </row>
    <row r="266" spans="1:9" ht="20.25" customHeight="1" x14ac:dyDescent="0.25">
      <c r="A266" s="29">
        <v>9331</v>
      </c>
      <c r="B266" s="30" t="s">
        <v>319</v>
      </c>
      <c r="C266" s="31" t="str">
        <f>VLOOKUP(B266,BASE!$A:$B,2,0)</f>
        <v>CABEZAL CABINA S-319 MATE</v>
      </c>
      <c r="D266" s="35" t="str">
        <f>VLOOKUP(B266,BASE!$A:$D,3,0)</f>
        <v>MATE</v>
      </c>
      <c r="E266" s="32" t="str">
        <f>VLOOKUP(B266,BASE!$A:$E,4,0)</f>
        <v>S-319</v>
      </c>
      <c r="F266" s="32">
        <v>3300</v>
      </c>
      <c r="G266" s="23">
        <f t="shared" si="4"/>
        <v>0.55000000000000004</v>
      </c>
      <c r="H266" s="29"/>
      <c r="I266" s="33"/>
    </row>
    <row r="267" spans="1:9" ht="20.25" customHeight="1" x14ac:dyDescent="0.25">
      <c r="A267" s="29">
        <v>9332</v>
      </c>
      <c r="B267" s="30" t="s">
        <v>727</v>
      </c>
      <c r="C267" s="31" t="str">
        <f>VLOOKUP(B267,BASE!$A:$B,2,0)</f>
        <v>RIEL OPTIGLASS DOBLE SL-011 NEGRO</v>
      </c>
      <c r="D267" s="35" t="str">
        <f>VLOOKUP(B267,BASE!$A:$D,3,0)</f>
        <v>NEGRO</v>
      </c>
      <c r="E267" s="32" t="str">
        <f>VLOOKUP(B267,BASE!$A:$E,4,0)</f>
        <v>SL-011</v>
      </c>
      <c r="F267" s="32">
        <v>2800</v>
      </c>
      <c r="G267" s="23">
        <f t="shared" si="4"/>
        <v>0.46666666666666667</v>
      </c>
      <c r="H267" s="29"/>
      <c r="I267" s="33" t="s">
        <v>955</v>
      </c>
    </row>
    <row r="268" spans="1:9" ht="20.25" customHeight="1" x14ac:dyDescent="0.25">
      <c r="A268" s="29">
        <v>9333</v>
      </c>
      <c r="B268" s="30" t="s">
        <v>134</v>
      </c>
      <c r="C268" s="31" t="str">
        <f>VLOOKUP(B268,BASE!$A:$B,2,0)</f>
        <v>RIEL OPTIGLASS DOBLE SL-011 MATE</v>
      </c>
      <c r="D268" s="35" t="str">
        <f>VLOOKUP(B268,BASE!$A:$D,3,0)</f>
        <v>MATE</v>
      </c>
      <c r="E268" s="32" t="str">
        <f>VLOOKUP(B268,BASE!$A:$E,4,0)</f>
        <v>SL-011</v>
      </c>
      <c r="F268" s="32">
        <v>3200</v>
      </c>
      <c r="G268" s="23">
        <f t="shared" si="4"/>
        <v>0.53333333333333333</v>
      </c>
      <c r="H268" s="29"/>
      <c r="I268" s="33" t="s">
        <v>955</v>
      </c>
    </row>
    <row r="269" spans="1:9" ht="20.25" customHeight="1" x14ac:dyDescent="0.25">
      <c r="A269" s="29">
        <v>9334</v>
      </c>
      <c r="B269" s="30" t="s">
        <v>565</v>
      </c>
      <c r="C269" s="31" t="str">
        <f>VLOOKUP(B269,BASE!$A:$B,2,0)</f>
        <v>TUBULAR T-101 NEGRO</v>
      </c>
      <c r="D269" s="35" t="str">
        <f>VLOOKUP(B269,BASE!$A:$D,3,0)</f>
        <v>NEGRO</v>
      </c>
      <c r="E269" s="32" t="str">
        <f>VLOOKUP(B269,BASE!$A:$E,4,0)</f>
        <v>T-101</v>
      </c>
      <c r="F269" s="32">
        <v>2800</v>
      </c>
      <c r="G269" s="23">
        <f t="shared" si="4"/>
        <v>0.46666666666666667</v>
      </c>
      <c r="H269" s="29"/>
      <c r="I269" s="33"/>
    </row>
    <row r="270" spans="1:9" ht="20.25" customHeight="1" x14ac:dyDescent="0.25">
      <c r="A270" s="29">
        <v>9337</v>
      </c>
      <c r="B270" s="30" t="s">
        <v>120</v>
      </c>
      <c r="C270" s="31" t="str">
        <f>VLOOKUP(B270,BASE!$A:$B,2,0)</f>
        <v>7038 TRASLAPE 704 NEGRO</v>
      </c>
      <c r="D270" s="35" t="str">
        <f>VLOOKUP(B270,BASE!$A:$D,3,0)</f>
        <v>NEGRO</v>
      </c>
      <c r="E270" s="32">
        <f>VLOOKUP(B270,BASE!$A:$E,4,0)</f>
        <v>704</v>
      </c>
      <c r="F270" s="32">
        <v>2200</v>
      </c>
      <c r="G270" s="23">
        <f t="shared" si="4"/>
        <v>0.36666666666666664</v>
      </c>
      <c r="H270" s="29"/>
      <c r="I270" s="33" t="s">
        <v>955</v>
      </c>
    </row>
    <row r="271" spans="1:9" ht="20.25" customHeight="1" x14ac:dyDescent="0.25">
      <c r="A271" s="29">
        <v>9338</v>
      </c>
      <c r="B271" s="30" t="s">
        <v>111</v>
      </c>
      <c r="C271" s="31" t="str">
        <f>VLOOKUP(B271,BASE!$A:$B,2,0)</f>
        <v>5020 HORIZONTAL 148 BRONCE</v>
      </c>
      <c r="D271" s="35" t="str">
        <f>VLOOKUP(B271,BASE!$A:$D,3,0)</f>
        <v>BRONCE</v>
      </c>
      <c r="E271" s="32">
        <f>VLOOKUP(B271,BASE!$A:$E,4,0)</f>
        <v>148</v>
      </c>
      <c r="F271" s="32">
        <v>3000</v>
      </c>
      <c r="G271" s="23">
        <f t="shared" si="4"/>
        <v>0.5</v>
      </c>
      <c r="H271" s="29"/>
      <c r="I271" s="33" t="s">
        <v>959</v>
      </c>
    </row>
    <row r="272" spans="1:9" ht="20.25" customHeight="1" x14ac:dyDescent="0.25">
      <c r="A272" s="29">
        <v>9340</v>
      </c>
      <c r="B272" s="30" t="s">
        <v>983</v>
      </c>
      <c r="C272" s="31" t="str">
        <f>VLOOKUP(B272,BASE!$A:$B,2,0)</f>
        <v>7038 CABEZAL TRES RIELES 1730 NEGRO</v>
      </c>
      <c r="D272" s="35" t="str">
        <f>VLOOKUP(B272,BASE!$A:$D,3,0)</f>
        <v>NEGRO</v>
      </c>
      <c r="E272" s="32">
        <f>VLOOKUP(B272,BASE!$A:$E,4,0)</f>
        <v>1730</v>
      </c>
      <c r="F272" s="32">
        <v>3600</v>
      </c>
      <c r="G272" s="23">
        <f t="shared" si="4"/>
        <v>0.6</v>
      </c>
      <c r="H272" s="29"/>
      <c r="I272" s="33" t="s">
        <v>965</v>
      </c>
    </row>
    <row r="273" spans="1:9" ht="20.25" customHeight="1" x14ac:dyDescent="0.25">
      <c r="A273" s="29">
        <v>9341</v>
      </c>
      <c r="B273" s="30" t="s">
        <v>982</v>
      </c>
      <c r="C273" s="31" t="str">
        <f>VLOOKUP(B273,BASE!$A:$B,2,0)</f>
        <v>7038 SILLAR TRES RIELES 2190 NEGRO</v>
      </c>
      <c r="D273" s="35" t="str">
        <f>VLOOKUP(B273,BASE!$A:$D,3,0)</f>
        <v>NEGRO</v>
      </c>
      <c r="E273" s="32">
        <f>VLOOKUP(B273,BASE!$A:$E,4,0)</f>
        <v>2190</v>
      </c>
      <c r="F273" s="32">
        <v>2600</v>
      </c>
      <c r="G273" s="23">
        <f t="shared" si="4"/>
        <v>0.43333333333333335</v>
      </c>
      <c r="H273" s="29"/>
      <c r="I273" s="33"/>
    </row>
    <row r="274" spans="1:9" ht="20.25" customHeight="1" x14ac:dyDescent="0.25">
      <c r="A274" s="29">
        <v>9349</v>
      </c>
      <c r="B274" s="30" t="s">
        <v>287</v>
      </c>
      <c r="C274" s="31" t="str">
        <f>VLOOKUP(B274,BASE!$A:$B,2,0)</f>
        <v>744 ADAPTADOR 403 BRONCE</v>
      </c>
      <c r="D274" s="35" t="str">
        <f>VLOOKUP(B274,BASE!$A:$D,3,0)</f>
        <v>BRONCE</v>
      </c>
      <c r="E274" s="32">
        <f>VLOOKUP(B274,BASE!$A:$E,4,0)</f>
        <v>403</v>
      </c>
      <c r="F274" s="32">
        <v>4500</v>
      </c>
      <c r="G274" s="23">
        <f t="shared" si="4"/>
        <v>0.75</v>
      </c>
      <c r="H274" s="29">
        <v>23717</v>
      </c>
      <c r="I274" s="33"/>
    </row>
    <row r="275" spans="1:9" ht="20.25" customHeight="1" x14ac:dyDescent="0.25">
      <c r="A275" s="29">
        <v>9352</v>
      </c>
      <c r="B275" s="30" t="s">
        <v>543</v>
      </c>
      <c r="C275" s="31" t="str">
        <f>VLOOKUP(B275,BASE!$A:$B,2,0)</f>
        <v>TUBULAR T-103 MATE</v>
      </c>
      <c r="D275" s="35" t="str">
        <f>VLOOKUP(B275,BASE!$A:$D,3,0)</f>
        <v>MATE</v>
      </c>
      <c r="E275" s="32">
        <f>VLOOKUP(B275,BASE!$A:$E,4,0)</f>
        <v>103</v>
      </c>
      <c r="F275" s="32">
        <v>1900</v>
      </c>
      <c r="G275" s="23">
        <f t="shared" si="4"/>
        <v>0.31666666666666665</v>
      </c>
      <c r="H275" s="29"/>
      <c r="I275" s="33" t="s">
        <v>961</v>
      </c>
    </row>
    <row r="276" spans="1:9" ht="20.25" customHeight="1" x14ac:dyDescent="0.25">
      <c r="A276" s="29">
        <v>9353</v>
      </c>
      <c r="B276" s="30" t="s">
        <v>543</v>
      </c>
      <c r="C276" s="31" t="str">
        <f>VLOOKUP(B276,BASE!$A:$B,2,0)</f>
        <v>TUBULAR T-103 MATE</v>
      </c>
      <c r="D276" s="35" t="str">
        <f>VLOOKUP(B276,BASE!$A:$D,3,0)</f>
        <v>MATE</v>
      </c>
      <c r="E276" s="32">
        <f>VLOOKUP(B276,BASE!$A:$E,4,0)</f>
        <v>103</v>
      </c>
      <c r="F276" s="32">
        <v>1900</v>
      </c>
      <c r="G276" s="23">
        <f t="shared" si="4"/>
        <v>0.31666666666666665</v>
      </c>
      <c r="H276" s="29"/>
      <c r="I276" s="33" t="s">
        <v>961</v>
      </c>
    </row>
    <row r="277" spans="1:9" ht="20.25" customHeight="1" x14ac:dyDescent="0.25">
      <c r="A277" s="29">
        <v>9363</v>
      </c>
      <c r="B277" s="30" t="s">
        <v>58</v>
      </c>
      <c r="C277" s="31" t="str">
        <f>VLOOKUP(B277,BASE!$A:$B,2,0)</f>
        <v>TUBULAR T-70 NEGRO</v>
      </c>
      <c r="D277" s="35" t="str">
        <f>VLOOKUP(B277,BASE!$A:$D,3,0)</f>
        <v>NEGRO</v>
      </c>
      <c r="E277" s="32" t="str">
        <f>VLOOKUP(B277,BASE!$A:$E,4,0)</f>
        <v>T-70</v>
      </c>
      <c r="F277" s="32">
        <v>1000</v>
      </c>
      <c r="G277" s="23">
        <f t="shared" si="4"/>
        <v>0.16666666666666666</v>
      </c>
      <c r="H277" s="29"/>
      <c r="I277" s="33" t="s">
        <v>967</v>
      </c>
    </row>
    <row r="278" spans="1:9" ht="20.25" customHeight="1" x14ac:dyDescent="0.25">
      <c r="A278" s="29">
        <v>9364</v>
      </c>
      <c r="B278" s="30" t="s">
        <v>154</v>
      </c>
      <c r="C278" s="31" t="str">
        <f>VLOOKUP(B278,BASE!$A:$B,2,0)</f>
        <v>CABEZAL CABINA S-319 GRIS PLATA</v>
      </c>
      <c r="D278" s="35" t="str">
        <f>VLOOKUP(B278,BASE!$A:$D,3,0)</f>
        <v>GRIS PLATA</v>
      </c>
      <c r="E278" s="32" t="str">
        <f>VLOOKUP(B278,BASE!$A:$E,4,0)</f>
        <v>S-319</v>
      </c>
      <c r="F278" s="32">
        <v>1200</v>
      </c>
      <c r="G278" s="23">
        <f t="shared" si="4"/>
        <v>0.2</v>
      </c>
      <c r="H278" s="29"/>
      <c r="I278" s="33" t="s">
        <v>967</v>
      </c>
    </row>
    <row r="279" spans="1:9" ht="20.25" customHeight="1" x14ac:dyDescent="0.25">
      <c r="A279" s="29">
        <v>9368</v>
      </c>
      <c r="B279" s="30" t="s">
        <v>109</v>
      </c>
      <c r="C279" s="31" t="str">
        <f>VLOOKUP(B279,BASE!$A:$B,2,0)</f>
        <v>5020 ENGANCHE 147 BRONCE</v>
      </c>
      <c r="D279" s="35" t="str">
        <f>VLOOKUP(B279,BASE!$A:$D,3,0)</f>
        <v>BRONCE</v>
      </c>
      <c r="E279" s="32">
        <f>VLOOKUP(B279,BASE!$A:$E,4,0)</f>
        <v>147</v>
      </c>
      <c r="F279" s="32">
        <v>1900</v>
      </c>
      <c r="G279" s="23">
        <f t="shared" si="4"/>
        <v>0.31666666666666665</v>
      </c>
      <c r="H279" s="29"/>
      <c r="I279" s="33" t="s">
        <v>955</v>
      </c>
    </row>
    <row r="280" spans="1:9" ht="20.25" customHeight="1" x14ac:dyDescent="0.25">
      <c r="A280" s="29">
        <v>9370</v>
      </c>
      <c r="B280" s="30" t="s">
        <v>112</v>
      </c>
      <c r="C280" s="31" t="str">
        <f>VLOOKUP(B280,BASE!$A:$B,2,0)</f>
        <v>5020 JAMBA 193 BRONCE</v>
      </c>
      <c r="D280" s="35" t="str">
        <f>VLOOKUP(B280,BASE!$A:$D,3,0)</f>
        <v>BRONCE</v>
      </c>
      <c r="E280" s="32">
        <f>VLOOKUP(B280,BASE!$A:$E,4,0)</f>
        <v>193</v>
      </c>
      <c r="F280" s="32">
        <v>1300</v>
      </c>
      <c r="G280" s="23">
        <f t="shared" si="4"/>
        <v>0.21666666666666667</v>
      </c>
      <c r="H280" s="29"/>
      <c r="I280" s="33" t="s">
        <v>967</v>
      </c>
    </row>
    <row r="281" spans="1:9" ht="20.25" customHeight="1" x14ac:dyDescent="0.25">
      <c r="A281" s="29">
        <v>9373</v>
      </c>
      <c r="B281" s="30" t="s">
        <v>515</v>
      </c>
      <c r="C281" s="31" t="str">
        <f>VLOOKUP(B281,BASE!$A:$B,2,0)</f>
        <v>5020 TRASLAPE 192 BRONCE</v>
      </c>
      <c r="D281" s="35" t="str">
        <f>VLOOKUP(B281,BASE!$A:$D,3,0)</f>
        <v>BRONCE</v>
      </c>
      <c r="E281" s="32">
        <f>VLOOKUP(B281,BASE!$A:$E,4,0)</f>
        <v>192</v>
      </c>
      <c r="F281" s="32">
        <v>2000</v>
      </c>
      <c r="G281" s="23">
        <f t="shared" si="4"/>
        <v>0.33333333333333331</v>
      </c>
      <c r="H281" s="29"/>
      <c r="I281" s="33" t="s">
        <v>955</v>
      </c>
    </row>
    <row r="282" spans="1:9" ht="20.25" customHeight="1" x14ac:dyDescent="0.25">
      <c r="A282" s="29">
        <v>9380</v>
      </c>
      <c r="B282" s="30" t="s">
        <v>15</v>
      </c>
      <c r="C282" s="31" t="str">
        <f>VLOOKUP(B282,BASE!$A:$B,2,0)</f>
        <v>TUBULAR T-95 NEGRO</v>
      </c>
      <c r="D282" s="35" t="str">
        <f>VLOOKUP(B282,BASE!$A:$D,3,0)</f>
        <v>NEGRO</v>
      </c>
      <c r="E282" s="32" t="str">
        <f>VLOOKUP(B282,BASE!$A:$E,4,0)</f>
        <v>T-95</v>
      </c>
      <c r="F282" s="32">
        <v>1500</v>
      </c>
      <c r="G282" s="23">
        <f t="shared" si="4"/>
        <v>0.25</v>
      </c>
      <c r="H282" s="29"/>
      <c r="I282" s="33" t="s">
        <v>967</v>
      </c>
    </row>
    <row r="283" spans="1:9" ht="20.25" customHeight="1" x14ac:dyDescent="0.25">
      <c r="A283" s="29">
        <v>9388</v>
      </c>
      <c r="B283" s="30" t="s">
        <v>78</v>
      </c>
      <c r="C283" s="31" t="str">
        <f>VLOOKUP(B283,BASE!$A:$B,2,0)</f>
        <v>3831 PISAVIDRIO 177 GRIS PLATA</v>
      </c>
      <c r="D283" s="35" t="str">
        <f>VLOOKUP(B283,BASE!$A:$D,3,0)</f>
        <v>GRIS PLATA</v>
      </c>
      <c r="E283" s="32">
        <f>VLOOKUP(B283,BASE!$A:$E,4,0)</f>
        <v>177</v>
      </c>
      <c r="F283" s="32">
        <v>1900</v>
      </c>
      <c r="G283" s="23">
        <f t="shared" si="4"/>
        <v>0.31666666666666665</v>
      </c>
      <c r="H283" s="29"/>
      <c r="I283" s="33" t="s">
        <v>955</v>
      </c>
    </row>
    <row r="284" spans="1:9" ht="20.25" customHeight="1" x14ac:dyDescent="0.25">
      <c r="A284" s="29">
        <v>9400</v>
      </c>
      <c r="B284" s="30" t="s">
        <v>188</v>
      </c>
      <c r="C284" s="31" t="str">
        <f>VLOOKUP(B284,BASE!$A:$B,2,0)</f>
        <v>3831 NAVE 176 NEGRO</v>
      </c>
      <c r="D284" s="35" t="str">
        <f>VLOOKUP(B284,BASE!$A:$D,3,0)</f>
        <v>NEGRO</v>
      </c>
      <c r="E284" s="32">
        <f>VLOOKUP(B284,BASE!$A:$E,4,0)</f>
        <v>176</v>
      </c>
      <c r="F284" s="32">
        <v>900</v>
      </c>
      <c r="G284" s="23">
        <f t="shared" si="4"/>
        <v>0.15</v>
      </c>
      <c r="H284" s="29">
        <v>23771</v>
      </c>
      <c r="I284" s="33" t="s">
        <v>967</v>
      </c>
    </row>
    <row r="285" spans="1:9" ht="20.25" customHeight="1" x14ac:dyDescent="0.25">
      <c r="A285" s="29">
        <v>9401</v>
      </c>
      <c r="B285" s="30" t="s">
        <v>188</v>
      </c>
      <c r="C285" s="31" t="str">
        <f>VLOOKUP(B285,BASE!$A:$B,2,0)</f>
        <v>3831 NAVE 176 NEGRO</v>
      </c>
      <c r="D285" s="35" t="str">
        <f>VLOOKUP(B285,BASE!$A:$D,3,0)</f>
        <v>NEGRO</v>
      </c>
      <c r="E285" s="32">
        <f>VLOOKUP(B285,BASE!$A:$E,4,0)</f>
        <v>176</v>
      </c>
      <c r="F285" s="32">
        <v>900</v>
      </c>
      <c r="G285" s="23">
        <f t="shared" si="4"/>
        <v>0.15</v>
      </c>
      <c r="H285" s="29">
        <v>23771</v>
      </c>
      <c r="I285" s="33" t="s">
        <v>967</v>
      </c>
    </row>
    <row r="286" spans="1:9" ht="20.25" customHeight="1" x14ac:dyDescent="0.25">
      <c r="A286" s="29">
        <v>9403</v>
      </c>
      <c r="B286" s="30" t="s">
        <v>188</v>
      </c>
      <c r="C286" s="31" t="str">
        <f>VLOOKUP(B286,BASE!$A:$B,2,0)</f>
        <v>3831 NAVE 176 NEGRO</v>
      </c>
      <c r="D286" s="35" t="str">
        <f>VLOOKUP(B286,BASE!$A:$D,3,0)</f>
        <v>NEGRO</v>
      </c>
      <c r="E286" s="32">
        <f>VLOOKUP(B286,BASE!$A:$E,4,0)</f>
        <v>176</v>
      </c>
      <c r="F286" s="32">
        <v>900</v>
      </c>
      <c r="G286" s="23">
        <f t="shared" si="4"/>
        <v>0.15</v>
      </c>
      <c r="H286" s="29">
        <v>23771</v>
      </c>
      <c r="I286" s="33" t="s">
        <v>967</v>
      </c>
    </row>
    <row r="287" spans="1:9" ht="20.25" customHeight="1" x14ac:dyDescent="0.25">
      <c r="A287" s="29">
        <v>9404</v>
      </c>
      <c r="B287" s="30" t="s">
        <v>188</v>
      </c>
      <c r="C287" s="31" t="str">
        <f>VLOOKUP(B287,BASE!$A:$B,2,0)</f>
        <v>3831 NAVE 176 NEGRO</v>
      </c>
      <c r="D287" s="35" t="str">
        <f>VLOOKUP(B287,BASE!$A:$D,3,0)</f>
        <v>NEGRO</v>
      </c>
      <c r="E287" s="32">
        <f>VLOOKUP(B287,BASE!$A:$E,4,0)</f>
        <v>176</v>
      </c>
      <c r="F287" s="32">
        <v>900</v>
      </c>
      <c r="G287" s="23">
        <f t="shared" ref="G287:G294" si="5">+F287/6000</f>
        <v>0.15</v>
      </c>
      <c r="H287" s="29">
        <v>23771</v>
      </c>
      <c r="I287" s="33" t="s">
        <v>967</v>
      </c>
    </row>
    <row r="288" spans="1:9" ht="20.25" customHeight="1" x14ac:dyDescent="0.25">
      <c r="A288" s="29">
        <v>9409</v>
      </c>
      <c r="B288" s="30" t="s">
        <v>1052</v>
      </c>
      <c r="C288" s="31" t="str">
        <f>VLOOKUP(B288,BASE!$A:$B,2,0)</f>
        <v>TUBULAR T-198 NEGRO</v>
      </c>
      <c r="D288" s="35" t="str">
        <f>VLOOKUP(B288,BASE!$A:$D,3,0)</f>
        <v>NEGRO</v>
      </c>
      <c r="E288" s="32" t="str">
        <f>VLOOKUP(B288,BASE!$A:$E,4,0)</f>
        <v>T-198</v>
      </c>
      <c r="F288" s="32">
        <v>900</v>
      </c>
      <c r="G288" s="23">
        <f t="shared" si="5"/>
        <v>0.15</v>
      </c>
      <c r="H288" s="29"/>
      <c r="I288" s="33" t="s">
        <v>968</v>
      </c>
    </row>
    <row r="289" spans="1:9" ht="20.25" customHeight="1" x14ac:dyDescent="0.25">
      <c r="A289" s="29">
        <v>9412</v>
      </c>
      <c r="B289" s="30" t="s">
        <v>71</v>
      </c>
      <c r="C289" s="31" t="str">
        <f>VLOOKUP(B289,BASE!$A:$B,2,0)</f>
        <v>744 TRASLAPE 388 NEGRO</v>
      </c>
      <c r="D289" s="35" t="str">
        <f>VLOOKUP(B289,BASE!$A:$D,3,0)</f>
        <v>NEGRO</v>
      </c>
      <c r="E289" s="32">
        <f>VLOOKUP(B289,BASE!$A:$E,4,0)</f>
        <v>388</v>
      </c>
      <c r="F289" s="32">
        <v>1100</v>
      </c>
      <c r="G289" s="23">
        <f t="shared" si="5"/>
        <v>0.18333333333333332</v>
      </c>
      <c r="H289" s="29"/>
      <c r="I289" s="33" t="s">
        <v>967</v>
      </c>
    </row>
    <row r="290" spans="1:9" ht="20.25" customHeight="1" x14ac:dyDescent="0.25">
      <c r="A290" s="29">
        <v>9421</v>
      </c>
      <c r="B290" s="30" t="s">
        <v>65</v>
      </c>
      <c r="C290" s="31" t="str">
        <f>VLOOKUP(B290,BASE!$A:$B,2,0)</f>
        <v>744 ENGANCHE 391 BRONCE</v>
      </c>
      <c r="D290" s="35" t="str">
        <f>VLOOKUP(B290,BASE!$A:$D,3,0)</f>
        <v>BRONCE</v>
      </c>
      <c r="E290" s="32">
        <f>VLOOKUP(B290,BASE!$A:$E,4,0)</f>
        <v>391</v>
      </c>
      <c r="F290" s="32">
        <v>900</v>
      </c>
      <c r="G290" s="23">
        <f t="shared" si="5"/>
        <v>0.15</v>
      </c>
      <c r="H290" s="29">
        <v>23717</v>
      </c>
      <c r="I290" s="33" t="s">
        <v>968</v>
      </c>
    </row>
    <row r="291" spans="1:9" ht="20.25" customHeight="1" x14ac:dyDescent="0.25">
      <c r="A291" s="29">
        <v>9422</v>
      </c>
      <c r="B291" s="30" t="s">
        <v>24</v>
      </c>
      <c r="C291" s="31" t="str">
        <f>VLOOKUP(B291,BASE!$A:$B,2,0)</f>
        <v>SILLAR CABINA S-201 GRIS PLATA</v>
      </c>
      <c r="D291" s="35" t="str">
        <f>VLOOKUP(B291,BASE!$A:$D,3,0)</f>
        <v>GRIS PLATA</v>
      </c>
      <c r="E291" s="32" t="str">
        <f>VLOOKUP(B291,BASE!$A:$E,4,0)</f>
        <v>S-201</v>
      </c>
      <c r="F291" s="32">
        <v>800</v>
      </c>
      <c r="G291" s="23">
        <f t="shared" si="5"/>
        <v>0.13333333333333333</v>
      </c>
      <c r="H291" s="29"/>
      <c r="I291" s="33" t="s">
        <v>968</v>
      </c>
    </row>
    <row r="292" spans="1:9" ht="20.25" customHeight="1" x14ac:dyDescent="0.25">
      <c r="A292" s="29">
        <v>9425</v>
      </c>
      <c r="B292" s="30" t="s">
        <v>24</v>
      </c>
      <c r="C292" s="31" t="str">
        <f>VLOOKUP(B292,BASE!$A:$B,2,0)</f>
        <v>SILLAR CABINA S-201 GRIS PLATA</v>
      </c>
      <c r="D292" s="35" t="str">
        <f>VLOOKUP(B292,BASE!$A:$D,3,0)</f>
        <v>GRIS PLATA</v>
      </c>
      <c r="E292" s="32" t="str">
        <f>VLOOKUP(B292,BASE!$A:$E,4,0)</f>
        <v>S-201</v>
      </c>
      <c r="F292" s="32">
        <v>1100</v>
      </c>
      <c r="G292" s="23">
        <f t="shared" si="5"/>
        <v>0.18333333333333332</v>
      </c>
      <c r="H292" s="29"/>
      <c r="I292" s="33" t="s">
        <v>967</v>
      </c>
    </row>
    <row r="293" spans="1:9" ht="20.25" customHeight="1" x14ac:dyDescent="0.25">
      <c r="A293" s="29">
        <v>9429</v>
      </c>
      <c r="B293" s="30" t="s">
        <v>161</v>
      </c>
      <c r="C293" s="31" t="str">
        <f>VLOOKUP(B293,BASE!$A:$B,2,0)</f>
        <v>744 ENGANCHE 391 NEGRO</v>
      </c>
      <c r="D293" s="35" t="str">
        <f>VLOOKUP(B293,BASE!$A:$D,3,0)</f>
        <v>NEGRO</v>
      </c>
      <c r="E293" s="32">
        <f>VLOOKUP(B293,BASE!$A:$E,4,0)</f>
        <v>391</v>
      </c>
      <c r="F293" s="32">
        <v>1100</v>
      </c>
      <c r="G293" s="23">
        <f t="shared" si="5"/>
        <v>0.18333333333333332</v>
      </c>
      <c r="H293" s="29"/>
      <c r="I293" s="33" t="s">
        <v>967</v>
      </c>
    </row>
    <row r="294" spans="1:9" ht="20.25" customHeight="1" x14ac:dyDescent="0.25">
      <c r="A294" s="29">
        <v>9438</v>
      </c>
      <c r="B294" s="30" t="s">
        <v>95</v>
      </c>
      <c r="C294" s="31" t="str">
        <f>VLOOKUP(B294,BASE!$A:$B,2,0)</f>
        <v xml:space="preserve">PERFIL MOSQUITERO M-364 </v>
      </c>
      <c r="D294" s="35" t="str">
        <f>VLOOKUP(B294,BASE!$A:$D,3,0)</f>
        <v xml:space="preserve">CRUDO </v>
      </c>
      <c r="E294" s="32" t="str">
        <f>VLOOKUP(B294,BASE!$A:$E,4,0)</f>
        <v>M-364</v>
      </c>
      <c r="F294" s="32">
        <v>1200</v>
      </c>
      <c r="G294" s="23">
        <f t="shared" si="5"/>
        <v>0.2</v>
      </c>
      <c r="H294" s="29"/>
      <c r="I294" s="33" t="s">
        <v>967</v>
      </c>
    </row>
    <row r="295" spans="1:9" ht="20.25" customHeight="1" x14ac:dyDescent="0.25">
      <c r="A295" s="29">
        <v>9495</v>
      </c>
      <c r="B295" s="30" t="s">
        <v>58</v>
      </c>
      <c r="C295" s="31" t="str">
        <f>VLOOKUP(B295,BASE!$A:$B,2,0)</f>
        <v>TUBULAR T-70 NEGRO</v>
      </c>
      <c r="D295" s="35" t="str">
        <f>VLOOKUP(B295,BASE!$A:$D,3,0)</f>
        <v>NEGRO</v>
      </c>
      <c r="E295" s="32" t="str">
        <f>VLOOKUP(B295,BASE!$A:$E,4,0)</f>
        <v>T-70</v>
      </c>
      <c r="F295" s="32">
        <v>1500</v>
      </c>
      <c r="G295" s="23">
        <f t="shared" ref="G295:G311" si="6">+F295/6000</f>
        <v>0.25</v>
      </c>
      <c r="H295" s="29"/>
      <c r="I295" s="33" t="s">
        <v>966</v>
      </c>
    </row>
    <row r="296" spans="1:9" ht="20.25" customHeight="1" x14ac:dyDescent="0.25">
      <c r="A296" s="29">
        <v>9503</v>
      </c>
      <c r="B296" s="30" t="s">
        <v>101</v>
      </c>
      <c r="C296" s="31" t="str">
        <f>VLOOKUP(B296,BASE!$A:$B,2,0)</f>
        <v>SILLAR CABINA S-201 BRONCE</v>
      </c>
      <c r="D296" s="35" t="str">
        <f>VLOOKUP(B296,BASE!$A:$D,3,0)</f>
        <v>BRONCE</v>
      </c>
      <c r="E296" s="32" t="str">
        <f>VLOOKUP(B296,BASE!$A:$E,4,0)</f>
        <v>S-201</v>
      </c>
      <c r="F296" s="32">
        <v>1900</v>
      </c>
      <c r="G296" s="23">
        <f t="shared" si="6"/>
        <v>0.31666666666666665</v>
      </c>
      <c r="H296" s="29"/>
      <c r="I296" s="33" t="s">
        <v>955</v>
      </c>
    </row>
    <row r="297" spans="1:9" ht="20.25" customHeight="1" x14ac:dyDescent="0.25">
      <c r="A297" s="29">
        <v>9529</v>
      </c>
      <c r="B297" s="30" t="s">
        <v>11</v>
      </c>
      <c r="C297" s="31" t="str">
        <f>VLOOKUP(B297,BASE!$A:$B,2,0)</f>
        <v>PERFIL F 463 NEGRO</v>
      </c>
      <c r="D297" s="35" t="str">
        <f>VLOOKUP(B297,BASE!$A:$D,3,0)</f>
        <v>NEGRO</v>
      </c>
      <c r="E297" s="32" t="str">
        <f>VLOOKUP(B297,BASE!$A:$E,4,0)</f>
        <v>F-463</v>
      </c>
      <c r="F297" s="32">
        <v>2300</v>
      </c>
      <c r="G297" s="23">
        <f t="shared" si="6"/>
        <v>0.38333333333333336</v>
      </c>
      <c r="H297" s="29"/>
      <c r="I297" s="33" t="s">
        <v>959</v>
      </c>
    </row>
    <row r="298" spans="1:9" ht="20.25" customHeight="1" x14ac:dyDescent="0.25">
      <c r="A298" s="29">
        <v>9532</v>
      </c>
      <c r="B298" s="30" t="s">
        <v>18</v>
      </c>
      <c r="C298" s="31" t="str">
        <f>VLOOKUP(B298,BASE!$A:$B,2,0)</f>
        <v>8025 CABEZAL 151 GRIS PLATA</v>
      </c>
      <c r="D298" s="35" t="str">
        <f>VLOOKUP(B298,BASE!$A:$D,3,0)</f>
        <v>GRIS PLATA</v>
      </c>
      <c r="E298" s="32">
        <f>VLOOKUP(B298,BASE!$A:$E,4,0)</f>
        <v>151</v>
      </c>
      <c r="F298" s="32">
        <v>1300</v>
      </c>
      <c r="G298" s="23">
        <f t="shared" si="6"/>
        <v>0.21666666666666667</v>
      </c>
      <c r="H298" s="29"/>
      <c r="I298" s="33" t="s">
        <v>967</v>
      </c>
    </row>
    <row r="299" spans="1:9" ht="20.25" customHeight="1" x14ac:dyDescent="0.25">
      <c r="A299" s="29">
        <v>9533</v>
      </c>
      <c r="B299" s="30" t="s">
        <v>475</v>
      </c>
      <c r="C299" s="31" t="str">
        <f>VLOOKUP(B299,BASE!$A:$B,2,0)</f>
        <v>8025 SILLAR 150 GRIS PLATA</v>
      </c>
      <c r="D299" s="35" t="str">
        <f>VLOOKUP(B299,BASE!$A:$D,3,0)</f>
        <v>GRIS PLATA</v>
      </c>
      <c r="E299" s="32">
        <f>VLOOKUP(B299,BASE!$A:$E,4,0)</f>
        <v>150</v>
      </c>
      <c r="F299" s="32">
        <v>1100</v>
      </c>
      <c r="G299" s="23">
        <f t="shared" si="6"/>
        <v>0.18333333333333332</v>
      </c>
      <c r="H299" s="29"/>
      <c r="I299" s="33" t="s">
        <v>967</v>
      </c>
    </row>
    <row r="300" spans="1:9" ht="20.25" customHeight="1" x14ac:dyDescent="0.25">
      <c r="A300" s="29">
        <v>9534</v>
      </c>
      <c r="B300" s="30" t="s">
        <v>421</v>
      </c>
      <c r="C300" s="31" t="str">
        <f>VLOOKUP(B300,BASE!$A:$B,2,0)</f>
        <v>8025 JAMBA 152 GRIS PLATA</v>
      </c>
      <c r="D300" s="35" t="str">
        <f>VLOOKUP(B300,BASE!$A:$D,3,0)</f>
        <v>GRIS PLATA</v>
      </c>
      <c r="E300" s="32">
        <f>VLOOKUP(B300,BASE!$A:$E,4,0)</f>
        <v>152</v>
      </c>
      <c r="F300" s="32">
        <v>1000</v>
      </c>
      <c r="G300" s="23">
        <f t="shared" si="6"/>
        <v>0.16666666666666666</v>
      </c>
      <c r="H300" s="29"/>
      <c r="I300" s="33" t="s">
        <v>967</v>
      </c>
    </row>
    <row r="301" spans="1:9" ht="20.25" customHeight="1" x14ac:dyDescent="0.25">
      <c r="A301" s="29">
        <v>9535</v>
      </c>
      <c r="B301" s="30" t="s">
        <v>526</v>
      </c>
      <c r="C301" s="31" t="str">
        <f>VLOOKUP(B301,BASE!$A:$B,2,0)</f>
        <v>8025 TRASLAPE 190 GRIS PLATA</v>
      </c>
      <c r="D301" s="35" t="str">
        <f>VLOOKUP(B301,BASE!$A:$D,3,0)</f>
        <v>GRIS PLATA</v>
      </c>
      <c r="E301" s="32">
        <f>VLOOKUP(B301,BASE!$A:$E,4,0)</f>
        <v>190</v>
      </c>
      <c r="F301" s="32">
        <v>1100</v>
      </c>
      <c r="G301" s="23">
        <f t="shared" si="6"/>
        <v>0.18333333333333332</v>
      </c>
      <c r="H301" s="29"/>
      <c r="I301" s="33" t="s">
        <v>967</v>
      </c>
    </row>
    <row r="302" spans="1:9" ht="20.25" customHeight="1" x14ac:dyDescent="0.25">
      <c r="A302" s="29">
        <v>9536</v>
      </c>
      <c r="B302" s="30" t="s">
        <v>526</v>
      </c>
      <c r="C302" s="31" t="str">
        <f>VLOOKUP(B302,BASE!$A:$B,2,0)</f>
        <v>8025 TRASLAPE 190 GRIS PLATA</v>
      </c>
      <c r="D302" s="35" t="str">
        <f>VLOOKUP(B302,BASE!$A:$D,3,0)</f>
        <v>GRIS PLATA</v>
      </c>
      <c r="E302" s="32">
        <f>VLOOKUP(B302,BASE!$A:$E,4,0)</f>
        <v>190</v>
      </c>
      <c r="F302" s="32">
        <v>800</v>
      </c>
      <c r="G302" s="23">
        <f t="shared" si="6"/>
        <v>0.13333333333333333</v>
      </c>
      <c r="H302" s="29"/>
      <c r="I302" s="33" t="s">
        <v>969</v>
      </c>
    </row>
    <row r="303" spans="1:9" ht="20.25" customHeight="1" x14ac:dyDescent="0.25">
      <c r="A303" s="29">
        <v>9538</v>
      </c>
      <c r="B303" s="30" t="s">
        <v>440</v>
      </c>
      <c r="C303" s="31" t="str">
        <f>VLOOKUP(B303,BASE!$A:$B,2,0)</f>
        <v>744 JAMBA 393 NEGRO</v>
      </c>
      <c r="D303" s="35" t="str">
        <f>VLOOKUP(B303,BASE!$A:$D,3,0)</f>
        <v>NEGRO</v>
      </c>
      <c r="E303" s="32">
        <f>VLOOKUP(B303,BASE!$A:$E,4,0)</f>
        <v>393</v>
      </c>
      <c r="F303" s="32">
        <v>1600</v>
      </c>
      <c r="G303" s="23">
        <f t="shared" si="6"/>
        <v>0.26666666666666666</v>
      </c>
      <c r="H303" s="29"/>
      <c r="I303" s="33" t="s">
        <v>959</v>
      </c>
    </row>
    <row r="304" spans="1:9" ht="20.25" customHeight="1" x14ac:dyDescent="0.25">
      <c r="A304" s="29">
        <v>9539</v>
      </c>
      <c r="B304" s="30" t="s">
        <v>158</v>
      </c>
      <c r="C304" s="31" t="str">
        <f>VLOOKUP(B304,BASE!$A:$B,2,0)</f>
        <v>3831 ADAPTADOR 175 NEGRO</v>
      </c>
      <c r="D304" s="35" t="str">
        <f>VLOOKUP(B304,BASE!$A:$D,3,0)</f>
        <v>NEGRO</v>
      </c>
      <c r="E304" s="32">
        <f>VLOOKUP(B304,BASE!$A:$E,4,0)</f>
        <v>175</v>
      </c>
      <c r="F304" s="32">
        <v>1800</v>
      </c>
      <c r="G304" s="23">
        <f t="shared" si="6"/>
        <v>0.3</v>
      </c>
      <c r="H304" s="29"/>
      <c r="I304" s="33" t="s">
        <v>959</v>
      </c>
    </row>
    <row r="305" spans="1:9" ht="20.25" customHeight="1" x14ac:dyDescent="0.25">
      <c r="A305" s="29">
        <v>9544</v>
      </c>
      <c r="B305" s="30" t="s">
        <v>730</v>
      </c>
      <c r="C305" s="31" t="str">
        <f>VLOOKUP(B305,BASE!$A:$B,2,0)</f>
        <v>8025 ENGANCHE 191 GRIS PLATA</v>
      </c>
      <c r="D305" s="35" t="str">
        <f>VLOOKUP(B305,BASE!$A:$D,3,0)</f>
        <v>GRIS PLATA</v>
      </c>
      <c r="E305" s="32">
        <f>VLOOKUP(B305,BASE!$A:$E,4,0)</f>
        <v>191</v>
      </c>
      <c r="F305" s="32">
        <v>1800</v>
      </c>
      <c r="G305" s="23">
        <f t="shared" si="6"/>
        <v>0.3</v>
      </c>
      <c r="H305" s="29"/>
      <c r="I305" s="33" t="s">
        <v>959</v>
      </c>
    </row>
    <row r="306" spans="1:9" ht="20.25" customHeight="1" x14ac:dyDescent="0.25">
      <c r="A306" s="29">
        <v>9561</v>
      </c>
      <c r="B306" s="30" t="s">
        <v>179</v>
      </c>
      <c r="C306" s="31" t="str">
        <f>VLOOKUP(B306,BASE!$A:$B,2,0)</f>
        <v>TABLILLA F-08 MATE</v>
      </c>
      <c r="D306" s="35" t="str">
        <f>VLOOKUP(B306,BASE!$A:$D,3,0)</f>
        <v>MATE</v>
      </c>
      <c r="E306" s="32" t="str">
        <f>VLOOKUP(B306,BASE!$A:$E,4,0)</f>
        <v>F-08</v>
      </c>
      <c r="F306" s="32">
        <v>6000</v>
      </c>
      <c r="G306" s="23">
        <f t="shared" si="6"/>
        <v>1</v>
      </c>
      <c r="H306" s="29"/>
      <c r="I306" s="33" t="s">
        <v>956</v>
      </c>
    </row>
    <row r="307" spans="1:9" ht="20.25" customHeight="1" x14ac:dyDescent="0.25">
      <c r="A307" s="29">
        <v>9562</v>
      </c>
      <c r="B307" s="30" t="s">
        <v>47</v>
      </c>
      <c r="C307" s="31" t="str">
        <f>VLOOKUP(B307,BASE!$A:$B,2,0)</f>
        <v>8025 JAMBA 708 MATE</v>
      </c>
      <c r="D307" s="35" t="str">
        <f>VLOOKUP(B307,BASE!$A:$D,3,0)</f>
        <v>MATE</v>
      </c>
      <c r="E307" s="32">
        <f>VLOOKUP(B307,BASE!$A:$E,4,0)</f>
        <v>708</v>
      </c>
      <c r="F307" s="32">
        <v>6000</v>
      </c>
      <c r="G307" s="23">
        <f t="shared" si="6"/>
        <v>1</v>
      </c>
      <c r="H307" s="29"/>
      <c r="I307" s="33" t="s">
        <v>956</v>
      </c>
    </row>
    <row r="308" spans="1:9" ht="20.25" customHeight="1" x14ac:dyDescent="0.25">
      <c r="A308" s="29">
        <v>9587</v>
      </c>
      <c r="B308" s="30" t="s">
        <v>585</v>
      </c>
      <c r="C308" s="31" t="str">
        <f>VLOOKUP(B308,BASE!$A:$B,2,0)</f>
        <v>U68 GRIS PLATA</v>
      </c>
      <c r="D308" s="35" t="str">
        <f>VLOOKUP(B308,BASE!$A:$D,3,0)</f>
        <v>GRIS PLATA</v>
      </c>
      <c r="E308" s="32" t="str">
        <f>VLOOKUP(B308,BASE!$A:$E,4,0)</f>
        <v>U-68</v>
      </c>
      <c r="F308" s="32">
        <v>2600</v>
      </c>
      <c r="G308" s="23">
        <f t="shared" si="6"/>
        <v>0.43333333333333335</v>
      </c>
      <c r="H308" s="29"/>
      <c r="I308" s="33" t="s">
        <v>984</v>
      </c>
    </row>
    <row r="309" spans="1:9" ht="20.25" customHeight="1" x14ac:dyDescent="0.25">
      <c r="A309" s="29">
        <v>9589</v>
      </c>
      <c r="B309" s="30" t="s">
        <v>138</v>
      </c>
      <c r="C309" s="31" t="str">
        <f>VLOOKUP(B309,BASE!$A:$B,2,0)</f>
        <v>TAPALUZ PT02 NEGRO</v>
      </c>
      <c r="D309" s="35" t="str">
        <f>VLOOKUP(B309,BASE!$A:$D,3,0)</f>
        <v>NEGRO</v>
      </c>
      <c r="E309" s="32" t="str">
        <f>VLOOKUP(B309,BASE!$A:$E,4,0)</f>
        <v>PT-02</v>
      </c>
      <c r="F309" s="32">
        <v>2000</v>
      </c>
      <c r="G309" s="23">
        <f t="shared" si="6"/>
        <v>0.33333333333333331</v>
      </c>
      <c r="H309" s="29"/>
      <c r="I309" s="33" t="s">
        <v>984</v>
      </c>
    </row>
    <row r="310" spans="1:9" ht="20.25" customHeight="1" x14ac:dyDescent="0.25">
      <c r="A310" s="29">
        <v>9590</v>
      </c>
      <c r="B310" s="30" t="s">
        <v>138</v>
      </c>
      <c r="C310" s="31" t="str">
        <f>VLOOKUP(B310,BASE!$A:$B,2,0)</f>
        <v>TAPALUZ PT02 NEGRO</v>
      </c>
      <c r="D310" s="35" t="str">
        <f>VLOOKUP(B310,BASE!$A:$D,3,0)</f>
        <v>NEGRO</v>
      </c>
      <c r="E310" s="32" t="str">
        <f>VLOOKUP(B310,BASE!$A:$E,4,0)</f>
        <v>PT-02</v>
      </c>
      <c r="F310" s="32">
        <v>1900</v>
      </c>
      <c r="G310" s="23">
        <f t="shared" si="6"/>
        <v>0.31666666666666665</v>
      </c>
      <c r="H310" s="29"/>
      <c r="I310" s="33" t="s">
        <v>984</v>
      </c>
    </row>
    <row r="311" spans="1:9" ht="20.25" customHeight="1" x14ac:dyDescent="0.25">
      <c r="A311" s="29">
        <v>9591</v>
      </c>
      <c r="B311" s="30" t="s">
        <v>165</v>
      </c>
      <c r="C311" s="31" t="str">
        <f>VLOOKUP(B311,BASE!$A:$B,2,0)</f>
        <v>ANGULO A-01 NEGRO (1/2 X 1/2)</v>
      </c>
      <c r="D311" s="35" t="str">
        <f>VLOOKUP(B311,BASE!$A:$D,3,0)</f>
        <v>NEGRO</v>
      </c>
      <c r="E311" s="32" t="str">
        <f>VLOOKUP(B311,BASE!$A:$E,4,0)</f>
        <v>A-01</v>
      </c>
      <c r="F311" s="32">
        <v>1700</v>
      </c>
      <c r="G311" s="23">
        <f t="shared" si="6"/>
        <v>0.28333333333333333</v>
      </c>
      <c r="H311" s="29"/>
      <c r="I311" s="33" t="s">
        <v>984</v>
      </c>
    </row>
    <row r="312" spans="1:9" ht="20.25" customHeight="1" x14ac:dyDescent="0.25">
      <c r="A312" s="29">
        <v>9595</v>
      </c>
      <c r="B312" s="30" t="s">
        <v>555</v>
      </c>
      <c r="C312" s="31" t="str">
        <f>VLOOKUP(B312,BASE!$A:$B,2,0)</f>
        <v>TUBULAR T-244 BRONCE</v>
      </c>
      <c r="D312" s="35" t="str">
        <f>VLOOKUP(B312,BASE!$A:$D,3,0)</f>
        <v>BRONCE</v>
      </c>
      <c r="E312" s="32" t="str">
        <f>VLOOKUP(B312,BASE!$A:$E,4,0)</f>
        <v>T-244</v>
      </c>
      <c r="F312" s="32">
        <v>6000</v>
      </c>
      <c r="G312" s="23">
        <f t="shared" ref="G312:G337" si="7">+F312/6000</f>
        <v>1</v>
      </c>
      <c r="H312" s="29">
        <v>23717</v>
      </c>
      <c r="I312" s="33" t="s">
        <v>956</v>
      </c>
    </row>
    <row r="313" spans="1:9" ht="20.25" customHeight="1" x14ac:dyDescent="0.25">
      <c r="A313" s="29">
        <v>9614</v>
      </c>
      <c r="B313" s="30" t="s">
        <v>165</v>
      </c>
      <c r="C313" s="31" t="str">
        <f>VLOOKUP(B313,BASE!$A:$B,2,0)</f>
        <v>ANGULO A-01 NEGRO (1/2 X 1/2)</v>
      </c>
      <c r="D313" s="35" t="str">
        <f>VLOOKUP(B313,BASE!$A:$D,3,0)</f>
        <v>NEGRO</v>
      </c>
      <c r="E313" s="32" t="str">
        <f>VLOOKUP(B313,BASE!$A:$E,4,0)</f>
        <v>A-01</v>
      </c>
      <c r="F313" s="32">
        <v>6000</v>
      </c>
      <c r="G313" s="23">
        <f t="shared" si="7"/>
        <v>1</v>
      </c>
      <c r="H313" s="29"/>
      <c r="I313" s="33" t="s">
        <v>958</v>
      </c>
    </row>
    <row r="314" spans="1:9" ht="20.25" customHeight="1" x14ac:dyDescent="0.25">
      <c r="A314" s="29">
        <v>9615</v>
      </c>
      <c r="B314" s="30" t="s">
        <v>1047</v>
      </c>
      <c r="C314" s="31" t="str">
        <f>VLOOKUP(B314,BASE!$A:$B,2,0)</f>
        <v>ANGULO A-09 NEGRO (1" X 1")</v>
      </c>
      <c r="D314" s="35" t="str">
        <f>VLOOKUP(B314,BASE!$A:$D,3,0)</f>
        <v>NEGRO</v>
      </c>
      <c r="E314" s="32" t="str">
        <f>VLOOKUP(B314,BASE!$A:$E,4,0)</f>
        <v>A-09</v>
      </c>
      <c r="F314" s="32">
        <v>6000</v>
      </c>
      <c r="G314" s="23">
        <f t="shared" si="7"/>
        <v>1</v>
      </c>
      <c r="H314" s="29"/>
      <c r="I314" s="33" t="s">
        <v>956</v>
      </c>
    </row>
    <row r="315" spans="1:9" ht="20.25" customHeight="1" x14ac:dyDescent="0.25">
      <c r="A315" s="29">
        <v>9626</v>
      </c>
      <c r="B315" s="30" t="s">
        <v>973</v>
      </c>
      <c r="C315" s="31" t="str">
        <f>VLOOKUP(B315,BASE!$A:$B,2,0)</f>
        <v>SILLAR CABINA S-201 NEGRO</v>
      </c>
      <c r="D315" s="35" t="str">
        <f>VLOOKUP(B315,BASE!$A:$D,3,0)</f>
        <v>NEGRO</v>
      </c>
      <c r="E315" s="32" t="str">
        <f>VLOOKUP(B315,BASE!$A:$E,4,0)</f>
        <v>S-201</v>
      </c>
      <c r="F315" s="32">
        <v>4700</v>
      </c>
      <c r="G315" s="23">
        <f t="shared" si="7"/>
        <v>0.78333333333333333</v>
      </c>
      <c r="H315" s="29"/>
      <c r="I315" s="33" t="s">
        <v>962</v>
      </c>
    </row>
    <row r="316" spans="1:9" ht="20.25" customHeight="1" x14ac:dyDescent="0.25">
      <c r="A316" s="29">
        <v>9627</v>
      </c>
      <c r="B316" s="30" t="s">
        <v>973</v>
      </c>
      <c r="C316" s="31" t="str">
        <f>VLOOKUP(B316,BASE!$A:$B,2,0)</f>
        <v>SILLAR CABINA S-201 NEGRO</v>
      </c>
      <c r="D316" s="35" t="str">
        <f>VLOOKUP(B316,BASE!$A:$D,3,0)</f>
        <v>NEGRO</v>
      </c>
      <c r="E316" s="32" t="str">
        <f>VLOOKUP(B316,BASE!$A:$E,4,0)</f>
        <v>S-201</v>
      </c>
      <c r="F316" s="32">
        <v>3100</v>
      </c>
      <c r="G316" s="23">
        <f t="shared" si="7"/>
        <v>0.51666666666666672</v>
      </c>
      <c r="H316" s="29"/>
      <c r="I316" s="33" t="s">
        <v>962</v>
      </c>
    </row>
    <row r="317" spans="1:9" ht="20.25" customHeight="1" x14ac:dyDescent="0.25">
      <c r="A317" s="29">
        <v>9629</v>
      </c>
      <c r="B317" s="30" t="s">
        <v>181</v>
      </c>
      <c r="C317" s="31" t="str">
        <f>VLOOKUP(B317,BASE!$A:$B,2,0)</f>
        <v>5020 HORIZONTAL 148 GRIS PLATA</v>
      </c>
      <c r="D317" s="35" t="str">
        <f>VLOOKUP(B317,BASE!$A:$D,3,0)</f>
        <v>GRIS PLATA</v>
      </c>
      <c r="E317" s="32">
        <f>VLOOKUP(B317,BASE!$A:$E,4,0)</f>
        <v>148</v>
      </c>
      <c r="F317" s="32">
        <v>4100</v>
      </c>
      <c r="G317" s="23">
        <f t="shared" si="7"/>
        <v>0.68333333333333335</v>
      </c>
      <c r="H317" s="29"/>
      <c r="I317" s="33" t="s">
        <v>962</v>
      </c>
    </row>
    <row r="318" spans="1:9" ht="20.25" customHeight="1" x14ac:dyDescent="0.25">
      <c r="A318" s="29">
        <v>9630</v>
      </c>
      <c r="B318" s="30" t="s">
        <v>76</v>
      </c>
      <c r="C318" s="31" t="str">
        <f>VLOOKUP(B318,BASE!$A:$B,2,0)</f>
        <v>5020 JAMBA 193 GRIS PLATA</v>
      </c>
      <c r="D318" s="35" t="str">
        <f>VLOOKUP(B318,BASE!$A:$D,3,0)</f>
        <v>GRIS PLATA</v>
      </c>
      <c r="E318" s="32">
        <f>VLOOKUP(B318,BASE!$A:$E,4,0)</f>
        <v>193</v>
      </c>
      <c r="F318" s="32">
        <v>3700</v>
      </c>
      <c r="G318" s="23">
        <f t="shared" si="7"/>
        <v>0.6166666666666667</v>
      </c>
      <c r="H318" s="29"/>
      <c r="I318" s="33" t="s">
        <v>962</v>
      </c>
    </row>
    <row r="319" spans="1:9" ht="20.25" customHeight="1" x14ac:dyDescent="0.25">
      <c r="A319" s="29">
        <v>9631</v>
      </c>
      <c r="B319" s="30" t="s">
        <v>77</v>
      </c>
      <c r="C319" s="31" t="str">
        <f>VLOOKUP(B319,BASE!$A:$B,2,0)</f>
        <v>5020 ENGANCHE 147 GRIS PLATA</v>
      </c>
      <c r="D319" s="35" t="str">
        <f>VLOOKUP(B319,BASE!$A:$D,3,0)</f>
        <v>GRIS PLATA</v>
      </c>
      <c r="E319" s="32">
        <f>VLOOKUP(B319,BASE!$A:$E,4,0)</f>
        <v>147</v>
      </c>
      <c r="F319" s="32">
        <v>3700</v>
      </c>
      <c r="G319" s="23">
        <f t="shared" si="7"/>
        <v>0.6166666666666667</v>
      </c>
      <c r="H319" s="29"/>
      <c r="I319" s="33" t="s">
        <v>962</v>
      </c>
    </row>
    <row r="320" spans="1:9" ht="20.25" customHeight="1" x14ac:dyDescent="0.25">
      <c r="A320" s="29">
        <v>9632</v>
      </c>
      <c r="B320" s="30" t="s">
        <v>523</v>
      </c>
      <c r="C320" s="31" t="str">
        <f>VLOOKUP(B320,BASE!$A:$B,2,0)</f>
        <v>5020 TRASLAPE 192 GRIS PLATA</v>
      </c>
      <c r="D320" s="35" t="str">
        <f>VLOOKUP(B320,BASE!$A:$D,3,0)</f>
        <v>GRIS PLATA</v>
      </c>
      <c r="E320" s="32">
        <f>VLOOKUP(B320,BASE!$A:$E,4,0)</f>
        <v>192</v>
      </c>
      <c r="F320" s="32">
        <v>3700</v>
      </c>
      <c r="G320" s="23">
        <f t="shared" si="7"/>
        <v>0.6166666666666667</v>
      </c>
      <c r="H320" s="29"/>
      <c r="I320" s="33" t="s">
        <v>962</v>
      </c>
    </row>
    <row r="321" spans="1:9" ht="20.25" customHeight="1" x14ac:dyDescent="0.25">
      <c r="A321" s="29">
        <v>9639</v>
      </c>
      <c r="B321" s="30" t="s">
        <v>131</v>
      </c>
      <c r="C321" s="31" t="str">
        <f>VLOOKUP(B321,BASE!$A:$B,2,0)</f>
        <v>3831 PISAVIDRIO 177 BLANCO</v>
      </c>
      <c r="D321" s="35" t="str">
        <f>VLOOKUP(B321,BASE!$A:$D,3,0)</f>
        <v>BLANCO</v>
      </c>
      <c r="E321" s="32">
        <f>VLOOKUP(B321,BASE!$A:$E,4,0)</f>
        <v>177</v>
      </c>
      <c r="F321" s="32">
        <v>3500</v>
      </c>
      <c r="G321" s="23">
        <f t="shared" si="7"/>
        <v>0.58333333333333337</v>
      </c>
      <c r="H321" s="29"/>
      <c r="I321" s="33" t="s">
        <v>962</v>
      </c>
    </row>
    <row r="322" spans="1:9" ht="20.25" customHeight="1" x14ac:dyDescent="0.25">
      <c r="A322" s="29">
        <v>9640</v>
      </c>
      <c r="B322" s="30" t="s">
        <v>53</v>
      </c>
      <c r="C322" s="31" t="str">
        <f>VLOOKUP(B322,BASE!$A:$B,2,0)</f>
        <v>U57 NEGRO</v>
      </c>
      <c r="D322" s="35" t="str">
        <f>VLOOKUP(B322,BASE!$A:$D,3,0)</f>
        <v>NEGRO</v>
      </c>
      <c r="E322" s="32" t="str">
        <f>VLOOKUP(B322,BASE!$A:$E,4,0)</f>
        <v>U-57</v>
      </c>
      <c r="F322" s="32">
        <v>3700</v>
      </c>
      <c r="G322" s="23">
        <f t="shared" si="7"/>
        <v>0.6166666666666667</v>
      </c>
      <c r="H322" s="29"/>
      <c r="I322" s="33" t="s">
        <v>962</v>
      </c>
    </row>
    <row r="323" spans="1:9" ht="20.25" customHeight="1" x14ac:dyDescent="0.25">
      <c r="A323" s="29">
        <v>9647</v>
      </c>
      <c r="B323" s="30" t="s">
        <v>139</v>
      </c>
      <c r="C323" s="31" t="str">
        <f>VLOOKUP(B323,BASE!$A:$B,2,0)</f>
        <v>8025 SILLAR 707 NEGRO</v>
      </c>
      <c r="D323" s="35" t="str">
        <f>VLOOKUP(B323,BASE!$A:$D,3,0)</f>
        <v>NEGRO</v>
      </c>
      <c r="E323" s="32">
        <f>VLOOKUP(B323,BASE!$A:$E,4,0)</f>
        <v>707</v>
      </c>
      <c r="F323" s="32">
        <v>2300</v>
      </c>
      <c r="G323" s="23">
        <f t="shared" si="7"/>
        <v>0.38333333333333336</v>
      </c>
      <c r="H323" s="29"/>
      <c r="I323" s="33" t="s">
        <v>959</v>
      </c>
    </row>
    <row r="324" spans="1:9" ht="20.25" customHeight="1" x14ac:dyDescent="0.25">
      <c r="A324" s="29">
        <v>9648</v>
      </c>
      <c r="B324" s="30" t="s">
        <v>340</v>
      </c>
      <c r="C324" s="31" t="str">
        <f>VLOOKUP(B324,BASE!$A:$B,2,0)</f>
        <v>8025 CABEZAL 706 NEGRO</v>
      </c>
      <c r="D324" s="35" t="str">
        <f>VLOOKUP(B324,BASE!$A:$D,3,0)</f>
        <v>NEGRO</v>
      </c>
      <c r="E324" s="32">
        <f>VLOOKUP(B324,BASE!$A:$E,4,0)</f>
        <v>706</v>
      </c>
      <c r="F324" s="32">
        <v>2300</v>
      </c>
      <c r="G324" s="23">
        <f t="shared" si="7"/>
        <v>0.38333333333333336</v>
      </c>
      <c r="H324" s="29"/>
      <c r="I324" s="33" t="s">
        <v>959</v>
      </c>
    </row>
    <row r="325" spans="1:9" ht="20.25" customHeight="1" x14ac:dyDescent="0.25">
      <c r="A325" s="29">
        <v>9655</v>
      </c>
      <c r="B325" s="30" t="s">
        <v>58</v>
      </c>
      <c r="C325" s="31" t="str">
        <f>VLOOKUP(B325,BASE!$A:$B,2,0)</f>
        <v>TUBULAR T-70 NEGRO</v>
      </c>
      <c r="D325" s="35" t="str">
        <f>VLOOKUP(B325,BASE!$A:$D,3,0)</f>
        <v>NEGRO</v>
      </c>
      <c r="E325" s="32" t="str">
        <f>VLOOKUP(B325,BASE!$A:$E,4,0)</f>
        <v>T-70</v>
      </c>
      <c r="F325" s="32">
        <v>1800</v>
      </c>
      <c r="G325" s="23">
        <f t="shared" si="7"/>
        <v>0.3</v>
      </c>
      <c r="H325" s="29"/>
      <c r="I325" s="33" t="s">
        <v>959</v>
      </c>
    </row>
    <row r="326" spans="1:9" ht="20.25" customHeight="1" x14ac:dyDescent="0.25">
      <c r="A326" s="29">
        <v>9657</v>
      </c>
      <c r="B326" s="30" t="s">
        <v>58</v>
      </c>
      <c r="C326" s="31" t="str">
        <f>VLOOKUP(B326,BASE!$A:$B,2,0)</f>
        <v>TUBULAR T-70 NEGRO</v>
      </c>
      <c r="D326" s="35" t="str">
        <f>VLOOKUP(B326,BASE!$A:$D,3,0)</f>
        <v>NEGRO</v>
      </c>
      <c r="E326" s="32" t="str">
        <f>VLOOKUP(B326,BASE!$A:$E,4,0)</f>
        <v>T-70</v>
      </c>
      <c r="F326" s="32">
        <v>1500</v>
      </c>
      <c r="G326" s="23">
        <f t="shared" si="7"/>
        <v>0.25</v>
      </c>
      <c r="H326" s="29"/>
      <c r="I326" s="33" t="s">
        <v>967</v>
      </c>
    </row>
    <row r="327" spans="1:9" ht="20.25" customHeight="1" x14ac:dyDescent="0.25">
      <c r="A327" s="29">
        <v>9658</v>
      </c>
      <c r="B327" s="30" t="s">
        <v>706</v>
      </c>
      <c r="C327" s="31" t="str">
        <f>VLOOKUP(B327,BASE!$A:$B,2,0)</f>
        <v>TUBULAR 1102 NEGRO</v>
      </c>
      <c r="D327" s="35" t="str">
        <f>VLOOKUP(B327,BASE!$A:$D,3,0)</f>
        <v>NEGRO</v>
      </c>
      <c r="E327" s="32">
        <f>VLOOKUP(B327,BASE!$A:$E,4,0)</f>
        <v>1102</v>
      </c>
      <c r="F327" s="32">
        <v>2300</v>
      </c>
      <c r="G327" s="23">
        <f t="shared" si="7"/>
        <v>0.38333333333333336</v>
      </c>
      <c r="H327" s="29"/>
      <c r="I327" s="33" t="s">
        <v>961</v>
      </c>
    </row>
    <row r="328" spans="1:9" ht="20.25" customHeight="1" x14ac:dyDescent="0.25">
      <c r="A328" s="29">
        <v>9660</v>
      </c>
      <c r="B328" s="30" t="s">
        <v>134</v>
      </c>
      <c r="C328" s="31" t="str">
        <f>VLOOKUP(B328,BASE!$A:$B,2,0)</f>
        <v>RIEL OPTIGLASS DOBLE SL-011 MATE</v>
      </c>
      <c r="D328" s="35" t="str">
        <f>VLOOKUP(B328,BASE!$A:$D,3,0)</f>
        <v>MATE</v>
      </c>
      <c r="E328" s="32" t="str">
        <f>VLOOKUP(B328,BASE!$A:$E,4,0)</f>
        <v>SL-011</v>
      </c>
      <c r="F328" s="32">
        <v>2400</v>
      </c>
      <c r="G328" s="23">
        <f t="shared" si="7"/>
        <v>0.4</v>
      </c>
      <c r="H328" s="29"/>
      <c r="I328" s="33" t="s">
        <v>959</v>
      </c>
    </row>
    <row r="329" spans="1:9" ht="20.25" customHeight="1" x14ac:dyDescent="0.25">
      <c r="A329" s="29">
        <v>9661</v>
      </c>
      <c r="B329" s="30" t="s">
        <v>446</v>
      </c>
      <c r="C329" s="31" t="str">
        <f>VLOOKUP(B329,BASE!$A:$B,2,0)</f>
        <v>8025 JAMBA 708 NEGRO</v>
      </c>
      <c r="D329" s="35" t="str">
        <f>VLOOKUP(B329,BASE!$A:$D,3,0)</f>
        <v>NEGRO</v>
      </c>
      <c r="E329" s="32">
        <f>VLOOKUP(B329,BASE!$A:$E,4,0)</f>
        <v>708</v>
      </c>
      <c r="F329" s="32">
        <v>1800</v>
      </c>
      <c r="G329" s="23">
        <f t="shared" si="7"/>
        <v>0.3</v>
      </c>
      <c r="H329" s="29"/>
      <c r="I329" s="33" t="s">
        <v>960</v>
      </c>
    </row>
    <row r="330" spans="1:9" ht="20.25" customHeight="1" x14ac:dyDescent="0.25">
      <c r="A330" s="29">
        <v>9662</v>
      </c>
      <c r="B330" s="30" t="s">
        <v>75</v>
      </c>
      <c r="C330" s="31" t="str">
        <f>VLOOKUP(B330,BASE!$A:$B,2,0)</f>
        <v>5020 SILLAR 194 GRIS PLATA</v>
      </c>
      <c r="D330" s="35" t="str">
        <f>VLOOKUP(B330,BASE!$A:$D,3,0)</f>
        <v>GRIS PLATA</v>
      </c>
      <c r="E330" s="32">
        <f>VLOOKUP(B330,BASE!$A:$E,4,0)</f>
        <v>194</v>
      </c>
      <c r="F330" s="32">
        <v>2300</v>
      </c>
      <c r="G330" s="23">
        <f t="shared" si="7"/>
        <v>0.38333333333333336</v>
      </c>
      <c r="H330" s="29"/>
      <c r="I330" s="33" t="s">
        <v>959</v>
      </c>
    </row>
    <row r="331" spans="1:9" ht="20.25" customHeight="1" x14ac:dyDescent="0.25">
      <c r="A331" s="29">
        <v>9663</v>
      </c>
      <c r="B331" s="30" t="s">
        <v>28</v>
      </c>
      <c r="C331" s="31" t="str">
        <f>VLOOKUP(B331,BASE!$A:$B,2,0)</f>
        <v>5020 CABEZAL 144 GRIS PLATA</v>
      </c>
      <c r="D331" s="35" t="str">
        <f>VLOOKUP(B331,BASE!$A:$D,3,0)</f>
        <v>GRIS PLATA</v>
      </c>
      <c r="E331" s="32">
        <f>VLOOKUP(B331,BASE!$A:$E,4,0)</f>
        <v>144</v>
      </c>
      <c r="F331" s="32">
        <v>2300</v>
      </c>
      <c r="G331" s="23">
        <f t="shared" si="7"/>
        <v>0.38333333333333336</v>
      </c>
      <c r="H331" s="29"/>
      <c r="I331" s="33" t="s">
        <v>959</v>
      </c>
    </row>
    <row r="332" spans="1:9" ht="20.25" customHeight="1" x14ac:dyDescent="0.25">
      <c r="A332" s="29">
        <v>9667</v>
      </c>
      <c r="B332" s="30" t="s">
        <v>46</v>
      </c>
      <c r="C332" s="31" t="str">
        <f>VLOOKUP(B332,BASE!$A:$B,2,0)</f>
        <v>8025 ENGANCHE 191 MATE</v>
      </c>
      <c r="D332" s="35" t="str">
        <f>VLOOKUP(B332,BASE!$A:$D,3,0)</f>
        <v>MATE</v>
      </c>
      <c r="E332" s="32">
        <f>VLOOKUP(B332,BASE!$A:$E,4,0)</f>
        <v>191</v>
      </c>
      <c r="F332" s="32">
        <v>1500</v>
      </c>
      <c r="G332" s="23">
        <f t="shared" si="7"/>
        <v>0.25</v>
      </c>
      <c r="H332" s="29"/>
      <c r="I332" s="33" t="s">
        <v>967</v>
      </c>
    </row>
    <row r="333" spans="1:9" ht="20.25" customHeight="1" x14ac:dyDescent="0.25">
      <c r="A333" s="29">
        <v>9669</v>
      </c>
      <c r="B333" s="30" t="s">
        <v>11</v>
      </c>
      <c r="C333" s="31" t="str">
        <f>VLOOKUP(B333,BASE!$A:$B,2,0)</f>
        <v>PERFIL F 463 NEGRO</v>
      </c>
      <c r="D333" s="35" t="str">
        <f>VLOOKUP(B333,BASE!$A:$D,3,0)</f>
        <v>NEGRO</v>
      </c>
      <c r="E333" s="32" t="str">
        <f>VLOOKUP(B333,BASE!$A:$E,4,0)</f>
        <v>F-463</v>
      </c>
      <c r="F333" s="32">
        <v>1900</v>
      </c>
      <c r="G333" s="23">
        <f t="shared" si="7"/>
        <v>0.31666666666666665</v>
      </c>
      <c r="H333" s="29"/>
      <c r="I333" s="33" t="s">
        <v>959</v>
      </c>
    </row>
    <row r="334" spans="1:9" ht="20.25" customHeight="1" x14ac:dyDescent="0.25">
      <c r="A334" s="29">
        <v>9671</v>
      </c>
      <c r="B334" s="30" t="s">
        <v>11</v>
      </c>
      <c r="C334" s="31" t="str">
        <f>VLOOKUP(B334,BASE!$A:$B,2,0)</f>
        <v>PERFIL F 463 NEGRO</v>
      </c>
      <c r="D334" s="35" t="str">
        <f>VLOOKUP(B334,BASE!$A:$D,3,0)</f>
        <v>NEGRO</v>
      </c>
      <c r="E334" s="32" t="str">
        <f>VLOOKUP(B334,BASE!$A:$E,4,0)</f>
        <v>F-463</v>
      </c>
      <c r="F334" s="32">
        <v>1600</v>
      </c>
      <c r="G334" s="23">
        <f t="shared" si="7"/>
        <v>0.26666666666666666</v>
      </c>
      <c r="H334" s="29"/>
      <c r="I334" s="33" t="s">
        <v>959</v>
      </c>
    </row>
    <row r="335" spans="1:9" ht="20.25" customHeight="1" x14ac:dyDescent="0.25">
      <c r="A335" s="29">
        <v>9675</v>
      </c>
      <c r="B335" s="30" t="s">
        <v>135</v>
      </c>
      <c r="C335" s="31" t="str">
        <f>VLOOKUP(B335,BASE!$A:$B,2,0)</f>
        <v>RIEL OPTIGLASS SENCILLO SL-010 MATE</v>
      </c>
      <c r="D335" s="35" t="str">
        <f>VLOOKUP(B335,BASE!$A:$D,3,0)</f>
        <v>MATE</v>
      </c>
      <c r="E335" s="32" t="str">
        <f>VLOOKUP(B335,BASE!$A:$E,4,0)</f>
        <v>SL-010</v>
      </c>
      <c r="F335" s="32">
        <v>1700</v>
      </c>
      <c r="G335" s="23">
        <f t="shared" si="7"/>
        <v>0.28333333333333333</v>
      </c>
      <c r="H335" s="29"/>
      <c r="I335" s="33" t="s">
        <v>955</v>
      </c>
    </row>
    <row r="336" spans="1:9" ht="20.25" customHeight="1" x14ac:dyDescent="0.25">
      <c r="A336" s="29">
        <v>9676</v>
      </c>
      <c r="B336" s="30" t="s">
        <v>53</v>
      </c>
      <c r="C336" s="31" t="str">
        <f>VLOOKUP(B336,BASE!$A:$B,2,0)</f>
        <v>U57 NEGRO</v>
      </c>
      <c r="D336" s="35" t="str">
        <f>VLOOKUP(B336,BASE!$A:$D,3,0)</f>
        <v>NEGRO</v>
      </c>
      <c r="E336" s="32" t="str">
        <f>VLOOKUP(B336,BASE!$A:$E,4,0)</f>
        <v>U-57</v>
      </c>
      <c r="F336" s="32">
        <v>1800</v>
      </c>
      <c r="G336" s="23">
        <f t="shared" si="7"/>
        <v>0.3</v>
      </c>
      <c r="H336" s="29"/>
      <c r="I336" s="33" t="s">
        <v>959</v>
      </c>
    </row>
    <row r="337" spans="1:9" ht="20.25" customHeight="1" x14ac:dyDescent="0.25">
      <c r="A337" s="29">
        <v>9679</v>
      </c>
      <c r="B337" s="30" t="s">
        <v>425</v>
      </c>
      <c r="C337" s="31" t="str">
        <f>VLOOKUP(B337,BASE!$A:$B,2,0)</f>
        <v>3831 JAMBA 174 CRUDO</v>
      </c>
      <c r="D337" s="48" t="s">
        <v>1245</v>
      </c>
      <c r="E337" s="32">
        <f>VLOOKUP(B337,BASE!$A:$E,4,0)</f>
        <v>174</v>
      </c>
      <c r="F337" s="32">
        <v>1500</v>
      </c>
      <c r="G337" s="23">
        <f t="shared" si="7"/>
        <v>0.25</v>
      </c>
      <c r="H337" s="29"/>
      <c r="I337" s="33" t="s">
        <v>967</v>
      </c>
    </row>
    <row r="338" spans="1:9" ht="20.25" customHeight="1" x14ac:dyDescent="0.25">
      <c r="A338" s="29">
        <v>9684</v>
      </c>
      <c r="B338" s="30" t="s">
        <v>87</v>
      </c>
      <c r="C338" s="31" t="str">
        <f>VLOOKUP(B338,BASE!$A:$B,2,0)</f>
        <v>TUBULAR T-80 GRIS PLATA</v>
      </c>
      <c r="D338" s="35" t="str">
        <f>VLOOKUP(B338,BASE!$A:$D,3,0)</f>
        <v>GRIS PLATA</v>
      </c>
      <c r="E338" s="32" t="str">
        <f>VLOOKUP(B338,BASE!$A:$E,4,0)</f>
        <v>T-80</v>
      </c>
      <c r="F338" s="32">
        <v>1000</v>
      </c>
      <c r="G338" s="23">
        <f t="shared" ref="G338:G360" si="8">+F338/6000</f>
        <v>0.16666666666666666</v>
      </c>
      <c r="H338" s="29"/>
      <c r="I338" s="33" t="s">
        <v>968</v>
      </c>
    </row>
    <row r="339" spans="1:9" ht="20.25" customHeight="1" x14ac:dyDescent="0.25">
      <c r="A339" s="29">
        <v>9685</v>
      </c>
      <c r="B339" s="30" t="s">
        <v>563</v>
      </c>
      <c r="C339" s="31" t="str">
        <f>VLOOKUP(B339,BASE!$A:$B,2,0)</f>
        <v>TUBULAR 1101 NEGRO</v>
      </c>
      <c r="D339" s="35" t="str">
        <f>VLOOKUP(B339,BASE!$A:$D,3,0)</f>
        <v>NEGRO</v>
      </c>
      <c r="E339" s="32">
        <f>VLOOKUP(B339,BASE!$A:$E,4,0)</f>
        <v>1101</v>
      </c>
      <c r="F339" s="32">
        <v>800</v>
      </c>
      <c r="G339" s="23">
        <f t="shared" si="8"/>
        <v>0.13333333333333333</v>
      </c>
      <c r="H339" s="29"/>
      <c r="I339" s="33" t="s">
        <v>968</v>
      </c>
    </row>
    <row r="340" spans="1:9" ht="20.25" customHeight="1" x14ac:dyDescent="0.25">
      <c r="A340" s="29">
        <v>9687</v>
      </c>
      <c r="B340" s="30" t="s">
        <v>58</v>
      </c>
      <c r="C340" s="31" t="str">
        <f>VLOOKUP(B340,BASE!$A:$B,2,0)</f>
        <v>TUBULAR T-70 NEGRO</v>
      </c>
      <c r="D340" s="35" t="str">
        <f>VLOOKUP(B340,BASE!$A:$D,3,0)</f>
        <v>NEGRO</v>
      </c>
      <c r="E340" s="32" t="str">
        <f>VLOOKUP(B340,BASE!$A:$E,4,0)</f>
        <v>T-70</v>
      </c>
      <c r="F340" s="32">
        <v>600</v>
      </c>
      <c r="G340" s="23">
        <f t="shared" si="8"/>
        <v>0.1</v>
      </c>
      <c r="H340" s="29"/>
      <c r="I340" s="33" t="s">
        <v>969</v>
      </c>
    </row>
    <row r="341" spans="1:9" ht="20.25" customHeight="1" x14ac:dyDescent="0.25">
      <c r="A341" s="29">
        <v>9691</v>
      </c>
      <c r="B341" s="30" t="s">
        <v>484</v>
      </c>
      <c r="C341" s="31" t="str">
        <f>VLOOKUP(B341,BASE!$A:$B,2,0)</f>
        <v>3831 SILLAR CABEZAL 173 BLANCO</v>
      </c>
      <c r="D341" s="35" t="str">
        <f>VLOOKUP(B341,BASE!$A:$D,3,0)</f>
        <v>BLANCO</v>
      </c>
      <c r="E341" s="32">
        <f>VLOOKUP(B341,BASE!$A:$E,4,0)</f>
        <v>173</v>
      </c>
      <c r="F341" s="32">
        <v>800</v>
      </c>
      <c r="G341" s="23">
        <f t="shared" si="8"/>
        <v>0.13333333333333333</v>
      </c>
      <c r="H341" s="29"/>
      <c r="I341" s="33" t="s">
        <v>969</v>
      </c>
    </row>
    <row r="342" spans="1:9" ht="20.25" customHeight="1" x14ac:dyDescent="0.25">
      <c r="A342" s="29">
        <v>9692</v>
      </c>
      <c r="B342" s="30" t="s">
        <v>484</v>
      </c>
      <c r="C342" s="31" t="str">
        <f>VLOOKUP(B342,BASE!$A:$B,2,0)</f>
        <v>3831 SILLAR CABEZAL 173 BLANCO</v>
      </c>
      <c r="D342" s="35" t="str">
        <f>VLOOKUP(B342,BASE!$A:$D,3,0)</f>
        <v>BLANCO</v>
      </c>
      <c r="E342" s="32">
        <f>VLOOKUP(B342,BASE!$A:$E,4,0)</f>
        <v>173</v>
      </c>
      <c r="F342" s="32">
        <v>800</v>
      </c>
      <c r="G342" s="23">
        <f t="shared" si="8"/>
        <v>0.13333333333333333</v>
      </c>
      <c r="H342" s="29"/>
      <c r="I342" s="33" t="s">
        <v>969</v>
      </c>
    </row>
    <row r="343" spans="1:9" ht="20.25" customHeight="1" x14ac:dyDescent="0.25">
      <c r="A343" s="29">
        <v>9693</v>
      </c>
      <c r="B343" s="30" t="s">
        <v>484</v>
      </c>
      <c r="C343" s="31" t="str">
        <f>VLOOKUP(B343,BASE!$A:$B,2,0)</f>
        <v>3831 SILLAR CABEZAL 173 BLANCO</v>
      </c>
      <c r="D343" s="35" t="str">
        <f>VLOOKUP(B343,BASE!$A:$D,3,0)</f>
        <v>BLANCO</v>
      </c>
      <c r="E343" s="32">
        <f>VLOOKUP(B343,BASE!$A:$E,4,0)</f>
        <v>173</v>
      </c>
      <c r="F343" s="32">
        <v>800</v>
      </c>
      <c r="G343" s="23">
        <f t="shared" si="8"/>
        <v>0.13333333333333333</v>
      </c>
      <c r="H343" s="29"/>
      <c r="I343" s="33" t="s">
        <v>969</v>
      </c>
    </row>
    <row r="344" spans="1:9" ht="20.25" customHeight="1" x14ac:dyDescent="0.25">
      <c r="A344" s="29">
        <v>9697</v>
      </c>
      <c r="B344" s="30" t="s">
        <v>127</v>
      </c>
      <c r="C344" s="31" t="str">
        <f>VLOOKUP(B344,BASE!$A:$B,2,0)</f>
        <v>PERFIL F 463 MATE</v>
      </c>
      <c r="D344" s="35" t="str">
        <f>VLOOKUP(B344,BASE!$A:$D,3,0)</f>
        <v>MATE</v>
      </c>
      <c r="E344" s="32" t="str">
        <f>VLOOKUP(B344,BASE!$A:$E,4,0)</f>
        <v>F-463</v>
      </c>
      <c r="F344" s="32">
        <v>500</v>
      </c>
      <c r="G344" s="23">
        <f t="shared" si="8"/>
        <v>8.3333333333333329E-2</v>
      </c>
      <c r="H344" s="29"/>
      <c r="I344" s="33" t="s">
        <v>969</v>
      </c>
    </row>
    <row r="345" spans="1:9" ht="20.25" customHeight="1" x14ac:dyDescent="0.25">
      <c r="A345" s="29">
        <v>9708</v>
      </c>
      <c r="B345" s="30" t="s">
        <v>80</v>
      </c>
      <c r="C345" s="31" t="str">
        <f>VLOOKUP(B345,BASE!$A:$B,2,0)</f>
        <v>ANGULO A-01 BRONCE (1/2*1/2)</v>
      </c>
      <c r="D345" s="35" t="str">
        <f>VLOOKUP(B345,BASE!$A:$D,3,0)</f>
        <v>BRONCE</v>
      </c>
      <c r="E345" s="32" t="str">
        <f>VLOOKUP(B345,BASE!$A:$E,4,0)</f>
        <v>A-01</v>
      </c>
      <c r="F345" s="32">
        <v>1400</v>
      </c>
      <c r="G345" s="23">
        <f t="shared" si="8"/>
        <v>0.23333333333333334</v>
      </c>
      <c r="H345" s="29"/>
      <c r="I345" s="33" t="s">
        <v>984</v>
      </c>
    </row>
    <row r="346" spans="1:9" ht="20.25" customHeight="1" x14ac:dyDescent="0.25">
      <c r="A346" s="29">
        <v>9710</v>
      </c>
      <c r="B346" s="30" t="s">
        <v>11</v>
      </c>
      <c r="C346" s="31" t="str">
        <f>VLOOKUP(B346,BASE!$A:$B,2,0)</f>
        <v>PERFIL F 463 NEGRO</v>
      </c>
      <c r="D346" s="35" t="str">
        <f>VLOOKUP(B346,BASE!$A:$D,3,0)</f>
        <v>NEGRO</v>
      </c>
      <c r="E346" s="32" t="str">
        <f>VLOOKUP(B346,BASE!$A:$E,4,0)</f>
        <v>F-463</v>
      </c>
      <c r="F346" s="32">
        <v>6000</v>
      </c>
      <c r="G346" s="23">
        <f t="shared" si="8"/>
        <v>1</v>
      </c>
      <c r="H346" s="29"/>
      <c r="I346" s="33" t="s">
        <v>957</v>
      </c>
    </row>
    <row r="347" spans="1:9" ht="20.25" customHeight="1" x14ac:dyDescent="0.25">
      <c r="A347" s="29">
        <v>9711</v>
      </c>
      <c r="B347" s="30" t="s">
        <v>11</v>
      </c>
      <c r="C347" s="31" t="str">
        <f>VLOOKUP(B347,BASE!$A:$B,2,0)</f>
        <v>PERFIL F 463 NEGRO</v>
      </c>
      <c r="D347" s="35" t="str">
        <f>VLOOKUP(B347,BASE!$A:$D,3,0)</f>
        <v>NEGRO</v>
      </c>
      <c r="E347" s="32" t="str">
        <f>VLOOKUP(B347,BASE!$A:$E,4,0)</f>
        <v>F-463</v>
      </c>
      <c r="F347" s="32">
        <v>6000</v>
      </c>
      <c r="G347" s="23">
        <f t="shared" si="8"/>
        <v>1</v>
      </c>
      <c r="H347" s="29"/>
      <c r="I347" s="33" t="s">
        <v>957</v>
      </c>
    </row>
    <row r="348" spans="1:9" ht="20.25" customHeight="1" x14ac:dyDescent="0.25">
      <c r="A348" s="29">
        <v>9712</v>
      </c>
      <c r="B348" s="30" t="s">
        <v>425</v>
      </c>
      <c r="C348" s="31" t="str">
        <f>VLOOKUP(B348,BASE!$A:$B,2,0)</f>
        <v>3831 JAMBA 174 CRUDO</v>
      </c>
      <c r="D348" s="48" t="s">
        <v>1245</v>
      </c>
      <c r="E348" s="32">
        <f>VLOOKUP(B348,BASE!$A:$E,4,0)</f>
        <v>174</v>
      </c>
      <c r="F348" s="32">
        <v>6000</v>
      </c>
      <c r="G348" s="23">
        <f t="shared" si="8"/>
        <v>1</v>
      </c>
      <c r="H348" s="29"/>
      <c r="I348" s="33" t="s">
        <v>957</v>
      </c>
    </row>
    <row r="349" spans="1:9" ht="20.25" customHeight="1" x14ac:dyDescent="0.25">
      <c r="A349" s="29">
        <v>9713</v>
      </c>
      <c r="B349" s="30" t="s">
        <v>425</v>
      </c>
      <c r="C349" s="31" t="str">
        <f>VLOOKUP(B349,BASE!$A:$B,2,0)</f>
        <v>3831 JAMBA 174 CRUDO</v>
      </c>
      <c r="D349" s="48" t="s">
        <v>1245</v>
      </c>
      <c r="E349" s="32">
        <f>VLOOKUP(B349,BASE!$A:$E,4,0)</f>
        <v>174</v>
      </c>
      <c r="F349" s="32">
        <v>6000</v>
      </c>
      <c r="G349" s="23">
        <f t="shared" si="8"/>
        <v>1</v>
      </c>
      <c r="H349" s="29"/>
      <c r="I349" s="33" t="s">
        <v>957</v>
      </c>
    </row>
    <row r="350" spans="1:9" ht="20.25" customHeight="1" x14ac:dyDescent="0.25">
      <c r="A350" s="29">
        <v>9714</v>
      </c>
      <c r="B350" s="30" t="s">
        <v>131</v>
      </c>
      <c r="C350" s="31" t="str">
        <f>VLOOKUP(B350,BASE!$A:$B,2,0)</f>
        <v>3831 PISAVIDRIO 177 BLANCO</v>
      </c>
      <c r="D350" s="35" t="str">
        <f>VLOOKUP(B350,BASE!$A:$D,3,0)</f>
        <v>BLANCO</v>
      </c>
      <c r="E350" s="32">
        <f>VLOOKUP(B350,BASE!$A:$E,4,0)</f>
        <v>177</v>
      </c>
      <c r="F350" s="32">
        <v>6000</v>
      </c>
      <c r="G350" s="23">
        <f t="shared" si="8"/>
        <v>1</v>
      </c>
      <c r="H350" s="29"/>
      <c r="I350" s="33" t="s">
        <v>957</v>
      </c>
    </row>
    <row r="351" spans="1:9" ht="20.25" customHeight="1" x14ac:dyDescent="0.25">
      <c r="A351" s="29">
        <v>9715</v>
      </c>
      <c r="B351" s="30" t="s">
        <v>131</v>
      </c>
      <c r="C351" s="31" t="str">
        <f>VLOOKUP(B351,BASE!$A:$B,2,0)</f>
        <v>3831 PISAVIDRIO 177 BLANCO</v>
      </c>
      <c r="D351" s="35" t="str">
        <f>VLOOKUP(B351,BASE!$A:$D,3,0)</f>
        <v>BLANCO</v>
      </c>
      <c r="E351" s="32">
        <f>VLOOKUP(B351,BASE!$A:$E,4,0)</f>
        <v>177</v>
      </c>
      <c r="F351" s="32">
        <v>6000</v>
      </c>
      <c r="G351" s="23">
        <f t="shared" si="8"/>
        <v>1</v>
      </c>
      <c r="H351" s="29"/>
      <c r="I351" s="33" t="s">
        <v>957</v>
      </c>
    </row>
    <row r="352" spans="1:9" ht="20.25" customHeight="1" x14ac:dyDescent="0.25">
      <c r="A352" s="29">
        <v>9716</v>
      </c>
      <c r="B352" s="30" t="s">
        <v>131</v>
      </c>
      <c r="C352" s="31" t="str">
        <f>VLOOKUP(B352,BASE!$A:$B,2,0)</f>
        <v>3831 PISAVIDRIO 177 BLANCO</v>
      </c>
      <c r="D352" s="35" t="str">
        <f>VLOOKUP(B352,BASE!$A:$D,3,0)</f>
        <v>BLANCO</v>
      </c>
      <c r="E352" s="32">
        <f>VLOOKUP(B352,BASE!$A:$E,4,0)</f>
        <v>177</v>
      </c>
      <c r="F352" s="32">
        <v>6000</v>
      </c>
      <c r="G352" s="23">
        <f t="shared" si="8"/>
        <v>1</v>
      </c>
      <c r="H352" s="29"/>
      <c r="I352" s="33" t="s">
        <v>957</v>
      </c>
    </row>
    <row r="353" spans="1:9" ht="20.25" customHeight="1" x14ac:dyDescent="0.25">
      <c r="A353" s="29">
        <v>9725</v>
      </c>
      <c r="B353" s="30" t="s">
        <v>639</v>
      </c>
      <c r="C353" s="31" t="str">
        <f>VLOOKUP(B353,BASE!$A:$B,2,0)</f>
        <v>FALSA RETICULA 511 NEGRA</v>
      </c>
      <c r="D353" s="35" t="str">
        <f>VLOOKUP(B353,BASE!$A:$D,3,0)</f>
        <v>NEGRO</v>
      </c>
      <c r="E353" s="32">
        <f>VLOOKUP(B353,BASE!$A:$E,4,0)</f>
        <v>511</v>
      </c>
      <c r="F353" s="32">
        <v>6000</v>
      </c>
      <c r="G353" s="23">
        <f t="shared" si="8"/>
        <v>1</v>
      </c>
      <c r="H353" s="29"/>
      <c r="I353" s="33" t="s">
        <v>958</v>
      </c>
    </row>
    <row r="354" spans="1:9" ht="20.25" customHeight="1" x14ac:dyDescent="0.25">
      <c r="A354" s="29">
        <v>9737</v>
      </c>
      <c r="B354" s="30" t="s">
        <v>570</v>
      </c>
      <c r="C354" s="31" t="str">
        <f>VLOOKUP(B354,BASE!$A:$B,2,0)</f>
        <v>U32 NEGRA</v>
      </c>
      <c r="D354" s="35" t="str">
        <f>VLOOKUP(B354,BASE!$A:$D,3,0)</f>
        <v>NEGRO</v>
      </c>
      <c r="E354" s="32" t="str">
        <f>VLOOKUP(B354,BASE!$A:$E,4,0)</f>
        <v>U-32</v>
      </c>
      <c r="F354" s="32">
        <v>3100</v>
      </c>
      <c r="G354" s="23">
        <f t="shared" si="8"/>
        <v>0.51666666666666672</v>
      </c>
      <c r="H354" s="29">
        <v>23757</v>
      </c>
      <c r="I354" s="33"/>
    </row>
    <row r="355" spans="1:9" ht="20.25" customHeight="1" x14ac:dyDescent="0.25">
      <c r="A355" s="29">
        <v>9738</v>
      </c>
      <c r="B355" s="30" t="s">
        <v>45</v>
      </c>
      <c r="C355" s="31" t="str">
        <f>VLOOKUP(B355,BASE!$A:$B,2,0)</f>
        <v>7038 CABEZAL 700 NEGRO</v>
      </c>
      <c r="D355" s="35" t="str">
        <f>VLOOKUP(B355,BASE!$A:$D,3,0)</f>
        <v>NEGRO</v>
      </c>
      <c r="E355" s="32">
        <f>VLOOKUP(B355,BASE!$A:$E,4,0)</f>
        <v>700</v>
      </c>
      <c r="F355" s="32">
        <v>3100</v>
      </c>
      <c r="G355" s="23">
        <f t="shared" si="8"/>
        <v>0.51666666666666672</v>
      </c>
      <c r="H355" s="29"/>
      <c r="I355" s="33" t="s">
        <v>965</v>
      </c>
    </row>
    <row r="356" spans="1:9" ht="20.25" customHeight="1" x14ac:dyDescent="0.25">
      <c r="A356" s="29">
        <v>9739</v>
      </c>
      <c r="B356" s="30" t="s">
        <v>44</v>
      </c>
      <c r="C356" s="31" t="str">
        <f>VLOOKUP(B356,BASE!$A:$B,2,0)</f>
        <v>7038 SILLAR 701 NEGRO</v>
      </c>
      <c r="D356" s="35" t="str">
        <f>VLOOKUP(B356,BASE!$A:$D,3,0)</f>
        <v>NEGRO</v>
      </c>
      <c r="E356" s="32">
        <f>VLOOKUP(B356,BASE!$A:$E,4,0)</f>
        <v>701</v>
      </c>
      <c r="F356" s="32">
        <v>3100</v>
      </c>
      <c r="G356" s="23">
        <f t="shared" si="8"/>
        <v>0.51666666666666672</v>
      </c>
      <c r="H356" s="29"/>
      <c r="I356" s="33" t="s">
        <v>965</v>
      </c>
    </row>
    <row r="357" spans="1:9" ht="20.25" customHeight="1" x14ac:dyDescent="0.25">
      <c r="A357" s="29">
        <v>9740</v>
      </c>
      <c r="B357" s="30" t="s">
        <v>133</v>
      </c>
      <c r="C357" s="31" t="str">
        <f>VLOOKUP(B357,BASE!$A:$B,2,0)</f>
        <v>7038 ENGANCHE 705 NEGRO</v>
      </c>
      <c r="D357" s="35" t="str">
        <f>VLOOKUP(B357,BASE!$A:$D,3,0)</f>
        <v>NEGRO</v>
      </c>
      <c r="E357" s="32">
        <f>VLOOKUP(B357,BASE!$A:$E,4,0)</f>
        <v>705</v>
      </c>
      <c r="F357" s="32">
        <v>3600</v>
      </c>
      <c r="G357" s="23">
        <f t="shared" si="8"/>
        <v>0.6</v>
      </c>
      <c r="H357" s="29"/>
      <c r="I357" s="33" t="s">
        <v>963</v>
      </c>
    </row>
    <row r="358" spans="1:9" ht="20.25" customHeight="1" x14ac:dyDescent="0.25">
      <c r="A358" s="29">
        <v>9741</v>
      </c>
      <c r="B358" s="30" t="s">
        <v>50</v>
      </c>
      <c r="C358" s="31" t="str">
        <f>VLOOKUP(B358,BASE!$A:$B,2,0)</f>
        <v>7038 HORIZONTAL 703 NEGRO</v>
      </c>
      <c r="D358" s="35" t="str">
        <f>VLOOKUP(B358,BASE!$A:$D,3,0)</f>
        <v>NEGRO</v>
      </c>
      <c r="E358" s="32">
        <f>VLOOKUP(B358,BASE!$A:$E,4,0)</f>
        <v>703</v>
      </c>
      <c r="F358" s="32">
        <v>3300</v>
      </c>
      <c r="G358" s="23">
        <f t="shared" si="8"/>
        <v>0.55000000000000004</v>
      </c>
      <c r="H358" s="29"/>
      <c r="I358" s="33" t="s">
        <v>963</v>
      </c>
    </row>
    <row r="359" spans="1:9" ht="20.25" customHeight="1" x14ac:dyDescent="0.25">
      <c r="A359" s="29">
        <v>9743</v>
      </c>
      <c r="B359" s="30" t="s">
        <v>727</v>
      </c>
      <c r="C359" s="31" t="str">
        <f>VLOOKUP(B359,BASE!$A:$B,2,0)</f>
        <v>RIEL OPTIGLASS DOBLE SL-011 NEGRO</v>
      </c>
      <c r="D359" s="35" t="str">
        <f>VLOOKUP(B359,BASE!$A:$D,3,0)</f>
        <v>NEGRO</v>
      </c>
      <c r="E359" s="32" t="str">
        <f>VLOOKUP(B359,BASE!$A:$E,4,0)</f>
        <v>SL-011</v>
      </c>
      <c r="F359" s="32">
        <v>3700</v>
      </c>
      <c r="G359" s="23">
        <f t="shared" si="8"/>
        <v>0.6166666666666667</v>
      </c>
      <c r="H359" s="29"/>
      <c r="I359" s="33" t="s">
        <v>963</v>
      </c>
    </row>
    <row r="360" spans="1:9" ht="20.25" customHeight="1" x14ac:dyDescent="0.25">
      <c r="A360" s="29">
        <v>9744</v>
      </c>
      <c r="B360" s="30" t="s">
        <v>938</v>
      </c>
      <c r="C360" s="31" t="str">
        <f>VLOOKUP(B360,BASE!$A:$B,2,0)</f>
        <v>MARCO VENTANA K40 MATE</v>
      </c>
      <c r="D360" s="35" t="str">
        <f>VLOOKUP(B360,BASE!$A:$D,3,0)</f>
        <v>MATE</v>
      </c>
      <c r="E360" s="32">
        <f>VLOOKUP(B360,BASE!$A:$E,4,0)</f>
        <v>40</v>
      </c>
      <c r="F360" s="32">
        <v>4300</v>
      </c>
      <c r="G360" s="23">
        <f t="shared" si="8"/>
        <v>0.71666666666666667</v>
      </c>
      <c r="H360" s="29"/>
      <c r="I360" s="33" t="s">
        <v>963</v>
      </c>
    </row>
    <row r="361" spans="1:9" ht="20.25" customHeight="1" x14ac:dyDescent="0.25">
      <c r="A361" s="29">
        <v>9755</v>
      </c>
      <c r="B361" s="30" t="s">
        <v>58</v>
      </c>
      <c r="C361" s="31" t="str">
        <f>VLOOKUP(B361,BASE!$A:$B,2,0)</f>
        <v>TUBULAR T-70 NEGRO</v>
      </c>
      <c r="D361" s="35" t="str">
        <f>VLOOKUP(B361,BASE!$A:$D,3,0)</f>
        <v>NEGRO</v>
      </c>
      <c r="E361" s="32" t="str">
        <f>VLOOKUP(B361,BASE!$A:$E,4,0)</f>
        <v>T-70</v>
      </c>
      <c r="F361" s="32">
        <v>1500</v>
      </c>
      <c r="G361" s="23">
        <f t="shared" ref="G361:G387" si="9">+F361/6000</f>
        <v>0.25</v>
      </c>
      <c r="H361" s="29"/>
      <c r="I361" s="33" t="s">
        <v>967</v>
      </c>
    </row>
    <row r="362" spans="1:9" ht="20.25" customHeight="1" x14ac:dyDescent="0.25">
      <c r="A362" s="29">
        <v>9756</v>
      </c>
      <c r="B362" s="30" t="s">
        <v>58</v>
      </c>
      <c r="C362" s="31" t="str">
        <f>VLOOKUP(B362,BASE!$A:$B,2,0)</f>
        <v>TUBULAR T-70 NEGRO</v>
      </c>
      <c r="D362" s="35" t="str">
        <f>VLOOKUP(B362,BASE!$A:$D,3,0)</f>
        <v>NEGRO</v>
      </c>
      <c r="E362" s="32" t="str">
        <f>VLOOKUP(B362,BASE!$A:$E,4,0)</f>
        <v>T-70</v>
      </c>
      <c r="F362" s="32">
        <v>1500</v>
      </c>
      <c r="G362" s="23">
        <f t="shared" si="9"/>
        <v>0.25</v>
      </c>
      <c r="H362" s="29"/>
      <c r="I362" s="33" t="s">
        <v>967</v>
      </c>
    </row>
    <row r="363" spans="1:9" ht="20.25" customHeight="1" x14ac:dyDescent="0.25">
      <c r="A363" s="29">
        <v>9758</v>
      </c>
      <c r="B363" s="30" t="s">
        <v>15</v>
      </c>
      <c r="C363" s="31" t="str">
        <f>VLOOKUP(B363,BASE!$A:$B,2,0)</f>
        <v>TUBULAR T-95 NEGRO</v>
      </c>
      <c r="D363" s="35" t="str">
        <f>VLOOKUP(B363,BASE!$A:$D,3,0)</f>
        <v>NEGRO</v>
      </c>
      <c r="E363" s="32" t="str">
        <f>VLOOKUP(B363,BASE!$A:$E,4,0)</f>
        <v>T-95</v>
      </c>
      <c r="F363" s="32">
        <v>1700</v>
      </c>
      <c r="G363" s="23">
        <f t="shared" si="9"/>
        <v>0.28333333333333333</v>
      </c>
      <c r="H363" s="29"/>
      <c r="I363" s="33" t="s">
        <v>961</v>
      </c>
    </row>
    <row r="364" spans="1:9" ht="20.25" customHeight="1" x14ac:dyDescent="0.25">
      <c r="A364" s="29">
        <v>9764</v>
      </c>
      <c r="B364" s="30" t="s">
        <v>576</v>
      </c>
      <c r="C364" s="31" t="str">
        <f>VLOOKUP(B364,BASE!$A:$B,2,0)</f>
        <v>U57 MATE</v>
      </c>
      <c r="D364" s="35" t="str">
        <f>VLOOKUP(B364,BASE!$A:$D,3,0)</f>
        <v>MATE</v>
      </c>
      <c r="E364" s="32" t="str">
        <f>VLOOKUP(B364,BASE!$A:$E,4,0)</f>
        <v>U-57</v>
      </c>
      <c r="F364" s="32">
        <v>1700</v>
      </c>
      <c r="G364" s="23">
        <f t="shared" si="9"/>
        <v>0.28333333333333333</v>
      </c>
      <c r="H364" s="29"/>
      <c r="I364" s="33" t="s">
        <v>1265</v>
      </c>
    </row>
    <row r="365" spans="1:9" ht="20.25" customHeight="1" x14ac:dyDescent="0.25">
      <c r="A365" s="29">
        <v>9771</v>
      </c>
      <c r="B365" s="30" t="s">
        <v>560</v>
      </c>
      <c r="C365" s="31" t="str">
        <f>VLOOKUP(B365,BASE!$A:$B,2,0)</f>
        <v>TUBULAR T-97 BRONCE</v>
      </c>
      <c r="D365" s="35" t="str">
        <f>VLOOKUP(B365,BASE!$A:$D,3,0)</f>
        <v>BRONCE</v>
      </c>
      <c r="E365" s="32" t="str">
        <f>VLOOKUP(B365,BASE!$A:$E,4,0)</f>
        <v>T-97</v>
      </c>
      <c r="F365" s="32">
        <v>1200</v>
      </c>
      <c r="G365" s="23">
        <f t="shared" si="9"/>
        <v>0.2</v>
      </c>
      <c r="H365" s="29"/>
      <c r="I365" s="33" t="s">
        <v>967</v>
      </c>
    </row>
    <row r="366" spans="1:9" ht="20.25" customHeight="1" x14ac:dyDescent="0.25">
      <c r="A366" s="29">
        <v>9772</v>
      </c>
      <c r="B366" s="30" t="s">
        <v>20</v>
      </c>
      <c r="C366" s="31" t="str">
        <f>VLOOKUP(B366,BASE!$A:$B,2,0)</f>
        <v>ALFAJIA 413 MATE</v>
      </c>
      <c r="D366" s="35" t="str">
        <f>VLOOKUP(B366,BASE!$A:$D,3,0)</f>
        <v>MATE</v>
      </c>
      <c r="E366" s="32">
        <f>VLOOKUP(B366,BASE!$A:$E,4,0)</f>
        <v>413</v>
      </c>
      <c r="F366" s="32">
        <v>1100</v>
      </c>
      <c r="G366" s="23">
        <f t="shared" si="9"/>
        <v>0.18333333333333332</v>
      </c>
      <c r="H366" s="29"/>
      <c r="I366" s="33" t="s">
        <v>966</v>
      </c>
    </row>
    <row r="367" spans="1:9" ht="20.25" customHeight="1" x14ac:dyDescent="0.25">
      <c r="A367" s="29">
        <v>9773</v>
      </c>
      <c r="B367" s="30" t="s">
        <v>508</v>
      </c>
      <c r="C367" s="31" t="str">
        <f>VLOOKUP(B367,BASE!$A:$B,2,0)</f>
        <v>TAPALUZ PT08 MATE</v>
      </c>
      <c r="D367" s="35" t="str">
        <f>VLOOKUP(B367,BASE!$A:$D,3,0)</f>
        <v>MATE</v>
      </c>
      <c r="E367" s="32" t="str">
        <f>VLOOKUP(B367,BASE!$A:$E,4,0)</f>
        <v>PT-08</v>
      </c>
      <c r="F367" s="32">
        <v>1600</v>
      </c>
      <c r="G367" s="23">
        <f t="shared" si="9"/>
        <v>0.26666666666666666</v>
      </c>
      <c r="H367" s="29"/>
      <c r="I367" s="33" t="s">
        <v>984</v>
      </c>
    </row>
    <row r="368" spans="1:9" ht="20.25" customHeight="1" x14ac:dyDescent="0.25">
      <c r="A368" s="29">
        <v>9775</v>
      </c>
      <c r="B368" s="30" t="s">
        <v>84</v>
      </c>
      <c r="C368" s="31" t="str">
        <f>VLOOKUP(B368,BASE!$A:$B,2,0)</f>
        <v>TUBULAR 1101 MATE</v>
      </c>
      <c r="D368" s="35" t="str">
        <f>VLOOKUP(B368,BASE!$A:$D,3,0)</f>
        <v>MATE</v>
      </c>
      <c r="E368" s="32">
        <f>VLOOKUP(B368,BASE!$A:$E,4,0)</f>
        <v>1101</v>
      </c>
      <c r="F368" s="32">
        <v>800</v>
      </c>
      <c r="G368" s="23">
        <f t="shared" si="9"/>
        <v>0.13333333333333333</v>
      </c>
      <c r="H368" s="29"/>
      <c r="I368" s="33" t="s">
        <v>968</v>
      </c>
    </row>
    <row r="369" spans="1:9" ht="20.25" customHeight="1" x14ac:dyDescent="0.25">
      <c r="A369" s="29">
        <v>9776</v>
      </c>
      <c r="B369" s="30" t="s">
        <v>84</v>
      </c>
      <c r="C369" s="31" t="str">
        <f>VLOOKUP(B369,BASE!$A:$B,2,0)</f>
        <v>TUBULAR 1101 MATE</v>
      </c>
      <c r="D369" s="35" t="str">
        <f>VLOOKUP(B369,BASE!$A:$D,3,0)</f>
        <v>MATE</v>
      </c>
      <c r="E369" s="32">
        <f>VLOOKUP(B369,BASE!$A:$E,4,0)</f>
        <v>1101</v>
      </c>
      <c r="F369" s="32">
        <v>800</v>
      </c>
      <c r="G369" s="23">
        <f t="shared" si="9"/>
        <v>0.13333333333333333</v>
      </c>
      <c r="H369" s="29"/>
      <c r="I369" s="33" t="s">
        <v>968</v>
      </c>
    </row>
    <row r="370" spans="1:9" ht="20.25" customHeight="1" x14ac:dyDescent="0.25">
      <c r="A370" s="29">
        <v>9777</v>
      </c>
      <c r="B370" s="30" t="s">
        <v>84</v>
      </c>
      <c r="C370" s="31" t="str">
        <f>VLOOKUP(B370,BASE!$A:$B,2,0)</f>
        <v>TUBULAR 1101 MATE</v>
      </c>
      <c r="D370" s="35" t="str">
        <f>VLOOKUP(B370,BASE!$A:$D,3,0)</f>
        <v>MATE</v>
      </c>
      <c r="E370" s="32">
        <f>VLOOKUP(B370,BASE!$A:$E,4,0)</f>
        <v>1101</v>
      </c>
      <c r="F370" s="32">
        <v>800</v>
      </c>
      <c r="G370" s="23">
        <f t="shared" si="9"/>
        <v>0.13333333333333333</v>
      </c>
      <c r="H370" s="29"/>
      <c r="I370" s="33" t="s">
        <v>968</v>
      </c>
    </row>
    <row r="371" spans="1:9" ht="20.25" customHeight="1" x14ac:dyDescent="0.25">
      <c r="A371" s="29">
        <v>9778</v>
      </c>
      <c r="B371" s="30" t="s">
        <v>123</v>
      </c>
      <c r="C371" s="31" t="str">
        <f>VLOOKUP(B371,BASE!$A:$B,2,0)</f>
        <v>3831 SILLAR CABEZAL 173 NEGRO</v>
      </c>
      <c r="D371" s="35" t="str">
        <f>VLOOKUP(B371,BASE!$A:$D,3,0)</f>
        <v>NEGRO</v>
      </c>
      <c r="E371" s="32">
        <f>VLOOKUP(B371,BASE!$A:$E,4,0)</f>
        <v>173</v>
      </c>
      <c r="F371" s="32">
        <v>700</v>
      </c>
      <c r="G371" s="23">
        <f t="shared" si="9"/>
        <v>0.11666666666666667</v>
      </c>
      <c r="H371" s="29"/>
      <c r="I371" s="33" t="s">
        <v>968</v>
      </c>
    </row>
    <row r="372" spans="1:9" ht="20.25" customHeight="1" x14ac:dyDescent="0.25">
      <c r="A372" s="29">
        <v>9780</v>
      </c>
      <c r="B372" s="30" t="s">
        <v>484</v>
      </c>
      <c r="C372" s="31" t="str">
        <f>VLOOKUP(B372,BASE!$A:$B,2,0)</f>
        <v>3831 SILLAR CABEZAL 173 BLANCO</v>
      </c>
      <c r="D372" s="35" t="str">
        <f>VLOOKUP(B372,BASE!$A:$D,3,0)</f>
        <v>BLANCO</v>
      </c>
      <c r="E372" s="32">
        <f>VLOOKUP(B372,BASE!$A:$E,4,0)</f>
        <v>173</v>
      </c>
      <c r="F372" s="32">
        <v>600</v>
      </c>
      <c r="G372" s="23">
        <f t="shared" si="9"/>
        <v>0.1</v>
      </c>
      <c r="H372" s="29"/>
      <c r="I372" s="33" t="s">
        <v>969</v>
      </c>
    </row>
    <row r="373" spans="1:9" ht="20.25" customHeight="1" x14ac:dyDescent="0.25">
      <c r="A373" s="29">
        <v>9781</v>
      </c>
      <c r="B373" s="30" t="s">
        <v>484</v>
      </c>
      <c r="C373" s="31" t="str">
        <f>VLOOKUP(B373,BASE!$A:$B,2,0)</f>
        <v>3831 SILLAR CABEZAL 173 BLANCO</v>
      </c>
      <c r="D373" s="35" t="str">
        <f>VLOOKUP(B373,BASE!$A:$D,3,0)</f>
        <v>BLANCO</v>
      </c>
      <c r="E373" s="32">
        <f>VLOOKUP(B373,BASE!$A:$E,4,0)</f>
        <v>173</v>
      </c>
      <c r="F373" s="32">
        <v>600</v>
      </c>
      <c r="G373" s="23">
        <f t="shared" si="9"/>
        <v>0.1</v>
      </c>
      <c r="H373" s="29"/>
      <c r="I373" s="33" t="s">
        <v>969</v>
      </c>
    </row>
    <row r="374" spans="1:9" ht="20.25" customHeight="1" x14ac:dyDescent="0.25">
      <c r="A374" s="29">
        <v>9782</v>
      </c>
      <c r="B374" s="30" t="s">
        <v>484</v>
      </c>
      <c r="C374" s="31" t="str">
        <f>VLOOKUP(B374,BASE!$A:$B,2,0)</f>
        <v>3831 SILLAR CABEZAL 173 BLANCO</v>
      </c>
      <c r="D374" s="35" t="str">
        <f>VLOOKUP(B374,BASE!$A:$D,3,0)</f>
        <v>BLANCO</v>
      </c>
      <c r="E374" s="32">
        <f>VLOOKUP(B374,BASE!$A:$E,4,0)</f>
        <v>173</v>
      </c>
      <c r="F374" s="32">
        <v>600</v>
      </c>
      <c r="G374" s="23">
        <f t="shared" si="9"/>
        <v>0.1</v>
      </c>
      <c r="H374" s="29"/>
      <c r="I374" s="33" t="s">
        <v>969</v>
      </c>
    </row>
    <row r="375" spans="1:9" ht="20.25" customHeight="1" x14ac:dyDescent="0.25">
      <c r="A375" s="29">
        <v>9783</v>
      </c>
      <c r="B375" s="30" t="s">
        <v>484</v>
      </c>
      <c r="C375" s="31" t="str">
        <f>VLOOKUP(B375,BASE!$A:$B,2,0)</f>
        <v>3831 SILLAR CABEZAL 173 BLANCO</v>
      </c>
      <c r="D375" s="35" t="str">
        <f>VLOOKUP(B375,BASE!$A:$D,3,0)</f>
        <v>BLANCO</v>
      </c>
      <c r="E375" s="32">
        <f>VLOOKUP(B375,BASE!$A:$E,4,0)</f>
        <v>173</v>
      </c>
      <c r="F375" s="32">
        <v>600</v>
      </c>
      <c r="G375" s="23">
        <f t="shared" si="9"/>
        <v>0.1</v>
      </c>
      <c r="H375" s="29"/>
      <c r="I375" s="33" t="s">
        <v>969</v>
      </c>
    </row>
    <row r="376" spans="1:9" ht="20.25" customHeight="1" x14ac:dyDescent="0.25">
      <c r="A376" s="29">
        <v>9784</v>
      </c>
      <c r="B376" s="30" t="s">
        <v>484</v>
      </c>
      <c r="C376" s="31" t="str">
        <f>VLOOKUP(B376,BASE!$A:$B,2,0)</f>
        <v>3831 SILLAR CABEZAL 173 BLANCO</v>
      </c>
      <c r="D376" s="35" t="str">
        <f>VLOOKUP(B376,BASE!$A:$D,3,0)</f>
        <v>BLANCO</v>
      </c>
      <c r="E376" s="32">
        <f>VLOOKUP(B376,BASE!$A:$E,4,0)</f>
        <v>173</v>
      </c>
      <c r="F376" s="32">
        <v>600</v>
      </c>
      <c r="G376" s="23">
        <f t="shared" si="9"/>
        <v>0.1</v>
      </c>
      <c r="H376" s="29"/>
      <c r="I376" s="33" t="s">
        <v>969</v>
      </c>
    </row>
    <row r="377" spans="1:9" ht="20.25" customHeight="1" x14ac:dyDescent="0.25">
      <c r="A377" s="29">
        <v>9785</v>
      </c>
      <c r="B377" s="30" t="s">
        <v>484</v>
      </c>
      <c r="C377" s="31" t="str">
        <f>VLOOKUP(B377,BASE!$A:$B,2,0)</f>
        <v>3831 SILLAR CABEZAL 173 BLANCO</v>
      </c>
      <c r="D377" s="35" t="str">
        <f>VLOOKUP(B377,BASE!$A:$D,3,0)</f>
        <v>BLANCO</v>
      </c>
      <c r="E377" s="32">
        <f>VLOOKUP(B377,BASE!$A:$E,4,0)</f>
        <v>173</v>
      </c>
      <c r="F377" s="32">
        <v>600</v>
      </c>
      <c r="G377" s="23">
        <f t="shared" si="9"/>
        <v>0.1</v>
      </c>
      <c r="H377" s="29"/>
      <c r="I377" s="33" t="s">
        <v>969</v>
      </c>
    </row>
    <row r="378" spans="1:9" ht="20.25" customHeight="1" x14ac:dyDescent="0.25">
      <c r="A378" s="29">
        <v>9786</v>
      </c>
      <c r="B378" s="30" t="s">
        <v>131</v>
      </c>
      <c r="C378" s="31" t="str">
        <f>VLOOKUP(B378,BASE!$A:$B,2,0)</f>
        <v>3831 PISAVIDRIO 177 BLANCO</v>
      </c>
      <c r="D378" s="35" t="str">
        <f>VLOOKUP(B378,BASE!$A:$D,3,0)</f>
        <v>BLANCO</v>
      </c>
      <c r="E378" s="32">
        <f>VLOOKUP(B378,BASE!$A:$E,4,0)</f>
        <v>177</v>
      </c>
      <c r="F378" s="32">
        <v>800</v>
      </c>
      <c r="G378" s="23">
        <f t="shared" si="9"/>
        <v>0.13333333333333333</v>
      </c>
      <c r="H378" s="29"/>
      <c r="I378" s="33" t="s">
        <v>969</v>
      </c>
    </row>
    <row r="379" spans="1:9" ht="20.25" customHeight="1" x14ac:dyDescent="0.25">
      <c r="A379" s="29">
        <v>9787</v>
      </c>
      <c r="B379" s="30" t="s">
        <v>131</v>
      </c>
      <c r="C379" s="31" t="str">
        <f>VLOOKUP(B379,BASE!$A:$B,2,0)</f>
        <v>3831 PISAVIDRIO 177 BLANCO</v>
      </c>
      <c r="D379" s="35" t="str">
        <f>VLOOKUP(B379,BASE!$A:$D,3,0)</f>
        <v>BLANCO</v>
      </c>
      <c r="E379" s="32">
        <f>VLOOKUP(B379,BASE!$A:$E,4,0)</f>
        <v>177</v>
      </c>
      <c r="F379" s="32">
        <v>800</v>
      </c>
      <c r="G379" s="23">
        <f t="shared" si="9"/>
        <v>0.13333333333333333</v>
      </c>
      <c r="H379" s="29"/>
      <c r="I379" s="33" t="s">
        <v>969</v>
      </c>
    </row>
    <row r="380" spans="1:9" ht="20.25" customHeight="1" x14ac:dyDescent="0.25">
      <c r="A380" s="29">
        <v>9788</v>
      </c>
      <c r="B380" s="30" t="s">
        <v>131</v>
      </c>
      <c r="C380" s="31" t="str">
        <f>VLOOKUP(B380,BASE!$A:$B,2,0)</f>
        <v>3831 PISAVIDRIO 177 BLANCO</v>
      </c>
      <c r="D380" s="35" t="str">
        <f>VLOOKUP(B380,BASE!$A:$D,3,0)</f>
        <v>BLANCO</v>
      </c>
      <c r="E380" s="32">
        <f>VLOOKUP(B380,BASE!$A:$E,4,0)</f>
        <v>177</v>
      </c>
      <c r="F380" s="32">
        <v>800</v>
      </c>
      <c r="G380" s="23">
        <f t="shared" si="9"/>
        <v>0.13333333333333333</v>
      </c>
      <c r="H380" s="29"/>
      <c r="I380" s="33" t="s">
        <v>969</v>
      </c>
    </row>
    <row r="381" spans="1:9" ht="20.25" customHeight="1" x14ac:dyDescent="0.25">
      <c r="A381" s="29">
        <v>9789</v>
      </c>
      <c r="B381" s="30" t="s">
        <v>131</v>
      </c>
      <c r="C381" s="31" t="str">
        <f>VLOOKUP(B381,BASE!$A:$B,2,0)</f>
        <v>3831 PISAVIDRIO 177 BLANCO</v>
      </c>
      <c r="D381" s="35" t="str">
        <f>VLOOKUP(B381,BASE!$A:$D,3,0)</f>
        <v>BLANCO</v>
      </c>
      <c r="E381" s="32">
        <f>VLOOKUP(B381,BASE!$A:$E,4,0)</f>
        <v>177</v>
      </c>
      <c r="F381" s="32">
        <v>800</v>
      </c>
      <c r="G381" s="23">
        <f t="shared" si="9"/>
        <v>0.13333333333333333</v>
      </c>
      <c r="H381" s="29"/>
      <c r="I381" s="33" t="s">
        <v>969</v>
      </c>
    </row>
    <row r="382" spans="1:9" ht="20.25" customHeight="1" x14ac:dyDescent="0.25">
      <c r="A382" s="29">
        <v>9790</v>
      </c>
      <c r="B382" s="30" t="s">
        <v>131</v>
      </c>
      <c r="C382" s="31" t="str">
        <f>VLOOKUP(B382,BASE!$A:$B,2,0)</f>
        <v>3831 PISAVIDRIO 177 BLANCO</v>
      </c>
      <c r="D382" s="35" t="str">
        <f>VLOOKUP(B382,BASE!$A:$D,3,0)</f>
        <v>BLANCO</v>
      </c>
      <c r="E382" s="32">
        <f>VLOOKUP(B382,BASE!$A:$E,4,0)</f>
        <v>177</v>
      </c>
      <c r="F382" s="32">
        <v>800</v>
      </c>
      <c r="G382" s="23">
        <f t="shared" si="9"/>
        <v>0.13333333333333333</v>
      </c>
      <c r="H382" s="29"/>
      <c r="I382" s="33" t="s">
        <v>969</v>
      </c>
    </row>
    <row r="383" spans="1:9" ht="20.25" customHeight="1" x14ac:dyDescent="0.25">
      <c r="A383" s="29">
        <v>9791</v>
      </c>
      <c r="B383" s="30" t="s">
        <v>131</v>
      </c>
      <c r="C383" s="31" t="str">
        <f>VLOOKUP(B383,BASE!$A:$B,2,0)</f>
        <v>3831 PISAVIDRIO 177 BLANCO</v>
      </c>
      <c r="D383" s="35" t="str">
        <f>VLOOKUP(B383,BASE!$A:$D,3,0)</f>
        <v>BLANCO</v>
      </c>
      <c r="E383" s="32">
        <f>VLOOKUP(B383,BASE!$A:$E,4,0)</f>
        <v>177</v>
      </c>
      <c r="F383" s="32">
        <v>800</v>
      </c>
      <c r="G383" s="23">
        <f t="shared" si="9"/>
        <v>0.13333333333333333</v>
      </c>
      <c r="H383" s="29"/>
      <c r="I383" s="33" t="s">
        <v>969</v>
      </c>
    </row>
    <row r="384" spans="1:9" ht="20.25" customHeight="1" x14ac:dyDescent="0.25">
      <c r="A384" s="29">
        <v>9792</v>
      </c>
      <c r="B384" s="30" t="s">
        <v>120</v>
      </c>
      <c r="C384" s="31" t="str">
        <f>VLOOKUP(B384,BASE!$A:$B,2,0)</f>
        <v>7038 TRASLAPE 704 NEGRO</v>
      </c>
      <c r="D384" s="35" t="str">
        <f>VLOOKUP(B384,BASE!$A:$D,3,0)</f>
        <v>NEGRO</v>
      </c>
      <c r="E384" s="32">
        <f>VLOOKUP(B384,BASE!$A:$E,4,0)</f>
        <v>704</v>
      </c>
      <c r="F384" s="32">
        <v>3800</v>
      </c>
      <c r="G384" s="23">
        <f t="shared" si="9"/>
        <v>0.6333333333333333</v>
      </c>
      <c r="H384" s="29"/>
      <c r="I384" s="33" t="s">
        <v>963</v>
      </c>
    </row>
    <row r="385" spans="1:9" ht="20.25" customHeight="1" x14ac:dyDescent="0.25">
      <c r="A385" s="29">
        <v>9797</v>
      </c>
      <c r="B385" s="30" t="s">
        <v>446</v>
      </c>
      <c r="C385" s="31" t="str">
        <f>VLOOKUP(B385,BASE!$A:$B,2,0)</f>
        <v>8025 JAMBA 708 NEGRO</v>
      </c>
      <c r="D385" s="35" t="str">
        <f>VLOOKUP(B385,BASE!$A:$D,3,0)</f>
        <v>NEGRO</v>
      </c>
      <c r="E385" s="32">
        <f>VLOOKUP(B385,BASE!$A:$E,4,0)</f>
        <v>708</v>
      </c>
      <c r="F385" s="32">
        <v>1900</v>
      </c>
      <c r="G385" s="23">
        <f t="shared" si="9"/>
        <v>0.31666666666666665</v>
      </c>
      <c r="H385" s="29"/>
      <c r="I385" s="33" t="s">
        <v>960</v>
      </c>
    </row>
    <row r="386" spans="1:9" ht="20.25" customHeight="1" x14ac:dyDescent="0.25">
      <c r="A386" s="29">
        <v>9798</v>
      </c>
      <c r="B386" s="30" t="s">
        <v>139</v>
      </c>
      <c r="C386" s="31" t="str">
        <f>VLOOKUP(B386,BASE!$A:$B,2,0)</f>
        <v>8025 SILLAR 707 NEGRO</v>
      </c>
      <c r="D386" s="35" t="str">
        <f>VLOOKUP(B386,BASE!$A:$D,3,0)</f>
        <v>NEGRO</v>
      </c>
      <c r="E386" s="32">
        <f>VLOOKUP(B386,BASE!$A:$E,4,0)</f>
        <v>707</v>
      </c>
      <c r="F386" s="32">
        <v>2100</v>
      </c>
      <c r="G386" s="23">
        <f t="shared" si="9"/>
        <v>0.35</v>
      </c>
      <c r="H386" s="29"/>
      <c r="I386" s="33" t="s">
        <v>960</v>
      </c>
    </row>
    <row r="387" spans="1:9" ht="20.25" customHeight="1" x14ac:dyDescent="0.25">
      <c r="A387" s="29">
        <v>9799</v>
      </c>
      <c r="B387" s="30" t="s">
        <v>340</v>
      </c>
      <c r="C387" s="31" t="str">
        <f>VLOOKUP(B387,BASE!$A:$B,2,0)</f>
        <v>8025 CABEZAL 706 NEGRO</v>
      </c>
      <c r="D387" s="35" t="str">
        <f>VLOOKUP(B387,BASE!$A:$D,3,0)</f>
        <v>NEGRO</v>
      </c>
      <c r="E387" s="32">
        <f>VLOOKUP(B387,BASE!$A:$E,4,0)</f>
        <v>706</v>
      </c>
      <c r="F387" s="32">
        <v>2100</v>
      </c>
      <c r="G387" s="23">
        <f t="shared" si="9"/>
        <v>0.35</v>
      </c>
      <c r="H387" s="29"/>
      <c r="I387" s="33" t="s">
        <v>960</v>
      </c>
    </row>
    <row r="388" spans="1:9" ht="20.25" customHeight="1" x14ac:dyDescent="0.25">
      <c r="A388" s="29">
        <v>9800</v>
      </c>
      <c r="B388" s="30" t="s">
        <v>340</v>
      </c>
      <c r="C388" s="31" t="str">
        <f>VLOOKUP(B388,BASE!$A:$B,2,0)</f>
        <v>8025 CABEZAL 706 NEGRO</v>
      </c>
      <c r="D388" s="35" t="str">
        <f>VLOOKUP(B388,BASE!$A:$D,3,0)</f>
        <v>NEGRO</v>
      </c>
      <c r="E388" s="32">
        <f>VLOOKUP(B388,BASE!$A:$E,4,0)</f>
        <v>706</v>
      </c>
      <c r="F388" s="32">
        <v>3000</v>
      </c>
      <c r="G388" s="23">
        <f t="shared" ref="G388:G400" si="10">+F388/6000</f>
        <v>0.5</v>
      </c>
      <c r="H388" s="29"/>
      <c r="I388" s="33" t="s">
        <v>964</v>
      </c>
    </row>
    <row r="389" spans="1:9" ht="20.25" customHeight="1" x14ac:dyDescent="0.25">
      <c r="A389" s="29">
        <v>9816</v>
      </c>
      <c r="B389" s="30" t="s">
        <v>50</v>
      </c>
      <c r="C389" s="31" t="str">
        <f>VLOOKUP(B389,BASE!$A:$B,2,0)</f>
        <v>7038 HORIZONTAL 703 NEGRO</v>
      </c>
      <c r="D389" s="35" t="str">
        <f>VLOOKUP(B389,BASE!$A:$D,3,0)</f>
        <v>NEGRO</v>
      </c>
      <c r="E389" s="32">
        <f>VLOOKUP(B389,BASE!$A:$E,4,0)</f>
        <v>703</v>
      </c>
      <c r="F389" s="32">
        <v>900</v>
      </c>
      <c r="G389" s="23">
        <f t="shared" si="10"/>
        <v>0.15</v>
      </c>
      <c r="H389" s="29"/>
      <c r="I389" s="33" t="s">
        <v>968</v>
      </c>
    </row>
    <row r="390" spans="1:9" ht="20.25" customHeight="1" x14ac:dyDescent="0.25">
      <c r="A390" s="29">
        <v>9825</v>
      </c>
      <c r="B390" s="30" t="s">
        <v>563</v>
      </c>
      <c r="C390" s="31" t="str">
        <f>VLOOKUP(B390,BASE!$A:$B,2,0)</f>
        <v>TUBULAR 1101 NEGRO</v>
      </c>
      <c r="D390" s="35" t="str">
        <f>VLOOKUP(B390,BASE!$A:$D,3,0)</f>
        <v>NEGRO</v>
      </c>
      <c r="E390" s="32">
        <f>VLOOKUP(B390,BASE!$A:$E,4,0)</f>
        <v>1101</v>
      </c>
      <c r="F390" s="32">
        <v>1500</v>
      </c>
      <c r="G390" s="23">
        <f t="shared" si="10"/>
        <v>0.25</v>
      </c>
      <c r="H390" s="29"/>
      <c r="I390" s="33" t="s">
        <v>955</v>
      </c>
    </row>
    <row r="391" spans="1:9" ht="20.25" customHeight="1" x14ac:dyDescent="0.25">
      <c r="A391" s="29">
        <v>9828</v>
      </c>
      <c r="B391" s="30" t="s">
        <v>563</v>
      </c>
      <c r="C391" s="31" t="str">
        <f>VLOOKUP(B391,BASE!$A:$B,2,0)</f>
        <v>TUBULAR 1101 NEGRO</v>
      </c>
      <c r="D391" s="35" t="str">
        <f>VLOOKUP(B391,BASE!$A:$D,3,0)</f>
        <v>NEGRO</v>
      </c>
      <c r="E391" s="32">
        <f>VLOOKUP(B391,BASE!$A:$E,4,0)</f>
        <v>1101</v>
      </c>
      <c r="F391" s="32">
        <v>1900</v>
      </c>
      <c r="G391" s="23">
        <f t="shared" si="10"/>
        <v>0.31666666666666665</v>
      </c>
      <c r="H391" s="29"/>
      <c r="I391" s="33" t="s">
        <v>955</v>
      </c>
    </row>
    <row r="392" spans="1:9" ht="20.25" customHeight="1" x14ac:dyDescent="0.25">
      <c r="A392" s="29">
        <v>9833</v>
      </c>
      <c r="B392" s="30" t="s">
        <v>629</v>
      </c>
      <c r="C392" s="31" t="str">
        <f>VLOOKUP(B392,BASE!$A:$B,2,0)</f>
        <v>PERSIANA 315 MATE</v>
      </c>
      <c r="D392" s="35" t="str">
        <f>VLOOKUP(B392,BASE!$A:$D,3,0)</f>
        <v>MATE</v>
      </c>
      <c r="E392" s="32">
        <f>VLOOKUP(B392,BASE!$A:$E,4,0)</f>
        <v>315</v>
      </c>
      <c r="F392" s="32">
        <v>6000</v>
      </c>
      <c r="G392" s="23">
        <f t="shared" si="10"/>
        <v>1</v>
      </c>
      <c r="H392" s="29"/>
      <c r="I392" s="33" t="s">
        <v>957</v>
      </c>
    </row>
    <row r="393" spans="1:9" ht="20.25" customHeight="1" x14ac:dyDescent="0.25">
      <c r="A393" s="29">
        <v>9834</v>
      </c>
      <c r="B393" s="30" t="s">
        <v>629</v>
      </c>
      <c r="C393" s="31" t="str">
        <f>VLOOKUP(B393,BASE!$A:$B,2,0)</f>
        <v>PERSIANA 315 MATE</v>
      </c>
      <c r="D393" s="35" t="str">
        <f>VLOOKUP(B393,BASE!$A:$D,3,0)</f>
        <v>MATE</v>
      </c>
      <c r="E393" s="32">
        <f>VLOOKUP(B393,BASE!$A:$E,4,0)</f>
        <v>315</v>
      </c>
      <c r="F393" s="32">
        <v>6000</v>
      </c>
      <c r="G393" s="23">
        <f t="shared" si="10"/>
        <v>1</v>
      </c>
      <c r="H393" s="29"/>
      <c r="I393" s="33" t="s">
        <v>957</v>
      </c>
    </row>
    <row r="394" spans="1:9" ht="20.25" customHeight="1" x14ac:dyDescent="0.25">
      <c r="A394" s="29">
        <v>9835</v>
      </c>
      <c r="B394" s="30" t="s">
        <v>629</v>
      </c>
      <c r="C394" s="31" t="str">
        <f>VLOOKUP(B394,BASE!$A:$B,2,0)</f>
        <v>PERSIANA 315 MATE</v>
      </c>
      <c r="D394" s="35" t="str">
        <f>VLOOKUP(B394,BASE!$A:$D,3,0)</f>
        <v>MATE</v>
      </c>
      <c r="E394" s="32">
        <f>VLOOKUP(B394,BASE!$A:$E,4,0)</f>
        <v>315</v>
      </c>
      <c r="F394" s="32">
        <v>6000</v>
      </c>
      <c r="G394" s="23">
        <f t="shared" si="10"/>
        <v>1</v>
      </c>
      <c r="H394" s="29"/>
      <c r="I394" s="33" t="s">
        <v>957</v>
      </c>
    </row>
    <row r="395" spans="1:9" ht="20.25" customHeight="1" x14ac:dyDescent="0.25">
      <c r="A395" s="29">
        <v>9841</v>
      </c>
      <c r="B395" s="30" t="s">
        <v>131</v>
      </c>
      <c r="C395" s="31" t="str">
        <f>VLOOKUP(B395,BASE!$A:$B,2,0)</f>
        <v>3831 PISAVIDRIO 177 BLANCO</v>
      </c>
      <c r="D395" s="35" t="str">
        <f>VLOOKUP(B395,BASE!$A:$D,3,0)</f>
        <v>BLANCO</v>
      </c>
      <c r="E395" s="32">
        <f>VLOOKUP(B395,BASE!$A:$E,4,0)</f>
        <v>177</v>
      </c>
      <c r="F395" s="32">
        <v>6000</v>
      </c>
      <c r="G395" s="23">
        <f t="shared" si="10"/>
        <v>1</v>
      </c>
      <c r="H395" s="29"/>
      <c r="I395" s="33" t="s">
        <v>957</v>
      </c>
    </row>
    <row r="396" spans="1:9" ht="20.25" customHeight="1" x14ac:dyDescent="0.25">
      <c r="A396" s="29">
        <v>9842</v>
      </c>
      <c r="B396" s="30" t="s">
        <v>484</v>
      </c>
      <c r="C396" s="31" t="str">
        <f>VLOOKUP(B396,BASE!$A:$B,2,0)</f>
        <v>3831 SILLAR CABEZAL 173 BLANCO</v>
      </c>
      <c r="D396" s="35" t="str">
        <f>VLOOKUP(B396,BASE!$A:$D,3,0)</f>
        <v>BLANCO</v>
      </c>
      <c r="E396" s="32">
        <f>VLOOKUP(B396,BASE!$A:$E,4,0)</f>
        <v>173</v>
      </c>
      <c r="F396" s="32">
        <v>6000</v>
      </c>
      <c r="G396" s="23">
        <f t="shared" si="10"/>
        <v>1</v>
      </c>
      <c r="H396" s="29"/>
      <c r="I396" s="33" t="s">
        <v>957</v>
      </c>
    </row>
    <row r="397" spans="1:9" ht="20.25" customHeight="1" x14ac:dyDescent="0.25">
      <c r="A397" s="29">
        <v>9853</v>
      </c>
      <c r="B397" s="30" t="s">
        <v>86</v>
      </c>
      <c r="C397" s="31" t="str">
        <f>VLOOKUP(B397,BASE!$A:$B,2,0)</f>
        <v>3831 ADAPTADOR 175 BRONCE</v>
      </c>
      <c r="D397" s="35" t="str">
        <f>VLOOKUP(B397,BASE!$A:$D,3,0)</f>
        <v>BRONCE</v>
      </c>
      <c r="E397" s="32">
        <f>VLOOKUP(B397,BASE!$A:$E,4,0)</f>
        <v>175</v>
      </c>
      <c r="F397" s="32">
        <v>6000</v>
      </c>
      <c r="G397" s="23">
        <f t="shared" si="10"/>
        <v>1</v>
      </c>
      <c r="H397" s="29"/>
      <c r="I397" s="33" t="s">
        <v>956</v>
      </c>
    </row>
    <row r="398" spans="1:9" ht="20.25" customHeight="1" x14ac:dyDescent="0.25">
      <c r="A398" s="29">
        <v>9854</v>
      </c>
      <c r="B398" s="30" t="s">
        <v>86</v>
      </c>
      <c r="C398" s="31" t="str">
        <f>VLOOKUP(B398,BASE!$A:$B,2,0)</f>
        <v>3831 ADAPTADOR 175 BRONCE</v>
      </c>
      <c r="D398" s="35" t="str">
        <f>VLOOKUP(B398,BASE!$A:$D,3,0)</f>
        <v>BRONCE</v>
      </c>
      <c r="E398" s="32">
        <f>VLOOKUP(B398,BASE!$A:$E,4,0)</f>
        <v>175</v>
      </c>
      <c r="F398" s="32">
        <v>6000</v>
      </c>
      <c r="G398" s="23">
        <f t="shared" si="10"/>
        <v>1</v>
      </c>
      <c r="H398" s="29"/>
      <c r="I398" s="33" t="s">
        <v>956</v>
      </c>
    </row>
    <row r="399" spans="1:9" ht="20.25" customHeight="1" x14ac:dyDescent="0.25">
      <c r="A399" s="29">
        <v>9855</v>
      </c>
      <c r="B399" s="30" t="s">
        <v>86</v>
      </c>
      <c r="C399" s="31" t="str">
        <f>VLOOKUP(B399,BASE!$A:$B,2,0)</f>
        <v>3831 ADAPTADOR 175 BRONCE</v>
      </c>
      <c r="D399" s="35" t="str">
        <f>VLOOKUP(B399,BASE!$A:$D,3,0)</f>
        <v>BRONCE</v>
      </c>
      <c r="E399" s="32">
        <f>VLOOKUP(B399,BASE!$A:$E,4,0)</f>
        <v>175</v>
      </c>
      <c r="F399" s="32">
        <v>6000</v>
      </c>
      <c r="G399" s="23">
        <f t="shared" si="10"/>
        <v>1</v>
      </c>
      <c r="H399" s="29"/>
      <c r="I399" s="33" t="s">
        <v>956</v>
      </c>
    </row>
    <row r="400" spans="1:9" ht="20.25" customHeight="1" x14ac:dyDescent="0.25">
      <c r="A400" s="29">
        <v>9856</v>
      </c>
      <c r="B400" s="30" t="s">
        <v>86</v>
      </c>
      <c r="C400" s="31" t="str">
        <f>VLOOKUP(B400,BASE!$A:$B,2,0)</f>
        <v>3831 ADAPTADOR 175 BRONCE</v>
      </c>
      <c r="D400" s="35" t="str">
        <f>VLOOKUP(B400,BASE!$A:$D,3,0)</f>
        <v>BRONCE</v>
      </c>
      <c r="E400" s="32">
        <f>VLOOKUP(B400,BASE!$A:$E,4,0)</f>
        <v>175</v>
      </c>
      <c r="F400" s="32">
        <v>6000</v>
      </c>
      <c r="G400" s="23">
        <f t="shared" si="10"/>
        <v>1</v>
      </c>
      <c r="H400" s="29"/>
      <c r="I400" s="33" t="s">
        <v>956</v>
      </c>
    </row>
    <row r="401" spans="1:9" ht="20.25" customHeight="1" x14ac:dyDescent="0.25">
      <c r="A401" s="29">
        <v>9924</v>
      </c>
      <c r="B401" s="30" t="s">
        <v>599</v>
      </c>
      <c r="C401" s="31" t="str">
        <f>VLOOKUP(B401,BASE!$A:$B,2,0)</f>
        <v>TUBULAR T-76 CRUDO</v>
      </c>
      <c r="D401" s="35" t="str">
        <f>VLOOKUP(B401,BASE!$A:$D,3,0)</f>
        <v xml:space="preserve">CRUDO </v>
      </c>
      <c r="E401" s="32" t="str">
        <f>VLOOKUP(B401,BASE!$A:$E,4,0)</f>
        <v>T-76</v>
      </c>
      <c r="F401" s="32">
        <v>6000</v>
      </c>
      <c r="G401" s="23">
        <f t="shared" ref="G401:G403" si="11">+F401/6000</f>
        <v>1</v>
      </c>
      <c r="H401" s="29"/>
      <c r="I401" s="33" t="s">
        <v>956</v>
      </c>
    </row>
    <row r="402" spans="1:9" ht="20.25" customHeight="1" x14ac:dyDescent="0.25">
      <c r="A402" s="29">
        <v>9928</v>
      </c>
      <c r="B402" s="30" t="s">
        <v>413</v>
      </c>
      <c r="C402" s="31" t="str">
        <f>VLOOKUP(B402,BASE!$A:$B,2,0)</f>
        <v>8025 HORIZONTAL SUPERIOR 156 MATE</v>
      </c>
      <c r="D402" s="35" t="str">
        <f>VLOOKUP(B402,BASE!$A:$D,3,0)</f>
        <v>MATE</v>
      </c>
      <c r="E402" s="32">
        <f>VLOOKUP(B402,BASE!$A:$E,4,0)</f>
        <v>156</v>
      </c>
      <c r="F402" s="32">
        <v>6000</v>
      </c>
      <c r="G402" s="23">
        <f t="shared" si="11"/>
        <v>1</v>
      </c>
      <c r="H402" s="29"/>
      <c r="I402" s="33" t="s">
        <v>956</v>
      </c>
    </row>
    <row r="403" spans="1:9" ht="20.25" customHeight="1" x14ac:dyDescent="0.25">
      <c r="A403" s="29">
        <v>9940</v>
      </c>
      <c r="B403" s="30" t="s">
        <v>695</v>
      </c>
      <c r="C403" s="31" t="str">
        <f>VLOOKUP(B403,BASE!$A:$B,2,0)</f>
        <v>8025 HORIZONTAL INFERIOR 157 MATE</v>
      </c>
      <c r="D403" s="35" t="str">
        <f>VLOOKUP(B403,BASE!$A:$D,3,0)</f>
        <v>MATE</v>
      </c>
      <c r="E403" s="32">
        <f>VLOOKUP(B403,BASE!$A:$E,4,0)</f>
        <v>157</v>
      </c>
      <c r="F403" s="32">
        <v>6000</v>
      </c>
      <c r="G403" s="23">
        <f t="shared" si="11"/>
        <v>1</v>
      </c>
      <c r="H403" s="29"/>
      <c r="I403" s="33" t="s">
        <v>956</v>
      </c>
    </row>
    <row r="404" spans="1:9" ht="20.25" customHeight="1" x14ac:dyDescent="0.25">
      <c r="A404" s="29">
        <v>9972</v>
      </c>
      <c r="B404" s="30" t="s">
        <v>469</v>
      </c>
      <c r="C404" s="31" t="str">
        <f>VLOOKUP(B404,BASE!$A:$B,2,0)</f>
        <v>RIEL DUCASSE 1764 MATE</v>
      </c>
      <c r="D404" s="35" t="str">
        <f>VLOOKUP(B404,BASE!$A:$D,3,0)</f>
        <v>MATE</v>
      </c>
      <c r="E404" s="32">
        <f>VLOOKUP(B404,BASE!$A:$E,4,0)</f>
        <v>1764</v>
      </c>
      <c r="F404" s="32">
        <v>1800</v>
      </c>
      <c r="G404" s="23">
        <f t="shared" ref="G404:G430" si="12">+F404/6000</f>
        <v>0.3</v>
      </c>
      <c r="H404" s="29"/>
      <c r="I404" s="33" t="s">
        <v>960</v>
      </c>
    </row>
    <row r="405" spans="1:9" ht="20.25" customHeight="1" x14ac:dyDescent="0.25">
      <c r="A405" s="29">
        <v>9973</v>
      </c>
      <c r="B405" s="30" t="s">
        <v>84</v>
      </c>
      <c r="C405" s="31" t="str">
        <f>VLOOKUP(B405,BASE!$A:$B,2,0)</f>
        <v>TUBULAR 1101 MATE</v>
      </c>
      <c r="D405" s="35" t="str">
        <f>VLOOKUP(B405,BASE!$A:$D,3,0)</f>
        <v>MATE</v>
      </c>
      <c r="E405" s="32">
        <f>VLOOKUP(B405,BASE!$A:$E,4,0)</f>
        <v>1101</v>
      </c>
      <c r="F405" s="32">
        <v>1200</v>
      </c>
      <c r="G405" s="23">
        <f t="shared" si="12"/>
        <v>0.2</v>
      </c>
      <c r="H405" s="29"/>
      <c r="I405" s="33" t="s">
        <v>967</v>
      </c>
    </row>
    <row r="406" spans="1:9" ht="20.25" customHeight="1" x14ac:dyDescent="0.25">
      <c r="A406" s="29">
        <v>9974</v>
      </c>
      <c r="B406" s="30" t="s">
        <v>84</v>
      </c>
      <c r="C406" s="31" t="str">
        <f>VLOOKUP(B406,BASE!$A:$B,2,0)</f>
        <v>TUBULAR 1101 MATE</v>
      </c>
      <c r="D406" s="35" t="str">
        <f>VLOOKUP(B406,BASE!$A:$D,3,0)</f>
        <v>MATE</v>
      </c>
      <c r="E406" s="32">
        <f>VLOOKUP(B406,BASE!$A:$E,4,0)</f>
        <v>1101</v>
      </c>
      <c r="F406" s="32">
        <v>1400</v>
      </c>
      <c r="G406" s="23">
        <f t="shared" si="12"/>
        <v>0.23333333333333334</v>
      </c>
      <c r="H406" s="29"/>
      <c r="I406" s="33" t="s">
        <v>967</v>
      </c>
    </row>
    <row r="407" spans="1:9" ht="20.25" customHeight="1" x14ac:dyDescent="0.25">
      <c r="A407" s="29">
        <v>9975</v>
      </c>
      <c r="B407" s="30" t="s">
        <v>84</v>
      </c>
      <c r="C407" s="31" t="str">
        <f>VLOOKUP(B407,BASE!$A:$B,2,0)</f>
        <v>TUBULAR 1101 MATE</v>
      </c>
      <c r="D407" s="35" t="str">
        <f>VLOOKUP(B407,BASE!$A:$D,3,0)</f>
        <v>MATE</v>
      </c>
      <c r="E407" s="32">
        <f>VLOOKUP(B407,BASE!$A:$E,4,0)</f>
        <v>1101</v>
      </c>
      <c r="F407" s="32">
        <v>1300</v>
      </c>
      <c r="G407" s="23">
        <f t="shared" si="12"/>
        <v>0.21666666666666667</v>
      </c>
      <c r="H407" s="29"/>
      <c r="I407" s="33" t="s">
        <v>967</v>
      </c>
    </row>
    <row r="408" spans="1:9" ht="20.25" customHeight="1" x14ac:dyDescent="0.25">
      <c r="A408" s="29">
        <v>9976</v>
      </c>
      <c r="B408" s="30" t="s">
        <v>84</v>
      </c>
      <c r="C408" s="31" t="str">
        <f>VLOOKUP(B408,BASE!$A:$B,2,0)</f>
        <v>TUBULAR 1101 MATE</v>
      </c>
      <c r="D408" s="35" t="str">
        <f>VLOOKUP(B408,BASE!$A:$D,3,0)</f>
        <v>MATE</v>
      </c>
      <c r="E408" s="32">
        <f>VLOOKUP(B408,BASE!$A:$E,4,0)</f>
        <v>1101</v>
      </c>
      <c r="F408" s="32">
        <v>2100</v>
      </c>
      <c r="G408" s="23">
        <f t="shared" si="12"/>
        <v>0.35</v>
      </c>
      <c r="H408" s="29"/>
      <c r="I408" s="33" t="s">
        <v>960</v>
      </c>
    </row>
    <row r="409" spans="1:9" ht="20.25" customHeight="1" x14ac:dyDescent="0.25">
      <c r="A409" s="29">
        <v>9977</v>
      </c>
      <c r="B409" s="30" t="s">
        <v>84</v>
      </c>
      <c r="C409" s="31" t="str">
        <f>VLOOKUP(B409,BASE!$A:$B,2,0)</f>
        <v>TUBULAR 1101 MATE</v>
      </c>
      <c r="D409" s="35" t="str">
        <f>VLOOKUP(B409,BASE!$A:$D,3,0)</f>
        <v>MATE</v>
      </c>
      <c r="E409" s="32">
        <f>VLOOKUP(B409,BASE!$A:$E,4,0)</f>
        <v>1101</v>
      </c>
      <c r="F409" s="32">
        <v>1400</v>
      </c>
      <c r="G409" s="23">
        <f t="shared" si="12"/>
        <v>0.23333333333333334</v>
      </c>
      <c r="H409" s="29"/>
      <c r="I409" s="33" t="s">
        <v>967</v>
      </c>
    </row>
    <row r="410" spans="1:9" ht="20.25" customHeight="1" x14ac:dyDescent="0.25">
      <c r="A410" s="29">
        <v>9979</v>
      </c>
      <c r="B410" s="30" t="s">
        <v>607</v>
      </c>
      <c r="C410" s="31" t="str">
        <f>VLOOKUP(B410,BASE!$A:$B,2,0)</f>
        <v>8025 SILLAR 150 MATE</v>
      </c>
      <c r="D410" s="35" t="str">
        <f>VLOOKUP(B410,BASE!$A:$D,3,0)</f>
        <v>MATE</v>
      </c>
      <c r="E410" s="32">
        <f>VLOOKUP(B410,BASE!$A:$E,4,0)</f>
        <v>150</v>
      </c>
      <c r="F410" s="32">
        <v>1900</v>
      </c>
      <c r="G410" s="23">
        <f t="shared" si="12"/>
        <v>0.31666666666666665</v>
      </c>
      <c r="H410" s="29"/>
      <c r="I410" s="33" t="s">
        <v>960</v>
      </c>
    </row>
    <row r="411" spans="1:9" ht="20.25" customHeight="1" x14ac:dyDescent="0.25">
      <c r="A411" s="29">
        <v>9980</v>
      </c>
      <c r="B411" s="30" t="s">
        <v>345</v>
      </c>
      <c r="C411" s="31" t="str">
        <f>VLOOKUP(B411,BASE!$A:$B,2,0)</f>
        <v>8025 CABEZAL 151 MATE</v>
      </c>
      <c r="D411" s="35" t="str">
        <f>VLOOKUP(B411,BASE!$A:$D,3,0)</f>
        <v>MATE</v>
      </c>
      <c r="E411" s="32">
        <f>VLOOKUP(B411,BASE!$A:$E,4,0)</f>
        <v>151</v>
      </c>
      <c r="F411" s="32">
        <v>2000</v>
      </c>
      <c r="G411" s="23">
        <f t="shared" si="12"/>
        <v>0.33333333333333331</v>
      </c>
      <c r="H411" s="29"/>
      <c r="I411" s="33" t="s">
        <v>960</v>
      </c>
    </row>
    <row r="412" spans="1:9" ht="20.25" customHeight="1" x14ac:dyDescent="0.25">
      <c r="A412" s="29">
        <v>9981</v>
      </c>
      <c r="B412" s="30" t="s">
        <v>122</v>
      </c>
      <c r="C412" s="31" t="str">
        <f>VLOOKUP(B412,BASE!$A:$B,2,0)</f>
        <v>5020 CABEZAL 144 MATE</v>
      </c>
      <c r="D412" s="35" t="str">
        <f>VLOOKUP(B412,BASE!$A:$D,3,0)</f>
        <v>MATE</v>
      </c>
      <c r="E412" s="32">
        <f>VLOOKUP(B412,BASE!$A:$E,4,0)</f>
        <v>144</v>
      </c>
      <c r="F412" s="32">
        <v>2000</v>
      </c>
      <c r="G412" s="23">
        <f t="shared" si="12"/>
        <v>0.33333333333333331</v>
      </c>
      <c r="H412" s="29"/>
      <c r="I412" s="33" t="s">
        <v>960</v>
      </c>
    </row>
    <row r="413" spans="1:9" ht="20.25" customHeight="1" x14ac:dyDescent="0.25">
      <c r="A413" s="29">
        <v>9984</v>
      </c>
      <c r="B413" s="30" t="s">
        <v>124</v>
      </c>
      <c r="C413" s="31" t="str">
        <f>VLOOKUP(B413,BASE!$A:$B,2,0)</f>
        <v>3831 SILLAR CABEZAL 173 MATE</v>
      </c>
      <c r="D413" s="35" t="str">
        <f>VLOOKUP(B413,BASE!$A:$D,3,0)</f>
        <v>MATE</v>
      </c>
      <c r="E413" s="32">
        <f>VLOOKUP(B413,BASE!$A:$E,4,0)</f>
        <v>173</v>
      </c>
      <c r="F413" s="32">
        <v>4200</v>
      </c>
      <c r="G413" s="23">
        <f t="shared" si="12"/>
        <v>0.7</v>
      </c>
      <c r="H413" s="29"/>
      <c r="I413" s="33" t="s">
        <v>962</v>
      </c>
    </row>
    <row r="414" spans="1:9" ht="20.25" customHeight="1" x14ac:dyDescent="0.25">
      <c r="A414" s="29">
        <v>9985</v>
      </c>
      <c r="B414" s="30" t="s">
        <v>82</v>
      </c>
      <c r="C414" s="31" t="str">
        <f>VLOOKUP(B414,BASE!$A:$B,2,0)</f>
        <v>TUBULAR T-95 MATE</v>
      </c>
      <c r="D414" s="35" t="str">
        <f>VLOOKUP(B414,BASE!$A:$D,3,0)</f>
        <v>MATE</v>
      </c>
      <c r="E414" s="32" t="str">
        <f>VLOOKUP(B414,BASE!$A:$E,4,0)</f>
        <v>T-95</v>
      </c>
      <c r="F414" s="32">
        <v>1300</v>
      </c>
      <c r="G414" s="23">
        <f t="shared" si="12"/>
        <v>0.21666666666666667</v>
      </c>
      <c r="H414" s="29"/>
      <c r="I414" s="33" t="s">
        <v>967</v>
      </c>
    </row>
    <row r="415" spans="1:9" ht="20.25" customHeight="1" x14ac:dyDescent="0.25">
      <c r="A415" s="29">
        <v>9988</v>
      </c>
      <c r="B415" s="30" t="s">
        <v>252</v>
      </c>
      <c r="C415" s="31" t="str">
        <f>VLOOKUP(B415,BASE!$A:$B,2,0)</f>
        <v>TUBULAR T-244 BLANCO</v>
      </c>
      <c r="D415" s="35" t="str">
        <f>VLOOKUP(B415,BASE!$A:$D,3,0)</f>
        <v>BLANCO</v>
      </c>
      <c r="E415" s="32" t="str">
        <f>VLOOKUP(B415,BASE!$A:$E,4,0)</f>
        <v>T-244</v>
      </c>
      <c r="F415" s="32">
        <v>2900</v>
      </c>
      <c r="G415" s="23">
        <f t="shared" si="12"/>
        <v>0.48333333333333334</v>
      </c>
      <c r="H415" s="29"/>
      <c r="I415" s="33" t="s">
        <v>963</v>
      </c>
    </row>
    <row r="416" spans="1:9" ht="20.25" customHeight="1" x14ac:dyDescent="0.25">
      <c r="A416" s="29">
        <v>9991</v>
      </c>
      <c r="B416" s="30" t="s">
        <v>167</v>
      </c>
      <c r="C416" s="31" t="str">
        <f>VLOOKUP(B416,BASE!$A:$B,2,0)</f>
        <v>3831 JAMBA 174 MATE</v>
      </c>
      <c r="D416" s="35" t="str">
        <f>VLOOKUP(B416,BASE!$A:$D,3,0)</f>
        <v>MATE</v>
      </c>
      <c r="E416" s="32">
        <f>VLOOKUP(B416,BASE!$A:$E,4,0)</f>
        <v>174</v>
      </c>
      <c r="F416" s="32">
        <v>4100</v>
      </c>
      <c r="G416" s="23">
        <f t="shared" si="12"/>
        <v>0.68333333333333335</v>
      </c>
      <c r="H416" s="29">
        <v>23622</v>
      </c>
      <c r="I416" s="33" t="s">
        <v>962</v>
      </c>
    </row>
    <row r="417" spans="1:9" ht="20.25" customHeight="1" x14ac:dyDescent="0.25">
      <c r="A417" s="29">
        <v>9995</v>
      </c>
      <c r="B417" s="30" t="s">
        <v>175</v>
      </c>
      <c r="C417" s="31" t="str">
        <f>VLOOKUP(B417,BASE!$A:$B,2,0)</f>
        <v>3831 NAVE 176 MATE</v>
      </c>
      <c r="D417" s="35" t="str">
        <f>VLOOKUP(B417,BASE!$A:$D,3,0)</f>
        <v>MATE</v>
      </c>
      <c r="E417" s="32">
        <f>VLOOKUP(B417,BASE!$A:$E,4,0)</f>
        <v>176</v>
      </c>
      <c r="F417" s="32">
        <v>3100</v>
      </c>
      <c r="G417" s="23">
        <f t="shared" si="12"/>
        <v>0.51666666666666672</v>
      </c>
      <c r="H417" s="29">
        <v>3811</v>
      </c>
      <c r="I417" s="33" t="s">
        <v>962</v>
      </c>
    </row>
    <row r="418" spans="1:9" ht="20.25" customHeight="1" x14ac:dyDescent="0.25">
      <c r="A418" s="29">
        <v>9996</v>
      </c>
      <c r="B418" s="30" t="s">
        <v>449</v>
      </c>
      <c r="C418" s="31" t="str">
        <f>VLOOKUP(B418,BASE!$A:$B,2,0)</f>
        <v>8025 JAMBA 152 MATE</v>
      </c>
      <c r="D418" s="35" t="str">
        <f>VLOOKUP(B418,BASE!$A:$D,3,0)</f>
        <v>MATE</v>
      </c>
      <c r="E418" s="32">
        <f>VLOOKUP(B418,BASE!$A:$E,4,0)</f>
        <v>152</v>
      </c>
      <c r="F418" s="32">
        <v>1800</v>
      </c>
      <c r="G418" s="23">
        <f t="shared" si="12"/>
        <v>0.3</v>
      </c>
      <c r="H418" s="29"/>
      <c r="I418" s="33" t="s">
        <v>960</v>
      </c>
    </row>
    <row r="419" spans="1:9" ht="20.25" customHeight="1" x14ac:dyDescent="0.25">
      <c r="A419" s="29">
        <v>9997</v>
      </c>
      <c r="B419" s="30" t="s">
        <v>449</v>
      </c>
      <c r="C419" s="31" t="str">
        <f>VLOOKUP(B419,BASE!$A:$B,2,0)</f>
        <v>8025 JAMBA 152 MATE</v>
      </c>
      <c r="D419" s="35" t="str">
        <f>VLOOKUP(B419,BASE!$A:$D,3,0)</f>
        <v>MATE</v>
      </c>
      <c r="E419" s="32">
        <f>VLOOKUP(B419,BASE!$A:$E,4,0)</f>
        <v>152</v>
      </c>
      <c r="F419" s="32">
        <v>1800</v>
      </c>
      <c r="G419" s="23">
        <f t="shared" si="12"/>
        <v>0.3</v>
      </c>
      <c r="H419" s="29"/>
      <c r="I419" s="33" t="s">
        <v>960</v>
      </c>
    </row>
    <row r="420" spans="1:9" ht="20.25" customHeight="1" x14ac:dyDescent="0.25">
      <c r="A420" s="29">
        <v>9998</v>
      </c>
      <c r="B420" s="30" t="s">
        <v>449</v>
      </c>
      <c r="C420" s="31" t="str">
        <f>VLOOKUP(B420,BASE!$A:$B,2,0)</f>
        <v>8025 JAMBA 152 MATE</v>
      </c>
      <c r="D420" s="35" t="str">
        <f>VLOOKUP(B420,BASE!$A:$D,3,0)</f>
        <v>MATE</v>
      </c>
      <c r="E420" s="32">
        <f>VLOOKUP(B420,BASE!$A:$E,4,0)</f>
        <v>152</v>
      </c>
      <c r="F420" s="32">
        <v>1800</v>
      </c>
      <c r="G420" s="23">
        <f t="shared" si="12"/>
        <v>0.3</v>
      </c>
      <c r="H420" s="29"/>
      <c r="I420" s="33" t="s">
        <v>960</v>
      </c>
    </row>
    <row r="421" spans="1:9" ht="20.25" customHeight="1" x14ac:dyDescent="0.25">
      <c r="A421" s="29">
        <v>10000</v>
      </c>
      <c r="B421" s="30" t="s">
        <v>21</v>
      </c>
      <c r="C421" s="31" t="str">
        <f>VLOOKUP(B421,BASE!$A:$B,2,0)</f>
        <v>ALFAJIA S-012 MATE</v>
      </c>
      <c r="D421" s="35" t="str">
        <f>VLOOKUP(B421,BASE!$A:$D,3,0)</f>
        <v>MATE</v>
      </c>
      <c r="E421" s="32" t="str">
        <f>VLOOKUP(B421,BASE!$A:$E,4,0)</f>
        <v>S-012</v>
      </c>
      <c r="F421" s="32">
        <v>1700</v>
      </c>
      <c r="G421" s="23">
        <f t="shared" si="12"/>
        <v>0.28333333333333333</v>
      </c>
      <c r="H421" s="29"/>
      <c r="I421" s="33" t="s">
        <v>964</v>
      </c>
    </row>
    <row r="422" spans="1:9" ht="20.25" customHeight="1" x14ac:dyDescent="0.25">
      <c r="A422" s="29">
        <v>10002</v>
      </c>
      <c r="B422" s="30" t="s">
        <v>390</v>
      </c>
      <c r="C422" s="31" t="str">
        <f>VLOOKUP(B422,BASE!$A:$B,2,0)</f>
        <v>744 HORIZONTAL INFERIOR 390 BLANCO</v>
      </c>
      <c r="D422" s="35" t="str">
        <f>VLOOKUP(B422,BASE!$A:$D,3,0)</f>
        <v>BLANCO</v>
      </c>
      <c r="E422" s="32">
        <f>VLOOKUP(B422,BASE!$A:$E,4,0)</f>
        <v>390</v>
      </c>
      <c r="F422" s="32">
        <v>2300</v>
      </c>
      <c r="G422" s="23">
        <f t="shared" si="12"/>
        <v>0.38333333333333336</v>
      </c>
      <c r="H422" s="29"/>
      <c r="I422" s="33" t="s">
        <v>960</v>
      </c>
    </row>
    <row r="423" spans="1:9" ht="20.25" customHeight="1" x14ac:dyDescent="0.25">
      <c r="A423" s="29">
        <v>10003</v>
      </c>
      <c r="B423" s="30" t="s">
        <v>406</v>
      </c>
      <c r="C423" s="31" t="str">
        <f>VLOOKUP(B423,BASE!$A:$B,2,0)</f>
        <v>744 HORIZONTAL SUPERIOR 389 BLANCO</v>
      </c>
      <c r="D423" s="35" t="str">
        <f>VLOOKUP(B423,BASE!$A:$D,3,0)</f>
        <v>BLANCO</v>
      </c>
      <c r="E423" s="32">
        <f>VLOOKUP(B423,BASE!$A:$E,4,0)</f>
        <v>389</v>
      </c>
      <c r="F423" s="32">
        <v>2300</v>
      </c>
      <c r="G423" s="23">
        <f t="shared" si="12"/>
        <v>0.38333333333333336</v>
      </c>
      <c r="H423" s="29"/>
      <c r="I423" s="33" t="s">
        <v>960</v>
      </c>
    </row>
    <row r="424" spans="1:9" ht="20.25" customHeight="1" x14ac:dyDescent="0.25">
      <c r="A424" s="29">
        <v>10004</v>
      </c>
      <c r="B424" s="30" t="s">
        <v>727</v>
      </c>
      <c r="C424" s="31" t="str">
        <f>VLOOKUP(B424,BASE!$A:$B,2,0)</f>
        <v>RIEL OPTIGLASS DOBLE SL-011 NEGRO</v>
      </c>
      <c r="D424" s="35" t="str">
        <f>VLOOKUP(B424,BASE!$A:$D,3,0)</f>
        <v>NEGRO</v>
      </c>
      <c r="E424" s="32" t="str">
        <f>VLOOKUP(B424,BASE!$A:$E,4,0)</f>
        <v>SL-011</v>
      </c>
      <c r="F424" s="32">
        <v>3000</v>
      </c>
      <c r="G424" s="23">
        <f t="shared" si="12"/>
        <v>0.5</v>
      </c>
      <c r="H424" s="29"/>
      <c r="I424" s="33" t="s">
        <v>963</v>
      </c>
    </row>
    <row r="425" spans="1:9" ht="20.25" customHeight="1" x14ac:dyDescent="0.25">
      <c r="A425" s="29">
        <v>10006</v>
      </c>
      <c r="B425" s="30" t="s">
        <v>449</v>
      </c>
      <c r="C425" s="31" t="str">
        <f>VLOOKUP(B425,BASE!$A:$B,2,0)</f>
        <v>8025 JAMBA 152 MATE</v>
      </c>
      <c r="D425" s="35" t="str">
        <f>VLOOKUP(B425,BASE!$A:$D,3,0)</f>
        <v>MATE</v>
      </c>
      <c r="E425" s="32">
        <f>VLOOKUP(B425,BASE!$A:$E,4,0)</f>
        <v>152</v>
      </c>
      <c r="F425" s="32">
        <v>1800</v>
      </c>
      <c r="G425" s="23">
        <f t="shared" si="12"/>
        <v>0.3</v>
      </c>
      <c r="H425" s="29"/>
      <c r="I425" s="33" t="s">
        <v>960</v>
      </c>
    </row>
    <row r="426" spans="1:9" ht="20.25" customHeight="1" x14ac:dyDescent="0.25">
      <c r="A426" s="29">
        <v>10007</v>
      </c>
      <c r="B426" s="30" t="s">
        <v>449</v>
      </c>
      <c r="C426" s="31" t="str">
        <f>VLOOKUP(B426,BASE!$A:$B,2,0)</f>
        <v>8025 JAMBA 152 MATE</v>
      </c>
      <c r="D426" s="35" t="str">
        <f>VLOOKUP(B426,BASE!$A:$D,3,0)</f>
        <v>MATE</v>
      </c>
      <c r="E426" s="32">
        <f>VLOOKUP(B426,BASE!$A:$E,4,0)</f>
        <v>152</v>
      </c>
      <c r="F426" s="32">
        <v>1800</v>
      </c>
      <c r="G426" s="23">
        <f t="shared" si="12"/>
        <v>0.3</v>
      </c>
      <c r="H426" s="29"/>
      <c r="I426" s="33" t="s">
        <v>960</v>
      </c>
    </row>
    <row r="427" spans="1:9" ht="20.25" customHeight="1" x14ac:dyDescent="0.25">
      <c r="A427" s="29">
        <v>10009</v>
      </c>
      <c r="B427" s="30" t="s">
        <v>482</v>
      </c>
      <c r="C427" s="31" t="str">
        <f>VLOOKUP(B427,BASE!$A:$B,2,0)</f>
        <v>744 SILLAR 387 BLANCO</v>
      </c>
      <c r="D427" s="35" t="str">
        <f>VLOOKUP(B427,BASE!$A:$D,3,0)</f>
        <v>BLANCO</v>
      </c>
      <c r="E427" s="32">
        <f>VLOOKUP(B427,BASE!$A:$E,4,0)</f>
        <v>387</v>
      </c>
      <c r="F427" s="32">
        <v>2300</v>
      </c>
      <c r="G427" s="23">
        <f t="shared" si="12"/>
        <v>0.38333333333333336</v>
      </c>
      <c r="H427" s="29"/>
      <c r="I427" s="33" t="s">
        <v>960</v>
      </c>
    </row>
    <row r="428" spans="1:9" ht="20.25" customHeight="1" x14ac:dyDescent="0.25">
      <c r="A428" s="29">
        <v>10010</v>
      </c>
      <c r="B428" s="30" t="s">
        <v>328</v>
      </c>
      <c r="C428" s="31" t="str">
        <f>VLOOKUP(B428,BASE!$A:$B,2,0)</f>
        <v>744 CABEZAL 392 BLANCO</v>
      </c>
      <c r="D428" s="35" t="str">
        <f>VLOOKUP(B428,BASE!$A:$D,3,0)</f>
        <v>BLANCO</v>
      </c>
      <c r="E428" s="32">
        <f>VLOOKUP(B428,BASE!$A:$E,4,0)</f>
        <v>392</v>
      </c>
      <c r="F428" s="32">
        <v>2300</v>
      </c>
      <c r="G428" s="23">
        <f t="shared" si="12"/>
        <v>0.38333333333333336</v>
      </c>
      <c r="H428" s="29"/>
      <c r="I428" s="33" t="s">
        <v>960</v>
      </c>
    </row>
    <row r="429" spans="1:9" ht="20.25" customHeight="1" x14ac:dyDescent="0.25">
      <c r="A429" s="29">
        <v>10012</v>
      </c>
      <c r="B429" s="30" t="s">
        <v>129</v>
      </c>
      <c r="C429" s="31" t="str">
        <f>VLOOKUP(B429,BASE!$A:$B,2,0)</f>
        <v>3831 DIVISOR 292 MATE</v>
      </c>
      <c r="D429" s="35" t="str">
        <f>VLOOKUP(B429,BASE!$A:$D,3,0)</f>
        <v>MATE</v>
      </c>
      <c r="E429" s="32">
        <f>VLOOKUP(B429,BASE!$A:$E,4,0)</f>
        <v>292</v>
      </c>
      <c r="F429" s="32">
        <v>1300</v>
      </c>
      <c r="G429" s="23">
        <f t="shared" si="12"/>
        <v>0.21666666666666667</v>
      </c>
      <c r="H429" s="29"/>
      <c r="I429" s="33" t="s">
        <v>967</v>
      </c>
    </row>
    <row r="430" spans="1:9" ht="20.25" customHeight="1" x14ac:dyDescent="0.25">
      <c r="A430" s="29">
        <v>10013</v>
      </c>
      <c r="B430" s="30" t="s">
        <v>34</v>
      </c>
      <c r="C430" s="31" t="str">
        <f>VLOOKUP(B430,BASE!$A:$B,2,0)</f>
        <v>TUBULAR T-244 NEGRO</v>
      </c>
      <c r="D430" s="35" t="str">
        <f>VLOOKUP(B430,BASE!$A:$D,3,0)</f>
        <v>NEGRO</v>
      </c>
      <c r="E430" s="32" t="str">
        <f>VLOOKUP(B430,BASE!$A:$E,4,0)</f>
        <v>T-244</v>
      </c>
      <c r="F430" s="32">
        <v>1800</v>
      </c>
      <c r="G430" s="23">
        <f t="shared" si="12"/>
        <v>0.3</v>
      </c>
      <c r="H430" s="29"/>
      <c r="I430" s="33" t="s">
        <v>961</v>
      </c>
    </row>
    <row r="431" spans="1:9" ht="20.25" customHeight="1" x14ac:dyDescent="0.25">
      <c r="A431" s="29">
        <v>10014</v>
      </c>
      <c r="B431" s="30" t="s">
        <v>34</v>
      </c>
      <c r="C431" s="31" t="str">
        <f>VLOOKUP(B431,BASE!$A:$B,2,0)</f>
        <v>TUBULAR T-244 NEGRO</v>
      </c>
      <c r="D431" s="35" t="str">
        <f>VLOOKUP(B431,BASE!$A:$D,3,0)</f>
        <v>NEGRO</v>
      </c>
      <c r="E431" s="32" t="str">
        <f>VLOOKUP(B431,BASE!$A:$E,4,0)</f>
        <v>T-244</v>
      </c>
      <c r="F431" s="32">
        <v>1800</v>
      </c>
      <c r="G431" s="23">
        <f t="shared" ref="G431:G457" si="13">+F431/6000</f>
        <v>0.3</v>
      </c>
      <c r="H431" s="29"/>
      <c r="I431" s="33" t="s">
        <v>961</v>
      </c>
    </row>
    <row r="432" spans="1:9" ht="15.75" customHeight="1" x14ac:dyDescent="0.25">
      <c r="A432" s="29">
        <v>10015</v>
      </c>
      <c r="B432" s="30" t="s">
        <v>34</v>
      </c>
      <c r="C432" s="31" t="str">
        <f>VLOOKUP(B432,BASE!$A:$B,2,0)</f>
        <v>TUBULAR T-244 NEGRO</v>
      </c>
      <c r="D432" s="35" t="str">
        <f>VLOOKUP(B432,BASE!$A:$D,3,0)</f>
        <v>NEGRO</v>
      </c>
      <c r="E432" s="32" t="str">
        <f>VLOOKUP(B432,BASE!$A:$E,4,0)</f>
        <v>T-244</v>
      </c>
      <c r="F432" s="32">
        <v>1400</v>
      </c>
      <c r="G432" s="23">
        <f t="shared" si="13"/>
        <v>0.23333333333333334</v>
      </c>
      <c r="H432" s="29"/>
      <c r="I432" s="33" t="s">
        <v>961</v>
      </c>
    </row>
    <row r="433" spans="1:9" ht="20.25" customHeight="1" x14ac:dyDescent="0.25">
      <c r="A433" s="29">
        <v>10020</v>
      </c>
      <c r="B433" s="30" t="s">
        <v>164</v>
      </c>
      <c r="C433" s="31" t="str">
        <f>VLOOKUP(B433,BASE!$A:$B,2,0)</f>
        <v>TUBULAR T-244 MATE</v>
      </c>
      <c r="D433" s="35" t="str">
        <f>VLOOKUP(B433,BASE!$A:$D,3,0)</f>
        <v>MATE</v>
      </c>
      <c r="E433" s="32" t="str">
        <f>VLOOKUP(B433,BASE!$A:$E,4,0)</f>
        <v>T-244</v>
      </c>
      <c r="F433" s="32">
        <v>700</v>
      </c>
      <c r="G433" s="23">
        <f t="shared" si="13"/>
        <v>0.11666666666666667</v>
      </c>
      <c r="H433" s="29"/>
      <c r="I433" s="33" t="s">
        <v>968</v>
      </c>
    </row>
    <row r="434" spans="1:9" ht="20.25" customHeight="1" x14ac:dyDescent="0.25">
      <c r="A434" s="29">
        <v>10021</v>
      </c>
      <c r="B434" s="30" t="s">
        <v>164</v>
      </c>
      <c r="C434" s="31" t="str">
        <f>VLOOKUP(B434,BASE!$A:$B,2,0)</f>
        <v>TUBULAR T-244 MATE</v>
      </c>
      <c r="D434" s="35" t="str">
        <f>VLOOKUP(B434,BASE!$A:$D,3,0)</f>
        <v>MATE</v>
      </c>
      <c r="E434" s="32" t="str">
        <f>VLOOKUP(B434,BASE!$A:$E,4,0)</f>
        <v>T-244</v>
      </c>
      <c r="F434" s="32">
        <v>700</v>
      </c>
      <c r="G434" s="23">
        <f t="shared" si="13"/>
        <v>0.11666666666666667</v>
      </c>
      <c r="H434" s="29"/>
      <c r="I434" s="33" t="s">
        <v>968</v>
      </c>
    </row>
    <row r="435" spans="1:9" ht="20.25" customHeight="1" x14ac:dyDescent="0.25">
      <c r="A435" s="29">
        <v>10023</v>
      </c>
      <c r="B435" s="30" t="s">
        <v>84</v>
      </c>
      <c r="C435" s="31" t="str">
        <f>VLOOKUP(B435,BASE!$A:$B,2,0)</f>
        <v>TUBULAR 1101 MATE</v>
      </c>
      <c r="D435" s="35" t="str">
        <f>VLOOKUP(B435,BASE!$A:$D,3,0)</f>
        <v>MATE</v>
      </c>
      <c r="E435" s="32">
        <f>VLOOKUP(B435,BASE!$A:$E,4,0)</f>
        <v>1101</v>
      </c>
      <c r="F435" s="32">
        <v>900</v>
      </c>
      <c r="G435" s="23">
        <f t="shared" si="13"/>
        <v>0.15</v>
      </c>
      <c r="H435" s="29"/>
      <c r="I435" s="33" t="s">
        <v>968</v>
      </c>
    </row>
    <row r="436" spans="1:9" ht="20.25" customHeight="1" x14ac:dyDescent="0.25">
      <c r="A436" s="29">
        <v>10027</v>
      </c>
      <c r="B436" s="30" t="s">
        <v>167</v>
      </c>
      <c r="C436" s="31" t="str">
        <f>VLOOKUP(B436,BASE!$A:$B,2,0)</f>
        <v>3831 JAMBA 174 MATE</v>
      </c>
      <c r="D436" s="35" t="str">
        <f>VLOOKUP(B436,BASE!$A:$D,3,0)</f>
        <v>MATE</v>
      </c>
      <c r="E436" s="32">
        <f>VLOOKUP(B436,BASE!$A:$E,4,0)</f>
        <v>174</v>
      </c>
      <c r="F436" s="32">
        <v>600</v>
      </c>
      <c r="G436" s="23">
        <f t="shared" si="13"/>
        <v>0.1</v>
      </c>
      <c r="H436" s="29">
        <v>3811</v>
      </c>
      <c r="I436" s="33" t="s">
        <v>969</v>
      </c>
    </row>
    <row r="437" spans="1:9" ht="20.25" customHeight="1" x14ac:dyDescent="0.25">
      <c r="A437" s="29">
        <v>10028</v>
      </c>
      <c r="B437" s="30" t="s">
        <v>129</v>
      </c>
      <c r="C437" s="31" t="str">
        <f>VLOOKUP(B437,BASE!$A:$B,2,0)</f>
        <v>3831 DIVISOR 292 MATE</v>
      </c>
      <c r="D437" s="35" t="str">
        <f>VLOOKUP(B437,BASE!$A:$D,3,0)</f>
        <v>MATE</v>
      </c>
      <c r="E437" s="32">
        <f>VLOOKUP(B437,BASE!$A:$E,4,0)</f>
        <v>292</v>
      </c>
      <c r="F437" s="32">
        <v>500</v>
      </c>
      <c r="G437" s="23">
        <f t="shared" si="13"/>
        <v>8.3333333333333329E-2</v>
      </c>
      <c r="H437" s="29"/>
      <c r="I437" s="33" t="s">
        <v>969</v>
      </c>
    </row>
    <row r="438" spans="1:9" ht="20.25" customHeight="1" x14ac:dyDescent="0.25">
      <c r="A438" s="29">
        <v>10033</v>
      </c>
      <c r="B438" s="30" t="s">
        <v>167</v>
      </c>
      <c r="C438" s="31" t="str">
        <f>VLOOKUP(B438,BASE!$A:$B,2,0)</f>
        <v>3831 JAMBA 174 MATE</v>
      </c>
      <c r="D438" s="35" t="str">
        <f>VLOOKUP(B438,BASE!$A:$D,3,0)</f>
        <v>MATE</v>
      </c>
      <c r="E438" s="32">
        <f>VLOOKUP(B438,BASE!$A:$E,4,0)</f>
        <v>174</v>
      </c>
      <c r="F438" s="32">
        <v>600</v>
      </c>
      <c r="G438" s="23">
        <f t="shared" si="13"/>
        <v>0.1</v>
      </c>
      <c r="H438" s="29">
        <v>3811</v>
      </c>
      <c r="I438" s="33" t="s">
        <v>968</v>
      </c>
    </row>
    <row r="439" spans="1:9" ht="20.25" customHeight="1" x14ac:dyDescent="0.25">
      <c r="A439" s="29">
        <v>10036</v>
      </c>
      <c r="B439" s="30" t="s">
        <v>252</v>
      </c>
      <c r="C439" s="31" t="str">
        <f>VLOOKUP(B439,BASE!$A:$B,2,0)</f>
        <v>TUBULAR T-244 BLANCO</v>
      </c>
      <c r="D439" s="35" t="str">
        <f>VLOOKUP(B439,BASE!$A:$D,3,0)</f>
        <v>BLANCO</v>
      </c>
      <c r="E439" s="32" t="str">
        <f>VLOOKUP(B439,BASE!$A:$E,4,0)</f>
        <v>T-244</v>
      </c>
      <c r="F439" s="32">
        <v>1000</v>
      </c>
      <c r="G439" s="23">
        <f t="shared" si="13"/>
        <v>0.16666666666666666</v>
      </c>
      <c r="H439" s="29"/>
      <c r="I439" s="33" t="s">
        <v>968</v>
      </c>
    </row>
    <row r="440" spans="1:9" ht="20.25" customHeight="1" x14ac:dyDescent="0.25">
      <c r="A440" s="29">
        <v>10037</v>
      </c>
      <c r="B440" s="30" t="s">
        <v>598</v>
      </c>
      <c r="C440" s="31" t="str">
        <f>VLOOKUP(B440,BASE!$A:$B,2,0)</f>
        <v>8025 JAMBA 152 BLANCO</v>
      </c>
      <c r="D440" s="35" t="str">
        <f>VLOOKUP(B440,BASE!$A:$D,3,0)</f>
        <v>BLANCO</v>
      </c>
      <c r="E440" s="32">
        <f>VLOOKUP(B440,BASE!$A:$E,4,0)</f>
        <v>152</v>
      </c>
      <c r="F440" s="32">
        <v>1000</v>
      </c>
      <c r="G440" s="23">
        <f t="shared" si="13"/>
        <v>0.16666666666666666</v>
      </c>
      <c r="H440" s="29"/>
      <c r="I440" s="33" t="s">
        <v>967</v>
      </c>
    </row>
    <row r="441" spans="1:9" ht="20.25" customHeight="1" x14ac:dyDescent="0.25">
      <c r="A441" s="29">
        <v>10038</v>
      </c>
      <c r="B441" s="30" t="s">
        <v>598</v>
      </c>
      <c r="C441" s="31" t="str">
        <f>VLOOKUP(B441,BASE!$A:$B,2,0)</f>
        <v>8025 JAMBA 152 BLANCO</v>
      </c>
      <c r="D441" s="35" t="str">
        <f>VLOOKUP(B441,BASE!$A:$D,3,0)</f>
        <v>BLANCO</v>
      </c>
      <c r="E441" s="32">
        <f>VLOOKUP(B441,BASE!$A:$E,4,0)</f>
        <v>152</v>
      </c>
      <c r="F441" s="32">
        <v>1000</v>
      </c>
      <c r="G441" s="23">
        <f t="shared" si="13"/>
        <v>0.16666666666666666</v>
      </c>
      <c r="H441" s="29"/>
      <c r="I441" s="33" t="s">
        <v>967</v>
      </c>
    </row>
    <row r="442" spans="1:9" ht="20.25" customHeight="1" x14ac:dyDescent="0.25">
      <c r="A442" s="29">
        <v>10039</v>
      </c>
      <c r="B442" s="30" t="s">
        <v>667</v>
      </c>
      <c r="C442" s="31" t="str">
        <f>VLOOKUP(B442,BASE!$A:$B,2,0)</f>
        <v>8025 SILLAR 150 BLANCO</v>
      </c>
      <c r="D442" s="35" t="str">
        <f>VLOOKUP(B442,BASE!$A:$D,3,0)</f>
        <v>BLANCO</v>
      </c>
      <c r="E442" s="32">
        <f>VLOOKUP(B442,BASE!$A:$E,4,0)</f>
        <v>150</v>
      </c>
      <c r="F442" s="32">
        <v>1100</v>
      </c>
      <c r="G442" s="23">
        <f t="shared" si="13"/>
        <v>0.18333333333333332</v>
      </c>
      <c r="H442" s="29"/>
      <c r="I442" s="33" t="s">
        <v>967</v>
      </c>
    </row>
    <row r="443" spans="1:9" ht="20.25" customHeight="1" x14ac:dyDescent="0.25">
      <c r="A443" s="29">
        <v>10040</v>
      </c>
      <c r="B443" s="30" t="s">
        <v>532</v>
      </c>
      <c r="C443" s="31" t="str">
        <f>VLOOKUP(B443,BASE!$A:$B,2,0)</f>
        <v>8025 TRASLAPE 190 BLANCO</v>
      </c>
      <c r="D443" s="35" t="str">
        <f>VLOOKUP(B443,BASE!$A:$D,3,0)</f>
        <v>BLANCO</v>
      </c>
      <c r="E443" s="32">
        <f>VLOOKUP(B443,BASE!$A:$E,4,0)</f>
        <v>190</v>
      </c>
      <c r="F443" s="32">
        <v>1100</v>
      </c>
      <c r="G443" s="23">
        <f t="shared" si="13"/>
        <v>0.18333333333333332</v>
      </c>
      <c r="H443" s="29"/>
      <c r="I443" s="33" t="s">
        <v>967</v>
      </c>
    </row>
    <row r="444" spans="1:9" ht="20.25" customHeight="1" x14ac:dyDescent="0.25">
      <c r="A444" s="29">
        <v>10041</v>
      </c>
      <c r="B444" s="30" t="s">
        <v>532</v>
      </c>
      <c r="C444" s="31" t="str">
        <f>VLOOKUP(B444,BASE!$A:$B,2,0)</f>
        <v>8025 TRASLAPE 190 BLANCO</v>
      </c>
      <c r="D444" s="35" t="str">
        <f>VLOOKUP(B444,BASE!$A:$D,3,0)</f>
        <v>BLANCO</v>
      </c>
      <c r="E444" s="32">
        <f>VLOOKUP(B444,BASE!$A:$E,4,0)</f>
        <v>190</v>
      </c>
      <c r="F444" s="32">
        <v>1100</v>
      </c>
      <c r="G444" s="23">
        <f t="shared" si="13"/>
        <v>0.18333333333333332</v>
      </c>
      <c r="H444" s="29"/>
      <c r="I444" s="33" t="s">
        <v>967</v>
      </c>
    </row>
    <row r="445" spans="1:9" ht="20.25" customHeight="1" x14ac:dyDescent="0.25">
      <c r="A445" s="29">
        <v>10042</v>
      </c>
      <c r="B445" s="30" t="s">
        <v>220</v>
      </c>
      <c r="C445" s="31" t="str">
        <f>VLOOKUP(B445,BASE!$A:$B,2,0)</f>
        <v>8025 ENGANCHE 191 BLANCO</v>
      </c>
      <c r="D445" s="35" t="str">
        <f>VLOOKUP(B445,BASE!$A:$D,3,0)</f>
        <v>BLANCO</v>
      </c>
      <c r="E445" s="32">
        <f>VLOOKUP(B445,BASE!$A:$E,4,0)</f>
        <v>191</v>
      </c>
      <c r="F445" s="32">
        <v>1100</v>
      </c>
      <c r="G445" s="23">
        <f t="shared" si="13"/>
        <v>0.18333333333333332</v>
      </c>
      <c r="H445" s="29"/>
      <c r="I445" s="33" t="s">
        <v>967</v>
      </c>
    </row>
    <row r="446" spans="1:9" ht="20.25" customHeight="1" x14ac:dyDescent="0.25">
      <c r="A446" s="29">
        <v>10043</v>
      </c>
      <c r="B446" s="30" t="s">
        <v>118</v>
      </c>
      <c r="C446" s="31" t="str">
        <f>VLOOKUP(B446,BASE!$A:$B,2,0)</f>
        <v>744 ENGANCHE 391 BLANCO</v>
      </c>
      <c r="D446" s="35" t="str">
        <f>VLOOKUP(B446,BASE!$A:$D,3,0)</f>
        <v>BLANCO</v>
      </c>
      <c r="E446" s="32">
        <f>VLOOKUP(B446,BASE!$A:$E,4,0)</f>
        <v>391</v>
      </c>
      <c r="F446" s="32">
        <v>1000</v>
      </c>
      <c r="G446" s="23">
        <f t="shared" si="13"/>
        <v>0.16666666666666666</v>
      </c>
      <c r="H446" s="29"/>
      <c r="I446" s="33" t="s">
        <v>967</v>
      </c>
    </row>
    <row r="447" spans="1:9" ht="20.25" customHeight="1" x14ac:dyDescent="0.25">
      <c r="A447" s="29">
        <v>10044</v>
      </c>
      <c r="B447" s="30" t="s">
        <v>21</v>
      </c>
      <c r="C447" s="31" t="str">
        <f>VLOOKUP(B447,BASE!$A:$B,2,0)</f>
        <v>ALFAJIA S-012 MATE</v>
      </c>
      <c r="D447" s="35" t="str">
        <f>VLOOKUP(B447,BASE!$A:$D,3,0)</f>
        <v>MATE</v>
      </c>
      <c r="E447" s="32" t="str">
        <f>VLOOKUP(B447,BASE!$A:$E,4,0)</f>
        <v>S-012</v>
      </c>
      <c r="F447" s="32">
        <v>700</v>
      </c>
      <c r="G447" s="23">
        <f t="shared" si="13"/>
        <v>0.11666666666666667</v>
      </c>
      <c r="H447" s="29"/>
      <c r="I447" s="33" t="s">
        <v>966</v>
      </c>
    </row>
    <row r="448" spans="1:9" ht="20.25" customHeight="1" x14ac:dyDescent="0.25">
      <c r="A448" s="29">
        <v>10046</v>
      </c>
      <c r="B448" s="30" t="s">
        <v>26</v>
      </c>
      <c r="C448" s="31" t="str">
        <f>VLOOKUP(B448,BASE!$A:$B,2,0)</f>
        <v>744 SILLAR 387 MATE</v>
      </c>
      <c r="D448" s="35" t="str">
        <f>VLOOKUP(B448,BASE!$A:$D,3,0)</f>
        <v>MATE</v>
      </c>
      <c r="E448" s="32">
        <f>VLOOKUP(B448,BASE!$A:$E,4,0)</f>
        <v>387</v>
      </c>
      <c r="F448" s="32">
        <v>800</v>
      </c>
      <c r="G448" s="23">
        <f t="shared" si="13"/>
        <v>0.13333333333333333</v>
      </c>
      <c r="H448" s="29"/>
      <c r="I448" s="33" t="s">
        <v>968</v>
      </c>
    </row>
    <row r="449" spans="1:9" ht="20.25" customHeight="1" x14ac:dyDescent="0.25">
      <c r="A449" s="29">
        <v>10047</v>
      </c>
      <c r="B449" s="30" t="s">
        <v>694</v>
      </c>
      <c r="C449" s="31" t="str">
        <f>VLOOKUP(B449,BASE!$A:$B,2,0)</f>
        <v>744 CABEZAL 392 MATE</v>
      </c>
      <c r="D449" s="35" t="str">
        <f>VLOOKUP(B449,BASE!$A:$D,3,0)</f>
        <v>MATE</v>
      </c>
      <c r="E449" s="32">
        <f>VLOOKUP(B449,BASE!$A:$E,4,0)</f>
        <v>392</v>
      </c>
      <c r="F449" s="32">
        <v>800</v>
      </c>
      <c r="G449" s="23">
        <f t="shared" si="13"/>
        <v>0.13333333333333333</v>
      </c>
      <c r="H449" s="29"/>
      <c r="I449" s="33" t="s">
        <v>968</v>
      </c>
    </row>
    <row r="450" spans="1:9" ht="20.25" customHeight="1" x14ac:dyDescent="0.25">
      <c r="A450" s="29">
        <v>10048</v>
      </c>
      <c r="B450" s="30" t="s">
        <v>694</v>
      </c>
      <c r="C450" s="31" t="str">
        <f>VLOOKUP(B450,BASE!$A:$B,2,0)</f>
        <v>744 CABEZAL 392 MATE</v>
      </c>
      <c r="D450" s="35" t="str">
        <f>VLOOKUP(B450,BASE!$A:$D,3,0)</f>
        <v>MATE</v>
      </c>
      <c r="E450" s="32">
        <f>VLOOKUP(B450,BASE!$A:$E,4,0)</f>
        <v>392</v>
      </c>
      <c r="F450" s="32">
        <v>1000</v>
      </c>
      <c r="G450" s="23">
        <f t="shared" si="13"/>
        <v>0.16666666666666666</v>
      </c>
      <c r="H450" s="29"/>
      <c r="I450" s="33" t="s">
        <v>967</v>
      </c>
    </row>
    <row r="451" spans="1:9" ht="20.25" customHeight="1" x14ac:dyDescent="0.25">
      <c r="A451" s="29">
        <v>10050</v>
      </c>
      <c r="B451" s="30" t="s">
        <v>21</v>
      </c>
      <c r="C451" s="31" t="str">
        <f>VLOOKUP(B451,BASE!$A:$B,2,0)</f>
        <v>ALFAJIA S-012 MATE</v>
      </c>
      <c r="D451" s="35" t="str">
        <f>VLOOKUP(B451,BASE!$A:$D,3,0)</f>
        <v>MATE</v>
      </c>
      <c r="E451" s="32" t="str">
        <f>VLOOKUP(B451,BASE!$A:$E,4,0)</f>
        <v>S-012</v>
      </c>
      <c r="F451" s="32">
        <v>800</v>
      </c>
      <c r="G451" s="23">
        <f t="shared" si="13"/>
        <v>0.13333333333333333</v>
      </c>
      <c r="H451" s="29"/>
      <c r="I451" s="33" t="s">
        <v>966</v>
      </c>
    </row>
    <row r="452" spans="1:9" ht="20.25" customHeight="1" x14ac:dyDescent="0.25">
      <c r="A452" s="29">
        <v>10052</v>
      </c>
      <c r="B452" s="30" t="s">
        <v>113</v>
      </c>
      <c r="C452" s="31" t="str">
        <f>VLOOKUP(B452,BASE!$A:$B,2,0)</f>
        <v>744 HORIZONTAL SUPERIOR 389 MATE</v>
      </c>
      <c r="D452" s="35" t="str">
        <f>VLOOKUP(B452,BASE!$A:$D,3,0)</f>
        <v>MATE</v>
      </c>
      <c r="E452" s="32">
        <f>VLOOKUP(B452,BASE!$A:$E,4,0)</f>
        <v>389</v>
      </c>
      <c r="F452" s="32">
        <v>500</v>
      </c>
      <c r="G452" s="23">
        <f t="shared" si="13"/>
        <v>8.3333333333333329E-2</v>
      </c>
      <c r="H452" s="29"/>
      <c r="I452" s="33" t="s">
        <v>969</v>
      </c>
    </row>
    <row r="453" spans="1:9" ht="20.25" customHeight="1" x14ac:dyDescent="0.25">
      <c r="A453" s="29">
        <v>10055</v>
      </c>
      <c r="B453" s="30" t="s">
        <v>119</v>
      </c>
      <c r="C453" s="31" t="str">
        <f>VLOOKUP(B453,BASE!$A:$B,2,0)</f>
        <v>744 ENGANCHE 391 MATE</v>
      </c>
      <c r="D453" s="35" t="str">
        <f>VLOOKUP(B453,BASE!$A:$D,3,0)</f>
        <v>MATE</v>
      </c>
      <c r="E453" s="32">
        <f>VLOOKUP(B453,BASE!$A:$E,4,0)</f>
        <v>391</v>
      </c>
      <c r="F453" s="32">
        <v>900</v>
      </c>
      <c r="G453" s="23">
        <f t="shared" si="13"/>
        <v>0.15</v>
      </c>
      <c r="H453" s="29"/>
      <c r="I453" s="33" t="s">
        <v>968</v>
      </c>
    </row>
    <row r="454" spans="1:9" ht="20.25" customHeight="1" x14ac:dyDescent="0.25">
      <c r="A454" s="29">
        <v>10056</v>
      </c>
      <c r="B454" s="30" t="s">
        <v>124</v>
      </c>
      <c r="C454" s="31" t="str">
        <f>VLOOKUP(B454,BASE!$A:$B,2,0)</f>
        <v>3831 SILLAR CABEZAL 173 MATE</v>
      </c>
      <c r="D454" s="35" t="str">
        <f>VLOOKUP(B454,BASE!$A:$D,3,0)</f>
        <v>MATE</v>
      </c>
      <c r="E454" s="32">
        <f>VLOOKUP(B454,BASE!$A:$E,4,0)</f>
        <v>173</v>
      </c>
      <c r="F454" s="32">
        <v>600</v>
      </c>
      <c r="G454" s="23">
        <f t="shared" si="13"/>
        <v>0.1</v>
      </c>
      <c r="H454" s="29">
        <v>3811</v>
      </c>
      <c r="I454" s="33" t="s">
        <v>969</v>
      </c>
    </row>
    <row r="455" spans="1:9" ht="20.25" customHeight="1" x14ac:dyDescent="0.25">
      <c r="A455" s="29">
        <v>10060</v>
      </c>
      <c r="B455" s="30" t="s">
        <v>377</v>
      </c>
      <c r="C455" s="31" t="str">
        <f>VLOOKUP(B455,BASE!$A:$B,2,0)</f>
        <v>8025 ENGANCHE 191 NEGRO</v>
      </c>
      <c r="D455" s="35" t="str">
        <f>VLOOKUP(B455,BASE!$A:$D,3,0)</f>
        <v>NEGRO</v>
      </c>
      <c r="E455" s="32">
        <f>VLOOKUP(B455,BASE!$A:$E,4,0)</f>
        <v>191</v>
      </c>
      <c r="F455" s="32">
        <v>800</v>
      </c>
      <c r="G455" s="23">
        <f t="shared" si="13"/>
        <v>0.13333333333333333</v>
      </c>
      <c r="H455" s="29"/>
      <c r="I455" s="33" t="s">
        <v>969</v>
      </c>
    </row>
    <row r="456" spans="1:9" ht="20.25" customHeight="1" x14ac:dyDescent="0.25">
      <c r="A456" s="29">
        <v>10061</v>
      </c>
      <c r="B456" s="30" t="s">
        <v>188</v>
      </c>
      <c r="C456" s="31" t="str">
        <f>VLOOKUP(B456,BASE!$A:$B,2,0)</f>
        <v>3831 NAVE 176 NEGRO</v>
      </c>
      <c r="D456" s="35" t="str">
        <f>VLOOKUP(B456,BASE!$A:$D,3,0)</f>
        <v>NEGRO</v>
      </c>
      <c r="E456" s="32">
        <f>VLOOKUP(B456,BASE!$A:$E,4,0)</f>
        <v>176</v>
      </c>
      <c r="F456" s="32">
        <v>700</v>
      </c>
      <c r="G456" s="23">
        <f t="shared" si="13"/>
        <v>0.11666666666666667</v>
      </c>
      <c r="H456" s="29">
        <v>23771</v>
      </c>
      <c r="I456" s="33" t="s">
        <v>969</v>
      </c>
    </row>
    <row r="457" spans="1:9" ht="20.25" customHeight="1" x14ac:dyDescent="0.25">
      <c r="A457" s="29">
        <v>10064</v>
      </c>
      <c r="B457" s="30" t="s">
        <v>116</v>
      </c>
      <c r="C457" s="31" t="str">
        <f>VLOOKUP(B457,BASE!$A:$B,2,0)</f>
        <v>744 JAMBA 393 BLANCO</v>
      </c>
      <c r="D457" s="35" t="str">
        <f>VLOOKUP(B457,BASE!$A:$D,3,0)</f>
        <v>BLANCO</v>
      </c>
      <c r="E457" s="32">
        <f>VLOOKUP(B457,BASE!$A:$E,4,0)</f>
        <v>393</v>
      </c>
      <c r="F457" s="32">
        <v>800</v>
      </c>
      <c r="G457" s="23">
        <f t="shared" si="13"/>
        <v>0.13333333333333333</v>
      </c>
      <c r="H457" s="29"/>
      <c r="I457" s="33" t="s">
        <v>968</v>
      </c>
    </row>
    <row r="458" spans="1:9" ht="20.25" customHeight="1" x14ac:dyDescent="0.25">
      <c r="A458" s="29">
        <v>10065</v>
      </c>
      <c r="B458" s="30" t="s">
        <v>117</v>
      </c>
      <c r="C458" s="31" t="str">
        <f>VLOOKUP(B458,BASE!$A:$B,2,0)</f>
        <v>744 TRASLAPE 388 BLANCO</v>
      </c>
      <c r="D458" s="35" t="str">
        <f>VLOOKUP(B458,BASE!$A:$D,3,0)</f>
        <v>BLANCO</v>
      </c>
      <c r="E458" s="32">
        <f>VLOOKUP(B458,BASE!$A:$E,4,0)</f>
        <v>388</v>
      </c>
      <c r="F458" s="32">
        <v>900</v>
      </c>
      <c r="G458" s="23">
        <f t="shared" ref="G458:G483" si="14">+F458/6000</f>
        <v>0.15</v>
      </c>
      <c r="H458" s="29"/>
      <c r="I458" s="33" t="s">
        <v>968</v>
      </c>
    </row>
    <row r="459" spans="1:9" ht="20.25" customHeight="1" x14ac:dyDescent="0.25">
      <c r="A459" s="29">
        <v>10066</v>
      </c>
      <c r="B459" s="30" t="s">
        <v>118</v>
      </c>
      <c r="C459" s="31" t="str">
        <f>VLOOKUP(B459,BASE!$A:$B,2,0)</f>
        <v>744 ENGANCHE 391 BLANCO</v>
      </c>
      <c r="D459" s="35" t="str">
        <f>VLOOKUP(B459,BASE!$A:$D,3,0)</f>
        <v>BLANCO</v>
      </c>
      <c r="E459" s="32">
        <f>VLOOKUP(B459,BASE!$A:$E,4,0)</f>
        <v>391</v>
      </c>
      <c r="F459" s="32">
        <v>900</v>
      </c>
      <c r="G459" s="23">
        <f t="shared" si="14"/>
        <v>0.15</v>
      </c>
      <c r="H459" s="29"/>
      <c r="I459" s="33" t="s">
        <v>968</v>
      </c>
    </row>
    <row r="460" spans="1:9" ht="20.25" customHeight="1" x14ac:dyDescent="0.25">
      <c r="A460" s="29">
        <v>10070</v>
      </c>
      <c r="B460" s="30" t="s">
        <v>142</v>
      </c>
      <c r="C460" s="31" t="str">
        <f>VLOOKUP(B460,BASE!$A:$B,2,0)</f>
        <v>5020 ENGANCHE 147 MATE</v>
      </c>
      <c r="D460" s="35" t="str">
        <f>VLOOKUP(B460,BASE!$A:$D,3,0)</f>
        <v>MATE</v>
      </c>
      <c r="E460" s="32">
        <f>VLOOKUP(B460,BASE!$A:$E,4,0)</f>
        <v>147</v>
      </c>
      <c r="F460" s="32">
        <v>600</v>
      </c>
      <c r="G460" s="23">
        <f t="shared" si="14"/>
        <v>0.1</v>
      </c>
      <c r="H460" s="29"/>
      <c r="I460" s="33" t="s">
        <v>969</v>
      </c>
    </row>
    <row r="461" spans="1:9" ht="20.25" customHeight="1" x14ac:dyDescent="0.25">
      <c r="A461" s="29">
        <v>10071</v>
      </c>
      <c r="B461" s="30" t="s">
        <v>124</v>
      </c>
      <c r="C461" s="31" t="str">
        <f>VLOOKUP(B461,BASE!$A:$B,2,0)</f>
        <v>3831 SILLAR CABEZAL 173 MATE</v>
      </c>
      <c r="D461" s="35" t="str">
        <f>VLOOKUP(B461,BASE!$A:$D,3,0)</f>
        <v>MATE</v>
      </c>
      <c r="E461" s="32">
        <f>VLOOKUP(B461,BASE!$A:$E,4,0)</f>
        <v>173</v>
      </c>
      <c r="F461" s="32">
        <v>700</v>
      </c>
      <c r="G461" s="23">
        <f t="shared" si="14"/>
        <v>0.11666666666666667</v>
      </c>
      <c r="H461" s="29">
        <v>3811</v>
      </c>
      <c r="I461" s="33" t="s">
        <v>969</v>
      </c>
    </row>
    <row r="462" spans="1:9" ht="20.25" customHeight="1" x14ac:dyDescent="0.25">
      <c r="A462" s="29">
        <v>10072</v>
      </c>
      <c r="B462" s="30" t="s">
        <v>124</v>
      </c>
      <c r="C462" s="31" t="str">
        <f>VLOOKUP(B462,BASE!$A:$B,2,0)</f>
        <v>3831 SILLAR CABEZAL 173 MATE</v>
      </c>
      <c r="D462" s="35" t="str">
        <f>VLOOKUP(B462,BASE!$A:$D,3,0)</f>
        <v>MATE</v>
      </c>
      <c r="E462" s="32">
        <f>VLOOKUP(B462,BASE!$A:$E,4,0)</f>
        <v>173</v>
      </c>
      <c r="F462" s="32">
        <v>500</v>
      </c>
      <c r="G462" s="23">
        <f t="shared" si="14"/>
        <v>8.3333333333333329E-2</v>
      </c>
      <c r="H462" s="29"/>
      <c r="I462" s="33" t="s">
        <v>969</v>
      </c>
    </row>
    <row r="463" spans="1:9" ht="20.25" customHeight="1" x14ac:dyDescent="0.25">
      <c r="A463" s="29">
        <v>10073</v>
      </c>
      <c r="B463" s="30" t="s">
        <v>629</v>
      </c>
      <c r="C463" s="31" t="str">
        <f>VLOOKUP(B463,BASE!$A:$B,2,0)</f>
        <v>PERSIANA 315 MATE</v>
      </c>
      <c r="D463" s="35" t="str">
        <f>VLOOKUP(B463,BASE!$A:$D,3,0)</f>
        <v>MATE</v>
      </c>
      <c r="E463" s="32">
        <f>VLOOKUP(B463,BASE!$A:$E,4,0)</f>
        <v>315</v>
      </c>
      <c r="F463" s="32">
        <v>500</v>
      </c>
      <c r="G463" s="23">
        <f t="shared" si="14"/>
        <v>8.3333333333333329E-2</v>
      </c>
      <c r="H463" s="29"/>
      <c r="I463" s="33" t="s">
        <v>969</v>
      </c>
    </row>
    <row r="464" spans="1:9" ht="20.25" customHeight="1" x14ac:dyDescent="0.25">
      <c r="A464" s="29">
        <v>10074</v>
      </c>
      <c r="B464" s="30" t="s">
        <v>141</v>
      </c>
      <c r="C464" s="31" t="str">
        <f>VLOOKUP(B464,BASE!$A:$B,2,0)</f>
        <v>5020 TRASLAPE 192 MATE</v>
      </c>
      <c r="D464" s="35" t="str">
        <f>VLOOKUP(B464,BASE!$A:$D,3,0)</f>
        <v>MATE</v>
      </c>
      <c r="E464" s="32">
        <f>VLOOKUP(B464,BASE!$A:$E,4,0)</f>
        <v>192</v>
      </c>
      <c r="F464" s="32">
        <v>5000</v>
      </c>
      <c r="G464" s="23">
        <f t="shared" si="14"/>
        <v>0.83333333333333337</v>
      </c>
      <c r="H464" s="29"/>
      <c r="I464" s="33" t="s">
        <v>962</v>
      </c>
    </row>
    <row r="465" spans="1:9" ht="20.25" customHeight="1" x14ac:dyDescent="0.25">
      <c r="A465" s="29">
        <v>10075</v>
      </c>
      <c r="B465" s="30" t="s">
        <v>169</v>
      </c>
      <c r="C465" s="31" t="str">
        <f>VLOOKUP(B465,BASE!$A:$B,2,0)</f>
        <v>5020 JAMBA 193 MATE</v>
      </c>
      <c r="D465" s="35" t="str">
        <f>VLOOKUP(B465,BASE!$A:$D,3,0)</f>
        <v>MATE</v>
      </c>
      <c r="E465" s="32">
        <f>VLOOKUP(B465,BASE!$A:$E,4,0)</f>
        <v>193</v>
      </c>
      <c r="F465" s="32">
        <v>5000</v>
      </c>
      <c r="G465" s="23">
        <f t="shared" si="14"/>
        <v>0.83333333333333337</v>
      </c>
      <c r="H465" s="29"/>
      <c r="I465" s="33" t="s">
        <v>962</v>
      </c>
    </row>
    <row r="466" spans="1:9" ht="20.25" customHeight="1" x14ac:dyDescent="0.25">
      <c r="A466" s="29">
        <v>10076</v>
      </c>
      <c r="B466" s="30" t="s">
        <v>142</v>
      </c>
      <c r="C466" s="31" t="str">
        <f>VLOOKUP(B466,BASE!$A:$B,2,0)</f>
        <v>5020 ENGANCHE 147 MATE</v>
      </c>
      <c r="D466" s="35" t="str">
        <f>VLOOKUP(B466,BASE!$A:$D,3,0)</f>
        <v>MATE</v>
      </c>
      <c r="E466" s="32">
        <f>VLOOKUP(B466,BASE!$A:$E,4,0)</f>
        <v>147</v>
      </c>
      <c r="F466" s="32">
        <v>5000</v>
      </c>
      <c r="G466" s="23">
        <f t="shared" si="14"/>
        <v>0.83333333333333337</v>
      </c>
      <c r="H466" s="29"/>
      <c r="I466" s="33" t="s">
        <v>963</v>
      </c>
    </row>
    <row r="467" spans="1:9" ht="20.25" customHeight="1" x14ac:dyDescent="0.25">
      <c r="A467" s="29">
        <v>10077</v>
      </c>
      <c r="B467" s="30" t="s">
        <v>461</v>
      </c>
      <c r="C467" s="31" t="str">
        <f>VLOOKUP(B467,BASE!$A:$B,2,0)</f>
        <v>PISAVIDRIO CURVO 635 MATE</v>
      </c>
      <c r="D467" s="35" t="str">
        <f>VLOOKUP(B467,BASE!$A:$D,3,0)</f>
        <v>MATE</v>
      </c>
      <c r="E467" s="32">
        <f>VLOOKUP(B467,BASE!$A:$E,4,0)</f>
        <v>635</v>
      </c>
      <c r="F467" s="32">
        <v>5200</v>
      </c>
      <c r="G467" s="23">
        <f t="shared" si="14"/>
        <v>0.8666666666666667</v>
      </c>
      <c r="H467" s="29"/>
      <c r="I467" s="33" t="s">
        <v>963</v>
      </c>
    </row>
    <row r="468" spans="1:9" ht="20.25" customHeight="1" x14ac:dyDescent="0.25">
      <c r="A468" s="29">
        <v>10078</v>
      </c>
      <c r="B468" s="30" t="s">
        <v>677</v>
      </c>
      <c r="C468" s="31" t="str">
        <f>VLOOKUP(B468,BASE!$A:$B,2,0)</f>
        <v>ANGULO IRREGULAR A-46 BLANCO</v>
      </c>
      <c r="D468" s="35" t="str">
        <f>VLOOKUP(B468,BASE!$A:$D,3,0)</f>
        <v>BLANCO</v>
      </c>
      <c r="E468" s="32" t="str">
        <f>VLOOKUP(B468,BASE!$A:$E,4,0)</f>
        <v>A-46</v>
      </c>
      <c r="F468" s="32">
        <v>20070</v>
      </c>
      <c r="G468" s="23">
        <f t="shared" si="14"/>
        <v>3.3450000000000002</v>
      </c>
      <c r="H468" s="29"/>
      <c r="I468" s="33" t="s">
        <v>984</v>
      </c>
    </row>
    <row r="469" spans="1:9" ht="20.25" customHeight="1" x14ac:dyDescent="0.25">
      <c r="A469" s="29">
        <v>10085</v>
      </c>
      <c r="B469" s="30" t="s">
        <v>96</v>
      </c>
      <c r="C469" s="31" t="str">
        <f>VLOOKUP(B469,BASE!$A:$B,2,0)</f>
        <v>TAPALUZ PT02 MATE</v>
      </c>
      <c r="D469" s="35" t="str">
        <f>VLOOKUP(B469,BASE!$A:$D,3,0)</f>
        <v>MATE</v>
      </c>
      <c r="E469" s="32" t="str">
        <f>VLOOKUP(B469,BASE!$A:$E,4,0)</f>
        <v>PT-02</v>
      </c>
      <c r="F469" s="32">
        <v>6000</v>
      </c>
      <c r="G469" s="23">
        <f t="shared" si="14"/>
        <v>1</v>
      </c>
      <c r="H469" s="29"/>
      <c r="I469" s="33" t="s">
        <v>956</v>
      </c>
    </row>
    <row r="470" spans="1:9" ht="20.25" customHeight="1" x14ac:dyDescent="0.25">
      <c r="A470" s="29">
        <v>10089</v>
      </c>
      <c r="B470" s="30" t="s">
        <v>584</v>
      </c>
      <c r="C470" s="31" t="str">
        <f>VLOOKUP(B470,BASE!$A:$B,2,0)</f>
        <v>U68 MATE</v>
      </c>
      <c r="D470" s="35" t="str">
        <f>VLOOKUP(B470,BASE!$A:$D,3,0)</f>
        <v>MATE</v>
      </c>
      <c r="E470" s="32" t="str">
        <f>VLOOKUP(B470,BASE!$A:$E,4,0)</f>
        <v>U-68</v>
      </c>
      <c r="F470" s="32">
        <v>6000</v>
      </c>
      <c r="G470" s="23">
        <f t="shared" si="14"/>
        <v>1</v>
      </c>
      <c r="H470" s="29"/>
      <c r="I470" s="33" t="s">
        <v>956</v>
      </c>
    </row>
    <row r="471" spans="1:9" ht="20.25" customHeight="1" x14ac:dyDescent="0.25">
      <c r="A471" s="29">
        <v>10093</v>
      </c>
      <c r="B471" s="30" t="s">
        <v>167</v>
      </c>
      <c r="C471" s="31" t="str">
        <f>VLOOKUP(B471,BASE!$A:$B,2,0)</f>
        <v>3831 JAMBA 174 MATE</v>
      </c>
      <c r="D471" s="35" t="str">
        <f>VLOOKUP(B471,BASE!$A:$D,3,0)</f>
        <v>MATE</v>
      </c>
      <c r="E471" s="32">
        <f>VLOOKUP(B471,BASE!$A:$E,4,0)</f>
        <v>174</v>
      </c>
      <c r="F471" s="32">
        <v>6000</v>
      </c>
      <c r="G471" s="23">
        <f t="shared" si="14"/>
        <v>1</v>
      </c>
      <c r="H471" s="29">
        <v>23622</v>
      </c>
      <c r="I471" s="33" t="s">
        <v>956</v>
      </c>
    </row>
    <row r="472" spans="1:9" ht="20.25" customHeight="1" x14ac:dyDescent="0.25">
      <c r="A472" s="29">
        <v>10098</v>
      </c>
      <c r="B472" s="30" t="s">
        <v>46</v>
      </c>
      <c r="C472" s="31" t="str">
        <f>VLOOKUP(B472,BASE!$A:$B,2,0)</f>
        <v>8025 ENGANCHE 191 MATE</v>
      </c>
      <c r="D472" s="35" t="str">
        <f>VLOOKUP(B472,BASE!$A:$D,3,0)</f>
        <v>MATE</v>
      </c>
      <c r="E472" s="32">
        <f>VLOOKUP(B472,BASE!$A:$E,4,0)</f>
        <v>191</v>
      </c>
      <c r="F472" s="32">
        <v>6000</v>
      </c>
      <c r="G472" s="23">
        <f t="shared" si="14"/>
        <v>1</v>
      </c>
      <c r="H472" s="29"/>
      <c r="I472" s="33" t="s">
        <v>956</v>
      </c>
    </row>
    <row r="473" spans="1:9" ht="20.25" customHeight="1" x14ac:dyDescent="0.25">
      <c r="A473" s="29">
        <v>10099</v>
      </c>
      <c r="B473" s="30" t="s">
        <v>540</v>
      </c>
      <c r="C473" s="31" t="str">
        <f>VLOOKUP(B473,BASE!$A:$B,2,0)</f>
        <v>8025 TRASLAPE 190 MATE</v>
      </c>
      <c r="D473" s="35" t="str">
        <f>VLOOKUP(B473,BASE!$A:$D,3,0)</f>
        <v>MATE</v>
      </c>
      <c r="E473" s="32">
        <f>VLOOKUP(B473,BASE!$A:$E,4,0)</f>
        <v>190</v>
      </c>
      <c r="F473" s="32">
        <v>6000</v>
      </c>
      <c r="G473" s="23">
        <f t="shared" si="14"/>
        <v>1</v>
      </c>
      <c r="H473" s="29"/>
      <c r="I473" s="33" t="s">
        <v>956</v>
      </c>
    </row>
    <row r="474" spans="1:9" ht="20.25" customHeight="1" x14ac:dyDescent="0.25">
      <c r="A474" s="29">
        <v>10102</v>
      </c>
      <c r="B474" s="30" t="s">
        <v>449</v>
      </c>
      <c r="C474" s="31" t="str">
        <f>VLOOKUP(B474,BASE!$A:$B,2,0)</f>
        <v>8025 JAMBA 152 MATE</v>
      </c>
      <c r="D474" s="35" t="str">
        <f>VLOOKUP(B474,BASE!$A:$D,3,0)</f>
        <v>MATE</v>
      </c>
      <c r="E474" s="32">
        <f>VLOOKUP(B474,BASE!$A:$E,4,0)</f>
        <v>152</v>
      </c>
      <c r="F474" s="32">
        <v>6000</v>
      </c>
      <c r="G474" s="23">
        <f t="shared" si="14"/>
        <v>1</v>
      </c>
      <c r="H474" s="29"/>
      <c r="I474" s="33" t="s">
        <v>956</v>
      </c>
    </row>
    <row r="475" spans="1:9" ht="20.25" customHeight="1" x14ac:dyDescent="0.25">
      <c r="A475" s="29">
        <v>10114</v>
      </c>
      <c r="B475" s="30" t="s">
        <v>44</v>
      </c>
      <c r="C475" s="31" t="str">
        <f>VLOOKUP(B475,BASE!$A:$B,2,0)</f>
        <v>7038 SILLAR 701 NEGRO</v>
      </c>
      <c r="D475" s="35" t="str">
        <f>VLOOKUP(B475,BASE!$A:$D,3,0)</f>
        <v>NEGRO</v>
      </c>
      <c r="E475" s="32">
        <f>VLOOKUP(B475,BASE!$A:$E,4,0)</f>
        <v>701</v>
      </c>
      <c r="F475" s="32">
        <v>6000</v>
      </c>
      <c r="G475" s="23">
        <f t="shared" si="14"/>
        <v>1</v>
      </c>
      <c r="H475" s="29"/>
      <c r="I475" s="33" t="s">
        <v>956</v>
      </c>
    </row>
    <row r="476" spans="1:9" ht="20.25" customHeight="1" x14ac:dyDescent="0.25">
      <c r="A476" s="29">
        <v>10115</v>
      </c>
      <c r="B476" s="30" t="s">
        <v>168</v>
      </c>
      <c r="C476" s="31" t="str">
        <f>VLOOKUP(B476,BASE!$A:$B,2,0)</f>
        <v>3831 PISAVIDRIO 177 NEGRO</v>
      </c>
      <c r="D476" s="35" t="str">
        <f>VLOOKUP(B476,BASE!$A:$D,3,0)</f>
        <v>NEGRO</v>
      </c>
      <c r="E476" s="32">
        <f>VLOOKUP(B476,BASE!$A:$E,4,0)</f>
        <v>177</v>
      </c>
      <c r="F476" s="32">
        <v>6000</v>
      </c>
      <c r="G476" s="23">
        <f t="shared" si="14"/>
        <v>1</v>
      </c>
      <c r="H476" s="29">
        <v>23779</v>
      </c>
      <c r="I476" s="33" t="s">
        <v>956</v>
      </c>
    </row>
    <row r="477" spans="1:9" ht="20.25" customHeight="1" x14ac:dyDescent="0.25">
      <c r="A477" s="29">
        <v>10119</v>
      </c>
      <c r="B477" s="30" t="s">
        <v>149</v>
      </c>
      <c r="C477" s="31" t="str">
        <f>VLOOKUP(B477,BASE!$A:$B,2,0)</f>
        <v>5020 HORIZONTAL 148 MATE</v>
      </c>
      <c r="D477" s="35" t="str">
        <f>VLOOKUP(B477,BASE!$A:$D,3,0)</f>
        <v>MATE</v>
      </c>
      <c r="E477" s="32">
        <f>VLOOKUP(B477,BASE!$A:$E,4,0)</f>
        <v>148</v>
      </c>
      <c r="F477" s="32">
        <v>700</v>
      </c>
      <c r="G477" s="23">
        <f t="shared" si="14"/>
        <v>0.11666666666666667</v>
      </c>
      <c r="H477" s="29"/>
      <c r="I477" s="33" t="s">
        <v>969</v>
      </c>
    </row>
    <row r="478" spans="1:9" ht="20.25" customHeight="1" x14ac:dyDescent="0.25">
      <c r="A478" s="29">
        <v>10122</v>
      </c>
      <c r="B478" s="30" t="s">
        <v>174</v>
      </c>
      <c r="C478" s="31" t="str">
        <f>VLOOKUP(B478,BASE!$A:$B,2,0)</f>
        <v>3831 PISAVIDRIO 177 MATE</v>
      </c>
      <c r="D478" s="35" t="str">
        <f>VLOOKUP(B478,BASE!$A:$D,3,0)</f>
        <v>MATE</v>
      </c>
      <c r="E478" s="32">
        <f>VLOOKUP(B478,BASE!$A:$E,4,0)</f>
        <v>177</v>
      </c>
      <c r="F478" s="32">
        <v>700</v>
      </c>
      <c r="G478" s="23">
        <f t="shared" si="14"/>
        <v>0.11666666666666667</v>
      </c>
      <c r="H478" s="29">
        <v>3811</v>
      </c>
      <c r="I478" s="33" t="s">
        <v>969</v>
      </c>
    </row>
    <row r="479" spans="1:9" ht="20.25" customHeight="1" x14ac:dyDescent="0.25">
      <c r="A479" s="29">
        <v>10123</v>
      </c>
      <c r="B479" s="30" t="s">
        <v>174</v>
      </c>
      <c r="C479" s="31" t="str">
        <f>VLOOKUP(B479,BASE!$A:$B,2,0)</f>
        <v>3831 PISAVIDRIO 177 MATE</v>
      </c>
      <c r="D479" s="35" t="str">
        <f>VLOOKUP(B479,BASE!$A:$D,3,0)</f>
        <v>MATE</v>
      </c>
      <c r="E479" s="32">
        <f>VLOOKUP(B479,BASE!$A:$E,4,0)</f>
        <v>177</v>
      </c>
      <c r="F479" s="32">
        <v>600</v>
      </c>
      <c r="G479" s="23">
        <f t="shared" si="14"/>
        <v>0.1</v>
      </c>
      <c r="H479" s="29">
        <v>3811</v>
      </c>
      <c r="I479" s="33" t="s">
        <v>969</v>
      </c>
    </row>
    <row r="480" spans="1:9" ht="20.25" customHeight="1" x14ac:dyDescent="0.25">
      <c r="A480" s="29">
        <v>10126</v>
      </c>
      <c r="B480" s="30" t="s">
        <v>7</v>
      </c>
      <c r="C480" s="31" t="str">
        <f>VLOOKUP(B480,BASE!$A:$B,2,0)</f>
        <v>TUBULAR T-198 CRUDO</v>
      </c>
      <c r="D480" s="35" t="str">
        <f>VLOOKUP(B480,BASE!$A:$D,3,0)</f>
        <v xml:space="preserve">CRUDO </v>
      </c>
      <c r="E480" s="32" t="str">
        <f>VLOOKUP(B480,BASE!$A:$E,4,0)</f>
        <v>T-198</v>
      </c>
      <c r="F480" s="32">
        <v>4300</v>
      </c>
      <c r="G480" s="23">
        <f t="shared" si="14"/>
        <v>0.71666666666666667</v>
      </c>
      <c r="H480" s="29"/>
      <c r="I480" s="33" t="s">
        <v>956</v>
      </c>
    </row>
    <row r="481" spans="1:9" ht="20.25" customHeight="1" x14ac:dyDescent="0.25">
      <c r="A481" s="29">
        <v>10132</v>
      </c>
      <c r="B481" s="30" t="s">
        <v>461</v>
      </c>
      <c r="C481" s="31" t="str">
        <f>VLOOKUP(B481,BASE!$A:$B,2,0)</f>
        <v>PISAVIDRIO CURVO 635 MATE</v>
      </c>
      <c r="D481" s="35" t="str">
        <f>VLOOKUP(B481,BASE!$A:$D,3,0)</f>
        <v>MATE</v>
      </c>
      <c r="E481" s="32">
        <f>VLOOKUP(B481,BASE!$A:$E,4,0)</f>
        <v>635</v>
      </c>
      <c r="F481" s="32">
        <v>6000</v>
      </c>
      <c r="G481" s="23">
        <f t="shared" si="14"/>
        <v>1</v>
      </c>
      <c r="H481" s="29"/>
      <c r="I481" s="33" t="s">
        <v>958</v>
      </c>
    </row>
    <row r="482" spans="1:9" ht="20.25" customHeight="1" x14ac:dyDescent="0.25">
      <c r="A482" s="29">
        <v>10138</v>
      </c>
      <c r="B482" s="30" t="s">
        <v>607</v>
      </c>
      <c r="C482" s="31" t="str">
        <f>VLOOKUP(B482,BASE!$A:$B,2,0)</f>
        <v>8025 SILLAR 150 MATE</v>
      </c>
      <c r="D482" s="35" t="str">
        <f>VLOOKUP(B482,BASE!$A:$D,3,0)</f>
        <v>MATE</v>
      </c>
      <c r="E482" s="32">
        <f>VLOOKUP(B482,BASE!$A:$E,4,0)</f>
        <v>150</v>
      </c>
      <c r="F482" s="32">
        <v>4800</v>
      </c>
      <c r="G482" s="23">
        <f t="shared" si="14"/>
        <v>0.8</v>
      </c>
      <c r="H482" s="29"/>
      <c r="I482" s="33" t="s">
        <v>962</v>
      </c>
    </row>
    <row r="483" spans="1:9" ht="20.25" customHeight="1" x14ac:dyDescent="0.25">
      <c r="A483" s="29">
        <v>10139</v>
      </c>
      <c r="B483" s="30" t="s">
        <v>345</v>
      </c>
      <c r="C483" s="31" t="str">
        <f>VLOOKUP(B483,BASE!$A:$B,2,0)</f>
        <v>8025 CABEZAL 151 MATE</v>
      </c>
      <c r="D483" s="35" t="str">
        <f>VLOOKUP(B483,BASE!$A:$D,3,0)</f>
        <v>MATE</v>
      </c>
      <c r="E483" s="32">
        <f>VLOOKUP(B483,BASE!$A:$E,4,0)</f>
        <v>151</v>
      </c>
      <c r="F483" s="32">
        <v>4800</v>
      </c>
      <c r="G483" s="23">
        <f t="shared" si="14"/>
        <v>0.8</v>
      </c>
      <c r="H483" s="29"/>
      <c r="I483" s="33" t="s">
        <v>962</v>
      </c>
    </row>
    <row r="484" spans="1:9" ht="20.25" customHeight="1" x14ac:dyDescent="0.25">
      <c r="A484" s="29">
        <v>10144</v>
      </c>
      <c r="B484" s="30" t="s">
        <v>515</v>
      </c>
      <c r="C484" s="31" t="str">
        <f>VLOOKUP(B484,BASE!$A:$B,2,0)</f>
        <v>5020 TRASLAPE 192 BRONCE</v>
      </c>
      <c r="D484" s="35" t="str">
        <f>VLOOKUP(B484,BASE!$A:$D,3,0)</f>
        <v>BRONCE</v>
      </c>
      <c r="E484" s="32">
        <f>VLOOKUP(B484,BASE!$A:$E,4,0)</f>
        <v>192</v>
      </c>
      <c r="F484" s="32">
        <v>3200</v>
      </c>
      <c r="G484" s="23">
        <f t="shared" ref="G484:G507" si="15">+F484/6000</f>
        <v>0.53333333333333333</v>
      </c>
      <c r="H484" s="29"/>
      <c r="I484" s="33" t="s">
        <v>963</v>
      </c>
    </row>
    <row r="485" spans="1:9" ht="20.25" customHeight="1" x14ac:dyDescent="0.25">
      <c r="A485" s="29">
        <v>10146</v>
      </c>
      <c r="B485" s="30" t="s">
        <v>1228</v>
      </c>
      <c r="C485" s="31" t="str">
        <f>VLOOKUP(B485,BASE!$A:$B,2,0)</f>
        <v xml:space="preserve">PLATINA 1" P-18 NEGRO </v>
      </c>
      <c r="D485" s="35" t="str">
        <f>VLOOKUP(B485,BASE!$A:$D,3,0)</f>
        <v>NEGRO</v>
      </c>
      <c r="E485" s="32" t="str">
        <f>VLOOKUP(B485,BASE!$A:$E,4,0)</f>
        <v>P-18</v>
      </c>
      <c r="F485" s="32">
        <v>4200</v>
      </c>
      <c r="G485" s="23">
        <f t="shared" si="15"/>
        <v>0.7</v>
      </c>
      <c r="H485" s="29">
        <v>23672</v>
      </c>
      <c r="I485" s="33" t="s">
        <v>958</v>
      </c>
    </row>
    <row r="486" spans="1:9" ht="20.25" customHeight="1" x14ac:dyDescent="0.25">
      <c r="A486" s="29">
        <v>10147</v>
      </c>
      <c r="B486" s="30" t="s">
        <v>319</v>
      </c>
      <c r="C486" s="31" t="str">
        <f>VLOOKUP(B486,BASE!$A:$B,2,0)</f>
        <v>CABEZAL CABINA S-319 MATE</v>
      </c>
      <c r="D486" s="35" t="str">
        <f>VLOOKUP(B486,BASE!$A:$D,3,0)</f>
        <v>MATE</v>
      </c>
      <c r="E486" s="32" t="str">
        <f>VLOOKUP(B486,BASE!$A:$E,4,0)</f>
        <v>S-319</v>
      </c>
      <c r="F486" s="32">
        <v>2600</v>
      </c>
      <c r="G486" s="23">
        <f t="shared" si="15"/>
        <v>0.43333333333333335</v>
      </c>
      <c r="H486" s="29">
        <v>23683</v>
      </c>
      <c r="I486" s="33" t="s">
        <v>959</v>
      </c>
    </row>
    <row r="487" spans="1:9" ht="20.25" customHeight="1" x14ac:dyDescent="0.25">
      <c r="A487" s="29">
        <v>10149</v>
      </c>
      <c r="B487" s="30" t="s">
        <v>58</v>
      </c>
      <c r="C487" s="31" t="str">
        <f>VLOOKUP(B487,BASE!$A:$B,2,0)</f>
        <v>TUBULAR T-70 NEGRO</v>
      </c>
      <c r="D487" s="35" t="str">
        <f>VLOOKUP(B487,BASE!$A:$D,3,0)</f>
        <v>NEGRO</v>
      </c>
      <c r="E487" s="32" t="str">
        <f>VLOOKUP(B487,BASE!$A:$E,4,0)</f>
        <v>T-70</v>
      </c>
      <c r="F487" s="32">
        <v>2200</v>
      </c>
      <c r="G487" s="23">
        <f t="shared" si="15"/>
        <v>0.36666666666666664</v>
      </c>
      <c r="H487" s="29">
        <v>23786</v>
      </c>
      <c r="I487" s="33" t="s">
        <v>959</v>
      </c>
    </row>
    <row r="488" spans="1:9" ht="20.25" customHeight="1" x14ac:dyDescent="0.25">
      <c r="A488" s="29">
        <v>10150</v>
      </c>
      <c r="B488" s="30" t="s">
        <v>108</v>
      </c>
      <c r="C488" s="31" t="str">
        <f>VLOOKUP(B488,BASE!$A:$B,2,0)</f>
        <v>5020 CABEZAL 144 BRONCE</v>
      </c>
      <c r="D488" s="35" t="str">
        <f>VLOOKUP(B488,BASE!$A:$D,3,0)</f>
        <v>BRONCE</v>
      </c>
      <c r="E488" s="32">
        <f>VLOOKUP(B488,BASE!$A:$E,4,0)</f>
        <v>144</v>
      </c>
      <c r="F488" s="32">
        <v>2500</v>
      </c>
      <c r="G488" s="23">
        <f t="shared" si="15"/>
        <v>0.41666666666666669</v>
      </c>
      <c r="H488" s="29"/>
      <c r="I488" s="33" t="s">
        <v>959</v>
      </c>
    </row>
    <row r="489" spans="1:9" ht="20.25" customHeight="1" x14ac:dyDescent="0.25">
      <c r="A489" s="29">
        <v>10151</v>
      </c>
      <c r="B489" s="30" t="s">
        <v>112</v>
      </c>
      <c r="C489" s="31" t="str">
        <f>VLOOKUP(B489,BASE!$A:$B,2,0)</f>
        <v>5020 JAMBA 193 BRONCE</v>
      </c>
      <c r="D489" s="35" t="str">
        <f>VLOOKUP(B489,BASE!$A:$D,3,0)</f>
        <v>BRONCE</v>
      </c>
      <c r="E489" s="32">
        <f>VLOOKUP(B489,BASE!$A:$E,4,0)</f>
        <v>193</v>
      </c>
      <c r="F489" s="32">
        <v>2500</v>
      </c>
      <c r="G489" s="23">
        <f t="shared" si="15"/>
        <v>0.41666666666666669</v>
      </c>
      <c r="H489" s="29"/>
      <c r="I489" s="33" t="s">
        <v>959</v>
      </c>
    </row>
    <row r="490" spans="1:9" ht="20.25" customHeight="1" x14ac:dyDescent="0.25">
      <c r="A490" s="29">
        <v>10152</v>
      </c>
      <c r="B490" s="30" t="s">
        <v>489</v>
      </c>
      <c r="C490" s="31" t="str">
        <f>VLOOKUP(B490,BASE!$A:$B,2,0)</f>
        <v>5020 SILLAR 194 BRONCE</v>
      </c>
      <c r="D490" s="35" t="str">
        <f>VLOOKUP(B490,BASE!$A:$D,3,0)</f>
        <v>BRONCE</v>
      </c>
      <c r="E490" s="32">
        <f>VLOOKUP(B490,BASE!$A:$E,4,0)</f>
        <v>194</v>
      </c>
      <c r="F490" s="32">
        <v>2100</v>
      </c>
      <c r="G490" s="23">
        <f t="shared" si="15"/>
        <v>0.35</v>
      </c>
      <c r="H490" s="29"/>
      <c r="I490" s="33" t="s">
        <v>959</v>
      </c>
    </row>
    <row r="491" spans="1:9" ht="20.25" customHeight="1" x14ac:dyDescent="0.25">
      <c r="A491" s="29">
        <v>10153</v>
      </c>
      <c r="B491" s="30" t="s">
        <v>169</v>
      </c>
      <c r="C491" s="31" t="str">
        <f>VLOOKUP(B491,BASE!$A:$B,2,0)</f>
        <v>5020 JAMBA 193 MATE</v>
      </c>
      <c r="D491" s="35" t="str">
        <f>VLOOKUP(B491,BASE!$A:$D,3,0)</f>
        <v>MATE</v>
      </c>
      <c r="E491" s="32">
        <f>VLOOKUP(B491,BASE!$A:$E,4,0)</f>
        <v>193</v>
      </c>
      <c r="F491" s="32">
        <v>1400</v>
      </c>
      <c r="G491" s="23">
        <f t="shared" si="15"/>
        <v>0.23333333333333334</v>
      </c>
      <c r="H491" s="29"/>
      <c r="I491" s="33" t="s">
        <v>967</v>
      </c>
    </row>
    <row r="492" spans="1:9" ht="20.25" customHeight="1" x14ac:dyDescent="0.25">
      <c r="A492" s="29">
        <v>10154</v>
      </c>
      <c r="B492" s="30" t="s">
        <v>540</v>
      </c>
      <c r="C492" s="31" t="str">
        <f>VLOOKUP(B492,BASE!$A:$B,2,0)</f>
        <v>8025 TRASLAPE 190 MATE</v>
      </c>
      <c r="D492" s="35" t="str">
        <f>VLOOKUP(B492,BASE!$A:$D,3,0)</f>
        <v>MATE</v>
      </c>
      <c r="E492" s="32">
        <f>VLOOKUP(B492,BASE!$A:$E,4,0)</f>
        <v>190</v>
      </c>
      <c r="F492" s="32">
        <v>2000</v>
      </c>
      <c r="G492" s="23">
        <f t="shared" si="15"/>
        <v>0.33333333333333331</v>
      </c>
      <c r="H492" s="29"/>
      <c r="I492" s="33" t="s">
        <v>959</v>
      </c>
    </row>
    <row r="493" spans="1:9" ht="20.25" customHeight="1" x14ac:dyDescent="0.25">
      <c r="A493" s="29">
        <v>10155</v>
      </c>
      <c r="B493" s="30" t="s">
        <v>540</v>
      </c>
      <c r="C493" s="31" t="str">
        <f>VLOOKUP(B493,BASE!$A:$B,2,0)</f>
        <v>8025 TRASLAPE 190 MATE</v>
      </c>
      <c r="D493" s="35" t="str">
        <f>VLOOKUP(B493,BASE!$A:$D,3,0)</f>
        <v>MATE</v>
      </c>
      <c r="E493" s="32">
        <f>VLOOKUP(B493,BASE!$A:$E,4,0)</f>
        <v>190</v>
      </c>
      <c r="F493" s="32">
        <v>2000</v>
      </c>
      <c r="G493" s="23">
        <f t="shared" si="15"/>
        <v>0.33333333333333331</v>
      </c>
      <c r="H493" s="29"/>
      <c r="I493" s="33" t="s">
        <v>959</v>
      </c>
    </row>
    <row r="494" spans="1:9" ht="20.25" customHeight="1" x14ac:dyDescent="0.25">
      <c r="A494" s="29">
        <v>10156</v>
      </c>
      <c r="B494" s="30" t="s">
        <v>540</v>
      </c>
      <c r="C494" s="31" t="str">
        <f>VLOOKUP(B494,BASE!$A:$B,2,0)</f>
        <v>8025 TRASLAPE 190 MATE</v>
      </c>
      <c r="D494" s="35" t="str">
        <f>VLOOKUP(B494,BASE!$A:$D,3,0)</f>
        <v>MATE</v>
      </c>
      <c r="E494" s="32">
        <f>VLOOKUP(B494,BASE!$A:$E,4,0)</f>
        <v>190</v>
      </c>
      <c r="F494" s="32">
        <v>1800</v>
      </c>
      <c r="G494" s="23">
        <f t="shared" si="15"/>
        <v>0.3</v>
      </c>
      <c r="H494" s="29"/>
      <c r="I494" s="33" t="s">
        <v>959</v>
      </c>
    </row>
    <row r="495" spans="1:9" ht="20.25" customHeight="1" x14ac:dyDescent="0.25">
      <c r="A495" s="29">
        <v>10157</v>
      </c>
      <c r="B495" s="30" t="s">
        <v>152</v>
      </c>
      <c r="C495" s="31" t="str">
        <f>VLOOKUP(B495,BASE!$A:$B,2,0)</f>
        <v>ZOCALO 10CMS S-351 NEGRO</v>
      </c>
      <c r="D495" s="35" t="str">
        <f>VLOOKUP(B495,BASE!$A:$D,3,0)</f>
        <v>NEGRO</v>
      </c>
      <c r="E495" s="32" t="str">
        <f>VLOOKUP(B495,BASE!$A:$E,4,0)</f>
        <v>S-351</v>
      </c>
      <c r="F495" s="32">
        <v>2200</v>
      </c>
      <c r="G495" s="23">
        <f t="shared" si="15"/>
        <v>0.36666666666666664</v>
      </c>
      <c r="H495" s="29"/>
      <c r="I495" s="33" t="s">
        <v>959</v>
      </c>
    </row>
    <row r="496" spans="1:9" ht="20.25" customHeight="1" x14ac:dyDescent="0.25">
      <c r="A496" s="29">
        <v>10162</v>
      </c>
      <c r="B496" s="30" t="s">
        <v>34</v>
      </c>
      <c r="C496" s="31" t="str">
        <f>VLOOKUP(B496,BASE!$A:$B,2,0)</f>
        <v>TUBULAR T-244 NEGRO</v>
      </c>
      <c r="D496" s="35" t="str">
        <f>VLOOKUP(B496,BASE!$A:$D,3,0)</f>
        <v>NEGRO</v>
      </c>
      <c r="E496" s="32" t="str">
        <f>VLOOKUP(B496,BASE!$A:$E,4,0)</f>
        <v>T-244</v>
      </c>
      <c r="F496" s="32">
        <v>1200</v>
      </c>
      <c r="G496" s="23">
        <f t="shared" si="15"/>
        <v>0.2</v>
      </c>
      <c r="H496" s="29"/>
      <c r="I496" s="33" t="s">
        <v>967</v>
      </c>
    </row>
    <row r="497" spans="1:9" ht="20.25" customHeight="1" x14ac:dyDescent="0.25">
      <c r="A497" s="29">
        <v>10165</v>
      </c>
      <c r="B497" s="30" t="s">
        <v>58</v>
      </c>
      <c r="C497" s="31" t="str">
        <f>VLOOKUP(B497,BASE!$A:$B,2,0)</f>
        <v>TUBULAR T-70 NEGRO</v>
      </c>
      <c r="D497" s="35" t="str">
        <f>VLOOKUP(B497,BASE!$A:$D,3,0)</f>
        <v>NEGRO</v>
      </c>
      <c r="E497" s="32" t="str">
        <f>VLOOKUP(B497,BASE!$A:$E,4,0)</f>
        <v>T-70</v>
      </c>
      <c r="F497" s="32">
        <v>800</v>
      </c>
      <c r="G497" s="23">
        <f t="shared" si="15"/>
        <v>0.13333333333333333</v>
      </c>
      <c r="H497" s="29">
        <v>23786</v>
      </c>
      <c r="I497" s="33" t="s">
        <v>968</v>
      </c>
    </row>
    <row r="498" spans="1:9" ht="20.25" customHeight="1" x14ac:dyDescent="0.25">
      <c r="A498" s="29">
        <v>10166</v>
      </c>
      <c r="B498" s="30" t="s">
        <v>58</v>
      </c>
      <c r="C498" s="31" t="str">
        <f>VLOOKUP(B498,BASE!$A:$B,2,0)</f>
        <v>TUBULAR T-70 NEGRO</v>
      </c>
      <c r="D498" s="35" t="str">
        <f>VLOOKUP(B498,BASE!$A:$D,3,0)</f>
        <v>NEGRO</v>
      </c>
      <c r="E498" s="32" t="str">
        <f>VLOOKUP(B498,BASE!$A:$E,4,0)</f>
        <v>T-70</v>
      </c>
      <c r="F498" s="32">
        <v>800</v>
      </c>
      <c r="G498" s="23">
        <f t="shared" si="15"/>
        <v>0.13333333333333333</v>
      </c>
      <c r="H498" s="29">
        <v>23786</v>
      </c>
      <c r="I498" s="33" t="s">
        <v>968</v>
      </c>
    </row>
    <row r="499" spans="1:9" ht="20.25" customHeight="1" x14ac:dyDescent="0.25">
      <c r="A499" s="29">
        <v>10167</v>
      </c>
      <c r="B499" s="30" t="s">
        <v>58</v>
      </c>
      <c r="C499" s="31" t="str">
        <f>VLOOKUP(B499,BASE!$A:$B,2,0)</f>
        <v>TUBULAR T-70 NEGRO</v>
      </c>
      <c r="D499" s="35" t="str">
        <f>VLOOKUP(B499,BASE!$A:$D,3,0)</f>
        <v>NEGRO</v>
      </c>
      <c r="E499" s="32" t="str">
        <f>VLOOKUP(B499,BASE!$A:$E,4,0)</f>
        <v>T-70</v>
      </c>
      <c r="F499" s="32">
        <v>800</v>
      </c>
      <c r="G499" s="23">
        <f t="shared" si="15"/>
        <v>0.13333333333333333</v>
      </c>
      <c r="H499" s="29"/>
      <c r="I499" s="33" t="s">
        <v>968</v>
      </c>
    </row>
    <row r="500" spans="1:9" ht="20.25" customHeight="1" x14ac:dyDescent="0.25">
      <c r="A500" s="29">
        <v>10168</v>
      </c>
      <c r="B500" s="30" t="s">
        <v>58</v>
      </c>
      <c r="C500" s="31" t="str">
        <f>VLOOKUP(B500,BASE!$A:$B,2,0)</f>
        <v>TUBULAR T-70 NEGRO</v>
      </c>
      <c r="D500" s="35" t="str">
        <f>VLOOKUP(B500,BASE!$A:$D,3,0)</f>
        <v>NEGRO</v>
      </c>
      <c r="E500" s="32" t="str">
        <f>VLOOKUP(B500,BASE!$A:$E,4,0)</f>
        <v>T-70</v>
      </c>
      <c r="F500" s="32">
        <v>700</v>
      </c>
      <c r="G500" s="23">
        <f t="shared" si="15"/>
        <v>0.11666666666666667</v>
      </c>
      <c r="H500" s="29"/>
      <c r="I500" s="33" t="s">
        <v>968</v>
      </c>
    </row>
    <row r="501" spans="1:9" ht="20.25" customHeight="1" x14ac:dyDescent="0.25">
      <c r="A501" s="29">
        <v>10169</v>
      </c>
      <c r="B501" s="30" t="s">
        <v>58</v>
      </c>
      <c r="C501" s="31" t="str">
        <f>VLOOKUP(B501,BASE!$A:$B,2,0)</f>
        <v>TUBULAR T-70 NEGRO</v>
      </c>
      <c r="D501" s="35" t="str">
        <f>VLOOKUP(B501,BASE!$A:$D,3,0)</f>
        <v>NEGRO</v>
      </c>
      <c r="E501" s="32" t="str">
        <f>VLOOKUP(B501,BASE!$A:$E,4,0)</f>
        <v>T-70</v>
      </c>
      <c r="F501" s="32">
        <v>600</v>
      </c>
      <c r="G501" s="23">
        <f t="shared" si="15"/>
        <v>0.1</v>
      </c>
      <c r="H501" s="29"/>
      <c r="I501" s="33" t="s">
        <v>968</v>
      </c>
    </row>
    <row r="502" spans="1:9" ht="20.25" customHeight="1" x14ac:dyDescent="0.25">
      <c r="A502" s="29">
        <v>10170</v>
      </c>
      <c r="B502" s="30" t="s">
        <v>84</v>
      </c>
      <c r="C502" s="31" t="str">
        <f>VLOOKUP(B502,BASE!$A:$B,2,0)</f>
        <v>TUBULAR 1101 MATE</v>
      </c>
      <c r="D502" s="35" t="str">
        <f>VLOOKUP(B502,BASE!$A:$D,3,0)</f>
        <v>MATE</v>
      </c>
      <c r="E502" s="32">
        <f>VLOOKUP(B502,BASE!$A:$E,4,0)</f>
        <v>1101</v>
      </c>
      <c r="F502" s="32">
        <v>700</v>
      </c>
      <c r="G502" s="23">
        <f t="shared" si="15"/>
        <v>0.11666666666666667</v>
      </c>
      <c r="H502" s="29"/>
      <c r="I502" s="33" t="s">
        <v>968</v>
      </c>
    </row>
    <row r="503" spans="1:9" ht="20.25" customHeight="1" x14ac:dyDescent="0.25">
      <c r="A503" s="29">
        <v>10174</v>
      </c>
      <c r="B503" s="30" t="s">
        <v>144</v>
      </c>
      <c r="C503" s="31" t="str">
        <f>VLOOKUP(B503,BASE!$A:$B,2,0)</f>
        <v>5020 HORIZONTAL 148 NEGRO</v>
      </c>
      <c r="D503" s="35" t="str">
        <f>VLOOKUP(B503,BASE!$A:$D,3,0)</f>
        <v>NEGRO</v>
      </c>
      <c r="E503" s="32">
        <f>VLOOKUP(B503,BASE!$A:$E,4,0)</f>
        <v>148</v>
      </c>
      <c r="F503" s="32">
        <v>800</v>
      </c>
      <c r="G503" s="23">
        <f t="shared" si="15"/>
        <v>0.13333333333333333</v>
      </c>
      <c r="H503" s="29"/>
      <c r="I503" s="33" t="s">
        <v>969</v>
      </c>
    </row>
    <row r="504" spans="1:9" ht="20.25" customHeight="1" x14ac:dyDescent="0.25">
      <c r="A504" s="29">
        <v>10175</v>
      </c>
      <c r="B504" s="30" t="s">
        <v>111</v>
      </c>
      <c r="C504" s="31" t="str">
        <f>VLOOKUP(B504,BASE!$A:$B,2,0)</f>
        <v>5020 HORIZONTAL 148 BRONCE</v>
      </c>
      <c r="D504" s="35" t="str">
        <f>VLOOKUP(B504,BASE!$A:$D,3,0)</f>
        <v>BRONCE</v>
      </c>
      <c r="E504" s="32">
        <f>VLOOKUP(B504,BASE!$A:$E,4,0)</f>
        <v>148</v>
      </c>
      <c r="F504" s="32">
        <v>700</v>
      </c>
      <c r="G504" s="23">
        <f t="shared" si="15"/>
        <v>0.11666666666666667</v>
      </c>
      <c r="H504" s="29"/>
      <c r="I504" s="33" t="s">
        <v>969</v>
      </c>
    </row>
    <row r="505" spans="1:9" ht="20.25" customHeight="1" x14ac:dyDescent="0.25">
      <c r="A505" s="29">
        <v>10176</v>
      </c>
      <c r="B505" s="30" t="s">
        <v>119</v>
      </c>
      <c r="C505" s="31" t="str">
        <f>VLOOKUP(B505,BASE!$A:$B,2,0)</f>
        <v>744 ENGANCHE 391 MATE</v>
      </c>
      <c r="D505" s="35" t="str">
        <f>VLOOKUP(B505,BASE!$A:$D,3,0)</f>
        <v>MATE</v>
      </c>
      <c r="E505" s="32">
        <f>VLOOKUP(B505,BASE!$A:$E,4,0)</f>
        <v>391</v>
      </c>
      <c r="F505" s="32">
        <v>700</v>
      </c>
      <c r="G505" s="23">
        <f t="shared" si="15"/>
        <v>0.11666666666666667</v>
      </c>
      <c r="H505" s="29"/>
      <c r="I505" s="33" t="s">
        <v>969</v>
      </c>
    </row>
    <row r="506" spans="1:9" ht="20.25" customHeight="1" x14ac:dyDescent="0.25">
      <c r="A506" s="29">
        <v>10177</v>
      </c>
      <c r="B506" s="30" t="s">
        <v>119</v>
      </c>
      <c r="C506" s="31" t="str">
        <f>VLOOKUP(B506,BASE!$A:$B,2,0)</f>
        <v>744 ENGANCHE 391 MATE</v>
      </c>
      <c r="D506" s="35" t="str">
        <f>VLOOKUP(B506,BASE!$A:$D,3,0)</f>
        <v>MATE</v>
      </c>
      <c r="E506" s="32">
        <f>VLOOKUP(B506,BASE!$A:$E,4,0)</f>
        <v>391</v>
      </c>
      <c r="F506" s="32">
        <v>900</v>
      </c>
      <c r="G506" s="23">
        <f t="shared" si="15"/>
        <v>0.15</v>
      </c>
      <c r="H506" s="29"/>
      <c r="I506" s="33" t="s">
        <v>968</v>
      </c>
    </row>
    <row r="507" spans="1:9" ht="20.25" customHeight="1" x14ac:dyDescent="0.25">
      <c r="A507" s="29">
        <v>10178</v>
      </c>
      <c r="B507" s="30" t="s">
        <v>110</v>
      </c>
      <c r="C507" s="31" t="str">
        <f>VLOOKUP(B507,BASE!$A:$B,2,0)</f>
        <v>744 TRASLAPE 388 MATE</v>
      </c>
      <c r="D507" s="35" t="str">
        <f>VLOOKUP(B507,BASE!$A:$D,3,0)</f>
        <v>MATE</v>
      </c>
      <c r="E507" s="32">
        <f>VLOOKUP(B507,BASE!$A:$E,4,0)</f>
        <v>388</v>
      </c>
      <c r="F507" s="32">
        <v>700</v>
      </c>
      <c r="G507" s="23">
        <f t="shared" si="15"/>
        <v>0.11666666666666667</v>
      </c>
      <c r="H507" s="29"/>
      <c r="I507" s="33" t="s">
        <v>969</v>
      </c>
    </row>
    <row r="508" spans="1:9" ht="20.25" customHeight="1" x14ac:dyDescent="0.25">
      <c r="A508" s="29">
        <v>10179</v>
      </c>
      <c r="B508" s="30" t="s">
        <v>41</v>
      </c>
      <c r="C508" s="31" t="str">
        <f>VLOOKUP(B508,BASE!$A:$B,2,0)</f>
        <v>TUBULAR T-70 MATE</v>
      </c>
      <c r="D508" s="35" t="str">
        <f>VLOOKUP(B508,BASE!$A:$D,3,0)</f>
        <v>MATE</v>
      </c>
      <c r="E508" s="32" t="str">
        <f>VLOOKUP(B508,BASE!$A:$E,4,0)</f>
        <v>T-70</v>
      </c>
      <c r="F508" s="32">
        <v>1000</v>
      </c>
      <c r="G508" s="23">
        <f t="shared" ref="G508:G515" si="16">+F508/6000</f>
        <v>0.16666666666666666</v>
      </c>
      <c r="H508" s="29"/>
      <c r="I508" s="33" t="s">
        <v>967</v>
      </c>
    </row>
    <row r="509" spans="1:9" ht="20.25" customHeight="1" x14ac:dyDescent="0.25">
      <c r="A509" s="29">
        <v>10180</v>
      </c>
      <c r="B509" s="30" t="s">
        <v>41</v>
      </c>
      <c r="C509" s="31" t="str">
        <f>VLOOKUP(B509,BASE!$A:$B,2,0)</f>
        <v>TUBULAR T-70 MATE</v>
      </c>
      <c r="D509" s="35" t="str">
        <f>VLOOKUP(B509,BASE!$A:$D,3,0)</f>
        <v>MATE</v>
      </c>
      <c r="E509" s="32" t="str">
        <f>VLOOKUP(B509,BASE!$A:$E,4,0)</f>
        <v>T-70</v>
      </c>
      <c r="F509" s="32">
        <v>1100</v>
      </c>
      <c r="G509" s="23">
        <f t="shared" si="16"/>
        <v>0.18333333333333332</v>
      </c>
      <c r="H509" s="29"/>
      <c r="I509" s="33" t="s">
        <v>967</v>
      </c>
    </row>
    <row r="510" spans="1:9" ht="20.25" customHeight="1" x14ac:dyDescent="0.25">
      <c r="A510" s="29">
        <v>10181</v>
      </c>
      <c r="B510" s="30" t="s">
        <v>124</v>
      </c>
      <c r="C510" s="31" t="str">
        <f>VLOOKUP(B510,BASE!$A:$B,2,0)</f>
        <v>3831 SILLAR CABEZAL 173 MATE</v>
      </c>
      <c r="D510" s="35" t="str">
        <f>VLOOKUP(B510,BASE!$A:$D,3,0)</f>
        <v>MATE</v>
      </c>
      <c r="E510" s="32">
        <f>VLOOKUP(B510,BASE!$A:$E,4,0)</f>
        <v>173</v>
      </c>
      <c r="F510" s="32">
        <v>1100</v>
      </c>
      <c r="G510" s="23">
        <f t="shared" si="16"/>
        <v>0.18333333333333332</v>
      </c>
      <c r="H510" s="29"/>
      <c r="I510" s="33" t="s">
        <v>967</v>
      </c>
    </row>
    <row r="511" spans="1:9" ht="20.25" customHeight="1" x14ac:dyDescent="0.25">
      <c r="A511" s="29">
        <v>10182</v>
      </c>
      <c r="B511" s="30" t="s">
        <v>124</v>
      </c>
      <c r="C511" s="31" t="str">
        <f>VLOOKUP(B511,BASE!$A:$B,2,0)</f>
        <v>3831 SILLAR CABEZAL 173 MATE</v>
      </c>
      <c r="D511" s="35" t="str">
        <f>VLOOKUP(B511,BASE!$A:$D,3,0)</f>
        <v>MATE</v>
      </c>
      <c r="E511" s="32">
        <f>VLOOKUP(B511,BASE!$A:$E,4,0)</f>
        <v>173</v>
      </c>
      <c r="F511" s="32">
        <v>1100</v>
      </c>
      <c r="G511" s="23">
        <f t="shared" si="16"/>
        <v>0.18333333333333332</v>
      </c>
      <c r="H511" s="29"/>
      <c r="I511" s="33" t="s">
        <v>967</v>
      </c>
    </row>
    <row r="512" spans="1:9" ht="20.25" customHeight="1" x14ac:dyDescent="0.25">
      <c r="A512" s="29">
        <v>10183</v>
      </c>
      <c r="B512" s="30" t="s">
        <v>167</v>
      </c>
      <c r="C512" s="31" t="str">
        <f>VLOOKUP(B512,BASE!$A:$B,2,0)</f>
        <v>3831 JAMBA 174 MATE</v>
      </c>
      <c r="D512" s="35" t="str">
        <f>VLOOKUP(B512,BASE!$A:$D,3,0)</f>
        <v>MATE</v>
      </c>
      <c r="E512" s="32">
        <f>VLOOKUP(B512,BASE!$A:$E,4,0)</f>
        <v>174</v>
      </c>
      <c r="F512" s="32">
        <v>1200</v>
      </c>
      <c r="G512" s="23">
        <f t="shared" si="16"/>
        <v>0.2</v>
      </c>
      <c r="H512" s="29"/>
      <c r="I512" s="33" t="s">
        <v>967</v>
      </c>
    </row>
    <row r="513" spans="1:17" ht="20.25" customHeight="1" x14ac:dyDescent="0.25">
      <c r="A513" s="29">
        <v>10184</v>
      </c>
      <c r="B513" s="30" t="s">
        <v>694</v>
      </c>
      <c r="C513" s="31" t="str">
        <f>VLOOKUP(B513,BASE!$A:$B,2,0)</f>
        <v>744 CABEZAL 392 MATE</v>
      </c>
      <c r="D513" s="35" t="str">
        <f>VLOOKUP(B513,BASE!$A:$D,3,0)</f>
        <v>MATE</v>
      </c>
      <c r="E513" s="32">
        <f>VLOOKUP(B513,BASE!$A:$E,4,0)</f>
        <v>392</v>
      </c>
      <c r="F513" s="32">
        <v>1300</v>
      </c>
      <c r="G513" s="23">
        <f t="shared" si="16"/>
        <v>0.21666666666666667</v>
      </c>
      <c r="H513" s="29"/>
      <c r="I513" s="33" t="s">
        <v>967</v>
      </c>
    </row>
    <row r="514" spans="1:17" ht="20.25" customHeight="1" x14ac:dyDescent="0.25">
      <c r="A514" s="29">
        <v>10185</v>
      </c>
      <c r="B514" s="30" t="s">
        <v>129</v>
      </c>
      <c r="C514" s="31" t="str">
        <f>VLOOKUP(B514,BASE!$A:$B,2,0)</f>
        <v>3831 DIVISOR 292 MATE</v>
      </c>
      <c r="D514" s="35" t="str">
        <f>VLOOKUP(B514,BASE!$A:$D,3,0)</f>
        <v>MATE</v>
      </c>
      <c r="E514" s="32">
        <f>VLOOKUP(B514,BASE!$A:$E,4,0)</f>
        <v>292</v>
      </c>
      <c r="F514" s="32">
        <v>1500</v>
      </c>
      <c r="G514" s="23">
        <f t="shared" si="16"/>
        <v>0.25</v>
      </c>
      <c r="H514" s="29"/>
      <c r="I514" s="33" t="s">
        <v>955</v>
      </c>
    </row>
    <row r="515" spans="1:17" ht="20.25" customHeight="1" x14ac:dyDescent="0.25">
      <c r="A515" s="29">
        <v>10187</v>
      </c>
      <c r="B515" s="30" t="s">
        <v>16</v>
      </c>
      <c r="C515" s="31" t="str">
        <f>VLOOKUP(B515,BASE!$A:$B,2,0)</f>
        <v>ZOCALO 10CMS S-351 MATE</v>
      </c>
      <c r="D515" s="35" t="str">
        <f>VLOOKUP(B515,BASE!$A:$D,3,0)</f>
        <v>MATE</v>
      </c>
      <c r="E515" s="32" t="str">
        <f>VLOOKUP(B515,BASE!$A:$E,4,0)</f>
        <v>S-351</v>
      </c>
      <c r="F515" s="32">
        <v>1400</v>
      </c>
      <c r="G515" s="23">
        <f t="shared" si="16"/>
        <v>0.23333333333333334</v>
      </c>
      <c r="H515" s="29"/>
      <c r="I515" s="33" t="s">
        <v>955</v>
      </c>
    </row>
    <row r="516" spans="1:17" ht="20.25" customHeight="1" x14ac:dyDescent="0.25">
      <c r="A516" s="29">
        <v>10189</v>
      </c>
      <c r="B516" s="30" t="s">
        <v>584</v>
      </c>
      <c r="C516" s="31" t="str">
        <f>VLOOKUP(B516,BASE!$A:$B,2,0)</f>
        <v>U68 MATE</v>
      </c>
      <c r="D516" s="35" t="str">
        <f>VLOOKUP(B516,BASE!$A:$D,3,0)</f>
        <v>MATE</v>
      </c>
      <c r="E516" s="32" t="str">
        <f>VLOOKUP(B516,BASE!$A:$E,4,0)</f>
        <v>U-68</v>
      </c>
      <c r="F516" s="32">
        <v>1900</v>
      </c>
      <c r="G516" s="23">
        <f t="shared" ref="G516:G545" si="17">+F516/6000</f>
        <v>0.31666666666666665</v>
      </c>
      <c r="H516" s="29"/>
      <c r="I516" s="33" t="s">
        <v>984</v>
      </c>
    </row>
    <row r="517" spans="1:17" ht="20.25" customHeight="1" x14ac:dyDescent="0.25">
      <c r="A517" s="29">
        <v>10190</v>
      </c>
      <c r="B517" s="30" t="s">
        <v>764</v>
      </c>
      <c r="C517" s="31" t="str">
        <f>VLOOKUP(B517,BASE!$A:$B,2,0)</f>
        <v>RIEL OPTIGLASS SENCILLO SL-010 NEGRO</v>
      </c>
      <c r="D517" s="35" t="str">
        <f>VLOOKUP(B517,BASE!$A:$D,3,0)</f>
        <v>NEGRO</v>
      </c>
      <c r="E517" s="32" t="str">
        <f>VLOOKUP(B517,BASE!$A:$E,4,0)</f>
        <v>SL-010</v>
      </c>
      <c r="F517" s="32">
        <v>1900</v>
      </c>
      <c r="G517" s="23">
        <f t="shared" si="17"/>
        <v>0.31666666666666665</v>
      </c>
      <c r="H517" s="29"/>
      <c r="I517" s="33" t="s">
        <v>955</v>
      </c>
    </row>
    <row r="518" spans="1:17" ht="20.25" customHeight="1" x14ac:dyDescent="0.25">
      <c r="A518" s="29">
        <v>10191</v>
      </c>
      <c r="B518" s="30" t="s">
        <v>145</v>
      </c>
      <c r="C518" s="31" t="str">
        <f>VLOOKUP(B518,BASE!$A:$B,2,0)</f>
        <v>5020 JAMBA 193 NEGRO</v>
      </c>
      <c r="D518" s="35" t="str">
        <f>VLOOKUP(B518,BASE!$A:$D,3,0)</f>
        <v>NEGRO</v>
      </c>
      <c r="E518" s="32">
        <f>VLOOKUP(B518,BASE!$A:$E,4,0)</f>
        <v>193</v>
      </c>
      <c r="F518" s="32">
        <v>2100</v>
      </c>
      <c r="G518" s="23">
        <f t="shared" si="17"/>
        <v>0.35</v>
      </c>
      <c r="H518" s="29"/>
      <c r="I518" s="33" t="s">
        <v>959</v>
      </c>
    </row>
    <row r="519" spans="1:17" ht="20.25" customHeight="1" x14ac:dyDescent="0.25">
      <c r="A519" s="29">
        <v>10195</v>
      </c>
      <c r="B519" s="30" t="s">
        <v>123</v>
      </c>
      <c r="C519" s="31" t="str">
        <f>VLOOKUP(B519,BASE!$A:$B,2,0)</f>
        <v>3831 SILLAR CABEZAL 173 NEGRO</v>
      </c>
      <c r="D519" s="35" t="str">
        <f>VLOOKUP(B519,BASE!$A:$D,3,0)</f>
        <v>NEGRO</v>
      </c>
      <c r="E519" s="32">
        <f>VLOOKUP(B519,BASE!$A:$E,4,0)</f>
        <v>173</v>
      </c>
      <c r="F519" s="32">
        <v>800</v>
      </c>
      <c r="G519" s="23">
        <f t="shared" si="17"/>
        <v>0.13333333333333333</v>
      </c>
      <c r="H519" s="29"/>
      <c r="I519" s="33" t="s">
        <v>969</v>
      </c>
    </row>
    <row r="520" spans="1:17" ht="20.25" customHeight="1" x14ac:dyDescent="0.25">
      <c r="A520" s="29">
        <v>10197</v>
      </c>
      <c r="B520" s="30" t="s">
        <v>469</v>
      </c>
      <c r="C520" s="31" t="str">
        <f>VLOOKUP(B520,BASE!$A:$B,2,0)</f>
        <v>RIEL DUCASSE 1764 MATE</v>
      </c>
      <c r="D520" s="35" t="str">
        <f>VLOOKUP(B520,BASE!$A:$D,3,0)</f>
        <v>MATE</v>
      </c>
      <c r="E520" s="32">
        <f>VLOOKUP(B520,BASE!$A:$E,4,0)</f>
        <v>1764</v>
      </c>
      <c r="F520" s="32">
        <v>3600</v>
      </c>
      <c r="G520" s="23">
        <f t="shared" si="17"/>
        <v>0.6</v>
      </c>
      <c r="H520" s="29"/>
      <c r="I520" s="33" t="s">
        <v>963</v>
      </c>
    </row>
    <row r="521" spans="1:17" ht="20.25" customHeight="1" x14ac:dyDescent="0.25">
      <c r="A521" s="29">
        <v>10199</v>
      </c>
      <c r="B521" s="30" t="s">
        <v>174</v>
      </c>
      <c r="C521" s="31" t="str">
        <f>VLOOKUP(B521,BASE!$A:$B,2,0)</f>
        <v>3831 PISAVIDRIO 177 MATE</v>
      </c>
      <c r="D521" s="35" t="str">
        <f>VLOOKUP(B521,BASE!$A:$D,3,0)</f>
        <v>MATE</v>
      </c>
      <c r="E521" s="32">
        <f>VLOOKUP(B521,BASE!$A:$E,4,0)</f>
        <v>177</v>
      </c>
      <c r="F521" s="32">
        <v>4500</v>
      </c>
      <c r="G521" s="23">
        <f t="shared" si="17"/>
        <v>0.75</v>
      </c>
      <c r="H521" s="29">
        <v>3811</v>
      </c>
      <c r="I521" s="33" t="s">
        <v>962</v>
      </c>
    </row>
    <row r="522" spans="1:17" ht="20.25" customHeight="1" x14ac:dyDescent="0.25">
      <c r="A522" s="75">
        <v>10200</v>
      </c>
      <c r="B522" s="76" t="s">
        <v>72</v>
      </c>
      <c r="C522" s="77" t="str">
        <f>VLOOKUP(B522,BASE!$A:$B,2,0)</f>
        <v>ANGULO IRREGULAR A-46 MATE</v>
      </c>
      <c r="D522" s="78" t="str">
        <f>VLOOKUP(B522,BASE!$A:$D,3,0)</f>
        <v>MATE</v>
      </c>
      <c r="E522" s="79" t="str">
        <f>VLOOKUP(B522,BASE!$A:$E,4,0)</f>
        <v>A-46</v>
      </c>
      <c r="F522" s="79">
        <v>3500</v>
      </c>
      <c r="G522" s="80">
        <f t="shared" si="17"/>
        <v>0.58333333333333337</v>
      </c>
      <c r="H522" s="75"/>
      <c r="I522" s="81" t="s">
        <v>958</v>
      </c>
    </row>
    <row r="523" spans="1:17" ht="20.25" customHeight="1" x14ac:dyDescent="0.25">
      <c r="A523" s="29">
        <v>10202</v>
      </c>
      <c r="B523" s="30" t="s">
        <v>599</v>
      </c>
      <c r="C523" s="31" t="str">
        <f>VLOOKUP(B523,BASE!$A:$B,2,0)</f>
        <v>TUBULAR T-76 CRUDO</v>
      </c>
      <c r="D523" s="35" t="str">
        <f>VLOOKUP(B523,BASE!$A:$D,3,0)</f>
        <v xml:space="preserve">CRUDO </v>
      </c>
      <c r="E523" s="32" t="str">
        <f>VLOOKUP(B523,BASE!$A:$E,4,0)</f>
        <v>T-76</v>
      </c>
      <c r="F523" s="32">
        <v>5200</v>
      </c>
      <c r="G523" s="23">
        <f t="shared" si="17"/>
        <v>0.8666666666666667</v>
      </c>
      <c r="H523" s="29">
        <v>23772</v>
      </c>
      <c r="I523" s="33" t="s">
        <v>1266</v>
      </c>
    </row>
    <row r="524" spans="1:17" ht="20.25" customHeight="1" x14ac:dyDescent="0.25">
      <c r="A524" s="29">
        <v>10205</v>
      </c>
      <c r="B524" s="30" t="s">
        <v>176</v>
      </c>
      <c r="C524" s="31" t="str">
        <f>VLOOKUP(B524,BASE!$A:$B,2,0)</f>
        <v>ANGULO IRREGULAR A-46 BRONCE</v>
      </c>
      <c r="D524" s="35" t="str">
        <f>VLOOKUP(B524,BASE!$A:$D,3,0)</f>
        <v>BRONCE</v>
      </c>
      <c r="E524" s="32" t="str">
        <f>VLOOKUP(B524,BASE!$A:$E,4,0)</f>
        <v>A-46</v>
      </c>
      <c r="F524" s="32">
        <v>3100</v>
      </c>
      <c r="G524" s="23">
        <f t="shared" si="17"/>
        <v>0.51666666666666672</v>
      </c>
      <c r="H524" s="29"/>
      <c r="I524" s="33" t="s">
        <v>955</v>
      </c>
    </row>
    <row r="525" spans="1:17" ht="20.25" customHeight="1" x14ac:dyDescent="0.25">
      <c r="A525" s="29">
        <v>10208</v>
      </c>
      <c r="B525" s="30" t="s">
        <v>91</v>
      </c>
      <c r="C525" s="31" t="str">
        <f>VLOOKUP(B525,BASE!$A:$B,2,0)</f>
        <v>SILLAR CABINA S-201 MATE</v>
      </c>
      <c r="D525" s="35" t="str">
        <f>VLOOKUP(B525,BASE!$A:$D,3,0)</f>
        <v>MATE</v>
      </c>
      <c r="E525" s="32" t="str">
        <f>VLOOKUP(B525,BASE!$A:$E,4,0)</f>
        <v>S-201</v>
      </c>
      <c r="F525" s="32">
        <v>6000</v>
      </c>
      <c r="G525" s="23">
        <f t="shared" si="17"/>
        <v>1</v>
      </c>
      <c r="H525" s="29">
        <v>23769</v>
      </c>
      <c r="I525" s="33" t="s">
        <v>957</v>
      </c>
      <c r="Q525" s="36">
        <v>1274</v>
      </c>
    </row>
    <row r="526" spans="1:17" ht="20.25" customHeight="1" x14ac:dyDescent="0.25">
      <c r="A526" s="29">
        <v>10209</v>
      </c>
      <c r="B526" s="30" t="s">
        <v>115</v>
      </c>
      <c r="C526" s="31" t="str">
        <f>VLOOKUP(B526,BASE!$A:$B,2,0)</f>
        <v>3831 ADAPTADOR 175 MATE</v>
      </c>
      <c r="D526" s="35" t="str">
        <f>VLOOKUP(B526,BASE!$A:$D,3,0)</f>
        <v>MATE</v>
      </c>
      <c r="E526" s="32">
        <f>VLOOKUP(B526,BASE!$A:$E,4,0)</f>
        <v>175</v>
      </c>
      <c r="F526" s="32">
        <v>6000</v>
      </c>
      <c r="G526" s="23">
        <f t="shared" si="17"/>
        <v>1</v>
      </c>
      <c r="H526" s="29"/>
      <c r="I526" s="33" t="s">
        <v>957</v>
      </c>
    </row>
    <row r="527" spans="1:17" ht="20.25" customHeight="1" x14ac:dyDescent="0.25">
      <c r="A527" s="75">
        <v>10210</v>
      </c>
      <c r="B527" s="76" t="s">
        <v>72</v>
      </c>
      <c r="C527" s="77" t="str">
        <f>VLOOKUP(B527,BASE!$A:$B,2,0)</f>
        <v>ANGULO IRREGULAR A-46 MATE</v>
      </c>
      <c r="D527" s="78" t="str">
        <f>VLOOKUP(B527,BASE!$A:$D,3,0)</f>
        <v>MATE</v>
      </c>
      <c r="E527" s="79" t="str">
        <f>VLOOKUP(B527,BASE!$A:$E,4,0)</f>
        <v>A-46</v>
      </c>
      <c r="F527" s="79">
        <v>6000</v>
      </c>
      <c r="G527" s="80">
        <f t="shared" si="17"/>
        <v>1</v>
      </c>
      <c r="H527" s="75"/>
      <c r="I527" s="81" t="s">
        <v>958</v>
      </c>
    </row>
    <row r="528" spans="1:17" ht="20.25" customHeight="1" x14ac:dyDescent="0.25">
      <c r="A528" s="75">
        <v>10211</v>
      </c>
      <c r="B528" s="76" t="s">
        <v>72</v>
      </c>
      <c r="C528" s="77" t="str">
        <f>VLOOKUP(B528,BASE!$A:$B,2,0)</f>
        <v>ANGULO IRREGULAR A-46 MATE</v>
      </c>
      <c r="D528" s="78" t="str">
        <f>VLOOKUP(B528,BASE!$A:$D,3,0)</f>
        <v>MATE</v>
      </c>
      <c r="E528" s="79" t="str">
        <f>VLOOKUP(B528,BASE!$A:$E,4,0)</f>
        <v>A-46</v>
      </c>
      <c r="F528" s="79">
        <v>6000</v>
      </c>
      <c r="G528" s="80">
        <f t="shared" si="17"/>
        <v>1</v>
      </c>
      <c r="H528" s="75"/>
      <c r="I528" s="81" t="s">
        <v>958</v>
      </c>
    </row>
    <row r="529" spans="1:9" ht="20.25" customHeight="1" x14ac:dyDescent="0.25">
      <c r="A529" s="75">
        <v>10212</v>
      </c>
      <c r="B529" s="76" t="s">
        <v>72</v>
      </c>
      <c r="C529" s="77" t="str">
        <f>VLOOKUP(B529,BASE!$A:$B,2,0)</f>
        <v>ANGULO IRREGULAR A-46 MATE</v>
      </c>
      <c r="D529" s="78" t="str">
        <f>VLOOKUP(B529,BASE!$A:$D,3,0)</f>
        <v>MATE</v>
      </c>
      <c r="E529" s="79" t="str">
        <f>VLOOKUP(B529,BASE!$A:$E,4,0)</f>
        <v>A-46</v>
      </c>
      <c r="F529" s="79">
        <v>6000</v>
      </c>
      <c r="G529" s="80">
        <f t="shared" si="17"/>
        <v>1</v>
      </c>
      <c r="H529" s="75"/>
      <c r="I529" s="81" t="s">
        <v>958</v>
      </c>
    </row>
    <row r="530" spans="1:9" ht="20.25" customHeight="1" x14ac:dyDescent="0.25">
      <c r="A530" s="29">
        <v>10213</v>
      </c>
      <c r="B530" s="30" t="s">
        <v>584</v>
      </c>
      <c r="C530" s="31" t="str">
        <f>VLOOKUP(B530,BASE!$A:$B,2,0)</f>
        <v>U68 MATE</v>
      </c>
      <c r="D530" s="35" t="str">
        <f>VLOOKUP(B530,BASE!$A:$D,3,0)</f>
        <v>MATE</v>
      </c>
      <c r="E530" s="32" t="str">
        <f>VLOOKUP(B530,BASE!$A:$E,4,0)</f>
        <v>U-68</v>
      </c>
      <c r="F530" s="32">
        <v>6000</v>
      </c>
      <c r="G530" s="23">
        <f t="shared" si="17"/>
        <v>1</v>
      </c>
      <c r="H530" s="29"/>
      <c r="I530" s="33" t="s">
        <v>958</v>
      </c>
    </row>
    <row r="531" spans="1:9" ht="20.25" customHeight="1" x14ac:dyDescent="0.25">
      <c r="A531" s="29">
        <v>10214</v>
      </c>
      <c r="B531" s="30" t="s">
        <v>584</v>
      </c>
      <c r="C531" s="31" t="str">
        <f>VLOOKUP(B531,BASE!$A:$B,2,0)</f>
        <v>U68 MATE</v>
      </c>
      <c r="D531" s="35" t="str">
        <f>VLOOKUP(B531,BASE!$A:$D,3,0)</f>
        <v>MATE</v>
      </c>
      <c r="E531" s="32" t="str">
        <f>VLOOKUP(B531,BASE!$A:$E,4,0)</f>
        <v>U-68</v>
      </c>
      <c r="F531" s="32">
        <v>6000</v>
      </c>
      <c r="G531" s="23">
        <f t="shared" si="17"/>
        <v>1</v>
      </c>
      <c r="H531" s="29"/>
      <c r="I531" s="33" t="s">
        <v>958</v>
      </c>
    </row>
    <row r="532" spans="1:9" ht="20.25" customHeight="1" x14ac:dyDescent="0.25">
      <c r="A532" s="29">
        <v>10215</v>
      </c>
      <c r="B532" s="30" t="s">
        <v>584</v>
      </c>
      <c r="C532" s="31" t="str">
        <f>VLOOKUP(B532,BASE!$A:$B,2,0)</f>
        <v>U68 MATE</v>
      </c>
      <c r="D532" s="35" t="str">
        <f>VLOOKUP(B532,BASE!$A:$D,3,0)</f>
        <v>MATE</v>
      </c>
      <c r="E532" s="32" t="str">
        <f>VLOOKUP(B532,BASE!$A:$E,4,0)</f>
        <v>U-68</v>
      </c>
      <c r="F532" s="32">
        <v>6000</v>
      </c>
      <c r="G532" s="23">
        <f t="shared" si="17"/>
        <v>1</v>
      </c>
      <c r="H532" s="29"/>
      <c r="I532" s="33" t="s">
        <v>958</v>
      </c>
    </row>
    <row r="533" spans="1:9" ht="20.25" customHeight="1" x14ac:dyDescent="0.25">
      <c r="A533" s="29">
        <v>10217</v>
      </c>
      <c r="B533" s="30" t="s">
        <v>155</v>
      </c>
      <c r="C533" s="31" t="str">
        <f>VLOOKUP(B533,BASE!$A:$B,2,0)</f>
        <v>U32 MATE</v>
      </c>
      <c r="D533" s="35" t="str">
        <f>VLOOKUP(B533,BASE!$A:$D,3,0)</f>
        <v>MATE</v>
      </c>
      <c r="E533" s="32" t="str">
        <f>VLOOKUP(B533,BASE!$A:$E,4,0)</f>
        <v>U-32</v>
      </c>
      <c r="F533" s="32">
        <v>6000</v>
      </c>
      <c r="G533" s="23">
        <f t="shared" si="17"/>
        <v>1</v>
      </c>
      <c r="H533" s="29"/>
      <c r="I533" s="33" t="s">
        <v>958</v>
      </c>
    </row>
    <row r="534" spans="1:9" ht="20.25" customHeight="1" x14ac:dyDescent="0.25">
      <c r="A534" s="75">
        <v>10225</v>
      </c>
      <c r="B534" s="76" t="s">
        <v>72</v>
      </c>
      <c r="C534" s="77" t="str">
        <f>VLOOKUP(B534,BASE!$A:$B,2,0)</f>
        <v>ANGULO IRREGULAR A-46 MATE</v>
      </c>
      <c r="D534" s="78" t="str">
        <f>VLOOKUP(B534,BASE!$A:$D,3,0)</f>
        <v>MATE</v>
      </c>
      <c r="E534" s="79" t="str">
        <f>VLOOKUP(B534,BASE!$A:$E,4,0)</f>
        <v>A-46</v>
      </c>
      <c r="F534" s="79">
        <v>6000</v>
      </c>
      <c r="G534" s="80">
        <f t="shared" si="17"/>
        <v>1</v>
      </c>
      <c r="H534" s="75"/>
      <c r="I534" s="81" t="s">
        <v>958</v>
      </c>
    </row>
    <row r="535" spans="1:9" ht="20.25" customHeight="1" x14ac:dyDescent="0.25">
      <c r="A535" s="75">
        <v>10226</v>
      </c>
      <c r="B535" s="76" t="s">
        <v>72</v>
      </c>
      <c r="C535" s="77" t="str">
        <f>VLOOKUP(B535,BASE!$A:$B,2,0)</f>
        <v>ANGULO IRREGULAR A-46 MATE</v>
      </c>
      <c r="D535" s="78" t="str">
        <f>VLOOKUP(B535,BASE!$A:$D,3,0)</f>
        <v>MATE</v>
      </c>
      <c r="E535" s="79" t="str">
        <f>VLOOKUP(B535,BASE!$A:$E,4,0)</f>
        <v>A-46</v>
      </c>
      <c r="F535" s="79">
        <v>6000</v>
      </c>
      <c r="G535" s="80">
        <f t="shared" si="17"/>
        <v>1</v>
      </c>
      <c r="H535" s="75"/>
      <c r="I535" s="81" t="s">
        <v>958</v>
      </c>
    </row>
    <row r="536" spans="1:9" ht="20.25" customHeight="1" x14ac:dyDescent="0.25">
      <c r="A536" s="29">
        <v>10227</v>
      </c>
      <c r="B536" s="30" t="s">
        <v>315</v>
      </c>
      <c r="C536" s="31" t="str">
        <f>VLOOKUP(B536,BASE!$A:$B,2,0)</f>
        <v>ANGULO IRREGULAR A-46 NEGRO</v>
      </c>
      <c r="D536" s="35" t="str">
        <f>VLOOKUP(B536,BASE!$A:$D,3,0)</f>
        <v>NEGRO</v>
      </c>
      <c r="E536" s="32" t="str">
        <f>VLOOKUP(B536,BASE!$A:$E,4,0)</f>
        <v>A-46</v>
      </c>
      <c r="F536" s="32">
        <v>1400</v>
      </c>
      <c r="G536" s="23">
        <f t="shared" si="17"/>
        <v>0.23333333333333334</v>
      </c>
      <c r="H536" s="29"/>
      <c r="I536" s="33" t="s">
        <v>984</v>
      </c>
    </row>
    <row r="537" spans="1:9" ht="20.25" customHeight="1" x14ac:dyDescent="0.25">
      <c r="A537" s="29">
        <v>10230</v>
      </c>
      <c r="B537" s="30" t="s">
        <v>187</v>
      </c>
      <c r="C537" s="31" t="str">
        <f>VLOOKUP(B537,BASE!$A:$B,2,0)</f>
        <v>3831 JAMBA 174 NEGRO</v>
      </c>
      <c r="D537" s="35" t="str">
        <f>VLOOKUP(B537,BASE!$A:$D,3,0)</f>
        <v>NEGRO</v>
      </c>
      <c r="E537" s="32">
        <f>VLOOKUP(B537,BASE!$A:$E,4,0)</f>
        <v>174</v>
      </c>
      <c r="F537" s="32">
        <v>6000</v>
      </c>
      <c r="G537" s="23">
        <f t="shared" si="17"/>
        <v>1</v>
      </c>
      <c r="H537" s="29">
        <v>23771</v>
      </c>
      <c r="I537" s="33" t="s">
        <v>956</v>
      </c>
    </row>
    <row r="538" spans="1:9" ht="20.25" customHeight="1" x14ac:dyDescent="0.25">
      <c r="A538" s="29">
        <v>10231</v>
      </c>
      <c r="B538" s="30" t="s">
        <v>187</v>
      </c>
      <c r="C538" s="31" t="str">
        <f>VLOOKUP(B538,BASE!$A:$B,2,0)</f>
        <v>3831 JAMBA 174 NEGRO</v>
      </c>
      <c r="D538" s="35" t="str">
        <f>VLOOKUP(B538,BASE!$A:$D,3,0)</f>
        <v>NEGRO</v>
      </c>
      <c r="E538" s="32">
        <f>VLOOKUP(B538,BASE!$A:$E,4,0)</f>
        <v>174</v>
      </c>
      <c r="F538" s="32">
        <v>6000</v>
      </c>
      <c r="G538" s="23">
        <f t="shared" si="17"/>
        <v>1</v>
      </c>
      <c r="H538" s="29">
        <v>23634</v>
      </c>
      <c r="I538" s="33" t="s">
        <v>956</v>
      </c>
    </row>
    <row r="539" spans="1:9" ht="20.25" customHeight="1" x14ac:dyDescent="0.25">
      <c r="A539" s="29">
        <v>10232</v>
      </c>
      <c r="B539" s="30" t="s">
        <v>185</v>
      </c>
      <c r="C539" s="31" t="str">
        <f>VLOOKUP(B539,BASE!$A:$B,2,0)</f>
        <v>PERSIANA 315 NEGRO</v>
      </c>
      <c r="D539" s="35" t="str">
        <f>VLOOKUP(B539,BASE!$A:$D,3,0)</f>
        <v>NEGRO</v>
      </c>
      <c r="E539" s="32">
        <f>VLOOKUP(B539,BASE!$A:$E,4,0)</f>
        <v>315</v>
      </c>
      <c r="F539" s="32">
        <v>6000</v>
      </c>
      <c r="G539" s="23">
        <f t="shared" si="17"/>
        <v>1</v>
      </c>
      <c r="H539" s="29"/>
      <c r="I539" s="33" t="s">
        <v>956</v>
      </c>
    </row>
    <row r="540" spans="1:9" ht="20.25" customHeight="1" x14ac:dyDescent="0.25">
      <c r="A540" s="29">
        <v>10233</v>
      </c>
      <c r="B540" s="30" t="s">
        <v>185</v>
      </c>
      <c r="C540" s="31" t="str">
        <f>VLOOKUP(B540,BASE!$A:$B,2,0)</f>
        <v>PERSIANA 315 NEGRO</v>
      </c>
      <c r="D540" s="35" t="str">
        <f>VLOOKUP(B540,BASE!$A:$D,3,0)</f>
        <v>NEGRO</v>
      </c>
      <c r="E540" s="32">
        <f>VLOOKUP(B540,BASE!$A:$E,4,0)</f>
        <v>315</v>
      </c>
      <c r="F540" s="32">
        <v>6000</v>
      </c>
      <c r="G540" s="23">
        <f t="shared" si="17"/>
        <v>1</v>
      </c>
      <c r="H540" s="29"/>
      <c r="I540" s="33" t="s">
        <v>956</v>
      </c>
    </row>
    <row r="541" spans="1:9" ht="20.25" customHeight="1" x14ac:dyDescent="0.25">
      <c r="A541" s="29">
        <v>10234</v>
      </c>
      <c r="B541" s="30" t="s">
        <v>185</v>
      </c>
      <c r="C541" s="31" t="str">
        <f>VLOOKUP(B541,BASE!$A:$B,2,0)</f>
        <v>PERSIANA 315 NEGRO</v>
      </c>
      <c r="D541" s="35" t="str">
        <f>VLOOKUP(B541,BASE!$A:$D,3,0)</f>
        <v>NEGRO</v>
      </c>
      <c r="E541" s="32">
        <f>VLOOKUP(B541,BASE!$A:$E,4,0)</f>
        <v>315</v>
      </c>
      <c r="F541" s="32">
        <v>6000</v>
      </c>
      <c r="G541" s="23">
        <f t="shared" si="17"/>
        <v>1</v>
      </c>
      <c r="H541" s="29"/>
      <c r="I541" s="33" t="s">
        <v>956</v>
      </c>
    </row>
    <row r="542" spans="1:9" ht="20.25" customHeight="1" x14ac:dyDescent="0.25">
      <c r="A542" s="29">
        <v>10235</v>
      </c>
      <c r="B542" s="30" t="s">
        <v>185</v>
      </c>
      <c r="C542" s="31" t="str">
        <f>VLOOKUP(B542,BASE!$A:$B,2,0)</f>
        <v>PERSIANA 315 NEGRO</v>
      </c>
      <c r="D542" s="35" t="str">
        <f>VLOOKUP(B542,BASE!$A:$D,3,0)</f>
        <v>NEGRO</v>
      </c>
      <c r="E542" s="32">
        <f>VLOOKUP(B542,BASE!$A:$E,4,0)</f>
        <v>315</v>
      </c>
      <c r="F542" s="32">
        <v>6000</v>
      </c>
      <c r="G542" s="23">
        <f t="shared" si="17"/>
        <v>1</v>
      </c>
      <c r="H542" s="29"/>
      <c r="I542" s="33" t="s">
        <v>956</v>
      </c>
    </row>
    <row r="543" spans="1:9" ht="20.25" customHeight="1" x14ac:dyDescent="0.25">
      <c r="A543" s="29">
        <v>10237</v>
      </c>
      <c r="B543" s="30" t="s">
        <v>168</v>
      </c>
      <c r="C543" s="31" t="str">
        <f>VLOOKUP(B543,BASE!$A:$B,2,0)</f>
        <v>3831 PISAVIDRIO 177 NEGRO</v>
      </c>
      <c r="D543" s="35" t="str">
        <f>VLOOKUP(B543,BASE!$A:$D,3,0)</f>
        <v>NEGRO</v>
      </c>
      <c r="E543" s="32">
        <f>VLOOKUP(B543,BASE!$A:$E,4,0)</f>
        <v>177</v>
      </c>
      <c r="F543" s="32">
        <v>6000</v>
      </c>
      <c r="G543" s="23">
        <f t="shared" si="17"/>
        <v>1</v>
      </c>
      <c r="H543" s="29">
        <v>23771</v>
      </c>
      <c r="I543" s="33" t="s">
        <v>956</v>
      </c>
    </row>
    <row r="544" spans="1:9" ht="20.25" customHeight="1" x14ac:dyDescent="0.25">
      <c r="A544" s="29">
        <v>10239</v>
      </c>
      <c r="B544" s="30" t="s">
        <v>125</v>
      </c>
      <c r="C544" s="31" t="str">
        <f>VLOOKUP(B544,BASE!$A:$B,2,0)</f>
        <v>3831 DIVISOR 292 NEGRO</v>
      </c>
      <c r="D544" s="35" t="str">
        <f>VLOOKUP(B544,BASE!$A:$D,3,0)</f>
        <v>NEGRO</v>
      </c>
      <c r="E544" s="32">
        <f>VLOOKUP(B544,BASE!$A:$E,4,0)</f>
        <v>292</v>
      </c>
      <c r="F544" s="32">
        <v>6000</v>
      </c>
      <c r="G544" s="23">
        <f t="shared" si="17"/>
        <v>1</v>
      </c>
      <c r="H544" s="29"/>
      <c r="I544" s="33" t="s">
        <v>956</v>
      </c>
    </row>
    <row r="545" spans="1:9" ht="20.25" customHeight="1" x14ac:dyDescent="0.25">
      <c r="A545" s="29">
        <v>10240</v>
      </c>
      <c r="B545" s="30" t="s">
        <v>303</v>
      </c>
      <c r="C545" s="31" t="str">
        <f>VLOOKUP(B545,BASE!$A:$B,2,0)</f>
        <v>ALFAJIA 413 NEGRA</v>
      </c>
      <c r="D545" s="35" t="str">
        <f>VLOOKUP(B545,BASE!$A:$D,3,0)</f>
        <v>NEGRO</v>
      </c>
      <c r="E545" s="32">
        <f>VLOOKUP(B545,BASE!$A:$E,4,0)</f>
        <v>413</v>
      </c>
      <c r="F545" s="32">
        <v>6000</v>
      </c>
      <c r="G545" s="23">
        <f t="shared" si="17"/>
        <v>1</v>
      </c>
      <c r="H545" s="29"/>
      <c r="I545" s="33" t="s">
        <v>956</v>
      </c>
    </row>
    <row r="546" spans="1:9" ht="20.25" customHeight="1" x14ac:dyDescent="0.25">
      <c r="A546" s="29">
        <v>10241</v>
      </c>
      <c r="B546" s="30" t="s">
        <v>502</v>
      </c>
      <c r="C546" s="31" t="str">
        <f>VLOOKUP(B546,BASE!$A:$B,2,0)</f>
        <v>8025 SILLAR 150 NEGRO</v>
      </c>
      <c r="D546" s="35" t="str">
        <f>VLOOKUP(B546,BASE!$A:$D,3,0)</f>
        <v>NEGRO</v>
      </c>
      <c r="E546" s="32">
        <f>VLOOKUP(B546,BASE!$A:$E,4,0)</f>
        <v>150</v>
      </c>
      <c r="F546" s="32">
        <v>6000</v>
      </c>
      <c r="G546" s="23">
        <f t="shared" ref="G546:G548" si="18">+F546/6000</f>
        <v>1</v>
      </c>
      <c r="H546" s="29"/>
      <c r="I546" s="33" t="s">
        <v>956</v>
      </c>
    </row>
    <row r="547" spans="1:9" ht="20.25" customHeight="1" x14ac:dyDescent="0.25">
      <c r="A547" s="29">
        <v>10242</v>
      </c>
      <c r="B547" s="30" t="s">
        <v>341</v>
      </c>
      <c r="C547" s="31" t="str">
        <f>VLOOKUP(B547,BASE!$A:$B,2,0)</f>
        <v>8025 CABEZAL 151 NEGRO</v>
      </c>
      <c r="D547" s="35" t="str">
        <f>VLOOKUP(B547,BASE!$A:$D,3,0)</f>
        <v>NEGRO</v>
      </c>
      <c r="E547" s="32">
        <f>VLOOKUP(B547,BASE!$A:$E,4,0)</f>
        <v>151</v>
      </c>
      <c r="F547" s="32">
        <v>6000</v>
      </c>
      <c r="G547" s="23">
        <f t="shared" si="18"/>
        <v>1</v>
      </c>
      <c r="H547" s="29"/>
      <c r="I547" s="33" t="s">
        <v>956</v>
      </c>
    </row>
    <row r="548" spans="1:9" ht="20.25" customHeight="1" x14ac:dyDescent="0.25">
      <c r="A548" s="29">
        <v>10243</v>
      </c>
      <c r="B548" s="30" t="s">
        <v>137</v>
      </c>
      <c r="C548" s="31" t="str">
        <f>VLOOKUP(B548,BASE!$A:$B,2,0)</f>
        <v>8025 TRASLAPE 190 NEGRO</v>
      </c>
      <c r="D548" s="35" t="str">
        <f>VLOOKUP(B548,BASE!$A:$D,3,0)</f>
        <v>NEGRO</v>
      </c>
      <c r="E548" s="32">
        <f>VLOOKUP(B548,BASE!$A:$E,4,0)</f>
        <v>190</v>
      </c>
      <c r="F548" s="32">
        <v>4800</v>
      </c>
      <c r="G548" s="23">
        <f t="shared" si="18"/>
        <v>0.8</v>
      </c>
      <c r="H548" s="29"/>
      <c r="I548" s="33" t="s">
        <v>962</v>
      </c>
    </row>
    <row r="549" spans="1:9" ht="20.25" customHeight="1" x14ac:dyDescent="0.25">
      <c r="A549" s="29">
        <v>10244</v>
      </c>
      <c r="B549" s="30" t="s">
        <v>377</v>
      </c>
      <c r="C549" s="31" t="str">
        <f>VLOOKUP(B549,BASE!$A:$B,2,0)</f>
        <v>8025 ENGANCHE 191 NEGRO</v>
      </c>
      <c r="D549" s="35" t="str">
        <f>VLOOKUP(B549,BASE!$A:$D,3,0)</f>
        <v>NEGRO</v>
      </c>
      <c r="E549" s="32">
        <f>VLOOKUP(B549,BASE!$A:$E,4,0)</f>
        <v>191</v>
      </c>
      <c r="F549" s="32">
        <v>4800</v>
      </c>
      <c r="G549" s="23">
        <f t="shared" ref="G549:G552" si="19">+F549/6000</f>
        <v>0.8</v>
      </c>
      <c r="H549" s="29"/>
      <c r="I549" s="33" t="s">
        <v>962</v>
      </c>
    </row>
    <row r="550" spans="1:9" ht="20.25" customHeight="1" x14ac:dyDescent="0.25">
      <c r="A550" s="29">
        <v>10246</v>
      </c>
      <c r="B550" s="30" t="s">
        <v>185</v>
      </c>
      <c r="C550" s="31" t="str">
        <f>VLOOKUP(B550,BASE!$A:$B,2,0)</f>
        <v>PERSIANA 315 NEGRO</v>
      </c>
      <c r="D550" s="35" t="str">
        <f>VLOOKUP(B550,BASE!$A:$D,3,0)</f>
        <v>NEGRO</v>
      </c>
      <c r="E550" s="32">
        <f>VLOOKUP(B550,BASE!$A:$E,4,0)</f>
        <v>315</v>
      </c>
      <c r="F550" s="32">
        <v>4000</v>
      </c>
      <c r="G550" s="23">
        <f t="shared" si="19"/>
        <v>0.66666666666666663</v>
      </c>
      <c r="H550" s="29"/>
      <c r="I550" s="33" t="s">
        <v>962</v>
      </c>
    </row>
    <row r="551" spans="1:9" ht="20.25" customHeight="1" x14ac:dyDescent="0.25">
      <c r="A551" s="29">
        <v>10249</v>
      </c>
      <c r="B551" s="30" t="s">
        <v>125</v>
      </c>
      <c r="C551" s="31" t="str">
        <f>VLOOKUP(B551,BASE!$A:$B,2,0)</f>
        <v>3831 DIVISOR 292 NEGRO</v>
      </c>
      <c r="D551" s="35" t="str">
        <f>VLOOKUP(B551,BASE!$A:$D,3,0)</f>
        <v>NEGRO</v>
      </c>
      <c r="E551" s="32">
        <f>VLOOKUP(B551,BASE!$A:$E,4,0)</f>
        <v>292</v>
      </c>
      <c r="F551" s="32">
        <v>3100</v>
      </c>
      <c r="G551" s="23">
        <f t="shared" si="19"/>
        <v>0.51666666666666672</v>
      </c>
      <c r="H551" s="29"/>
      <c r="I551" s="33" t="s">
        <v>959</v>
      </c>
    </row>
    <row r="552" spans="1:9" ht="20.25" customHeight="1" x14ac:dyDescent="0.25">
      <c r="A552" s="29">
        <v>10250</v>
      </c>
      <c r="B552" s="30" t="s">
        <v>128</v>
      </c>
      <c r="C552" s="31" t="str">
        <f>VLOOKUP(B552,BASE!$A:$B,2,0)</f>
        <v>8025 ADAPTADOR 158 NEGRO</v>
      </c>
      <c r="D552" s="35" t="str">
        <f>VLOOKUP(B552,BASE!$A:$D,3,0)</f>
        <v>NEGRO</v>
      </c>
      <c r="E552" s="32">
        <f>VLOOKUP(B552,BASE!$A:$E,4,0)</f>
        <v>158</v>
      </c>
      <c r="F552" s="32">
        <v>3700</v>
      </c>
      <c r="G552" s="23">
        <f t="shared" si="19"/>
        <v>0.6166666666666667</v>
      </c>
      <c r="H552" s="29"/>
      <c r="I552" s="33" t="s">
        <v>962</v>
      </c>
    </row>
    <row r="553" spans="1:9" ht="20.25" customHeight="1" x14ac:dyDescent="0.25">
      <c r="A553" s="29">
        <v>10251</v>
      </c>
      <c r="B553" s="30" t="s">
        <v>123</v>
      </c>
      <c r="C553" s="31" t="str">
        <f>VLOOKUP(B553,BASE!$A:$B,2,0)</f>
        <v>3831 SILLAR CABEZAL 173 NEGRO</v>
      </c>
      <c r="D553" s="35" t="str">
        <f>VLOOKUP(B553,BASE!$A:$D,3,0)</f>
        <v>NEGRO</v>
      </c>
      <c r="E553" s="32">
        <f>VLOOKUP(B553,BASE!$A:$E,4,0)</f>
        <v>173</v>
      </c>
      <c r="F553" s="32">
        <f>(0.68*33)*1000</f>
        <v>22440</v>
      </c>
      <c r="G553" s="23">
        <f t="shared" ref="G553:G572" si="20">+F553/6000</f>
        <v>3.74</v>
      </c>
      <c r="H553" s="29"/>
      <c r="I553" s="33" t="s">
        <v>969</v>
      </c>
    </row>
    <row r="554" spans="1:9" ht="20.25" customHeight="1" x14ac:dyDescent="0.25">
      <c r="A554" s="29">
        <v>10252</v>
      </c>
      <c r="B554" s="30"/>
      <c r="C554" s="31" t="e">
        <f>VLOOKUP(B554,BASE!$A:$B,2,0)</f>
        <v>#N/A</v>
      </c>
      <c r="D554" s="35" t="e">
        <f>VLOOKUP(B554,BASE!$A:$D,3,0)</f>
        <v>#N/A</v>
      </c>
      <c r="E554" s="32" t="e">
        <f>VLOOKUP(B554,BASE!$A:$E,4,0)</f>
        <v>#N/A</v>
      </c>
      <c r="F554" s="32"/>
      <c r="G554" s="23">
        <f t="shared" si="20"/>
        <v>0</v>
      </c>
      <c r="H554" s="29"/>
      <c r="I554" s="33"/>
    </row>
    <row r="555" spans="1:9" ht="20.25" customHeight="1" x14ac:dyDescent="0.25">
      <c r="A555" s="29">
        <v>10253</v>
      </c>
      <c r="B555" s="30"/>
      <c r="C555" s="31" t="e">
        <f>VLOOKUP(B555,BASE!$A:$B,2,0)</f>
        <v>#N/A</v>
      </c>
      <c r="D555" s="35" t="e">
        <f>VLOOKUP(B555,BASE!$A:$D,3,0)</f>
        <v>#N/A</v>
      </c>
      <c r="E555" s="32" t="e">
        <f>VLOOKUP(B555,BASE!$A:$E,4,0)</f>
        <v>#N/A</v>
      </c>
      <c r="F555" s="32"/>
      <c r="G555" s="23">
        <f t="shared" si="20"/>
        <v>0</v>
      </c>
      <c r="H555" s="29"/>
      <c r="I555" s="33"/>
    </row>
    <row r="556" spans="1:9" ht="20.25" customHeight="1" x14ac:dyDescent="0.25">
      <c r="A556" s="29">
        <v>10254</v>
      </c>
      <c r="B556" s="30"/>
      <c r="C556" s="31" t="e">
        <f>VLOOKUP(B556,BASE!$A:$B,2,0)</f>
        <v>#N/A</v>
      </c>
      <c r="D556" s="35" t="e">
        <f>VLOOKUP(B556,BASE!$A:$D,3,0)</f>
        <v>#N/A</v>
      </c>
      <c r="E556" s="32" t="e">
        <f>VLOOKUP(B556,BASE!$A:$E,4,0)</f>
        <v>#N/A</v>
      </c>
      <c r="F556" s="32"/>
      <c r="G556" s="23">
        <f t="shared" si="20"/>
        <v>0</v>
      </c>
      <c r="H556" s="29"/>
      <c r="I556" s="33"/>
    </row>
    <row r="557" spans="1:9" ht="20.25" customHeight="1" x14ac:dyDescent="0.25">
      <c r="A557" s="29">
        <v>10255</v>
      </c>
      <c r="B557" s="30"/>
      <c r="C557" s="31" t="e">
        <f>VLOOKUP(B557,BASE!$A:$B,2,0)</f>
        <v>#N/A</v>
      </c>
      <c r="D557" s="35" t="e">
        <f>VLOOKUP(B557,BASE!$A:$D,3,0)</f>
        <v>#N/A</v>
      </c>
      <c r="E557" s="32" t="e">
        <f>VLOOKUP(B557,BASE!$A:$E,4,0)</f>
        <v>#N/A</v>
      </c>
      <c r="F557" s="32"/>
      <c r="G557" s="23">
        <f t="shared" si="20"/>
        <v>0</v>
      </c>
      <c r="H557" s="29"/>
      <c r="I557" s="33"/>
    </row>
    <row r="558" spans="1:9" ht="20.25" customHeight="1" x14ac:dyDescent="0.25">
      <c r="A558" s="29">
        <v>10256</v>
      </c>
      <c r="B558" s="30"/>
      <c r="C558" s="31" t="e">
        <f>VLOOKUP(B558,BASE!$A:$B,2,0)</f>
        <v>#N/A</v>
      </c>
      <c r="D558" s="35" t="e">
        <f>VLOOKUP(B558,BASE!$A:$D,3,0)</f>
        <v>#N/A</v>
      </c>
      <c r="E558" s="32" t="e">
        <f>VLOOKUP(B558,BASE!$A:$E,4,0)</f>
        <v>#N/A</v>
      </c>
      <c r="F558" s="32"/>
      <c r="G558" s="23">
        <f t="shared" si="20"/>
        <v>0</v>
      </c>
      <c r="H558" s="29"/>
      <c r="I558" s="33"/>
    </row>
    <row r="559" spans="1:9" ht="20.25" customHeight="1" x14ac:dyDescent="0.25">
      <c r="A559" s="29">
        <v>10257</v>
      </c>
      <c r="B559" s="30"/>
      <c r="C559" s="31" t="e">
        <f>VLOOKUP(B559,BASE!$A:$B,2,0)</f>
        <v>#N/A</v>
      </c>
      <c r="D559" s="35" t="e">
        <f>VLOOKUP(B559,BASE!$A:$D,3,0)</f>
        <v>#N/A</v>
      </c>
      <c r="E559" s="32" t="e">
        <f>VLOOKUP(B559,BASE!$A:$E,4,0)</f>
        <v>#N/A</v>
      </c>
      <c r="F559" s="32"/>
      <c r="G559" s="23">
        <f t="shared" si="20"/>
        <v>0</v>
      </c>
      <c r="H559" s="29"/>
      <c r="I559" s="33"/>
    </row>
    <row r="560" spans="1:9" ht="20.25" customHeight="1" x14ac:dyDescent="0.25">
      <c r="A560" s="29">
        <v>10258</v>
      </c>
      <c r="B560" s="30"/>
      <c r="C560" s="31" t="e">
        <f>VLOOKUP(B560,BASE!$A:$B,2,0)</f>
        <v>#N/A</v>
      </c>
      <c r="D560" s="35" t="e">
        <f>VLOOKUP(B560,BASE!$A:$D,3,0)</f>
        <v>#N/A</v>
      </c>
      <c r="E560" s="32" t="e">
        <f>VLOOKUP(B560,BASE!$A:$E,4,0)</f>
        <v>#N/A</v>
      </c>
      <c r="F560" s="32"/>
      <c r="G560" s="23">
        <f t="shared" si="20"/>
        <v>0</v>
      </c>
      <c r="H560" s="29"/>
      <c r="I560" s="33"/>
    </row>
    <row r="561" spans="1:9" ht="20.25" customHeight="1" x14ac:dyDescent="0.25">
      <c r="A561" s="29">
        <v>10259</v>
      </c>
      <c r="B561" s="30"/>
      <c r="C561" s="31" t="e">
        <f>VLOOKUP(B561,BASE!$A:$B,2,0)</f>
        <v>#N/A</v>
      </c>
      <c r="D561" s="35" t="e">
        <f>VLOOKUP(B561,BASE!$A:$D,3,0)</f>
        <v>#N/A</v>
      </c>
      <c r="E561" s="32" t="e">
        <f>VLOOKUP(B561,BASE!$A:$E,4,0)</f>
        <v>#N/A</v>
      </c>
      <c r="F561" s="32"/>
      <c r="G561" s="23">
        <f t="shared" si="20"/>
        <v>0</v>
      </c>
      <c r="H561" s="29"/>
      <c r="I561" s="33"/>
    </row>
    <row r="562" spans="1:9" ht="20.25" customHeight="1" x14ac:dyDescent="0.25">
      <c r="A562" s="29">
        <v>10260</v>
      </c>
      <c r="B562" s="30"/>
      <c r="C562" s="31" t="e">
        <f>VLOOKUP(B562,BASE!$A:$B,2,0)</f>
        <v>#N/A</v>
      </c>
      <c r="D562" s="35" t="e">
        <f>VLOOKUP(B562,BASE!$A:$D,3,0)</f>
        <v>#N/A</v>
      </c>
      <c r="E562" s="32" t="e">
        <f>VLOOKUP(B562,BASE!$A:$E,4,0)</f>
        <v>#N/A</v>
      </c>
      <c r="F562" s="32"/>
      <c r="G562" s="23">
        <f t="shared" si="20"/>
        <v>0</v>
      </c>
      <c r="H562" s="29"/>
      <c r="I562" s="33"/>
    </row>
    <row r="563" spans="1:9" ht="20.25" customHeight="1" x14ac:dyDescent="0.25">
      <c r="A563" s="29">
        <v>10261</v>
      </c>
      <c r="B563" s="30"/>
      <c r="C563" s="31" t="e">
        <f>VLOOKUP(B563,BASE!$A:$B,2,0)</f>
        <v>#N/A</v>
      </c>
      <c r="D563" s="35" t="e">
        <f>VLOOKUP(B563,BASE!$A:$D,3,0)</f>
        <v>#N/A</v>
      </c>
      <c r="E563" s="32" t="e">
        <f>VLOOKUP(B563,BASE!$A:$E,4,0)</f>
        <v>#N/A</v>
      </c>
      <c r="F563" s="32"/>
      <c r="G563" s="23">
        <f t="shared" si="20"/>
        <v>0</v>
      </c>
      <c r="H563" s="29"/>
      <c r="I563" s="33"/>
    </row>
    <row r="564" spans="1:9" ht="20.25" customHeight="1" x14ac:dyDescent="0.25">
      <c r="A564" s="29">
        <v>10262</v>
      </c>
      <c r="B564" s="30"/>
      <c r="C564" s="31" t="e">
        <f>VLOOKUP(B564,BASE!$A:$B,2,0)</f>
        <v>#N/A</v>
      </c>
      <c r="D564" s="35" t="e">
        <f>VLOOKUP(B564,BASE!$A:$D,3,0)</f>
        <v>#N/A</v>
      </c>
      <c r="E564" s="32" t="e">
        <f>VLOOKUP(B564,BASE!$A:$E,4,0)</f>
        <v>#N/A</v>
      </c>
      <c r="F564" s="32"/>
      <c r="G564" s="23">
        <f t="shared" si="20"/>
        <v>0</v>
      </c>
      <c r="H564" s="29"/>
      <c r="I564" s="33"/>
    </row>
    <row r="565" spans="1:9" ht="20.25" customHeight="1" x14ac:dyDescent="0.25">
      <c r="A565" s="29">
        <v>10263</v>
      </c>
      <c r="B565" s="30"/>
      <c r="C565" s="31" t="e">
        <f>VLOOKUP(B565,BASE!$A:$B,2,0)</f>
        <v>#N/A</v>
      </c>
      <c r="D565" s="35" t="e">
        <f>VLOOKUP(B565,BASE!$A:$D,3,0)</f>
        <v>#N/A</v>
      </c>
      <c r="E565" s="32" t="e">
        <f>VLOOKUP(B565,BASE!$A:$E,4,0)</f>
        <v>#N/A</v>
      </c>
      <c r="F565" s="32"/>
      <c r="G565" s="23">
        <f t="shared" si="20"/>
        <v>0</v>
      </c>
      <c r="H565" s="29"/>
      <c r="I565" s="33"/>
    </row>
    <row r="566" spans="1:9" ht="20.25" customHeight="1" x14ac:dyDescent="0.25">
      <c r="A566" s="29">
        <v>10264</v>
      </c>
      <c r="B566" s="30"/>
      <c r="C566" s="31" t="e">
        <f>VLOOKUP(B566,BASE!$A:$B,2,0)</f>
        <v>#N/A</v>
      </c>
      <c r="D566" s="35" t="e">
        <f>VLOOKUP(B566,BASE!$A:$D,3,0)</f>
        <v>#N/A</v>
      </c>
      <c r="E566" s="32" t="e">
        <f>VLOOKUP(B566,BASE!$A:$E,4,0)</f>
        <v>#N/A</v>
      </c>
      <c r="F566" s="32"/>
      <c r="G566" s="23">
        <f t="shared" si="20"/>
        <v>0</v>
      </c>
      <c r="H566" s="29"/>
      <c r="I566" s="33"/>
    </row>
    <row r="567" spans="1:9" ht="20.25" customHeight="1" x14ac:dyDescent="0.25">
      <c r="A567" s="29">
        <v>10265</v>
      </c>
      <c r="B567" s="30"/>
      <c r="C567" s="31" t="e">
        <f>VLOOKUP(B567,BASE!$A:$B,2,0)</f>
        <v>#N/A</v>
      </c>
      <c r="D567" s="35" t="e">
        <f>VLOOKUP(B567,BASE!$A:$D,3,0)</f>
        <v>#N/A</v>
      </c>
      <c r="E567" s="32" t="e">
        <f>VLOOKUP(B567,BASE!$A:$E,4,0)</f>
        <v>#N/A</v>
      </c>
      <c r="F567" s="32"/>
      <c r="G567" s="23">
        <f t="shared" si="20"/>
        <v>0</v>
      </c>
      <c r="H567" s="29"/>
      <c r="I567" s="33"/>
    </row>
    <row r="568" spans="1:9" ht="20.25" customHeight="1" x14ac:dyDescent="0.25">
      <c r="A568" s="29">
        <v>10266</v>
      </c>
      <c r="B568" s="30"/>
      <c r="C568" s="31" t="e">
        <f>VLOOKUP(B568,BASE!$A:$B,2,0)</f>
        <v>#N/A</v>
      </c>
      <c r="D568" s="35" t="e">
        <f>VLOOKUP(B568,BASE!$A:$D,3,0)</f>
        <v>#N/A</v>
      </c>
      <c r="E568" s="32" t="e">
        <f>VLOOKUP(B568,BASE!$A:$E,4,0)</f>
        <v>#N/A</v>
      </c>
      <c r="F568" s="32"/>
      <c r="G568" s="23">
        <f t="shared" si="20"/>
        <v>0</v>
      </c>
      <c r="H568" s="29"/>
      <c r="I568" s="33"/>
    </row>
    <row r="569" spans="1:9" ht="20.25" customHeight="1" x14ac:dyDescent="0.25">
      <c r="A569" s="29">
        <v>10267</v>
      </c>
      <c r="B569" s="30"/>
      <c r="C569" s="31" t="e">
        <f>VLOOKUP(B569,BASE!$A:$B,2,0)</f>
        <v>#N/A</v>
      </c>
      <c r="D569" s="35" t="e">
        <f>VLOOKUP(B569,BASE!$A:$D,3,0)</f>
        <v>#N/A</v>
      </c>
      <c r="E569" s="32" t="e">
        <f>VLOOKUP(B569,BASE!$A:$E,4,0)</f>
        <v>#N/A</v>
      </c>
      <c r="F569" s="32"/>
      <c r="G569" s="23">
        <f t="shared" si="20"/>
        <v>0</v>
      </c>
      <c r="H569" s="29"/>
      <c r="I569" s="33"/>
    </row>
    <row r="570" spans="1:9" ht="20.25" customHeight="1" x14ac:dyDescent="0.25">
      <c r="A570" s="29">
        <v>10268</v>
      </c>
      <c r="B570" s="30"/>
      <c r="C570" s="31" t="e">
        <f>VLOOKUP(B570,BASE!$A:$B,2,0)</f>
        <v>#N/A</v>
      </c>
      <c r="D570" s="35" t="e">
        <f>VLOOKUP(B570,BASE!$A:$D,3,0)</f>
        <v>#N/A</v>
      </c>
      <c r="E570" s="32" t="e">
        <f>VLOOKUP(B570,BASE!$A:$E,4,0)</f>
        <v>#N/A</v>
      </c>
      <c r="F570" s="32"/>
      <c r="G570" s="23">
        <f t="shared" si="20"/>
        <v>0</v>
      </c>
      <c r="H570" s="29"/>
      <c r="I570" s="33"/>
    </row>
    <row r="571" spans="1:9" ht="20.25" customHeight="1" x14ac:dyDescent="0.25">
      <c r="A571" s="29">
        <v>10269</v>
      </c>
      <c r="B571" s="30"/>
      <c r="C571" s="31" t="e">
        <f>VLOOKUP(B571,BASE!$A:$B,2,0)</f>
        <v>#N/A</v>
      </c>
      <c r="D571" s="35" t="e">
        <f>VLOOKUP(B571,BASE!$A:$D,3,0)</f>
        <v>#N/A</v>
      </c>
      <c r="E571" s="32" t="e">
        <f>VLOOKUP(B571,BASE!$A:$E,4,0)</f>
        <v>#N/A</v>
      </c>
      <c r="F571" s="32"/>
      <c r="G571" s="23">
        <f t="shared" si="20"/>
        <v>0</v>
      </c>
      <c r="H571" s="29"/>
      <c r="I571" s="33"/>
    </row>
    <row r="572" spans="1:9" ht="20.25" customHeight="1" x14ac:dyDescent="0.25">
      <c r="A572" s="29">
        <v>10270</v>
      </c>
      <c r="B572" s="30"/>
      <c r="C572" s="31" t="e">
        <f>VLOOKUP(B572,BASE!$A:$B,2,0)</f>
        <v>#N/A</v>
      </c>
      <c r="D572" s="35" t="e">
        <f>VLOOKUP(B572,BASE!$A:$D,3,0)</f>
        <v>#N/A</v>
      </c>
      <c r="E572" s="32" t="e">
        <f>VLOOKUP(B572,BASE!$A:$E,4,0)</f>
        <v>#N/A</v>
      </c>
      <c r="F572" s="32"/>
      <c r="G572" s="23">
        <f t="shared" si="20"/>
        <v>0</v>
      </c>
      <c r="H572" s="29"/>
      <c r="I572" s="33"/>
    </row>
    <row r="573" spans="1:9" ht="20.25" customHeight="1" x14ac:dyDescent="0.25">
      <c r="A573" s="29">
        <v>10271</v>
      </c>
      <c r="B573" s="30"/>
      <c r="C573" s="31" t="e">
        <f>VLOOKUP(B573,BASE!$A:$B,2,0)</f>
        <v>#N/A</v>
      </c>
      <c r="D573" s="35" t="e">
        <f>VLOOKUP(B573,BASE!$A:$D,3,0)</f>
        <v>#N/A</v>
      </c>
      <c r="E573" s="32" t="e">
        <f>VLOOKUP(B573,BASE!$A:$E,4,0)</f>
        <v>#N/A</v>
      </c>
      <c r="F573" s="32"/>
      <c r="G573" s="23">
        <f t="shared" ref="G573:G582" si="21">+F573/6000</f>
        <v>0</v>
      </c>
      <c r="H573" s="29"/>
      <c r="I573" s="33"/>
    </row>
    <row r="574" spans="1:9" ht="20.25" customHeight="1" x14ac:dyDescent="0.25">
      <c r="A574" s="29">
        <v>10272</v>
      </c>
      <c r="B574" s="30"/>
      <c r="C574" s="31" t="e">
        <f>VLOOKUP(B574,BASE!$A:$B,2,0)</f>
        <v>#N/A</v>
      </c>
      <c r="D574" s="35" t="e">
        <f>VLOOKUP(B574,BASE!$A:$D,3,0)</f>
        <v>#N/A</v>
      </c>
      <c r="E574" s="32" t="e">
        <f>VLOOKUP(B574,BASE!$A:$E,4,0)</f>
        <v>#N/A</v>
      </c>
      <c r="F574" s="32"/>
      <c r="G574" s="23">
        <f t="shared" si="21"/>
        <v>0</v>
      </c>
      <c r="H574" s="29"/>
      <c r="I574" s="33"/>
    </row>
    <row r="575" spans="1:9" ht="20.25" customHeight="1" x14ac:dyDescent="0.25">
      <c r="A575" s="29">
        <v>10273</v>
      </c>
      <c r="B575" s="30"/>
      <c r="C575" s="31" t="e">
        <f>VLOOKUP(B575,BASE!$A:$B,2,0)</f>
        <v>#N/A</v>
      </c>
      <c r="D575" s="35" t="e">
        <f>VLOOKUP(B575,BASE!$A:$D,3,0)</f>
        <v>#N/A</v>
      </c>
      <c r="E575" s="32" t="e">
        <f>VLOOKUP(B575,BASE!$A:$E,4,0)</f>
        <v>#N/A</v>
      </c>
      <c r="F575" s="32"/>
      <c r="G575" s="23">
        <f t="shared" si="21"/>
        <v>0</v>
      </c>
      <c r="H575" s="29"/>
      <c r="I575" s="33"/>
    </row>
    <row r="576" spans="1:9" ht="20.25" customHeight="1" x14ac:dyDescent="0.25">
      <c r="A576" s="29">
        <v>10274</v>
      </c>
      <c r="B576" s="30"/>
      <c r="C576" s="31" t="e">
        <f>VLOOKUP(B576,BASE!$A:$B,2,0)</f>
        <v>#N/A</v>
      </c>
      <c r="D576" s="35" t="e">
        <f>VLOOKUP(B576,BASE!$A:$D,3,0)</f>
        <v>#N/A</v>
      </c>
      <c r="E576" s="32" t="e">
        <f>VLOOKUP(B576,BASE!$A:$E,4,0)</f>
        <v>#N/A</v>
      </c>
      <c r="F576" s="32"/>
      <c r="G576" s="23">
        <f t="shared" si="21"/>
        <v>0</v>
      </c>
      <c r="H576" s="29"/>
      <c r="I576" s="33"/>
    </row>
    <row r="577" spans="1:9" ht="20.25" customHeight="1" x14ac:dyDescent="0.25">
      <c r="A577" s="29">
        <v>10275</v>
      </c>
      <c r="B577" s="30"/>
      <c r="C577" s="31" t="e">
        <f>VLOOKUP(B577,BASE!$A:$B,2,0)</f>
        <v>#N/A</v>
      </c>
      <c r="D577" s="35" t="e">
        <f>VLOOKUP(B577,BASE!$A:$D,3,0)</f>
        <v>#N/A</v>
      </c>
      <c r="E577" s="32" t="e">
        <f>VLOOKUP(B577,BASE!$A:$E,4,0)</f>
        <v>#N/A</v>
      </c>
      <c r="F577" s="32"/>
      <c r="G577" s="23">
        <f t="shared" si="21"/>
        <v>0</v>
      </c>
      <c r="H577" s="29"/>
      <c r="I577" s="33"/>
    </row>
    <row r="578" spans="1:9" ht="20.25" customHeight="1" x14ac:dyDescent="0.25">
      <c r="A578" s="29">
        <v>10276</v>
      </c>
      <c r="B578" s="30"/>
      <c r="C578" s="31" t="e">
        <f>VLOOKUP(B578,BASE!$A:$B,2,0)</f>
        <v>#N/A</v>
      </c>
      <c r="D578" s="35" t="e">
        <f>VLOOKUP(B578,BASE!$A:$D,3,0)</f>
        <v>#N/A</v>
      </c>
      <c r="E578" s="32" t="e">
        <f>VLOOKUP(B578,BASE!$A:$E,4,0)</f>
        <v>#N/A</v>
      </c>
      <c r="F578" s="32"/>
      <c r="G578" s="23">
        <f t="shared" si="21"/>
        <v>0</v>
      </c>
      <c r="H578" s="29"/>
      <c r="I578" s="33"/>
    </row>
    <row r="579" spans="1:9" ht="20.25" customHeight="1" x14ac:dyDescent="0.25">
      <c r="A579" s="29">
        <v>10277</v>
      </c>
      <c r="B579" s="30"/>
      <c r="C579" s="31" t="e">
        <f>VLOOKUP(B579,BASE!$A:$B,2,0)</f>
        <v>#N/A</v>
      </c>
      <c r="D579" s="35" t="e">
        <f>VLOOKUP(B579,BASE!$A:$D,3,0)</f>
        <v>#N/A</v>
      </c>
      <c r="E579" s="32" t="e">
        <f>VLOOKUP(B579,BASE!$A:$E,4,0)</f>
        <v>#N/A</v>
      </c>
      <c r="F579" s="32"/>
      <c r="G579" s="23">
        <f t="shared" si="21"/>
        <v>0</v>
      </c>
      <c r="H579" s="29"/>
      <c r="I579" s="33"/>
    </row>
    <row r="580" spans="1:9" ht="20.25" customHeight="1" x14ac:dyDescent="0.25">
      <c r="A580" s="29">
        <v>10278</v>
      </c>
      <c r="B580" s="30"/>
      <c r="C580" s="31" t="e">
        <f>VLOOKUP(B580,BASE!$A:$B,2,0)</f>
        <v>#N/A</v>
      </c>
      <c r="D580" s="35" t="e">
        <f>VLOOKUP(B580,BASE!$A:$D,3,0)</f>
        <v>#N/A</v>
      </c>
      <c r="E580" s="32" t="e">
        <f>VLOOKUP(B580,BASE!$A:$E,4,0)</f>
        <v>#N/A</v>
      </c>
      <c r="F580" s="32"/>
      <c r="G580" s="23">
        <f t="shared" si="21"/>
        <v>0</v>
      </c>
      <c r="H580" s="29"/>
      <c r="I580" s="33"/>
    </row>
    <row r="581" spans="1:9" ht="20.25" customHeight="1" x14ac:dyDescent="0.25">
      <c r="A581" s="29">
        <v>10279</v>
      </c>
      <c r="B581" s="30"/>
      <c r="C581" s="31" t="e">
        <f>VLOOKUP(B581,BASE!$A:$B,2,0)</f>
        <v>#N/A</v>
      </c>
      <c r="D581" s="35" t="e">
        <f>VLOOKUP(B581,BASE!$A:$D,3,0)</f>
        <v>#N/A</v>
      </c>
      <c r="E581" s="32" t="e">
        <f>VLOOKUP(B581,BASE!$A:$E,4,0)</f>
        <v>#N/A</v>
      </c>
      <c r="F581" s="32"/>
      <c r="G581" s="23">
        <f t="shared" si="21"/>
        <v>0</v>
      </c>
      <c r="H581" s="29"/>
      <c r="I581" s="33"/>
    </row>
    <row r="582" spans="1:9" ht="20.25" customHeight="1" x14ac:dyDescent="0.25">
      <c r="A582" s="29">
        <v>10280</v>
      </c>
      <c r="B582" s="30"/>
      <c r="C582" s="31" t="e">
        <f>VLOOKUP(B582,BASE!$A:$B,2,0)</f>
        <v>#N/A</v>
      </c>
      <c r="D582" s="35" t="e">
        <f>VLOOKUP(B582,BASE!$A:$D,3,0)</f>
        <v>#N/A</v>
      </c>
      <c r="E582" s="32" t="e">
        <f>VLOOKUP(B582,BASE!$A:$E,4,0)</f>
        <v>#N/A</v>
      </c>
      <c r="F582" s="32"/>
      <c r="G582" s="23">
        <f t="shared" si="21"/>
        <v>0</v>
      </c>
      <c r="H582" s="29"/>
      <c r="I582" s="33"/>
    </row>
    <row r="583" spans="1:9" ht="20.25" customHeight="1" x14ac:dyDescent="0.25">
      <c r="G583" s="24">
        <f>SUBTOTAL(9,G3:G582)</f>
        <v>234.58733333333336</v>
      </c>
    </row>
  </sheetData>
  <autoFilter ref="A2:I582" xr:uid="{53635511-793D-4A88-9837-FF96B0909D6D}"/>
  <sortState xmlns:xlrd2="http://schemas.microsoft.com/office/spreadsheetml/2017/richdata2" ref="A3:I157">
    <sortCondition ref="A2:A157"/>
  </sortState>
  <mergeCells count="1">
    <mergeCell ref="A1:I1"/>
  </mergeCells>
  <phoneticPr fontId="4" type="noConversion"/>
  <pageMargins left="0.23622047244094491" right="0.23622047244094491" top="0.55118110236220474" bottom="0.35433070866141736" header="0.31496062992125984" footer="0"/>
  <pageSetup scale="90" orientation="portrait" r:id="rId1"/>
  <headerFooter scaleWithDoc="0" alignWithMargins="0">
    <oddHeader>&amp;LVidrios Templex S.A.S.&amp;CPágina &amp;P&amp;R&amp;D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3822-62C1-4AD7-B3BD-75935868CE5B}">
  <sheetPr codeName="Hoja4"/>
  <dimension ref="A1:K44"/>
  <sheetViews>
    <sheetView workbookViewId="0">
      <selection activeCell="A2" sqref="A2:F41"/>
    </sheetView>
  </sheetViews>
  <sheetFormatPr baseColWidth="10" defaultRowHeight="15" x14ac:dyDescent="0.25"/>
  <cols>
    <col min="1" max="1" width="12.7109375" bestFit="1" customWidth="1"/>
    <col min="2" max="2" width="14.7109375" bestFit="1" customWidth="1"/>
    <col min="3" max="3" width="39.5703125" bestFit="1" customWidth="1"/>
    <col min="4" max="4" width="12.7109375" customWidth="1"/>
    <col min="5" max="5" width="10.28515625" customWidth="1"/>
    <col min="6" max="6" width="11.7109375" customWidth="1"/>
    <col min="7" max="7" width="11.7109375" bestFit="1" customWidth="1"/>
    <col min="10" max="10" width="18.85546875" bestFit="1" customWidth="1"/>
    <col min="11" max="11" width="30.140625" bestFit="1" customWidth="1"/>
  </cols>
  <sheetData>
    <row r="1" spans="1:11" ht="15.75" x14ac:dyDescent="0.25">
      <c r="A1" s="2" t="s">
        <v>975</v>
      </c>
      <c r="B1" s="3" t="s">
        <v>0</v>
      </c>
      <c r="C1" s="4" t="s">
        <v>1</v>
      </c>
      <c r="D1" s="4" t="s">
        <v>2</v>
      </c>
      <c r="E1" s="5" t="s">
        <v>609</v>
      </c>
      <c r="F1" s="6" t="s">
        <v>1042</v>
      </c>
      <c r="G1" s="7" t="s">
        <v>744</v>
      </c>
    </row>
    <row r="2" spans="1:11" ht="15.75" x14ac:dyDescent="0.25">
      <c r="A2" s="8">
        <v>23625</v>
      </c>
      <c r="B2" s="9" t="s">
        <v>174</v>
      </c>
      <c r="C2" s="10" t="str">
        <f>VLOOKUP(B2,BASE!$A:$B,2,0)</f>
        <v>3831 PISAVIDRIO 177 MATE</v>
      </c>
      <c r="D2" s="35" t="str">
        <f>VLOOKUP(B2,BASE!$A:$D,3,0)</f>
        <v>MATE</v>
      </c>
      <c r="E2" s="32">
        <f>VLOOKUP(B2,BASE!$A:$E,4,0)</f>
        <v>177</v>
      </c>
      <c r="F2" s="11">
        <v>2100</v>
      </c>
      <c r="G2" s="12">
        <f t="shared" ref="G2:G44" si="0">+F2/6000</f>
        <v>0.35</v>
      </c>
      <c r="H2">
        <v>7486</v>
      </c>
      <c r="J2" t="s">
        <v>1267</v>
      </c>
    </row>
    <row r="3" spans="1:11" ht="15.75" x14ac:dyDescent="0.25">
      <c r="A3" s="8">
        <v>23637</v>
      </c>
      <c r="B3" s="13" t="s">
        <v>502</v>
      </c>
      <c r="C3" s="10" t="str">
        <f>VLOOKUP(B3,BASE!$A:$B,2,0)</f>
        <v>8025 SILLAR 150 NEGRO</v>
      </c>
      <c r="D3" s="35" t="str">
        <f>VLOOKUP(B3,BASE!$A:$D,3,0)</f>
        <v>NEGRO</v>
      </c>
      <c r="E3" s="32">
        <f>VLOOKUP(B3,BASE!$A:$E,4,0)</f>
        <v>150</v>
      </c>
      <c r="F3" s="11">
        <v>1800</v>
      </c>
      <c r="G3" s="12">
        <f t="shared" si="0"/>
        <v>0.3</v>
      </c>
      <c r="J3">
        <v>23639</v>
      </c>
      <c r="K3" t="s">
        <v>1270</v>
      </c>
    </row>
    <row r="4" spans="1:11" ht="15.75" x14ac:dyDescent="0.25">
      <c r="A4" s="8">
        <v>23637</v>
      </c>
      <c r="B4" s="9" t="s">
        <v>341</v>
      </c>
      <c r="C4" s="10" t="str">
        <f>VLOOKUP(B4,BASE!$A:$B,2,0)</f>
        <v>8025 CABEZAL 151 NEGRO</v>
      </c>
      <c r="D4" s="35" t="str">
        <f>VLOOKUP(B4,BASE!$A:$D,3,0)</f>
        <v>NEGRO</v>
      </c>
      <c r="E4" s="32">
        <f>VLOOKUP(B4,BASE!$A:$E,4,0)</f>
        <v>151</v>
      </c>
      <c r="F4" s="11">
        <v>1800</v>
      </c>
      <c r="G4" s="12">
        <f t="shared" si="0"/>
        <v>0.3</v>
      </c>
      <c r="H4">
        <v>7504</v>
      </c>
      <c r="J4">
        <v>23677</v>
      </c>
      <c r="K4" t="s">
        <v>1268</v>
      </c>
    </row>
    <row r="5" spans="1:11" ht="15.75" x14ac:dyDescent="0.25">
      <c r="A5" s="8">
        <v>23637</v>
      </c>
      <c r="B5" s="9" t="s">
        <v>444</v>
      </c>
      <c r="C5" s="10" t="str">
        <f>VLOOKUP(B5,BASE!$A:$B,2,0)</f>
        <v>8025 JAMBA 152 NEGRO</v>
      </c>
      <c r="D5" s="35" t="str">
        <f>VLOOKUP(B5,BASE!$A:$D,3,0)</f>
        <v>NEGRO</v>
      </c>
      <c r="E5" s="32">
        <f>VLOOKUP(B5,BASE!$A:$E,4,0)</f>
        <v>152</v>
      </c>
      <c r="F5" s="11">
        <v>4100</v>
      </c>
      <c r="G5" s="12">
        <f t="shared" si="0"/>
        <v>0.68333333333333335</v>
      </c>
      <c r="J5">
        <v>23702</v>
      </c>
      <c r="K5" t="s">
        <v>1269</v>
      </c>
    </row>
    <row r="6" spans="1:11" ht="15.75" x14ac:dyDescent="0.25">
      <c r="A6" s="8">
        <v>23637</v>
      </c>
      <c r="B6" s="9" t="s">
        <v>377</v>
      </c>
      <c r="C6" s="10" t="str">
        <f>VLOOKUP(B6,BASE!$A:$B,2,0)</f>
        <v>8025 ENGANCHE 191 NEGRO</v>
      </c>
      <c r="D6" s="35" t="str">
        <f>VLOOKUP(B6,BASE!$A:$D,3,0)</f>
        <v>NEGRO</v>
      </c>
      <c r="E6" s="32">
        <f>VLOOKUP(B6,BASE!$A:$E,4,0)</f>
        <v>191</v>
      </c>
      <c r="F6" s="11">
        <v>4000</v>
      </c>
      <c r="G6" s="12">
        <f t="shared" si="0"/>
        <v>0.66666666666666663</v>
      </c>
    </row>
    <row r="7" spans="1:11" ht="15.75" x14ac:dyDescent="0.25">
      <c r="A7" s="8">
        <v>23637</v>
      </c>
      <c r="B7" s="9" t="s">
        <v>126</v>
      </c>
      <c r="C7" s="10" t="str">
        <f>VLOOKUP(B7,BASE!$A:$B,2,0)</f>
        <v>8025 HORIZONTAL SUPERIOR 156 NEGRO</v>
      </c>
      <c r="D7" s="35" t="str">
        <f>VLOOKUP(B7,BASE!$A:$D,3,0)</f>
        <v>NEGRO</v>
      </c>
      <c r="E7" s="32">
        <f>VLOOKUP(B7,BASE!$A:$E,4,0)</f>
        <v>156</v>
      </c>
      <c r="F7" s="11">
        <v>1600</v>
      </c>
      <c r="G7" s="12">
        <f t="shared" si="0"/>
        <v>0.26666666666666666</v>
      </c>
    </row>
    <row r="8" spans="1:11" ht="15.75" x14ac:dyDescent="0.25">
      <c r="A8" s="8">
        <v>23637</v>
      </c>
      <c r="B8" s="9" t="s">
        <v>696</v>
      </c>
      <c r="C8" s="10" t="str">
        <f>VLOOKUP(B8,BASE!$A:$B,2,0)</f>
        <v>8025 HORIZONTAL INFERIOR 157 NEGRO</v>
      </c>
      <c r="D8" s="35" t="str">
        <f>VLOOKUP(B8,BASE!$A:$D,3,0)</f>
        <v>NEGRO</v>
      </c>
      <c r="E8" s="32">
        <f>VLOOKUP(B8,BASE!$A:$E,4,0)</f>
        <v>157</v>
      </c>
      <c r="F8" s="11">
        <v>1600</v>
      </c>
      <c r="G8" s="12">
        <f t="shared" si="0"/>
        <v>0.26666666666666666</v>
      </c>
    </row>
    <row r="9" spans="1:11" ht="15.75" x14ac:dyDescent="0.25">
      <c r="A9" s="8">
        <v>23637</v>
      </c>
      <c r="B9" s="9" t="s">
        <v>137</v>
      </c>
      <c r="C9" s="10" t="str">
        <f>VLOOKUP(B9,BASE!$A:$B,2,0)</f>
        <v>8025 TRASLAPE 190 NEGRO</v>
      </c>
      <c r="D9" s="35" t="str">
        <f>VLOOKUP(B9,BASE!$A:$D,3,0)</f>
        <v>NEGRO</v>
      </c>
      <c r="E9" s="32">
        <f>VLOOKUP(B9,BASE!$A:$E,4,0)</f>
        <v>190</v>
      </c>
      <c r="F9" s="11">
        <v>4000</v>
      </c>
      <c r="G9" s="12">
        <f t="shared" si="0"/>
        <v>0.66666666666666663</v>
      </c>
    </row>
    <row r="10" spans="1:11" ht="15.75" x14ac:dyDescent="0.25">
      <c r="A10" s="8">
        <v>23662</v>
      </c>
      <c r="B10" s="9" t="s">
        <v>127</v>
      </c>
      <c r="C10" s="10" t="str">
        <f>VLOOKUP(B10,BASE!$A:$B,2,0)</f>
        <v>PERFIL F 463 MATE</v>
      </c>
      <c r="D10" s="35" t="str">
        <f>VLOOKUP(B10,BASE!$A:$D,3,0)</f>
        <v>MATE</v>
      </c>
      <c r="E10" s="32" t="str">
        <f>VLOOKUP(B10,BASE!$A:$E,4,0)</f>
        <v>F-463</v>
      </c>
      <c r="F10" s="11">
        <v>2000</v>
      </c>
      <c r="G10" s="12">
        <f t="shared" si="0"/>
        <v>0.33333333333333331</v>
      </c>
      <c r="H10">
        <v>7517</v>
      </c>
    </row>
    <row r="11" spans="1:11" ht="15.75" x14ac:dyDescent="0.25">
      <c r="A11" s="8">
        <v>23662</v>
      </c>
      <c r="B11" s="9" t="s">
        <v>155</v>
      </c>
      <c r="C11" s="10" t="str">
        <f>VLOOKUP(B11,BASE!$A:$B,2,0)</f>
        <v>U32 MATE</v>
      </c>
      <c r="D11" s="35" t="str">
        <f>VLOOKUP(B11,BASE!$A:$D,3,0)</f>
        <v>MATE</v>
      </c>
      <c r="E11" s="32" t="str">
        <f>VLOOKUP(B11,BASE!$A:$E,4,0)</f>
        <v>U-32</v>
      </c>
      <c r="F11" s="11">
        <v>1800</v>
      </c>
      <c r="G11" s="12">
        <f t="shared" si="0"/>
        <v>0.3</v>
      </c>
    </row>
    <row r="12" spans="1:11" ht="15.75" x14ac:dyDescent="0.25">
      <c r="A12" s="8">
        <v>23669</v>
      </c>
      <c r="B12" s="9" t="s">
        <v>155</v>
      </c>
      <c r="C12" s="10" t="str">
        <f>VLOOKUP(B12,BASE!$A:$B,2,0)</f>
        <v>U32 MATE</v>
      </c>
      <c r="D12" s="35" t="str">
        <f>VLOOKUP(B12,BASE!$A:$D,3,0)</f>
        <v>MATE</v>
      </c>
      <c r="E12" s="32" t="str">
        <f>VLOOKUP(B12,BASE!$A:$E,4,0)</f>
        <v>U-32</v>
      </c>
      <c r="F12" s="11">
        <v>4000</v>
      </c>
      <c r="G12" s="12">
        <f t="shared" si="0"/>
        <v>0.66666666666666663</v>
      </c>
      <c r="H12">
        <v>7520</v>
      </c>
    </row>
    <row r="13" spans="1:11" ht="15.75" x14ac:dyDescent="0.25">
      <c r="A13" s="8">
        <v>23669</v>
      </c>
      <c r="B13" s="9" t="s">
        <v>599</v>
      </c>
      <c r="C13" s="10" t="str">
        <f>VLOOKUP(B13,BASE!$A:$B,2,0)</f>
        <v>TUBULAR T-76 CRUDO</v>
      </c>
      <c r="D13" s="35" t="str">
        <f>VLOOKUP(B13,BASE!$A:$D,3,0)</f>
        <v xml:space="preserve">CRUDO </v>
      </c>
      <c r="E13" s="32" t="str">
        <f>VLOOKUP(B13,BASE!$A:$E,4,0)</f>
        <v>T-76</v>
      </c>
      <c r="F13" s="11">
        <v>3400</v>
      </c>
      <c r="G13" s="12">
        <f t="shared" si="0"/>
        <v>0.56666666666666665</v>
      </c>
    </row>
    <row r="14" spans="1:11" ht="15.75" x14ac:dyDescent="0.25">
      <c r="A14" s="8">
        <v>23670</v>
      </c>
      <c r="B14" s="9" t="s">
        <v>127</v>
      </c>
      <c r="C14" s="10" t="str">
        <f>VLOOKUP(B14,BASE!$A:$B,2,0)</f>
        <v>PERFIL F 463 MATE</v>
      </c>
      <c r="D14" s="35" t="str">
        <f>VLOOKUP(B14,BASE!$A:$D,3,0)</f>
        <v>MATE</v>
      </c>
      <c r="E14" s="32" t="str">
        <f>VLOOKUP(B14,BASE!$A:$E,4,0)</f>
        <v>F-463</v>
      </c>
      <c r="F14" s="11">
        <v>900</v>
      </c>
      <c r="G14" s="12">
        <f t="shared" si="0"/>
        <v>0.15</v>
      </c>
      <c r="H14">
        <v>7525</v>
      </c>
    </row>
    <row r="15" spans="1:11" ht="15.75" x14ac:dyDescent="0.25">
      <c r="A15" s="8">
        <v>23670</v>
      </c>
      <c r="B15" s="9" t="s">
        <v>155</v>
      </c>
      <c r="C15" s="10" t="str">
        <f>VLOOKUP(B15,BASE!$A:$B,2,0)</f>
        <v>U32 MATE</v>
      </c>
      <c r="D15" s="35" t="str">
        <f>VLOOKUP(B15,BASE!$A:$D,3,0)</f>
        <v>MATE</v>
      </c>
      <c r="E15" s="32" t="str">
        <f>VLOOKUP(B15,BASE!$A:$E,4,0)</f>
        <v>U-32</v>
      </c>
      <c r="F15" s="11">
        <v>700</v>
      </c>
      <c r="G15" s="12">
        <f t="shared" si="0"/>
        <v>0.11666666666666667</v>
      </c>
    </row>
    <row r="16" spans="1:11" ht="15.75" x14ac:dyDescent="0.25">
      <c r="A16" s="8" t="s">
        <v>1275</v>
      </c>
      <c r="B16" s="9" t="s">
        <v>599</v>
      </c>
      <c r="C16" s="10" t="str">
        <f>VLOOKUP(B16,BASE!$A:$B,2,0)</f>
        <v>TUBULAR T-76 CRUDO</v>
      </c>
      <c r="D16" s="35" t="str">
        <f>VLOOKUP(B16,BASE!$A:$D,3,0)</f>
        <v xml:space="preserve">CRUDO </v>
      </c>
      <c r="E16" s="32" t="str">
        <f>VLOOKUP(B16,BASE!$A:$E,4,0)</f>
        <v>T-76</v>
      </c>
      <c r="F16" s="11">
        <v>30000</v>
      </c>
      <c r="G16" s="12">
        <f t="shared" si="0"/>
        <v>5</v>
      </c>
    </row>
    <row r="17" spans="1:9" ht="15.75" x14ac:dyDescent="0.25">
      <c r="A17" s="8" t="s">
        <v>1275</v>
      </c>
      <c r="B17" s="9" t="s">
        <v>584</v>
      </c>
      <c r="C17" s="10" t="str">
        <f>VLOOKUP(B17,BASE!$A:$B,2,0)</f>
        <v>U68 MATE</v>
      </c>
      <c r="D17" s="35" t="str">
        <f>VLOOKUP(B17,BASE!$A:$D,3,0)</f>
        <v>MATE</v>
      </c>
      <c r="E17" s="32" t="str">
        <f>VLOOKUP(B17,BASE!$A:$E,4,0)</f>
        <v>U-68</v>
      </c>
      <c r="F17" s="11">
        <v>48000</v>
      </c>
      <c r="G17" s="12">
        <f t="shared" si="0"/>
        <v>8</v>
      </c>
    </row>
    <row r="18" spans="1:9" ht="15.75" x14ac:dyDescent="0.25">
      <c r="A18" s="8">
        <v>23634</v>
      </c>
      <c r="B18" s="9" t="s">
        <v>502</v>
      </c>
      <c r="C18" s="10" t="str">
        <f>VLOOKUP(B18,BASE!$A:$B,2,0)</f>
        <v>8025 SILLAR 150 NEGRO</v>
      </c>
      <c r="D18" s="35" t="str">
        <f>VLOOKUP(B18,BASE!$A:$D,3,0)</f>
        <v>NEGRO</v>
      </c>
      <c r="E18" s="32">
        <f>VLOOKUP(B18,BASE!$A:$E,4,0)</f>
        <v>150</v>
      </c>
      <c r="F18" s="11">
        <v>66000</v>
      </c>
      <c r="G18" s="12">
        <f t="shared" si="0"/>
        <v>11</v>
      </c>
      <c r="H18">
        <v>11</v>
      </c>
      <c r="I18">
        <f>H18*6000</f>
        <v>66000</v>
      </c>
    </row>
    <row r="19" spans="1:9" ht="15.75" x14ac:dyDescent="0.25">
      <c r="A19" s="8">
        <v>23634</v>
      </c>
      <c r="B19" s="9" t="s">
        <v>341</v>
      </c>
      <c r="C19" s="10" t="str">
        <f>VLOOKUP(B19,BASE!$A:$B,2,0)</f>
        <v>8025 CABEZAL 151 NEGRO</v>
      </c>
      <c r="D19" s="35" t="str">
        <f>VLOOKUP(B19,BASE!$A:$D,3,0)</f>
        <v>NEGRO</v>
      </c>
      <c r="E19" s="32">
        <f>VLOOKUP(B19,BASE!$A:$E,4,0)</f>
        <v>151</v>
      </c>
      <c r="F19" s="11">
        <v>66000</v>
      </c>
      <c r="G19" s="12">
        <f t="shared" si="0"/>
        <v>11</v>
      </c>
      <c r="H19">
        <v>11</v>
      </c>
      <c r="I19">
        <f t="shared" ref="I19:I32" si="1">H19*6000</f>
        <v>66000</v>
      </c>
    </row>
    <row r="20" spans="1:9" ht="15.75" x14ac:dyDescent="0.25">
      <c r="A20" s="8">
        <v>23634</v>
      </c>
      <c r="B20" s="9" t="s">
        <v>444</v>
      </c>
      <c r="C20" s="10" t="str">
        <f>VLOOKUP(B20,BASE!$A:$B,2,0)</f>
        <v>8025 JAMBA 152 NEGRO</v>
      </c>
      <c r="D20" s="35" t="str">
        <f>VLOOKUP(B20,BASE!$A:$D,3,0)</f>
        <v>NEGRO</v>
      </c>
      <c r="E20" s="32">
        <f>VLOOKUP(B20,BASE!$A:$E,4,0)</f>
        <v>152</v>
      </c>
      <c r="F20" s="11">
        <v>72000</v>
      </c>
      <c r="G20" s="12">
        <f t="shared" si="0"/>
        <v>12</v>
      </c>
      <c r="H20">
        <v>11</v>
      </c>
      <c r="I20">
        <f>(H20*6000)+6000</f>
        <v>72000</v>
      </c>
    </row>
    <row r="21" spans="1:9" ht="15.75" x14ac:dyDescent="0.25">
      <c r="A21" s="8">
        <v>23634</v>
      </c>
      <c r="B21" s="9" t="s">
        <v>137</v>
      </c>
      <c r="C21" s="10" t="str">
        <f>VLOOKUP(B21,BASE!$A:$B,2,0)</f>
        <v>8025 TRASLAPE 190 NEGRO</v>
      </c>
      <c r="D21" s="35" t="str">
        <f>VLOOKUP(B21,BASE!$A:$D,3,0)</f>
        <v>NEGRO</v>
      </c>
      <c r="E21" s="32">
        <f>VLOOKUP(B21,BASE!$A:$E,4,0)</f>
        <v>190</v>
      </c>
      <c r="F21" s="11">
        <v>108000</v>
      </c>
      <c r="G21" s="12">
        <f t="shared" si="0"/>
        <v>18</v>
      </c>
      <c r="H21">
        <v>18</v>
      </c>
      <c r="I21">
        <f t="shared" si="1"/>
        <v>108000</v>
      </c>
    </row>
    <row r="22" spans="1:9" ht="15.75" x14ac:dyDescent="0.25">
      <c r="A22" s="8">
        <v>23634</v>
      </c>
      <c r="B22" s="9" t="s">
        <v>377</v>
      </c>
      <c r="C22" s="10" t="str">
        <f>VLOOKUP(B22,BASE!$A:$B,2,0)</f>
        <v>8025 ENGANCHE 191 NEGRO</v>
      </c>
      <c r="D22" s="35" t="str">
        <f>VLOOKUP(B22,BASE!$A:$D,3,0)</f>
        <v>NEGRO</v>
      </c>
      <c r="E22" s="32">
        <f>VLOOKUP(B22,BASE!$A:$E,4,0)</f>
        <v>191</v>
      </c>
      <c r="F22" s="11">
        <v>108000</v>
      </c>
      <c r="G22" s="12">
        <f t="shared" si="0"/>
        <v>18</v>
      </c>
      <c r="H22">
        <v>17</v>
      </c>
      <c r="I22">
        <f>(H22*6000)+6000</f>
        <v>108000</v>
      </c>
    </row>
    <row r="23" spans="1:9" ht="15.75" x14ac:dyDescent="0.25">
      <c r="A23" s="8">
        <v>23634</v>
      </c>
      <c r="B23" s="9" t="s">
        <v>126</v>
      </c>
      <c r="C23" s="10" t="str">
        <f>VLOOKUP(B23,BASE!$A:$B,2,0)</f>
        <v>8025 HORIZONTAL SUPERIOR 156 NEGRO</v>
      </c>
      <c r="D23" s="35" t="str">
        <f>VLOOKUP(B23,BASE!$A:$D,3,0)</f>
        <v>NEGRO</v>
      </c>
      <c r="E23" s="32">
        <f>VLOOKUP(B23,BASE!$A:$E,4,0)</f>
        <v>156</v>
      </c>
      <c r="F23" s="11">
        <v>60000</v>
      </c>
      <c r="G23" s="12">
        <f t="shared" si="0"/>
        <v>10</v>
      </c>
      <c r="H23">
        <v>10</v>
      </c>
      <c r="I23">
        <f t="shared" si="1"/>
        <v>60000</v>
      </c>
    </row>
    <row r="24" spans="1:9" ht="15.75" x14ac:dyDescent="0.25">
      <c r="A24" s="8">
        <v>23634</v>
      </c>
      <c r="B24" s="9" t="s">
        <v>696</v>
      </c>
      <c r="C24" s="10" t="str">
        <f>VLOOKUP(B24,BASE!$A:$B,2,0)</f>
        <v>8025 HORIZONTAL INFERIOR 157 NEGRO</v>
      </c>
      <c r="D24" s="35" t="str">
        <f>VLOOKUP(B24,BASE!$A:$D,3,0)</f>
        <v>NEGRO</v>
      </c>
      <c r="E24" s="32">
        <f>VLOOKUP(B24,BASE!$A:$E,4,0)</f>
        <v>157</v>
      </c>
      <c r="F24" s="11">
        <v>60000</v>
      </c>
      <c r="G24" s="12">
        <f t="shared" si="0"/>
        <v>10</v>
      </c>
      <c r="H24">
        <v>10</v>
      </c>
      <c r="I24">
        <f t="shared" si="1"/>
        <v>60000</v>
      </c>
    </row>
    <row r="25" spans="1:9" ht="15.75" x14ac:dyDescent="0.25">
      <c r="A25" s="8">
        <v>23634</v>
      </c>
      <c r="B25" s="9" t="s">
        <v>128</v>
      </c>
      <c r="C25" s="10" t="str">
        <f>VLOOKUP(B25,BASE!$A:$B,2,0)</f>
        <v>8025 ADAPTADOR 158 NEGRO</v>
      </c>
      <c r="D25" s="35" t="str">
        <f>VLOOKUP(B25,BASE!$A:$D,3,0)</f>
        <v>NEGRO</v>
      </c>
      <c r="E25" s="32">
        <f>VLOOKUP(B25,BASE!$A:$E,4,0)</f>
        <v>158</v>
      </c>
      <c r="F25" s="11">
        <v>18000</v>
      </c>
      <c r="G25" s="12">
        <f t="shared" si="0"/>
        <v>3</v>
      </c>
      <c r="H25">
        <v>3</v>
      </c>
      <c r="I25">
        <f t="shared" si="1"/>
        <v>18000</v>
      </c>
    </row>
    <row r="26" spans="1:9" ht="15.75" x14ac:dyDescent="0.25">
      <c r="A26" s="8">
        <v>23634</v>
      </c>
      <c r="B26" s="9" t="s">
        <v>123</v>
      </c>
      <c r="C26" s="10" t="str">
        <f>VLOOKUP(B26,BASE!$A:$B,2,0)</f>
        <v>3831 SILLAR CABEZAL 173 NEGRO</v>
      </c>
      <c r="D26" s="35" t="str">
        <f>VLOOKUP(B26,BASE!$A:$D,3,0)</f>
        <v>NEGRO</v>
      </c>
      <c r="E26" s="32">
        <f>VLOOKUP(B26,BASE!$A:$E,4,0)</f>
        <v>173</v>
      </c>
      <c r="F26" s="11">
        <v>216000</v>
      </c>
      <c r="G26" s="12">
        <f t="shared" si="0"/>
        <v>36</v>
      </c>
      <c r="H26">
        <v>36</v>
      </c>
      <c r="I26">
        <f t="shared" si="1"/>
        <v>216000</v>
      </c>
    </row>
    <row r="27" spans="1:9" ht="15.75" x14ac:dyDescent="0.25">
      <c r="A27" s="8">
        <v>23634</v>
      </c>
      <c r="B27" s="9" t="s">
        <v>187</v>
      </c>
      <c r="C27" s="10" t="str">
        <f>VLOOKUP(B27,BASE!$A:$B,2,0)</f>
        <v>3831 JAMBA 174 NEGRO</v>
      </c>
      <c r="D27" s="35" t="str">
        <f>VLOOKUP(B27,BASE!$A:$D,3,0)</f>
        <v>NEGRO</v>
      </c>
      <c r="E27" s="32">
        <f>VLOOKUP(B27,BASE!$A:$E,4,0)</f>
        <v>174</v>
      </c>
      <c r="F27" s="11">
        <v>36000</v>
      </c>
      <c r="G27" s="12">
        <f t="shared" si="0"/>
        <v>6</v>
      </c>
      <c r="H27">
        <v>6</v>
      </c>
      <c r="I27">
        <f t="shared" si="1"/>
        <v>36000</v>
      </c>
    </row>
    <row r="28" spans="1:9" ht="15.75" x14ac:dyDescent="0.25">
      <c r="A28" s="8">
        <v>23634</v>
      </c>
      <c r="B28" s="9" t="s">
        <v>168</v>
      </c>
      <c r="C28" s="10" t="str">
        <f>VLOOKUP(B28,BASE!$A:$B,2,0)</f>
        <v>3831 PISAVIDRIO 177 NEGRO</v>
      </c>
      <c r="D28" s="35" t="str">
        <f>VLOOKUP(B28,BASE!$A:$D,3,0)</f>
        <v>NEGRO</v>
      </c>
      <c r="E28" s="32">
        <f>VLOOKUP(B28,BASE!$A:$E,4,0)</f>
        <v>177</v>
      </c>
      <c r="F28" s="11">
        <v>180000</v>
      </c>
      <c r="G28" s="12">
        <f t="shared" si="0"/>
        <v>30</v>
      </c>
      <c r="H28">
        <v>30</v>
      </c>
      <c r="I28">
        <f t="shared" si="1"/>
        <v>180000</v>
      </c>
    </row>
    <row r="29" spans="1:9" ht="15.75" x14ac:dyDescent="0.25">
      <c r="A29" s="8">
        <v>23634</v>
      </c>
      <c r="B29" s="9" t="s">
        <v>125</v>
      </c>
      <c r="C29" s="10" t="str">
        <f>VLOOKUP(B29,BASE!$A:$B,2,0)</f>
        <v>3831 DIVISOR 292 NEGRO</v>
      </c>
      <c r="D29" s="35" t="str">
        <f>VLOOKUP(B29,BASE!$A:$D,3,0)</f>
        <v>NEGRO</v>
      </c>
      <c r="E29" s="32">
        <f>VLOOKUP(B29,BASE!$A:$E,4,0)</f>
        <v>292</v>
      </c>
      <c r="F29" s="11">
        <v>18000</v>
      </c>
      <c r="G29" s="12">
        <f t="shared" si="0"/>
        <v>3</v>
      </c>
      <c r="H29">
        <v>3</v>
      </c>
      <c r="I29">
        <f t="shared" si="1"/>
        <v>18000</v>
      </c>
    </row>
    <row r="30" spans="1:9" ht="15.75" x14ac:dyDescent="0.25">
      <c r="A30" s="8">
        <v>23634</v>
      </c>
      <c r="B30" s="9" t="s">
        <v>185</v>
      </c>
      <c r="C30" s="10" t="str">
        <f>VLOOKUP(B30,BASE!$A:$B,2,0)</f>
        <v>PERSIANA 315 NEGRO</v>
      </c>
      <c r="D30" s="35" t="str">
        <f>VLOOKUP(B30,BASE!$A:$D,3,0)</f>
        <v>NEGRO</v>
      </c>
      <c r="E30" s="32">
        <f>VLOOKUP(B30,BASE!$A:$E,4,0)</f>
        <v>315</v>
      </c>
      <c r="F30" s="11">
        <v>138000</v>
      </c>
      <c r="G30" s="12">
        <f t="shared" si="0"/>
        <v>23</v>
      </c>
      <c r="H30">
        <v>23</v>
      </c>
      <c r="I30">
        <f t="shared" si="1"/>
        <v>138000</v>
      </c>
    </row>
    <row r="31" spans="1:9" ht="15.75" x14ac:dyDescent="0.25">
      <c r="A31" s="8">
        <v>23634</v>
      </c>
      <c r="B31" s="9" t="s">
        <v>40</v>
      </c>
      <c r="C31" s="10" t="str">
        <f>VLOOKUP(B31,BASE!$A:$B,2,0)</f>
        <v>TUBULAR T-94 NEGRO</v>
      </c>
      <c r="D31" s="35" t="str">
        <f>VLOOKUP(B31,BASE!$A:$D,3,0)</f>
        <v>NEGRO</v>
      </c>
      <c r="E31" s="32" t="str">
        <f>VLOOKUP(B31,BASE!$A:$E,4,0)</f>
        <v>T-94</v>
      </c>
      <c r="F31" s="11">
        <v>108000</v>
      </c>
      <c r="G31" s="12">
        <f t="shared" si="0"/>
        <v>18</v>
      </c>
      <c r="H31">
        <v>18</v>
      </c>
      <c r="I31">
        <f t="shared" si="1"/>
        <v>108000</v>
      </c>
    </row>
    <row r="32" spans="1:9" ht="15.75" x14ac:dyDescent="0.25">
      <c r="A32" s="8">
        <v>23634</v>
      </c>
      <c r="B32" s="9" t="s">
        <v>303</v>
      </c>
      <c r="C32" s="10" t="str">
        <f>VLOOKUP(B32,BASE!$A:$B,2,0)</f>
        <v>ALFAJIA 413 NEGRA</v>
      </c>
      <c r="D32" s="35" t="str">
        <f>VLOOKUP(B32,BASE!$A:$D,3,0)</f>
        <v>NEGRO</v>
      </c>
      <c r="E32" s="32">
        <f>VLOOKUP(B32,BASE!$A:$E,4,0)</f>
        <v>413</v>
      </c>
      <c r="F32" s="11">
        <v>72000</v>
      </c>
      <c r="G32" s="12">
        <f t="shared" si="0"/>
        <v>12</v>
      </c>
      <c r="H32">
        <v>12</v>
      </c>
      <c r="I32">
        <f t="shared" si="1"/>
        <v>72000</v>
      </c>
    </row>
    <row r="33" spans="1:7" ht="15.75" x14ac:dyDescent="0.25">
      <c r="A33" s="8">
        <v>23671</v>
      </c>
      <c r="B33" s="9" t="s">
        <v>26</v>
      </c>
      <c r="C33" s="10" t="str">
        <f>VLOOKUP(B33,BASE!$A:$B,2,0)</f>
        <v>744 SILLAR 387 MATE</v>
      </c>
      <c r="D33" s="35" t="str">
        <f>VLOOKUP(B33,BASE!$A:$D,3,0)</f>
        <v>MATE</v>
      </c>
      <c r="E33" s="32">
        <f>VLOOKUP(B33,BASE!$A:$E,4,0)</f>
        <v>387</v>
      </c>
      <c r="F33" s="11">
        <v>13300</v>
      </c>
      <c r="G33" s="12">
        <f t="shared" si="0"/>
        <v>2.2166666666666668</v>
      </c>
    </row>
    <row r="34" spans="1:7" ht="15.75" x14ac:dyDescent="0.25">
      <c r="A34" s="8">
        <v>23671</v>
      </c>
      <c r="B34" s="9" t="s">
        <v>694</v>
      </c>
      <c r="C34" s="10" t="str">
        <f>VLOOKUP(B34,BASE!$A:$B,2,0)</f>
        <v>744 CABEZAL 392 MATE</v>
      </c>
      <c r="D34" s="35" t="str">
        <f>VLOOKUP(B34,BASE!$A:$D,3,0)</f>
        <v>MATE</v>
      </c>
      <c r="E34" s="32">
        <f>VLOOKUP(B34,BASE!$A:$E,4,0)</f>
        <v>392</v>
      </c>
      <c r="F34" s="11">
        <v>13300</v>
      </c>
      <c r="G34" s="12">
        <f t="shared" si="0"/>
        <v>2.2166666666666668</v>
      </c>
    </row>
    <row r="35" spans="1:7" ht="15.75" x14ac:dyDescent="0.25">
      <c r="A35" s="8">
        <v>23671</v>
      </c>
      <c r="B35" s="9" t="s">
        <v>119</v>
      </c>
      <c r="C35" s="10" t="str">
        <f>VLOOKUP(B35,BASE!$A:$B,2,0)</f>
        <v>744 ENGANCHE 391 MATE</v>
      </c>
      <c r="D35" s="35" t="str">
        <f>VLOOKUP(B35,BASE!$A:$D,3,0)</f>
        <v>MATE</v>
      </c>
      <c r="E35" s="32">
        <f>VLOOKUP(B35,BASE!$A:$E,4,0)</f>
        <v>391</v>
      </c>
      <c r="F35" s="11">
        <v>24000</v>
      </c>
      <c r="G35" s="12">
        <f t="shared" si="0"/>
        <v>4</v>
      </c>
    </row>
    <row r="36" spans="1:7" ht="15.75" x14ac:dyDescent="0.25">
      <c r="A36" s="8">
        <v>23671</v>
      </c>
      <c r="B36" s="9" t="s">
        <v>110</v>
      </c>
      <c r="C36" s="10" t="str">
        <f>VLOOKUP(B36,BASE!$A:$B,2,0)</f>
        <v>744 TRASLAPE 388 MATE</v>
      </c>
      <c r="D36" s="35" t="str">
        <f>VLOOKUP(B36,BASE!$A:$D,3,0)</f>
        <v>MATE</v>
      </c>
      <c r="E36" s="32">
        <f>VLOOKUP(B36,BASE!$A:$E,4,0)</f>
        <v>388</v>
      </c>
      <c r="F36" s="11">
        <v>19500</v>
      </c>
      <c r="G36" s="12">
        <f t="shared" si="0"/>
        <v>3.25</v>
      </c>
    </row>
    <row r="37" spans="1:7" ht="15.75" x14ac:dyDescent="0.25">
      <c r="A37" s="8">
        <v>23671</v>
      </c>
      <c r="B37" s="9" t="s">
        <v>121</v>
      </c>
      <c r="C37" s="10" t="str">
        <f>VLOOKUP(B37,BASE!$A:$B,2,0)</f>
        <v>744 HORIZONTAL INFERIOR 390 MATE</v>
      </c>
      <c r="D37" s="35" t="str">
        <f>VLOOKUP(B37,BASE!$A:$D,3,0)</f>
        <v>MATE</v>
      </c>
      <c r="E37" s="32">
        <f>VLOOKUP(B37,BASE!$A:$E,4,0)</f>
        <v>390</v>
      </c>
      <c r="F37" s="11">
        <v>13300</v>
      </c>
      <c r="G37" s="12">
        <f t="shared" si="0"/>
        <v>2.2166666666666668</v>
      </c>
    </row>
    <row r="38" spans="1:7" ht="15.75" x14ac:dyDescent="0.25">
      <c r="A38" s="8">
        <v>23671</v>
      </c>
      <c r="B38" s="9" t="s">
        <v>113</v>
      </c>
      <c r="C38" s="10" t="str">
        <f>VLOOKUP(B38,BASE!$A:$B,2,0)</f>
        <v>744 HORIZONTAL SUPERIOR 389 MATE</v>
      </c>
      <c r="D38" s="35" t="str">
        <f>VLOOKUP(B38,BASE!$A:$D,3,0)</f>
        <v>MATE</v>
      </c>
      <c r="E38" s="32">
        <f>VLOOKUP(B38,BASE!$A:$E,4,0)</f>
        <v>389</v>
      </c>
      <c r="F38" s="11">
        <v>13300</v>
      </c>
      <c r="G38" s="12">
        <f t="shared" si="0"/>
        <v>2.2166666666666668</v>
      </c>
    </row>
    <row r="39" spans="1:7" ht="15.75" x14ac:dyDescent="0.25">
      <c r="A39" s="8">
        <v>23671</v>
      </c>
      <c r="B39" s="9" t="s">
        <v>43</v>
      </c>
      <c r="C39" s="10" t="str">
        <f>VLOOKUP(B39,BASE!$A:$B,2,0)</f>
        <v>744 JAMBA 393 MATE</v>
      </c>
      <c r="D39" s="35" t="str">
        <f>VLOOKUP(B39,BASE!$A:$D,3,0)</f>
        <v>MATE</v>
      </c>
      <c r="E39" s="32">
        <f>VLOOKUP(B39,BASE!$A:$E,4,0)</f>
        <v>393</v>
      </c>
      <c r="F39" s="11">
        <v>12000</v>
      </c>
      <c r="G39" s="12">
        <f t="shared" si="0"/>
        <v>2</v>
      </c>
    </row>
    <row r="40" spans="1:7" ht="15.75" x14ac:dyDescent="0.25">
      <c r="A40" s="8">
        <v>23671</v>
      </c>
      <c r="B40" s="9" t="s">
        <v>603</v>
      </c>
      <c r="C40" s="10" t="str">
        <f>VLOOKUP(B40,BASE!$A:$B,2,0)</f>
        <v>ALFAJIA 1123 MATE</v>
      </c>
      <c r="D40" s="35" t="str">
        <f>VLOOKUP(B40,BASE!$A:$D,3,0)</f>
        <v>MATE</v>
      </c>
      <c r="E40" s="32">
        <f>VLOOKUP(B40,BASE!$A:$E,4,0)</f>
        <v>1123</v>
      </c>
      <c r="F40" s="11">
        <v>18000</v>
      </c>
      <c r="G40" s="12">
        <f t="shared" si="0"/>
        <v>3</v>
      </c>
    </row>
    <row r="41" spans="1:7" ht="15.75" x14ac:dyDescent="0.25">
      <c r="A41" s="8" t="s">
        <v>1275</v>
      </c>
      <c r="B41" s="9" t="s">
        <v>312</v>
      </c>
      <c r="C41" s="10" t="str">
        <f>VLOOKUP(B41,BASE!$A:$B,2,0)</f>
        <v>ANGULO A-15 CRUDO (1-1/4 X 1-1/4)</v>
      </c>
      <c r="D41" s="35" t="str">
        <f>VLOOKUP(B41,BASE!$A:$D,3,0)</f>
        <v xml:space="preserve">CRUDO </v>
      </c>
      <c r="E41" s="32" t="str">
        <f>VLOOKUP(B41,BASE!$A:$E,4,0)</f>
        <v>A-15</v>
      </c>
      <c r="F41" s="11">
        <v>6000</v>
      </c>
      <c r="G41" s="12">
        <f t="shared" si="0"/>
        <v>1</v>
      </c>
    </row>
    <row r="42" spans="1:7" ht="15.75" x14ac:dyDescent="0.25">
      <c r="A42" s="8"/>
      <c r="B42" s="9"/>
      <c r="C42" s="10" t="e">
        <f>VLOOKUP(B42,BASE!$A:$B,2,0)</f>
        <v>#N/A</v>
      </c>
      <c r="D42" s="35" t="e">
        <f>VLOOKUP(B42,BASE!$A:$D,3,0)</f>
        <v>#N/A</v>
      </c>
      <c r="E42" s="32" t="e">
        <f>VLOOKUP(B42,BASE!$A:$E,4,0)</f>
        <v>#N/A</v>
      </c>
      <c r="F42" s="11"/>
      <c r="G42" s="12">
        <f t="shared" si="0"/>
        <v>0</v>
      </c>
    </row>
    <row r="43" spans="1:7" ht="15.75" x14ac:dyDescent="0.25">
      <c r="A43" s="8"/>
      <c r="B43" s="9"/>
      <c r="C43" s="10" t="e">
        <f>VLOOKUP(B43,BASE!$A:$B,2,0)</f>
        <v>#N/A</v>
      </c>
      <c r="D43" s="35" t="e">
        <f>VLOOKUP(B43,BASE!$A:$D,3,0)</f>
        <v>#N/A</v>
      </c>
      <c r="E43" s="32" t="e">
        <f>VLOOKUP(B43,BASE!$A:$E,4,0)</f>
        <v>#N/A</v>
      </c>
      <c r="F43" s="11"/>
      <c r="G43" s="12">
        <f t="shared" si="0"/>
        <v>0</v>
      </c>
    </row>
    <row r="44" spans="1:7" ht="15.75" x14ac:dyDescent="0.25">
      <c r="A44" s="8"/>
      <c r="B44" s="9"/>
      <c r="C44" s="10" t="e">
        <f>VLOOKUP(B44,BASE!$A:$B,2,0)</f>
        <v>#N/A</v>
      </c>
      <c r="D44" s="35" t="e">
        <f>VLOOKUP(B44,BASE!$A:$D,3,0)</f>
        <v>#N/A</v>
      </c>
      <c r="E44" s="32" t="e">
        <f>VLOOKUP(B44,BASE!$A:$E,4,0)</f>
        <v>#N/A</v>
      </c>
      <c r="F44" s="11"/>
      <c r="G44" s="12">
        <f t="shared" si="0"/>
        <v>0</v>
      </c>
    </row>
  </sheetData>
  <autoFilter ref="A1:G44" xr:uid="{86903822-62C1-4AD7-B3BD-75935868CE5B}">
    <sortState xmlns:xlrd2="http://schemas.microsoft.com/office/spreadsheetml/2017/richdata2" ref="A2:G44">
      <sortCondition ref="A1:A44"/>
    </sortState>
  </autoFilter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4AF0-EEDE-497E-B7B1-03D0C83B407B}">
  <sheetPr>
    <tabColor rgb="FF00B050"/>
  </sheetPr>
  <dimension ref="A1:B93"/>
  <sheetViews>
    <sheetView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D57" sqref="D57"/>
    </sheetView>
  </sheetViews>
  <sheetFormatPr baseColWidth="10" defaultRowHeight="15" x14ac:dyDescent="0.25"/>
  <cols>
    <col min="1" max="1" width="11.28515625" bestFit="1" customWidth="1"/>
    <col min="2" max="2" width="50.7109375" bestFit="1" customWidth="1"/>
  </cols>
  <sheetData>
    <row r="1" spans="1:2" x14ac:dyDescent="0.25">
      <c r="A1" s="57" t="s">
        <v>790</v>
      </c>
      <c r="B1" s="57" t="s">
        <v>791</v>
      </c>
    </row>
    <row r="2" spans="1:2" x14ac:dyDescent="0.25">
      <c r="A2" t="s">
        <v>1054</v>
      </c>
      <c r="B2" t="s">
        <v>1055</v>
      </c>
    </row>
    <row r="3" spans="1:2" x14ac:dyDescent="0.25">
      <c r="A3" t="s">
        <v>1056</v>
      </c>
      <c r="B3" t="s">
        <v>1057</v>
      </c>
    </row>
    <row r="4" spans="1:2" x14ac:dyDescent="0.25">
      <c r="A4" t="s">
        <v>1058</v>
      </c>
      <c r="B4" t="s">
        <v>1059</v>
      </c>
    </row>
    <row r="5" spans="1:2" x14ac:dyDescent="0.25">
      <c r="A5" t="s">
        <v>1060</v>
      </c>
      <c r="B5" t="s">
        <v>1061</v>
      </c>
    </row>
    <row r="6" spans="1:2" x14ac:dyDescent="0.25">
      <c r="A6" t="s">
        <v>1062</v>
      </c>
      <c r="B6" t="s">
        <v>1063</v>
      </c>
    </row>
    <row r="7" spans="1:2" x14ac:dyDescent="0.25">
      <c r="A7" t="s">
        <v>1064</v>
      </c>
      <c r="B7" t="s">
        <v>1065</v>
      </c>
    </row>
    <row r="8" spans="1:2" x14ac:dyDescent="0.25">
      <c r="A8" t="s">
        <v>1066</v>
      </c>
      <c r="B8" t="s">
        <v>1067</v>
      </c>
    </row>
    <row r="9" spans="1:2" x14ac:dyDescent="0.25">
      <c r="A9" t="s">
        <v>1068</v>
      </c>
      <c r="B9" t="s">
        <v>1069</v>
      </c>
    </row>
    <row r="10" spans="1:2" x14ac:dyDescent="0.25">
      <c r="A10" t="s">
        <v>1070</v>
      </c>
      <c r="B10" t="s">
        <v>1071</v>
      </c>
    </row>
    <row r="11" spans="1:2" x14ac:dyDescent="0.25">
      <c r="A11" t="s">
        <v>1072</v>
      </c>
      <c r="B11" t="s">
        <v>1073</v>
      </c>
    </row>
    <row r="12" spans="1:2" x14ac:dyDescent="0.25">
      <c r="A12" t="s">
        <v>1074</v>
      </c>
      <c r="B12" t="s">
        <v>1075</v>
      </c>
    </row>
    <row r="13" spans="1:2" x14ac:dyDescent="0.25">
      <c r="A13" t="s">
        <v>1076</v>
      </c>
      <c r="B13" t="s">
        <v>1077</v>
      </c>
    </row>
    <row r="14" spans="1:2" x14ac:dyDescent="0.25">
      <c r="A14" t="s">
        <v>1078</v>
      </c>
      <c r="B14" t="s">
        <v>1079</v>
      </c>
    </row>
    <row r="15" spans="1:2" x14ac:dyDescent="0.25">
      <c r="A15" t="s">
        <v>1080</v>
      </c>
      <c r="B15" t="s">
        <v>1081</v>
      </c>
    </row>
    <row r="16" spans="1:2" x14ac:dyDescent="0.25">
      <c r="A16" t="s">
        <v>1082</v>
      </c>
      <c r="B16" t="s">
        <v>1083</v>
      </c>
    </row>
    <row r="17" spans="1:2" x14ac:dyDescent="0.25">
      <c r="A17" t="s">
        <v>1084</v>
      </c>
      <c r="B17" t="s">
        <v>1085</v>
      </c>
    </row>
    <row r="18" spans="1:2" x14ac:dyDescent="0.25">
      <c r="A18" t="s">
        <v>1086</v>
      </c>
      <c r="B18" t="s">
        <v>1087</v>
      </c>
    </row>
    <row r="19" spans="1:2" x14ac:dyDescent="0.25">
      <c r="A19" t="s">
        <v>1088</v>
      </c>
      <c r="B19" t="s">
        <v>1089</v>
      </c>
    </row>
    <row r="20" spans="1:2" x14ac:dyDescent="0.25">
      <c r="A20" t="s">
        <v>1090</v>
      </c>
      <c r="B20" t="s">
        <v>1091</v>
      </c>
    </row>
    <row r="21" spans="1:2" x14ac:dyDescent="0.25">
      <c r="A21" t="s">
        <v>1092</v>
      </c>
      <c r="B21" t="s">
        <v>1093</v>
      </c>
    </row>
    <row r="22" spans="1:2" x14ac:dyDescent="0.25">
      <c r="A22" t="s">
        <v>1094</v>
      </c>
      <c r="B22" t="s">
        <v>1095</v>
      </c>
    </row>
    <row r="23" spans="1:2" x14ac:dyDescent="0.25">
      <c r="A23" t="s">
        <v>1096</v>
      </c>
      <c r="B23" t="s">
        <v>1097</v>
      </c>
    </row>
    <row r="24" spans="1:2" x14ac:dyDescent="0.25">
      <c r="A24" t="s">
        <v>1098</v>
      </c>
      <c r="B24" t="s">
        <v>1099</v>
      </c>
    </row>
    <row r="25" spans="1:2" x14ac:dyDescent="0.25">
      <c r="A25" t="s">
        <v>1100</v>
      </c>
      <c r="B25" t="s">
        <v>1101</v>
      </c>
    </row>
    <row r="26" spans="1:2" x14ac:dyDescent="0.25">
      <c r="A26" t="s">
        <v>1102</v>
      </c>
      <c r="B26" t="s">
        <v>1103</v>
      </c>
    </row>
    <row r="27" spans="1:2" x14ac:dyDescent="0.25">
      <c r="A27" t="s">
        <v>1104</v>
      </c>
      <c r="B27" t="s">
        <v>1105</v>
      </c>
    </row>
    <row r="28" spans="1:2" x14ac:dyDescent="0.25">
      <c r="A28" t="s">
        <v>1106</v>
      </c>
      <c r="B28" t="s">
        <v>1107</v>
      </c>
    </row>
    <row r="29" spans="1:2" x14ac:dyDescent="0.25">
      <c r="A29" t="s">
        <v>1108</v>
      </c>
      <c r="B29" t="s">
        <v>1109</v>
      </c>
    </row>
    <row r="30" spans="1:2" x14ac:dyDescent="0.25">
      <c r="A30" t="s">
        <v>1110</v>
      </c>
      <c r="B30" t="s">
        <v>1111</v>
      </c>
    </row>
    <row r="31" spans="1:2" x14ac:dyDescent="0.25">
      <c r="A31" t="s">
        <v>1112</v>
      </c>
      <c r="B31" t="s">
        <v>1113</v>
      </c>
    </row>
    <row r="32" spans="1:2" x14ac:dyDescent="0.25">
      <c r="A32" t="s">
        <v>1114</v>
      </c>
      <c r="B32" t="s">
        <v>1115</v>
      </c>
    </row>
    <row r="33" spans="1:2" x14ac:dyDescent="0.25">
      <c r="A33" t="s">
        <v>1116</v>
      </c>
      <c r="B33" t="s">
        <v>1117</v>
      </c>
    </row>
    <row r="34" spans="1:2" x14ac:dyDescent="0.25">
      <c r="A34" t="s">
        <v>1118</v>
      </c>
      <c r="B34" t="s">
        <v>1119</v>
      </c>
    </row>
    <row r="35" spans="1:2" x14ac:dyDescent="0.25">
      <c r="A35" t="s">
        <v>1120</v>
      </c>
      <c r="B35" t="s">
        <v>1121</v>
      </c>
    </row>
    <row r="36" spans="1:2" x14ac:dyDescent="0.25">
      <c r="A36" t="s">
        <v>1122</v>
      </c>
      <c r="B36" t="s">
        <v>1123</v>
      </c>
    </row>
    <row r="37" spans="1:2" x14ac:dyDescent="0.25">
      <c r="A37" t="s">
        <v>1124</v>
      </c>
      <c r="B37" t="s">
        <v>1125</v>
      </c>
    </row>
    <row r="38" spans="1:2" x14ac:dyDescent="0.25">
      <c r="A38" t="s">
        <v>1126</v>
      </c>
      <c r="B38" t="s">
        <v>1127</v>
      </c>
    </row>
    <row r="39" spans="1:2" x14ac:dyDescent="0.25">
      <c r="A39" t="s">
        <v>1273</v>
      </c>
      <c r="B39" t="s">
        <v>1278</v>
      </c>
    </row>
    <row r="40" spans="1:2" x14ac:dyDescent="0.25">
      <c r="A40" t="s">
        <v>1128</v>
      </c>
      <c r="B40" t="s">
        <v>1129</v>
      </c>
    </row>
    <row r="41" spans="1:2" x14ac:dyDescent="0.25">
      <c r="A41" t="s">
        <v>1130</v>
      </c>
      <c r="B41" t="s">
        <v>1131</v>
      </c>
    </row>
    <row r="42" spans="1:2" x14ac:dyDescent="0.25">
      <c r="A42" t="s">
        <v>1132</v>
      </c>
      <c r="B42" t="s">
        <v>1133</v>
      </c>
    </row>
    <row r="43" spans="1:2" x14ac:dyDescent="0.25">
      <c r="A43" t="s">
        <v>1134</v>
      </c>
      <c r="B43" t="s">
        <v>1135</v>
      </c>
    </row>
    <row r="44" spans="1:2" x14ac:dyDescent="0.25">
      <c r="A44" t="s">
        <v>1136</v>
      </c>
      <c r="B44" t="s">
        <v>1137</v>
      </c>
    </row>
    <row r="45" spans="1:2" x14ac:dyDescent="0.25">
      <c r="A45" t="s">
        <v>1138</v>
      </c>
      <c r="B45" t="s">
        <v>1139</v>
      </c>
    </row>
    <row r="46" spans="1:2" x14ac:dyDescent="0.25">
      <c r="A46" t="s">
        <v>1140</v>
      </c>
      <c r="B46" t="s">
        <v>1141</v>
      </c>
    </row>
    <row r="47" spans="1:2" x14ac:dyDescent="0.25">
      <c r="A47" t="s">
        <v>1142</v>
      </c>
      <c r="B47" t="s">
        <v>1143</v>
      </c>
    </row>
    <row r="48" spans="1:2" x14ac:dyDescent="0.25">
      <c r="A48" t="s">
        <v>1144</v>
      </c>
      <c r="B48" t="s">
        <v>1145</v>
      </c>
    </row>
    <row r="49" spans="1:2" x14ac:dyDescent="0.25">
      <c r="A49" t="s">
        <v>1146</v>
      </c>
      <c r="B49" t="s">
        <v>1147</v>
      </c>
    </row>
    <row r="50" spans="1:2" x14ac:dyDescent="0.25">
      <c r="A50" t="s">
        <v>1272</v>
      </c>
      <c r="B50" t="s">
        <v>1277</v>
      </c>
    </row>
    <row r="51" spans="1:2" x14ac:dyDescent="0.25">
      <c r="A51" t="s">
        <v>1148</v>
      </c>
      <c r="B51" t="s">
        <v>1149</v>
      </c>
    </row>
    <row r="52" spans="1:2" x14ac:dyDescent="0.25">
      <c r="A52" t="s">
        <v>1150</v>
      </c>
      <c r="B52" t="s">
        <v>1151</v>
      </c>
    </row>
    <row r="53" spans="1:2" x14ac:dyDescent="0.25">
      <c r="A53" t="s">
        <v>1271</v>
      </c>
      <c r="B53" s="62" t="s">
        <v>1276</v>
      </c>
    </row>
    <row r="54" spans="1:2" x14ac:dyDescent="0.25">
      <c r="A54" t="s">
        <v>1152</v>
      </c>
      <c r="B54" t="s">
        <v>1153</v>
      </c>
    </row>
    <row r="55" spans="1:2" x14ac:dyDescent="0.25">
      <c r="A55" t="s">
        <v>1280</v>
      </c>
      <c r="B55" t="s">
        <v>1281</v>
      </c>
    </row>
    <row r="56" spans="1:2" x14ac:dyDescent="0.25">
      <c r="A56" t="s">
        <v>1274</v>
      </c>
      <c r="B56" t="s">
        <v>1279</v>
      </c>
    </row>
    <row r="57" spans="1:2" x14ac:dyDescent="0.25">
      <c r="A57" t="s">
        <v>1154</v>
      </c>
      <c r="B57" t="s">
        <v>1155</v>
      </c>
    </row>
    <row r="58" spans="1:2" x14ac:dyDescent="0.25">
      <c r="A58" t="s">
        <v>1156</v>
      </c>
      <c r="B58" t="s">
        <v>1157</v>
      </c>
    </row>
    <row r="59" spans="1:2" x14ac:dyDescent="0.25">
      <c r="A59" t="s">
        <v>1158</v>
      </c>
      <c r="B59" t="s">
        <v>1159</v>
      </c>
    </row>
    <row r="60" spans="1:2" x14ac:dyDescent="0.25">
      <c r="A60" t="s">
        <v>1160</v>
      </c>
      <c r="B60" t="s">
        <v>1161</v>
      </c>
    </row>
    <row r="61" spans="1:2" x14ac:dyDescent="0.25">
      <c r="A61" t="s">
        <v>1162</v>
      </c>
      <c r="B61" t="s">
        <v>1163</v>
      </c>
    </row>
    <row r="62" spans="1:2" x14ac:dyDescent="0.25">
      <c r="A62" t="s">
        <v>1164</v>
      </c>
      <c r="B62" t="s">
        <v>1165</v>
      </c>
    </row>
    <row r="63" spans="1:2" x14ac:dyDescent="0.25">
      <c r="A63" t="s">
        <v>1166</v>
      </c>
      <c r="B63" t="s">
        <v>1167</v>
      </c>
    </row>
    <row r="64" spans="1:2" x14ac:dyDescent="0.25">
      <c r="A64" t="s">
        <v>1168</v>
      </c>
      <c r="B64" t="s">
        <v>1169</v>
      </c>
    </row>
    <row r="65" spans="1:2" x14ac:dyDescent="0.25">
      <c r="A65" t="s">
        <v>1170</v>
      </c>
      <c r="B65" t="s">
        <v>1171</v>
      </c>
    </row>
    <row r="66" spans="1:2" x14ac:dyDescent="0.25">
      <c r="A66" t="s">
        <v>1172</v>
      </c>
      <c r="B66" t="s">
        <v>1173</v>
      </c>
    </row>
    <row r="67" spans="1:2" x14ac:dyDescent="0.25">
      <c r="A67" t="s">
        <v>1174</v>
      </c>
      <c r="B67" t="s">
        <v>1175</v>
      </c>
    </row>
    <row r="68" spans="1:2" x14ac:dyDescent="0.25">
      <c r="A68" t="s">
        <v>1176</v>
      </c>
      <c r="B68" t="s">
        <v>1177</v>
      </c>
    </row>
    <row r="69" spans="1:2" x14ac:dyDescent="0.25">
      <c r="A69" t="s">
        <v>1178</v>
      </c>
      <c r="B69" t="s">
        <v>1179</v>
      </c>
    </row>
    <row r="70" spans="1:2" x14ac:dyDescent="0.25">
      <c r="A70" t="s">
        <v>1180</v>
      </c>
      <c r="B70" t="s">
        <v>1181</v>
      </c>
    </row>
    <row r="71" spans="1:2" x14ac:dyDescent="0.25">
      <c r="A71" t="s">
        <v>1182</v>
      </c>
      <c r="B71" t="s">
        <v>1183</v>
      </c>
    </row>
    <row r="72" spans="1:2" x14ac:dyDescent="0.25">
      <c r="A72" t="s">
        <v>1184</v>
      </c>
      <c r="B72" t="s">
        <v>1185</v>
      </c>
    </row>
    <row r="73" spans="1:2" x14ac:dyDescent="0.25">
      <c r="A73" t="s">
        <v>1186</v>
      </c>
      <c r="B73" t="s">
        <v>1187</v>
      </c>
    </row>
    <row r="74" spans="1:2" x14ac:dyDescent="0.25">
      <c r="A74" t="s">
        <v>1188</v>
      </c>
      <c r="B74" t="s">
        <v>1189</v>
      </c>
    </row>
    <row r="75" spans="1:2" x14ac:dyDescent="0.25">
      <c r="A75" t="s">
        <v>1190</v>
      </c>
      <c r="B75" t="s">
        <v>1191</v>
      </c>
    </row>
    <row r="76" spans="1:2" x14ac:dyDescent="0.25">
      <c r="A76" t="s">
        <v>1192</v>
      </c>
      <c r="B76" t="s">
        <v>1193</v>
      </c>
    </row>
    <row r="77" spans="1:2" x14ac:dyDescent="0.25">
      <c r="A77" t="s">
        <v>1194</v>
      </c>
      <c r="B77" t="s">
        <v>1195</v>
      </c>
    </row>
    <row r="78" spans="1:2" x14ac:dyDescent="0.25">
      <c r="A78" t="s">
        <v>1196</v>
      </c>
      <c r="B78" t="s">
        <v>1197</v>
      </c>
    </row>
    <row r="79" spans="1:2" x14ac:dyDescent="0.25">
      <c r="A79" t="s">
        <v>1198</v>
      </c>
      <c r="B79" t="s">
        <v>1199</v>
      </c>
    </row>
    <row r="80" spans="1:2" x14ac:dyDescent="0.25">
      <c r="A80" t="s">
        <v>1200</v>
      </c>
      <c r="B80" t="s">
        <v>1201</v>
      </c>
    </row>
    <row r="81" spans="1:2" x14ac:dyDescent="0.25">
      <c r="A81" t="s">
        <v>1202</v>
      </c>
      <c r="B81" t="s">
        <v>1203</v>
      </c>
    </row>
    <row r="82" spans="1:2" x14ac:dyDescent="0.25">
      <c r="A82" t="s">
        <v>1204</v>
      </c>
      <c r="B82" t="s">
        <v>1205</v>
      </c>
    </row>
    <row r="83" spans="1:2" x14ac:dyDescent="0.25">
      <c r="A83" t="s">
        <v>1206</v>
      </c>
      <c r="B83" t="s">
        <v>1207</v>
      </c>
    </row>
    <row r="84" spans="1:2" x14ac:dyDescent="0.25">
      <c r="A84" t="s">
        <v>1208</v>
      </c>
      <c r="B84" t="s">
        <v>1209</v>
      </c>
    </row>
    <row r="85" spans="1:2" x14ac:dyDescent="0.25">
      <c r="A85" t="s">
        <v>1210</v>
      </c>
      <c r="B85" t="s">
        <v>1211</v>
      </c>
    </row>
    <row r="86" spans="1:2" x14ac:dyDescent="0.25">
      <c r="A86" t="s">
        <v>1212</v>
      </c>
      <c r="B86" t="s">
        <v>1213</v>
      </c>
    </row>
    <row r="87" spans="1:2" x14ac:dyDescent="0.25">
      <c r="A87" t="s">
        <v>1214</v>
      </c>
      <c r="B87" t="s">
        <v>1215</v>
      </c>
    </row>
    <row r="88" spans="1:2" x14ac:dyDescent="0.25">
      <c r="A88" t="s">
        <v>1216</v>
      </c>
      <c r="B88" t="s">
        <v>1217</v>
      </c>
    </row>
    <row r="89" spans="1:2" x14ac:dyDescent="0.25">
      <c r="A89" t="s">
        <v>1218</v>
      </c>
      <c r="B89" t="s">
        <v>1219</v>
      </c>
    </row>
    <row r="90" spans="1:2" x14ac:dyDescent="0.25">
      <c r="A90" t="s">
        <v>1220</v>
      </c>
      <c r="B90" t="s">
        <v>1221</v>
      </c>
    </row>
    <row r="91" spans="1:2" x14ac:dyDescent="0.25">
      <c r="A91" t="s">
        <v>1222</v>
      </c>
      <c r="B91" t="s">
        <v>1223</v>
      </c>
    </row>
    <row r="92" spans="1:2" x14ac:dyDescent="0.25">
      <c r="A92" t="s">
        <v>1224</v>
      </c>
      <c r="B92" t="s">
        <v>1225</v>
      </c>
    </row>
    <row r="93" spans="1:2" x14ac:dyDescent="0.25">
      <c r="A93" t="s">
        <v>1226</v>
      </c>
      <c r="B93" t="s">
        <v>1227</v>
      </c>
    </row>
  </sheetData>
  <autoFilter ref="A1:B93" xr:uid="{6CA54AF0-EEDE-497E-B7B1-03D0C83B407B}"/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E258-6701-4F55-9341-86ED1572D414}">
  <dimension ref="A1:E44"/>
  <sheetViews>
    <sheetView workbookViewId="0">
      <selection activeCell="B7" sqref="B7"/>
    </sheetView>
  </sheetViews>
  <sheetFormatPr baseColWidth="10" defaultRowHeight="15" x14ac:dyDescent="0.25"/>
  <cols>
    <col min="1" max="1" width="6.7109375" bestFit="1" customWidth="1"/>
    <col min="2" max="2" width="14.7109375" bestFit="1" customWidth="1"/>
    <col min="3" max="3" width="45.140625" bestFit="1" customWidth="1"/>
    <col min="4" max="4" width="12.7109375" customWidth="1"/>
  </cols>
  <sheetData>
    <row r="1" spans="1:5" ht="15.75" x14ac:dyDescent="0.25">
      <c r="A1" s="2" t="s">
        <v>975</v>
      </c>
      <c r="B1" s="3" t="s">
        <v>0</v>
      </c>
      <c r="C1" s="4" t="s">
        <v>1</v>
      </c>
      <c r="D1" s="4" t="s">
        <v>1229</v>
      </c>
      <c r="E1" s="4" t="s">
        <v>1230</v>
      </c>
    </row>
    <row r="2" spans="1:5" ht="15.75" x14ac:dyDescent="0.25">
      <c r="A2" s="8">
        <v>23637</v>
      </c>
      <c r="B2" s="9" t="s">
        <v>1188</v>
      </c>
      <c r="C2" s="10" t="str">
        <f>VLOOKUP(B2,ACCESORIOS!$A:$B,2,0)</f>
        <v>RODAMIENTO 8025 NYLON</v>
      </c>
      <c r="D2" s="32">
        <v>2</v>
      </c>
      <c r="E2" s="32" t="s">
        <v>1231</v>
      </c>
    </row>
    <row r="3" spans="1:5" ht="15.75" x14ac:dyDescent="0.25">
      <c r="A3" s="8">
        <v>23637</v>
      </c>
      <c r="B3" s="9" t="s">
        <v>1134</v>
      </c>
      <c r="C3" s="10" t="str">
        <f>VLOOKUP(B3,ACCESORIOS!$A:$B,2,0)</f>
        <v>EMPAQUE 8025 REF 30110</v>
      </c>
      <c r="D3" s="32">
        <v>11</v>
      </c>
      <c r="E3" s="32" t="s">
        <v>1232</v>
      </c>
    </row>
    <row r="4" spans="1:5" ht="15.75" x14ac:dyDescent="0.25">
      <c r="A4" s="8">
        <v>23637</v>
      </c>
      <c r="B4" s="9" t="s">
        <v>1271</v>
      </c>
      <c r="C4" s="10" t="str">
        <f>VLOOKUP(B4,ACCESORIOS!$A:$B,2,0)</f>
        <v>GUIA SUPERIOR 8025</v>
      </c>
      <c r="D4" s="32">
        <v>2</v>
      </c>
      <c r="E4" s="32" t="s">
        <v>1232</v>
      </c>
    </row>
    <row r="5" spans="1:5" ht="15.75" x14ac:dyDescent="0.25">
      <c r="A5" s="8">
        <v>23637</v>
      </c>
      <c r="B5" s="9" t="s">
        <v>1272</v>
      </c>
      <c r="C5" s="10" t="str">
        <f>VLOOKUP(B5,ACCESORIOS!$A:$B,2,0)</f>
        <v>GUIA INFERIOR 8025</v>
      </c>
      <c r="D5" s="32">
        <v>2</v>
      </c>
      <c r="E5" s="32" t="s">
        <v>1231</v>
      </c>
    </row>
    <row r="6" spans="1:5" ht="15.75" x14ac:dyDescent="0.25">
      <c r="A6" s="8">
        <v>23637</v>
      </c>
      <c r="B6" s="13" t="s">
        <v>1144</v>
      </c>
      <c r="C6" s="10" t="str">
        <f>VLOOKUP(B6,ACCESORIOS!$A:$B,2,0)</f>
        <v>FELPA</v>
      </c>
      <c r="D6" s="32">
        <v>4</v>
      </c>
      <c r="E6" s="32" t="s">
        <v>1232</v>
      </c>
    </row>
    <row r="7" spans="1:5" ht="15.75" x14ac:dyDescent="0.25">
      <c r="A7" s="8">
        <v>23637</v>
      </c>
      <c r="B7" s="9" t="s">
        <v>1273</v>
      </c>
      <c r="C7" s="10" t="str">
        <f>VLOOKUP(B7,ACCESORIOS!$A:$B,2,0)</f>
        <v>CHAPA YALE PICOLORO MEDIO CILINDRO</v>
      </c>
      <c r="D7" s="32">
        <v>1</v>
      </c>
      <c r="E7" s="32" t="s">
        <v>1231</v>
      </c>
    </row>
    <row r="8" spans="1:5" ht="15.75" x14ac:dyDescent="0.25">
      <c r="A8" s="8">
        <v>23637</v>
      </c>
      <c r="B8" s="9" t="s">
        <v>1274</v>
      </c>
      <c r="C8" s="10" t="str">
        <f>VLOOKUP(B8,ACCESORIOS!$A:$B,2,0)</f>
        <v>MANIJA 8025 NEGRO</v>
      </c>
      <c r="D8" s="32">
        <v>2</v>
      </c>
      <c r="E8" s="32" t="s">
        <v>1231</v>
      </c>
    </row>
    <row r="9" spans="1:5" ht="15.75" x14ac:dyDescent="0.25">
      <c r="A9" s="8">
        <v>23669</v>
      </c>
      <c r="B9" s="9" t="s">
        <v>1092</v>
      </c>
      <c r="C9" s="10" t="str">
        <f>VLOOKUP(B9,ACCESORIOS!$A:$B,2,0)</f>
        <v>BISAGRA SENCILLA 28-40 ACERO</v>
      </c>
      <c r="D9" s="32">
        <v>4</v>
      </c>
      <c r="E9" s="32" t="s">
        <v>1231</v>
      </c>
    </row>
    <row r="10" spans="1:5" ht="15.75" x14ac:dyDescent="0.25">
      <c r="A10" s="8">
        <v>23669</v>
      </c>
      <c r="B10" s="9" t="s">
        <v>1068</v>
      </c>
      <c r="C10" s="10" t="str">
        <f>VLOOKUP(B10,ACCESORIOS!$A:$B,2,0)</f>
        <v>BOTON HALADERA ACERO TAMBOR</v>
      </c>
      <c r="D10" s="32">
        <v>2</v>
      </c>
      <c r="E10" s="32" t="s">
        <v>1231</v>
      </c>
    </row>
    <row r="11" spans="1:5" ht="15.75" x14ac:dyDescent="0.25">
      <c r="A11" s="8">
        <v>23669</v>
      </c>
      <c r="B11" s="9" t="s">
        <v>1172</v>
      </c>
      <c r="C11" s="10" t="str">
        <f>VLOOKUP(B11,ACCESORIOS!$A:$B,2,0)</f>
        <v>PERFIL ACRILICO 1.20 MTS</v>
      </c>
      <c r="D11" s="32">
        <v>2</v>
      </c>
      <c r="E11" s="32" t="s">
        <v>1231</v>
      </c>
    </row>
    <row r="12" spans="1:5" ht="15.75" x14ac:dyDescent="0.25">
      <c r="A12" s="8">
        <v>23634</v>
      </c>
      <c r="B12" s="9" t="s">
        <v>1188</v>
      </c>
      <c r="C12" s="10" t="str">
        <f>VLOOKUP(B12,ACCESORIOS!$A:$B,2,0)</f>
        <v>RODAMIENTO 8025 NYLON</v>
      </c>
      <c r="D12" s="32">
        <v>96</v>
      </c>
      <c r="E12" s="32" t="s">
        <v>1231</v>
      </c>
    </row>
    <row r="13" spans="1:5" ht="15.75" x14ac:dyDescent="0.25">
      <c r="A13" s="8">
        <v>23634</v>
      </c>
      <c r="B13" s="9" t="s">
        <v>1134</v>
      </c>
      <c r="C13" s="10" t="str">
        <f>VLOOKUP(B13,ACCESORIOS!$A:$B,2,0)</f>
        <v>EMPAQUE 8025 REF 30110</v>
      </c>
      <c r="D13" s="32">
        <v>400</v>
      </c>
      <c r="E13" s="32" t="s">
        <v>1232</v>
      </c>
    </row>
    <row r="14" spans="1:5" ht="15.75" x14ac:dyDescent="0.25">
      <c r="A14" s="8">
        <v>23634</v>
      </c>
      <c r="B14" s="9" t="s">
        <v>1271</v>
      </c>
      <c r="C14" s="10" t="str">
        <f>VLOOKUP(B14,ACCESORIOS!$A:$B,2,0)</f>
        <v>GUIA SUPERIOR 8025</v>
      </c>
      <c r="D14" s="32">
        <v>200</v>
      </c>
      <c r="E14" s="32" t="s">
        <v>1231</v>
      </c>
    </row>
    <row r="15" spans="1:5" ht="15.75" x14ac:dyDescent="0.25">
      <c r="A15" s="8">
        <v>23634</v>
      </c>
      <c r="B15" s="9" t="s">
        <v>1272</v>
      </c>
      <c r="C15" s="10" t="str">
        <f>VLOOKUP(B15,ACCESORIOS!$A:$B,2,0)</f>
        <v>GUIA INFERIOR 8025</v>
      </c>
      <c r="D15" s="32">
        <v>200</v>
      </c>
      <c r="E15" s="32" t="s">
        <v>1231</v>
      </c>
    </row>
    <row r="16" spans="1:5" ht="15.75" x14ac:dyDescent="0.25">
      <c r="A16" s="8">
        <v>23634</v>
      </c>
      <c r="B16" s="9" t="s">
        <v>1130</v>
      </c>
      <c r="C16" s="10" t="str">
        <f>VLOOKUP(B16,ACCESORIOS!$A:$B,2,0)</f>
        <v>EMPAQUE ESPAGUETTI 3831 ANTIRRETRACRIL</v>
      </c>
      <c r="D16" s="32">
        <v>400</v>
      </c>
      <c r="E16" s="32" t="s">
        <v>1232</v>
      </c>
    </row>
    <row r="17" spans="1:5" ht="15.75" x14ac:dyDescent="0.25">
      <c r="A17" s="8">
        <v>23671</v>
      </c>
      <c r="B17" s="9" t="s">
        <v>1146</v>
      </c>
      <c r="C17" s="10" t="str">
        <f>VLOOKUP(B17,ACCESORIOS!$A:$B,2,0)</f>
        <v>GUIA INFERIOR 744</v>
      </c>
      <c r="D17" s="32">
        <v>40</v>
      </c>
      <c r="E17" s="32" t="s">
        <v>1231</v>
      </c>
    </row>
    <row r="18" spans="1:5" ht="15.75" x14ac:dyDescent="0.25">
      <c r="A18" s="8">
        <v>23671</v>
      </c>
      <c r="B18" s="9" t="s">
        <v>1150</v>
      </c>
      <c r="C18" s="10" t="str">
        <f>VLOOKUP(B18,ACCESORIOS!$A:$B,2,0)</f>
        <v>GUIA SUPERIOR 744</v>
      </c>
      <c r="D18" s="32">
        <v>4</v>
      </c>
      <c r="E18" s="32" t="s">
        <v>1231</v>
      </c>
    </row>
    <row r="19" spans="1:5" ht="15.75" x14ac:dyDescent="0.25">
      <c r="A19" s="8">
        <v>23671</v>
      </c>
      <c r="B19" s="9" t="s">
        <v>1132</v>
      </c>
      <c r="C19" s="10" t="str">
        <f>VLOOKUP(B19,ACCESORIOS!$A:$B,2,0)</f>
        <v>EMPAQUE 744 -5020 REF 30433</v>
      </c>
      <c r="D19" s="32">
        <v>45</v>
      </c>
      <c r="E19" s="32" t="s">
        <v>1232</v>
      </c>
    </row>
    <row r="20" spans="1:5" ht="15.75" x14ac:dyDescent="0.25">
      <c r="A20" s="8">
        <v>23671</v>
      </c>
      <c r="B20" s="9" t="s">
        <v>1184</v>
      </c>
      <c r="C20" s="10" t="str">
        <f>VLOOKUP(B20,ACCESORIOS!$A:$B,2,0)</f>
        <v>RODAMIENTO 744 DE NYLON</v>
      </c>
      <c r="D20" s="32">
        <v>26</v>
      </c>
      <c r="E20" s="32" t="s">
        <v>1231</v>
      </c>
    </row>
    <row r="21" spans="1:5" ht="15.75" x14ac:dyDescent="0.25">
      <c r="A21" s="8">
        <v>23649</v>
      </c>
      <c r="B21" s="9" t="s">
        <v>1280</v>
      </c>
      <c r="C21" s="10" t="str">
        <f>VLOOKUP(B21,ACCESORIOS!$A:$B,2,0)</f>
        <v>KIT DESLIZANTE GLASVIT ANTIRUIDO 1,50</v>
      </c>
      <c r="D21" s="32">
        <v>1</v>
      </c>
      <c r="E21" s="32" t="s">
        <v>1231</v>
      </c>
    </row>
    <row r="22" spans="1:5" ht="15.75" x14ac:dyDescent="0.25">
      <c r="A22" s="8">
        <v>23649</v>
      </c>
      <c r="B22" s="9" t="s">
        <v>1172</v>
      </c>
      <c r="C22" s="10" t="str">
        <f>VLOOKUP(B22,ACCESORIOS!$A:$B,2,0)</f>
        <v>PERFIL ACRILICO 1.20 MTS</v>
      </c>
      <c r="D22" s="32">
        <v>1</v>
      </c>
      <c r="E22" s="32" t="s">
        <v>1231</v>
      </c>
    </row>
    <row r="23" spans="1:5" ht="15.75" x14ac:dyDescent="0.25">
      <c r="A23" s="8">
        <v>23649</v>
      </c>
      <c r="B23" s="9" t="s">
        <v>1068</v>
      </c>
      <c r="C23" s="10" t="str">
        <f>VLOOKUP(B23,ACCESORIOS!$A:$B,2,0)</f>
        <v>BOTON HALADERA ACERO TAMBOR</v>
      </c>
      <c r="D23" s="32">
        <v>1</v>
      </c>
      <c r="E23" s="32" t="s">
        <v>1231</v>
      </c>
    </row>
    <row r="24" spans="1:5" ht="15.75" x14ac:dyDescent="0.25">
      <c r="A24" s="8">
        <v>23649</v>
      </c>
      <c r="B24" s="9" t="s">
        <v>1148</v>
      </c>
      <c r="C24" s="10" t="str">
        <f>VLOOKUP(B24,ACCESORIOS!$A:$B,2,0)</f>
        <v>GUIA DE PISO OPTIGLASS</v>
      </c>
      <c r="D24" s="32">
        <v>1</v>
      </c>
      <c r="E24" s="32" t="s">
        <v>1231</v>
      </c>
    </row>
    <row r="25" spans="1:5" ht="15.75" x14ac:dyDescent="0.25">
      <c r="A25" s="8">
        <v>23379</v>
      </c>
      <c r="B25" s="9" t="s">
        <v>1092</v>
      </c>
      <c r="C25" s="10" t="str">
        <f>VLOOKUP(B25,ACCESORIOS!$A:$B,2,0)</f>
        <v>BISAGRA SENCILLA 28-40 ACERO</v>
      </c>
      <c r="D25" s="32">
        <v>2</v>
      </c>
      <c r="E25" s="32" t="s">
        <v>1231</v>
      </c>
    </row>
    <row r="26" spans="1:5" ht="15.75" x14ac:dyDescent="0.25">
      <c r="A26" s="8">
        <v>23379</v>
      </c>
      <c r="B26" s="9" t="s">
        <v>1104</v>
      </c>
      <c r="C26" s="10" t="str">
        <f>VLOOKUP(B26,ACCESORIOS!$A:$B,2,0)</f>
        <v>CHAPETA CENTRAL 30-35 ACERO</v>
      </c>
      <c r="D26" s="32">
        <v>2</v>
      </c>
      <c r="E26" s="32" t="s">
        <v>1231</v>
      </c>
    </row>
    <row r="27" spans="1:5" ht="15.75" x14ac:dyDescent="0.25">
      <c r="A27" s="8">
        <v>23379</v>
      </c>
      <c r="B27" s="9" t="s">
        <v>1068</v>
      </c>
      <c r="C27" s="10" t="str">
        <f>VLOOKUP(B27,ACCESORIOS!$A:$B,2,0)</f>
        <v>BOTON HALADERA ACERO TAMBOR</v>
      </c>
      <c r="D27" s="32">
        <v>1</v>
      </c>
      <c r="E27" s="32" t="s">
        <v>1231</v>
      </c>
    </row>
    <row r="28" spans="1:5" ht="15.75" x14ac:dyDescent="0.25">
      <c r="A28" s="8">
        <v>23379</v>
      </c>
      <c r="B28" s="9" t="s">
        <v>1172</v>
      </c>
      <c r="C28" s="10" t="str">
        <f>VLOOKUP(B28,ACCESORIOS!$A:$B,2,0)</f>
        <v>PERFIL ACRILICO 1.20 MTS</v>
      </c>
      <c r="D28" s="32">
        <v>1</v>
      </c>
      <c r="E28" s="32" t="s">
        <v>1231</v>
      </c>
    </row>
    <row r="29" spans="1:5" ht="15.75" x14ac:dyDescent="0.25">
      <c r="A29" s="8">
        <v>23683</v>
      </c>
      <c r="B29" s="9" t="s">
        <v>1068</v>
      </c>
      <c r="C29" s="10" t="str">
        <f>VLOOKUP(B29,ACCESORIOS!$A:$B,2,0)</f>
        <v>BOTON HALADERA ACERO TAMBOR</v>
      </c>
      <c r="D29" s="32">
        <v>2</v>
      </c>
      <c r="E29" s="32" t="s">
        <v>1231</v>
      </c>
    </row>
    <row r="30" spans="1:5" ht="15.75" x14ac:dyDescent="0.25">
      <c r="A30" s="8">
        <v>23683</v>
      </c>
      <c r="B30" s="9" t="s">
        <v>1182</v>
      </c>
      <c r="C30" s="10" t="str">
        <f>VLOOKUP(B30,ACCESORIOS!$A:$B,2,0)</f>
        <v>RODACHINA DE CABINA</v>
      </c>
      <c r="D30" s="32">
        <v>4</v>
      </c>
      <c r="E30" s="32" t="s">
        <v>1231</v>
      </c>
    </row>
    <row r="31" spans="1:5" ht="15.75" x14ac:dyDescent="0.25">
      <c r="A31" s="8"/>
      <c r="B31" s="9"/>
      <c r="C31" s="10" t="e">
        <f>VLOOKUP(B31,ACCESORIOS!$A:$B,2,0)</f>
        <v>#N/A</v>
      </c>
      <c r="D31" s="32"/>
      <c r="E31" s="32"/>
    </row>
    <row r="32" spans="1:5" ht="15.75" x14ac:dyDescent="0.25">
      <c r="A32" s="8"/>
      <c r="B32" s="9"/>
      <c r="C32" s="10" t="e">
        <f>VLOOKUP(B32,ACCESORIOS!$A:$B,2,0)</f>
        <v>#N/A</v>
      </c>
      <c r="D32" s="32"/>
      <c r="E32" s="32"/>
    </row>
    <row r="33" spans="1:5" ht="15.75" x14ac:dyDescent="0.25">
      <c r="A33" s="8"/>
      <c r="B33" s="9"/>
      <c r="C33" s="10" t="e">
        <f>VLOOKUP(B33,ACCESORIOS!$A:$B,2,0)</f>
        <v>#N/A</v>
      </c>
      <c r="D33" s="32"/>
      <c r="E33" s="32"/>
    </row>
    <row r="34" spans="1:5" ht="15.75" x14ac:dyDescent="0.25">
      <c r="A34" s="8"/>
      <c r="B34" s="9"/>
      <c r="C34" s="10" t="e">
        <f>VLOOKUP(B34,ACCESORIOS!$A:$B,2,0)</f>
        <v>#N/A</v>
      </c>
      <c r="D34" s="32"/>
      <c r="E34" s="32"/>
    </row>
    <row r="35" spans="1:5" ht="15.75" x14ac:dyDescent="0.25">
      <c r="A35" s="8"/>
      <c r="B35" s="9"/>
      <c r="C35" s="10" t="e">
        <f>VLOOKUP(B35,ACCESORIOS!$A:$B,2,0)</f>
        <v>#N/A</v>
      </c>
      <c r="D35" s="32"/>
      <c r="E35" s="32"/>
    </row>
    <row r="36" spans="1:5" ht="15.75" x14ac:dyDescent="0.25">
      <c r="A36" s="8"/>
      <c r="B36" s="9"/>
      <c r="C36" s="10" t="e">
        <f>VLOOKUP(B36,ACCESORIOS!$A:$B,2,0)</f>
        <v>#N/A</v>
      </c>
      <c r="D36" s="32"/>
      <c r="E36" s="32"/>
    </row>
    <row r="37" spans="1:5" ht="15.75" x14ac:dyDescent="0.25">
      <c r="A37" s="8"/>
      <c r="B37" s="9"/>
      <c r="C37" s="10" t="e">
        <f>VLOOKUP(B37,ACCESORIOS!$A:$B,2,0)</f>
        <v>#N/A</v>
      </c>
      <c r="D37" s="32"/>
      <c r="E37" s="32"/>
    </row>
    <row r="38" spans="1:5" ht="15.75" x14ac:dyDescent="0.25">
      <c r="A38" s="8"/>
      <c r="B38" s="9"/>
      <c r="C38" s="10" t="e">
        <f>VLOOKUP(B38,ACCESORIOS!$A:$B,2,0)</f>
        <v>#N/A</v>
      </c>
      <c r="D38" s="32"/>
      <c r="E38" s="32"/>
    </row>
    <row r="39" spans="1:5" ht="15.75" x14ac:dyDescent="0.25">
      <c r="A39" s="8"/>
      <c r="B39" s="9"/>
      <c r="C39" s="10" t="e">
        <f>VLOOKUP(B39,ACCESORIOS!$A:$B,2,0)</f>
        <v>#N/A</v>
      </c>
      <c r="D39" s="32"/>
      <c r="E39" s="32"/>
    </row>
    <row r="40" spans="1:5" ht="15.75" x14ac:dyDescent="0.25">
      <c r="A40" s="8"/>
      <c r="B40" s="9"/>
      <c r="C40" s="10" t="e">
        <f>VLOOKUP(B40,ACCESORIOS!$A:$B,2,0)</f>
        <v>#N/A</v>
      </c>
      <c r="D40" s="32"/>
      <c r="E40" s="32"/>
    </row>
    <row r="41" spans="1:5" ht="15.75" x14ac:dyDescent="0.25">
      <c r="A41" s="8"/>
      <c r="B41" s="9"/>
      <c r="C41" s="10" t="e">
        <f>VLOOKUP(B41,ACCESORIOS!$A:$B,2,0)</f>
        <v>#N/A</v>
      </c>
      <c r="D41" s="32"/>
      <c r="E41" s="32"/>
    </row>
    <row r="42" spans="1:5" ht="15.75" x14ac:dyDescent="0.25">
      <c r="A42" s="8"/>
      <c r="B42" s="9"/>
      <c r="C42" s="10" t="e">
        <f>VLOOKUP(B42,ACCESORIOS!$A:$B,2,0)</f>
        <v>#N/A</v>
      </c>
      <c r="D42" s="32"/>
      <c r="E42" s="32"/>
    </row>
    <row r="43" spans="1:5" ht="15.75" x14ac:dyDescent="0.25">
      <c r="A43" s="8"/>
      <c r="B43" s="9"/>
      <c r="C43" s="10" t="e">
        <f>VLOOKUP(B43,ACCESORIOS!$A:$B,2,0)</f>
        <v>#N/A</v>
      </c>
      <c r="D43" s="32"/>
      <c r="E43" s="32"/>
    </row>
    <row r="44" spans="1:5" ht="15.75" x14ac:dyDescent="0.25">
      <c r="A44" s="8"/>
      <c r="B44" s="9"/>
      <c r="C44" s="10" t="e">
        <f>VLOOKUP(B44,ACCESORIOS!$A:$B,2,0)</f>
        <v>#N/A</v>
      </c>
      <c r="D44" s="32"/>
      <c r="E44" s="32"/>
    </row>
  </sheetData>
  <autoFilter ref="A1:E44" xr:uid="{82C1E258-6701-4F55-9341-86ED1572D414}"/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D0A7-F1B1-4FFB-8293-796AD863A658}">
  <dimension ref="A1:B302"/>
  <sheetViews>
    <sheetView topLeftCell="A157" workbookViewId="0">
      <selection activeCell="C178" sqref="C178"/>
    </sheetView>
  </sheetViews>
  <sheetFormatPr baseColWidth="10" defaultRowHeight="15" x14ac:dyDescent="0.25"/>
  <sheetData>
    <row r="1" spans="1:2" x14ac:dyDescent="0.25">
      <c r="A1" s="58" t="s">
        <v>1233</v>
      </c>
      <c r="B1" s="58" t="s">
        <v>1236</v>
      </c>
    </row>
    <row r="2" spans="1:2" x14ac:dyDescent="0.25">
      <c r="A2" s="63" t="s">
        <v>719</v>
      </c>
      <c r="B2" s="64">
        <v>0.26666666666666666</v>
      </c>
    </row>
    <row r="3" spans="1:2" x14ac:dyDescent="0.25">
      <c r="A3" s="63" t="s">
        <v>12</v>
      </c>
      <c r="B3" s="64">
        <v>0.99999999999999989</v>
      </c>
    </row>
    <row r="4" spans="1:2" x14ac:dyDescent="0.25">
      <c r="A4" s="63" t="s">
        <v>280</v>
      </c>
      <c r="B4" s="64">
        <v>0.81666666666666665</v>
      </c>
    </row>
    <row r="5" spans="1:2" x14ac:dyDescent="0.25">
      <c r="A5" s="63" t="s">
        <v>3</v>
      </c>
      <c r="B5" s="64">
        <v>0.65</v>
      </c>
    </row>
    <row r="6" spans="1:2" x14ac:dyDescent="0.25">
      <c r="A6" s="63" t="s">
        <v>285</v>
      </c>
      <c r="B6" s="64">
        <v>0.16666666666666666</v>
      </c>
    </row>
    <row r="7" spans="1:2" x14ac:dyDescent="0.25">
      <c r="A7" s="63" t="s">
        <v>198</v>
      </c>
      <c r="B7" s="64">
        <v>0.66666666666666663</v>
      </c>
    </row>
    <row r="8" spans="1:2" x14ac:dyDescent="0.25">
      <c r="A8" s="63" t="s">
        <v>1046</v>
      </c>
      <c r="B8" s="64">
        <v>0.75</v>
      </c>
    </row>
    <row r="9" spans="1:2" x14ac:dyDescent="0.25">
      <c r="A9" s="63" t="s">
        <v>725</v>
      </c>
      <c r="B9" s="64">
        <v>0.16666666666666666</v>
      </c>
    </row>
    <row r="10" spans="1:2" x14ac:dyDescent="0.25">
      <c r="A10" s="63" t="s">
        <v>128</v>
      </c>
      <c r="B10" s="64">
        <v>4.3</v>
      </c>
    </row>
    <row r="11" spans="1:2" x14ac:dyDescent="0.25">
      <c r="A11" s="63" t="s">
        <v>158</v>
      </c>
      <c r="B11" s="64">
        <v>1.5</v>
      </c>
    </row>
    <row r="12" spans="1:2" x14ac:dyDescent="0.25">
      <c r="A12" s="63" t="s">
        <v>132</v>
      </c>
      <c r="B12" s="64">
        <v>0.43333333333333335</v>
      </c>
    </row>
    <row r="13" spans="1:2" x14ac:dyDescent="0.25">
      <c r="A13" s="63" t="s">
        <v>33</v>
      </c>
      <c r="B13" s="64">
        <v>0.51666666666666661</v>
      </c>
    </row>
    <row r="14" spans="1:2" x14ac:dyDescent="0.25">
      <c r="A14" s="63" t="s">
        <v>20</v>
      </c>
      <c r="B14" s="64">
        <v>1.45</v>
      </c>
    </row>
    <row r="15" spans="1:2" x14ac:dyDescent="0.25">
      <c r="A15" s="63" t="s">
        <v>21</v>
      </c>
      <c r="B15" s="64">
        <v>0.53333333333333333</v>
      </c>
    </row>
    <row r="16" spans="1:2" x14ac:dyDescent="0.25">
      <c r="A16" s="63" t="s">
        <v>29</v>
      </c>
      <c r="B16" s="64">
        <v>1</v>
      </c>
    </row>
    <row r="17" spans="1:2" x14ac:dyDescent="0.25">
      <c r="A17" s="63" t="s">
        <v>603</v>
      </c>
      <c r="B17" s="64">
        <v>3.4</v>
      </c>
    </row>
    <row r="18" spans="1:2" x14ac:dyDescent="0.25">
      <c r="A18" s="63" t="s">
        <v>726</v>
      </c>
      <c r="B18" s="64">
        <v>0.21666666666666667</v>
      </c>
    </row>
    <row r="19" spans="1:2" x14ac:dyDescent="0.25">
      <c r="A19" s="63" t="s">
        <v>299</v>
      </c>
      <c r="B19" s="64">
        <v>0.37666666666666665</v>
      </c>
    </row>
    <row r="20" spans="1:2" x14ac:dyDescent="0.25">
      <c r="A20" s="63" t="s">
        <v>596</v>
      </c>
      <c r="B20" s="64">
        <v>0.56666666666666665</v>
      </c>
    </row>
    <row r="21" spans="1:2" x14ac:dyDescent="0.25">
      <c r="A21" s="63" t="s">
        <v>602</v>
      </c>
      <c r="B21" s="64">
        <v>0.58333333333333337</v>
      </c>
    </row>
    <row r="22" spans="1:2" x14ac:dyDescent="0.25">
      <c r="A22" s="63" t="s">
        <v>605</v>
      </c>
      <c r="B22" s="64">
        <v>0.18333333333333332</v>
      </c>
    </row>
    <row r="23" spans="1:2" x14ac:dyDescent="0.25">
      <c r="A23" s="63" t="s">
        <v>35</v>
      </c>
      <c r="B23" s="64">
        <v>0.3666666666666667</v>
      </c>
    </row>
    <row r="24" spans="1:2" x14ac:dyDescent="0.25">
      <c r="A24" s="63" t="s">
        <v>608</v>
      </c>
      <c r="B24" s="64">
        <v>0.83333333333333337</v>
      </c>
    </row>
    <row r="25" spans="1:2" x14ac:dyDescent="0.25">
      <c r="A25" s="63" t="s">
        <v>303</v>
      </c>
      <c r="B25" s="64">
        <v>13.05</v>
      </c>
    </row>
    <row r="26" spans="1:2" x14ac:dyDescent="0.25">
      <c r="A26" s="63" t="s">
        <v>150</v>
      </c>
      <c r="B26" s="64">
        <v>1.1499999999999999</v>
      </c>
    </row>
    <row r="27" spans="1:2" x14ac:dyDescent="0.25">
      <c r="A27" s="63" t="s">
        <v>151</v>
      </c>
      <c r="B27" s="64">
        <v>0.15</v>
      </c>
    </row>
    <row r="28" spans="1:2" x14ac:dyDescent="0.25">
      <c r="A28" s="63" t="s">
        <v>74</v>
      </c>
      <c r="B28" s="64">
        <v>3.6933333333333334</v>
      </c>
    </row>
    <row r="29" spans="1:2" x14ac:dyDescent="0.25">
      <c r="A29" s="63" t="s">
        <v>72</v>
      </c>
      <c r="B29" s="64">
        <v>5.5833333333333339</v>
      </c>
    </row>
    <row r="30" spans="1:2" x14ac:dyDescent="0.25">
      <c r="A30" s="63" t="s">
        <v>309</v>
      </c>
      <c r="B30" s="64">
        <v>0.5</v>
      </c>
    </row>
    <row r="31" spans="1:2" x14ac:dyDescent="0.25">
      <c r="A31" s="63" t="s">
        <v>312</v>
      </c>
      <c r="B31" s="64">
        <v>1</v>
      </c>
    </row>
    <row r="32" spans="1:2" x14ac:dyDescent="0.25">
      <c r="A32" s="63" t="s">
        <v>677</v>
      </c>
      <c r="B32" s="64">
        <v>3.3450000000000002</v>
      </c>
    </row>
    <row r="33" spans="1:2" x14ac:dyDescent="0.25">
      <c r="A33" s="63" t="s">
        <v>313</v>
      </c>
      <c r="B33" s="64">
        <v>1.35</v>
      </c>
    </row>
    <row r="34" spans="1:2" x14ac:dyDescent="0.25">
      <c r="A34" s="63" t="s">
        <v>80</v>
      </c>
      <c r="B34" s="64">
        <v>0.23333333333333334</v>
      </c>
    </row>
    <row r="35" spans="1:2" x14ac:dyDescent="0.25">
      <c r="A35" s="63" t="s">
        <v>176</v>
      </c>
      <c r="B35" s="64">
        <v>0.51666666666666672</v>
      </c>
    </row>
    <row r="36" spans="1:2" x14ac:dyDescent="0.25">
      <c r="A36" s="63" t="s">
        <v>315</v>
      </c>
      <c r="B36" s="64">
        <v>0.56666666666666665</v>
      </c>
    </row>
    <row r="37" spans="1:2" x14ac:dyDescent="0.25">
      <c r="A37" s="63" t="s">
        <v>1047</v>
      </c>
      <c r="B37" s="64">
        <v>1</v>
      </c>
    </row>
    <row r="38" spans="1:2" x14ac:dyDescent="0.25">
      <c r="A38" s="63" t="s">
        <v>165</v>
      </c>
      <c r="B38" s="64">
        <v>1.2833333333333332</v>
      </c>
    </row>
    <row r="39" spans="1:2" x14ac:dyDescent="0.25">
      <c r="A39" s="63" t="s">
        <v>319</v>
      </c>
      <c r="B39" s="64">
        <v>0.98333333333333339</v>
      </c>
    </row>
    <row r="40" spans="1:2" x14ac:dyDescent="0.25">
      <c r="A40" s="63" t="s">
        <v>122</v>
      </c>
      <c r="B40" s="64">
        <v>0.33333333333333331</v>
      </c>
    </row>
    <row r="41" spans="1:2" x14ac:dyDescent="0.25">
      <c r="A41" s="63" t="s">
        <v>694</v>
      </c>
      <c r="B41" s="64">
        <v>2.915</v>
      </c>
    </row>
    <row r="42" spans="1:2" x14ac:dyDescent="0.25">
      <c r="A42" s="63" t="s">
        <v>140</v>
      </c>
      <c r="B42" s="64">
        <v>0.6333333333333333</v>
      </c>
    </row>
    <row r="43" spans="1:2" x14ac:dyDescent="0.25">
      <c r="A43" s="63" t="s">
        <v>772</v>
      </c>
      <c r="B43" s="64">
        <v>0.66666666666666663</v>
      </c>
    </row>
    <row r="44" spans="1:2" x14ac:dyDescent="0.25">
      <c r="A44" s="63" t="s">
        <v>154</v>
      </c>
      <c r="B44" s="64">
        <v>0.2</v>
      </c>
    </row>
    <row r="45" spans="1:2" x14ac:dyDescent="0.25">
      <c r="A45" s="63" t="s">
        <v>28</v>
      </c>
      <c r="B45" s="64">
        <v>0.54</v>
      </c>
    </row>
    <row r="46" spans="1:2" x14ac:dyDescent="0.25">
      <c r="A46" s="63" t="s">
        <v>23</v>
      </c>
      <c r="B46" s="64">
        <v>0.58166666666666667</v>
      </c>
    </row>
    <row r="47" spans="1:2" x14ac:dyDescent="0.25">
      <c r="A47" s="63" t="s">
        <v>18</v>
      </c>
      <c r="B47" s="64">
        <v>1.0499999999999998</v>
      </c>
    </row>
    <row r="48" spans="1:2" x14ac:dyDescent="0.25">
      <c r="A48" s="63" t="s">
        <v>722</v>
      </c>
      <c r="B48" s="64">
        <v>0.51666666666666672</v>
      </c>
    </row>
    <row r="49" spans="1:2" x14ac:dyDescent="0.25">
      <c r="A49" s="63" t="s">
        <v>22</v>
      </c>
      <c r="B49" s="64">
        <v>0.43333333333333335</v>
      </c>
    </row>
    <row r="50" spans="1:2" x14ac:dyDescent="0.25">
      <c r="A50" s="63" t="s">
        <v>328</v>
      </c>
      <c r="B50" s="64">
        <v>0.57500000000000007</v>
      </c>
    </row>
    <row r="51" spans="1:2" x14ac:dyDescent="0.25">
      <c r="A51" s="63" t="s">
        <v>330</v>
      </c>
      <c r="B51" s="64">
        <v>0.48333333333333334</v>
      </c>
    </row>
    <row r="52" spans="1:2" x14ac:dyDescent="0.25">
      <c r="A52" s="63" t="s">
        <v>183</v>
      </c>
      <c r="B52" s="64">
        <v>0.75</v>
      </c>
    </row>
    <row r="53" spans="1:2" x14ac:dyDescent="0.25">
      <c r="A53" s="63" t="s">
        <v>102</v>
      </c>
      <c r="B53" s="64">
        <v>0.77833333333333332</v>
      </c>
    </row>
    <row r="54" spans="1:2" x14ac:dyDescent="0.25">
      <c r="A54" s="63" t="s">
        <v>332</v>
      </c>
      <c r="B54" s="64">
        <v>1.2833333333333332</v>
      </c>
    </row>
    <row r="55" spans="1:2" x14ac:dyDescent="0.25">
      <c r="A55" s="63" t="s">
        <v>334</v>
      </c>
      <c r="B55" s="64">
        <v>0.31666666666666665</v>
      </c>
    </row>
    <row r="56" spans="1:2" x14ac:dyDescent="0.25">
      <c r="A56" s="63" t="s">
        <v>336</v>
      </c>
      <c r="B56" s="64">
        <v>0.6166666666666667</v>
      </c>
    </row>
    <row r="57" spans="1:2" x14ac:dyDescent="0.25">
      <c r="A57" s="63" t="s">
        <v>108</v>
      </c>
      <c r="B57" s="64">
        <v>1.4166666666666667</v>
      </c>
    </row>
    <row r="58" spans="1:2" x14ac:dyDescent="0.25">
      <c r="A58" s="63" t="s">
        <v>45</v>
      </c>
      <c r="B58" s="64">
        <v>0.96666666666666679</v>
      </c>
    </row>
    <row r="59" spans="1:2" x14ac:dyDescent="0.25">
      <c r="A59" s="63" t="s">
        <v>339</v>
      </c>
      <c r="B59" s="64">
        <v>0.16666666666666666</v>
      </c>
    </row>
    <row r="60" spans="1:2" x14ac:dyDescent="0.25">
      <c r="A60" s="63" t="s">
        <v>340</v>
      </c>
      <c r="B60" s="64">
        <v>3.4000000000000004</v>
      </c>
    </row>
    <row r="61" spans="1:2" x14ac:dyDescent="0.25">
      <c r="A61" s="63" t="s">
        <v>341</v>
      </c>
      <c r="B61" s="64">
        <v>11.3</v>
      </c>
    </row>
    <row r="62" spans="1:2" x14ac:dyDescent="0.25">
      <c r="A62" s="63" t="s">
        <v>342</v>
      </c>
      <c r="B62" s="64">
        <v>0.31666666666666665</v>
      </c>
    </row>
    <row r="63" spans="1:2" x14ac:dyDescent="0.25">
      <c r="A63" s="63" t="s">
        <v>159</v>
      </c>
      <c r="B63" s="64">
        <v>0.51666666666666672</v>
      </c>
    </row>
    <row r="64" spans="1:2" x14ac:dyDescent="0.25">
      <c r="A64" s="63" t="s">
        <v>983</v>
      </c>
      <c r="B64" s="64">
        <v>0.6</v>
      </c>
    </row>
    <row r="65" spans="1:2" x14ac:dyDescent="0.25">
      <c r="A65" s="63" t="s">
        <v>345</v>
      </c>
      <c r="B65" s="64">
        <v>1.1333333333333333</v>
      </c>
    </row>
    <row r="66" spans="1:2" x14ac:dyDescent="0.25">
      <c r="A66" s="63" t="s">
        <v>129</v>
      </c>
      <c r="B66" s="64">
        <v>0.55000000000000004</v>
      </c>
    </row>
    <row r="67" spans="1:2" x14ac:dyDescent="0.25">
      <c r="A67" s="63" t="s">
        <v>349</v>
      </c>
      <c r="B67" s="64">
        <v>1.3</v>
      </c>
    </row>
    <row r="68" spans="1:2" x14ac:dyDescent="0.25">
      <c r="A68" s="63" t="s">
        <v>353</v>
      </c>
      <c r="B68" s="64">
        <v>0.55000000000000004</v>
      </c>
    </row>
    <row r="69" spans="1:2" x14ac:dyDescent="0.25">
      <c r="A69" s="63" t="s">
        <v>8</v>
      </c>
      <c r="B69" s="64">
        <v>2.15</v>
      </c>
    </row>
    <row r="70" spans="1:2" x14ac:dyDescent="0.25">
      <c r="A70" s="63" t="s">
        <v>125</v>
      </c>
      <c r="B70" s="64">
        <v>3.9166666666666665</v>
      </c>
    </row>
    <row r="71" spans="1:2" x14ac:dyDescent="0.25">
      <c r="A71" s="63" t="s">
        <v>119</v>
      </c>
      <c r="B71" s="64">
        <v>4.416666666666667</v>
      </c>
    </row>
    <row r="72" spans="1:2" x14ac:dyDescent="0.25">
      <c r="A72" s="63" t="s">
        <v>77</v>
      </c>
      <c r="B72" s="64">
        <v>0.6166666666666667</v>
      </c>
    </row>
    <row r="73" spans="1:2" x14ac:dyDescent="0.25">
      <c r="A73" s="63" t="s">
        <v>142</v>
      </c>
      <c r="B73" s="64">
        <v>0.93333333333333335</v>
      </c>
    </row>
    <row r="74" spans="1:2" x14ac:dyDescent="0.25">
      <c r="A74" s="63" t="s">
        <v>730</v>
      </c>
      <c r="B74" s="64">
        <v>1.1666666666666667</v>
      </c>
    </row>
    <row r="75" spans="1:2" x14ac:dyDescent="0.25">
      <c r="A75" s="63" t="s">
        <v>218</v>
      </c>
      <c r="B75" s="64">
        <v>0.31666666666666665</v>
      </c>
    </row>
    <row r="76" spans="1:2" x14ac:dyDescent="0.25">
      <c r="A76" s="63" t="s">
        <v>220</v>
      </c>
      <c r="B76" s="64">
        <v>0.18333333333333332</v>
      </c>
    </row>
    <row r="77" spans="1:2" x14ac:dyDescent="0.25">
      <c r="A77" s="63" t="s">
        <v>118</v>
      </c>
      <c r="B77" s="64">
        <v>0.65</v>
      </c>
    </row>
    <row r="78" spans="1:2" x14ac:dyDescent="0.25">
      <c r="A78" s="63" t="s">
        <v>369</v>
      </c>
      <c r="B78" s="64">
        <v>0.39166666666666666</v>
      </c>
    </row>
    <row r="79" spans="1:2" x14ac:dyDescent="0.25">
      <c r="A79" s="63" t="s">
        <v>186</v>
      </c>
      <c r="B79" s="64">
        <v>0.13333333333333333</v>
      </c>
    </row>
    <row r="80" spans="1:2" x14ac:dyDescent="0.25">
      <c r="A80" s="63" t="s">
        <v>828</v>
      </c>
      <c r="B80" s="64">
        <v>0.36666666666666664</v>
      </c>
    </row>
    <row r="81" spans="1:2" x14ac:dyDescent="0.25">
      <c r="A81" s="63" t="s">
        <v>372</v>
      </c>
      <c r="B81" s="64">
        <v>1.0666666666666667</v>
      </c>
    </row>
    <row r="82" spans="1:2" x14ac:dyDescent="0.25">
      <c r="A82" s="63" t="s">
        <v>109</v>
      </c>
      <c r="B82" s="64">
        <v>0.44999999999999996</v>
      </c>
    </row>
    <row r="83" spans="1:2" x14ac:dyDescent="0.25">
      <c r="A83" s="63" t="s">
        <v>65</v>
      </c>
      <c r="B83" s="64">
        <v>0.15</v>
      </c>
    </row>
    <row r="84" spans="1:2" x14ac:dyDescent="0.25">
      <c r="A84" s="63" t="s">
        <v>147</v>
      </c>
      <c r="B84" s="64">
        <v>0.55000000000000004</v>
      </c>
    </row>
    <row r="85" spans="1:2" x14ac:dyDescent="0.25">
      <c r="A85" s="63" t="s">
        <v>161</v>
      </c>
      <c r="B85" s="64">
        <v>0.18333333333333332</v>
      </c>
    </row>
    <row r="86" spans="1:2" x14ac:dyDescent="0.25">
      <c r="A86" s="63" t="s">
        <v>133</v>
      </c>
      <c r="B86" s="64">
        <v>0.6</v>
      </c>
    </row>
    <row r="87" spans="1:2" x14ac:dyDescent="0.25">
      <c r="A87" s="63" t="s">
        <v>377</v>
      </c>
      <c r="B87" s="64">
        <v>21.816666666666666</v>
      </c>
    </row>
    <row r="88" spans="1:2" x14ac:dyDescent="0.25">
      <c r="A88" s="63" t="s">
        <v>46</v>
      </c>
      <c r="B88" s="64">
        <v>1.25</v>
      </c>
    </row>
    <row r="89" spans="1:2" x14ac:dyDescent="0.25">
      <c r="A89" s="63" t="s">
        <v>85</v>
      </c>
      <c r="B89" s="64">
        <v>0.4</v>
      </c>
    </row>
    <row r="90" spans="1:2" x14ac:dyDescent="0.25">
      <c r="A90" s="63" t="s">
        <v>382</v>
      </c>
      <c r="B90" s="64">
        <v>0.96666666666666679</v>
      </c>
    </row>
    <row r="91" spans="1:2" x14ac:dyDescent="0.25">
      <c r="A91" s="63" t="s">
        <v>384</v>
      </c>
      <c r="B91" s="64">
        <v>1.0499999999999998</v>
      </c>
    </row>
    <row r="92" spans="1:2" x14ac:dyDescent="0.25">
      <c r="A92" s="63" t="s">
        <v>179</v>
      </c>
      <c r="B92" s="64">
        <v>2.8666666666666667</v>
      </c>
    </row>
    <row r="93" spans="1:2" x14ac:dyDescent="0.25">
      <c r="A93" s="63" t="s">
        <v>699</v>
      </c>
      <c r="B93" s="64">
        <v>0.18333333333333332</v>
      </c>
    </row>
    <row r="94" spans="1:2" x14ac:dyDescent="0.25">
      <c r="A94" s="63" t="s">
        <v>597</v>
      </c>
      <c r="B94" s="64">
        <v>0.55000000000000004</v>
      </c>
    </row>
    <row r="95" spans="1:2" x14ac:dyDescent="0.25">
      <c r="A95" s="63" t="s">
        <v>30</v>
      </c>
      <c r="B95" s="64">
        <v>0.73333333333333328</v>
      </c>
    </row>
    <row r="96" spans="1:2" x14ac:dyDescent="0.25">
      <c r="A96" s="63" t="s">
        <v>747</v>
      </c>
      <c r="B96" s="64">
        <v>1.0166666666666666</v>
      </c>
    </row>
    <row r="97" spans="1:2" x14ac:dyDescent="0.25">
      <c r="A97" s="63" t="s">
        <v>617</v>
      </c>
      <c r="B97" s="64">
        <v>0.65</v>
      </c>
    </row>
    <row r="98" spans="1:2" x14ac:dyDescent="0.25">
      <c r="A98" s="63" t="s">
        <v>639</v>
      </c>
      <c r="B98" s="64">
        <v>1</v>
      </c>
    </row>
    <row r="99" spans="1:2" x14ac:dyDescent="0.25">
      <c r="A99" s="63" t="s">
        <v>121</v>
      </c>
      <c r="B99" s="64">
        <v>2.3333333333333335</v>
      </c>
    </row>
    <row r="100" spans="1:2" x14ac:dyDescent="0.25">
      <c r="A100" s="63" t="s">
        <v>695</v>
      </c>
      <c r="B100" s="64">
        <v>1</v>
      </c>
    </row>
    <row r="101" spans="1:2" x14ac:dyDescent="0.25">
      <c r="A101" s="63" t="s">
        <v>32</v>
      </c>
      <c r="B101" s="64">
        <v>0.15</v>
      </c>
    </row>
    <row r="102" spans="1:2" x14ac:dyDescent="0.25">
      <c r="A102" s="63" t="s">
        <v>390</v>
      </c>
      <c r="B102" s="64">
        <v>0.71666666666666667</v>
      </c>
    </row>
    <row r="103" spans="1:2" x14ac:dyDescent="0.25">
      <c r="A103" s="63" t="s">
        <v>394</v>
      </c>
      <c r="B103" s="64">
        <v>0.95</v>
      </c>
    </row>
    <row r="104" spans="1:2" x14ac:dyDescent="0.25">
      <c r="A104" s="63" t="s">
        <v>696</v>
      </c>
      <c r="B104" s="64">
        <v>10.466666666666667</v>
      </c>
    </row>
    <row r="105" spans="1:2" x14ac:dyDescent="0.25">
      <c r="A105" s="63" t="s">
        <v>697</v>
      </c>
      <c r="B105" s="64">
        <v>1</v>
      </c>
    </row>
    <row r="106" spans="1:2" x14ac:dyDescent="0.25">
      <c r="A106" s="63" t="s">
        <v>149</v>
      </c>
      <c r="B106" s="64">
        <v>0.11666666666666667</v>
      </c>
    </row>
    <row r="107" spans="1:2" x14ac:dyDescent="0.25">
      <c r="A107" s="63" t="s">
        <v>397</v>
      </c>
      <c r="B107" s="64">
        <v>0.8</v>
      </c>
    </row>
    <row r="108" spans="1:2" x14ac:dyDescent="0.25">
      <c r="A108" s="63" t="s">
        <v>181</v>
      </c>
      <c r="B108" s="64">
        <v>0.8833333333333333</v>
      </c>
    </row>
    <row r="109" spans="1:2" x14ac:dyDescent="0.25">
      <c r="A109" s="63" t="s">
        <v>401</v>
      </c>
      <c r="B109" s="64">
        <v>8.3333333333333329E-2</v>
      </c>
    </row>
    <row r="110" spans="1:2" x14ac:dyDescent="0.25">
      <c r="A110" s="63" t="s">
        <v>111</v>
      </c>
      <c r="B110" s="64">
        <v>0.6166666666666667</v>
      </c>
    </row>
    <row r="111" spans="1:2" x14ac:dyDescent="0.25">
      <c r="A111" s="63" t="s">
        <v>50</v>
      </c>
      <c r="B111" s="64">
        <v>0.70000000000000007</v>
      </c>
    </row>
    <row r="112" spans="1:2" x14ac:dyDescent="0.25">
      <c r="A112" s="63" t="s">
        <v>144</v>
      </c>
      <c r="B112" s="64">
        <v>0.13333333333333333</v>
      </c>
    </row>
    <row r="113" spans="1:2" x14ac:dyDescent="0.25">
      <c r="A113" s="63" t="s">
        <v>126</v>
      </c>
      <c r="B113" s="64">
        <v>10.266666666666667</v>
      </c>
    </row>
    <row r="114" spans="1:2" x14ac:dyDescent="0.25">
      <c r="A114" s="63" t="s">
        <v>113</v>
      </c>
      <c r="B114" s="64">
        <v>2.4833333333333334</v>
      </c>
    </row>
    <row r="115" spans="1:2" x14ac:dyDescent="0.25">
      <c r="A115" s="63" t="s">
        <v>31</v>
      </c>
      <c r="B115" s="64">
        <v>0.41666666666666663</v>
      </c>
    </row>
    <row r="116" spans="1:2" x14ac:dyDescent="0.25">
      <c r="A116" s="63" t="s">
        <v>847</v>
      </c>
      <c r="B116" s="64">
        <v>0.51666666666666672</v>
      </c>
    </row>
    <row r="117" spans="1:2" x14ac:dyDescent="0.25">
      <c r="A117" s="63" t="s">
        <v>406</v>
      </c>
      <c r="B117" s="64">
        <v>0.38333333333333336</v>
      </c>
    </row>
    <row r="118" spans="1:2" x14ac:dyDescent="0.25">
      <c r="A118" s="63" t="s">
        <v>410</v>
      </c>
      <c r="B118" s="64">
        <v>0.6166666666666667</v>
      </c>
    </row>
    <row r="119" spans="1:2" x14ac:dyDescent="0.25">
      <c r="A119" s="63" t="s">
        <v>411</v>
      </c>
      <c r="B119" s="64">
        <v>1.9166666666666665</v>
      </c>
    </row>
    <row r="120" spans="1:2" x14ac:dyDescent="0.25">
      <c r="A120" s="63" t="s">
        <v>413</v>
      </c>
      <c r="B120" s="64">
        <v>1</v>
      </c>
    </row>
    <row r="121" spans="1:2" x14ac:dyDescent="0.25">
      <c r="A121" s="63" t="s">
        <v>61</v>
      </c>
      <c r="B121" s="64">
        <v>1.5833333333333335</v>
      </c>
    </row>
    <row r="122" spans="1:2" x14ac:dyDescent="0.25">
      <c r="A122" s="63" t="s">
        <v>76</v>
      </c>
      <c r="B122" s="64">
        <v>0.6166666666666667</v>
      </c>
    </row>
    <row r="123" spans="1:2" x14ac:dyDescent="0.25">
      <c r="A123" s="63" t="s">
        <v>169</v>
      </c>
      <c r="B123" s="64">
        <v>1.0666666666666667</v>
      </c>
    </row>
    <row r="124" spans="1:2" x14ac:dyDescent="0.25">
      <c r="A124" s="63" t="s">
        <v>416</v>
      </c>
      <c r="B124" s="64">
        <v>1.25</v>
      </c>
    </row>
    <row r="125" spans="1:2" x14ac:dyDescent="0.25">
      <c r="A125" s="63" t="s">
        <v>47</v>
      </c>
      <c r="B125" s="64">
        <v>1</v>
      </c>
    </row>
    <row r="126" spans="1:2" x14ac:dyDescent="0.25">
      <c r="A126" s="63" t="s">
        <v>43</v>
      </c>
      <c r="B126" s="64">
        <v>2.1666666666666665</v>
      </c>
    </row>
    <row r="127" spans="1:2" x14ac:dyDescent="0.25">
      <c r="A127" s="63" t="s">
        <v>774</v>
      </c>
      <c r="B127" s="64">
        <v>1</v>
      </c>
    </row>
    <row r="128" spans="1:2" x14ac:dyDescent="0.25">
      <c r="A128" s="63" t="s">
        <v>17</v>
      </c>
      <c r="B128" s="64">
        <v>0.1</v>
      </c>
    </row>
    <row r="129" spans="1:2" x14ac:dyDescent="0.25">
      <c r="A129" s="63" t="s">
        <v>421</v>
      </c>
      <c r="B129" s="64">
        <v>0.16666666666666666</v>
      </c>
    </row>
    <row r="130" spans="1:2" x14ac:dyDescent="0.25">
      <c r="A130" s="63" t="s">
        <v>425</v>
      </c>
      <c r="B130" s="64">
        <v>2.5</v>
      </c>
    </row>
    <row r="131" spans="1:2" x14ac:dyDescent="0.25">
      <c r="A131" s="63" t="s">
        <v>723</v>
      </c>
      <c r="B131" s="64">
        <v>1.05</v>
      </c>
    </row>
    <row r="132" spans="1:2" x14ac:dyDescent="0.25">
      <c r="A132" s="63" t="s">
        <v>739</v>
      </c>
      <c r="B132" s="64">
        <v>0.28333333333333333</v>
      </c>
    </row>
    <row r="133" spans="1:2" x14ac:dyDescent="0.25">
      <c r="A133" s="63" t="s">
        <v>116</v>
      </c>
      <c r="B133" s="64">
        <v>0.13333333333333333</v>
      </c>
    </row>
    <row r="134" spans="1:2" x14ac:dyDescent="0.25">
      <c r="A134" s="63" t="s">
        <v>166</v>
      </c>
      <c r="B134" s="64">
        <v>0.2</v>
      </c>
    </row>
    <row r="135" spans="1:2" x14ac:dyDescent="0.25">
      <c r="A135" s="63" t="s">
        <v>430</v>
      </c>
      <c r="B135" s="64">
        <v>0.5</v>
      </c>
    </row>
    <row r="136" spans="1:2" x14ac:dyDescent="0.25">
      <c r="A136" s="63" t="s">
        <v>598</v>
      </c>
      <c r="B136" s="64">
        <v>0.33333333333333331</v>
      </c>
    </row>
    <row r="137" spans="1:2" x14ac:dyDescent="0.25">
      <c r="A137" s="63" t="s">
        <v>167</v>
      </c>
      <c r="B137" s="64">
        <v>2.0833333333333335</v>
      </c>
    </row>
    <row r="138" spans="1:2" x14ac:dyDescent="0.25">
      <c r="A138" s="63" t="s">
        <v>112</v>
      </c>
      <c r="B138" s="64">
        <v>0.6333333333333333</v>
      </c>
    </row>
    <row r="139" spans="1:2" x14ac:dyDescent="0.25">
      <c r="A139" s="63" t="s">
        <v>66</v>
      </c>
      <c r="B139" s="64">
        <v>0.3</v>
      </c>
    </row>
    <row r="140" spans="1:2" x14ac:dyDescent="0.25">
      <c r="A140" s="63" t="s">
        <v>436</v>
      </c>
      <c r="B140" s="64">
        <v>0.98333333333333328</v>
      </c>
    </row>
    <row r="141" spans="1:2" x14ac:dyDescent="0.25">
      <c r="A141" s="63" t="s">
        <v>438</v>
      </c>
      <c r="B141" s="64">
        <v>1.25</v>
      </c>
    </row>
    <row r="142" spans="1:2" x14ac:dyDescent="0.25">
      <c r="A142" s="63" t="s">
        <v>440</v>
      </c>
      <c r="B142" s="64">
        <v>0.8666666666666667</v>
      </c>
    </row>
    <row r="143" spans="1:2" x14ac:dyDescent="0.25">
      <c r="A143" s="63" t="s">
        <v>441</v>
      </c>
      <c r="B143" s="64">
        <v>1.3333333333333333</v>
      </c>
    </row>
    <row r="144" spans="1:2" x14ac:dyDescent="0.25">
      <c r="A144" s="63" t="s">
        <v>187</v>
      </c>
      <c r="B144" s="64">
        <v>6.55</v>
      </c>
    </row>
    <row r="145" spans="1:2" x14ac:dyDescent="0.25">
      <c r="A145" s="63" t="s">
        <v>145</v>
      </c>
      <c r="B145" s="64">
        <v>0.35</v>
      </c>
    </row>
    <row r="146" spans="1:2" x14ac:dyDescent="0.25">
      <c r="A146" s="63" t="s">
        <v>954</v>
      </c>
      <c r="B146" s="64">
        <v>1.2833333333333332</v>
      </c>
    </row>
    <row r="147" spans="1:2" x14ac:dyDescent="0.25">
      <c r="A147" s="63" t="s">
        <v>444</v>
      </c>
      <c r="B147" s="64">
        <v>13.933333333333334</v>
      </c>
    </row>
    <row r="148" spans="1:2" x14ac:dyDescent="0.25">
      <c r="A148" s="63" t="s">
        <v>446</v>
      </c>
      <c r="B148" s="64">
        <v>0.91666666666666663</v>
      </c>
    </row>
    <row r="149" spans="1:2" x14ac:dyDescent="0.25">
      <c r="A149" s="63" t="s">
        <v>449</v>
      </c>
      <c r="B149" s="64">
        <v>2.5</v>
      </c>
    </row>
    <row r="150" spans="1:2" x14ac:dyDescent="0.25">
      <c r="A150" s="63" t="s">
        <v>95</v>
      </c>
      <c r="B150" s="64">
        <v>1.4333333333333333</v>
      </c>
    </row>
    <row r="151" spans="1:2" x14ac:dyDescent="0.25">
      <c r="A151" s="63" t="s">
        <v>39</v>
      </c>
      <c r="B151" s="64">
        <v>0.46666666666666667</v>
      </c>
    </row>
    <row r="152" spans="1:2" x14ac:dyDescent="0.25">
      <c r="A152" s="63" t="s">
        <v>175</v>
      </c>
      <c r="B152" s="64">
        <v>0.60000000000000009</v>
      </c>
    </row>
    <row r="153" spans="1:2" x14ac:dyDescent="0.25">
      <c r="A153" s="63" t="s">
        <v>234</v>
      </c>
      <c r="B153" s="64">
        <v>0.73333333333333328</v>
      </c>
    </row>
    <row r="154" spans="1:2" x14ac:dyDescent="0.25">
      <c r="A154" s="63" t="s">
        <v>453</v>
      </c>
      <c r="B154" s="64">
        <v>0.45</v>
      </c>
    </row>
    <row r="155" spans="1:2" x14ac:dyDescent="0.25">
      <c r="A155" s="63" t="s">
        <v>188</v>
      </c>
      <c r="B155" s="64">
        <v>1.4</v>
      </c>
    </row>
    <row r="156" spans="1:2" x14ac:dyDescent="0.25">
      <c r="A156" s="63" t="s">
        <v>1228</v>
      </c>
      <c r="B156" s="64">
        <v>0.7</v>
      </c>
    </row>
    <row r="157" spans="1:2" x14ac:dyDescent="0.25">
      <c r="A157" s="63" t="s">
        <v>4</v>
      </c>
      <c r="B157" s="64">
        <v>0.16666666666666666</v>
      </c>
    </row>
    <row r="158" spans="1:2" x14ac:dyDescent="0.25">
      <c r="A158" s="63" t="s">
        <v>11</v>
      </c>
      <c r="B158" s="64">
        <v>3.55</v>
      </c>
    </row>
    <row r="159" spans="1:2" x14ac:dyDescent="0.25">
      <c r="A159" s="63" t="s">
        <v>768</v>
      </c>
      <c r="B159" s="64">
        <v>0.5</v>
      </c>
    </row>
    <row r="160" spans="1:2" x14ac:dyDescent="0.25">
      <c r="A160" s="63" t="s">
        <v>629</v>
      </c>
      <c r="B160" s="64">
        <v>3.0833333333333335</v>
      </c>
    </row>
    <row r="161" spans="1:2" x14ac:dyDescent="0.25">
      <c r="A161" s="63" t="s">
        <v>127</v>
      </c>
      <c r="B161" s="64">
        <v>1.9833333333333332</v>
      </c>
    </row>
    <row r="162" spans="1:2" x14ac:dyDescent="0.25">
      <c r="A162" s="63" t="s">
        <v>9</v>
      </c>
      <c r="B162" s="64">
        <v>0.31666666666666665</v>
      </c>
    </row>
    <row r="163" spans="1:2" x14ac:dyDescent="0.25">
      <c r="A163" s="63" t="s">
        <v>1009</v>
      </c>
      <c r="B163" s="64">
        <v>1.2166666666666668</v>
      </c>
    </row>
    <row r="164" spans="1:2" x14ac:dyDescent="0.25">
      <c r="A164" s="63" t="s">
        <v>459</v>
      </c>
      <c r="B164" s="64">
        <v>0.56666666666666665</v>
      </c>
    </row>
    <row r="165" spans="1:2" x14ac:dyDescent="0.25">
      <c r="A165" s="63" t="s">
        <v>867</v>
      </c>
      <c r="B165" s="64">
        <v>2.65</v>
      </c>
    </row>
    <row r="166" spans="1:2" x14ac:dyDescent="0.25">
      <c r="A166" s="63" t="s">
        <v>185</v>
      </c>
      <c r="B166" s="64">
        <v>23.35</v>
      </c>
    </row>
    <row r="167" spans="1:2" x14ac:dyDescent="0.25">
      <c r="A167" s="63" t="s">
        <v>461</v>
      </c>
      <c r="B167" s="64">
        <v>1.8666666666666667</v>
      </c>
    </row>
    <row r="168" spans="1:2" x14ac:dyDescent="0.25">
      <c r="A168" s="63" t="s">
        <v>78</v>
      </c>
      <c r="B168" s="64">
        <v>0.31666666666666665</v>
      </c>
    </row>
    <row r="169" spans="1:2" x14ac:dyDescent="0.25">
      <c r="A169" s="63" t="s">
        <v>463</v>
      </c>
      <c r="B169" s="64">
        <v>1</v>
      </c>
    </row>
    <row r="170" spans="1:2" x14ac:dyDescent="0.25">
      <c r="A170" s="63" t="s">
        <v>131</v>
      </c>
      <c r="B170" s="64">
        <v>5.3833333333333346</v>
      </c>
    </row>
    <row r="171" spans="1:2" x14ac:dyDescent="0.25">
      <c r="A171" s="63" t="s">
        <v>168</v>
      </c>
      <c r="B171" s="64">
        <v>31.133333333333333</v>
      </c>
    </row>
    <row r="172" spans="1:2" x14ac:dyDescent="0.25">
      <c r="A172" s="63" t="s">
        <v>174</v>
      </c>
      <c r="B172" s="64">
        <v>3.1166666666666667</v>
      </c>
    </row>
    <row r="173" spans="1:2" x14ac:dyDescent="0.25">
      <c r="A173" s="63" t="s">
        <v>105</v>
      </c>
      <c r="B173" s="64">
        <v>2.3333333333333335</v>
      </c>
    </row>
    <row r="174" spans="1:2" x14ac:dyDescent="0.25">
      <c r="A174" s="63" t="s">
        <v>469</v>
      </c>
      <c r="B174" s="64">
        <v>1.7833333333333332</v>
      </c>
    </row>
    <row r="175" spans="1:2" x14ac:dyDescent="0.25">
      <c r="A175" s="63" t="s">
        <v>738</v>
      </c>
      <c r="B175" s="64">
        <v>0.63</v>
      </c>
    </row>
    <row r="176" spans="1:2" x14ac:dyDescent="0.25">
      <c r="A176" s="63" t="s">
        <v>135</v>
      </c>
      <c r="B176" s="64">
        <v>0.6</v>
      </c>
    </row>
    <row r="177" spans="1:2" x14ac:dyDescent="0.25">
      <c r="A177" s="63" t="s">
        <v>134</v>
      </c>
      <c r="B177" s="64">
        <v>1.3666666666666667</v>
      </c>
    </row>
    <row r="178" spans="1:2" x14ac:dyDescent="0.25">
      <c r="A178" s="63" t="s">
        <v>764</v>
      </c>
      <c r="B178" s="64">
        <v>0.32</v>
      </c>
    </row>
    <row r="179" spans="1:2" x14ac:dyDescent="0.25">
      <c r="A179" s="63" t="s">
        <v>727</v>
      </c>
      <c r="B179" s="64">
        <v>1.5833333333333335</v>
      </c>
    </row>
    <row r="180" spans="1:2" x14ac:dyDescent="0.25">
      <c r="A180" s="63" t="s">
        <v>91</v>
      </c>
      <c r="B180" s="64">
        <v>1.4833333333333334</v>
      </c>
    </row>
    <row r="181" spans="1:2" x14ac:dyDescent="0.25">
      <c r="A181" s="63" t="s">
        <v>124</v>
      </c>
      <c r="B181" s="64">
        <v>1.3666666666666667</v>
      </c>
    </row>
    <row r="182" spans="1:2" x14ac:dyDescent="0.25">
      <c r="A182" s="63" t="s">
        <v>115</v>
      </c>
      <c r="B182" s="64">
        <v>1</v>
      </c>
    </row>
    <row r="183" spans="1:2" x14ac:dyDescent="0.25">
      <c r="A183" s="63" t="s">
        <v>607</v>
      </c>
      <c r="B183" s="64">
        <v>1.1166666666666667</v>
      </c>
    </row>
    <row r="184" spans="1:2" x14ac:dyDescent="0.25">
      <c r="A184" s="63" t="s">
        <v>773</v>
      </c>
      <c r="B184" s="64">
        <v>0.66666666666666663</v>
      </c>
    </row>
    <row r="185" spans="1:2" x14ac:dyDescent="0.25">
      <c r="A185" s="63" t="s">
        <v>173</v>
      </c>
      <c r="B185" s="64">
        <v>1.1166666666666667</v>
      </c>
    </row>
    <row r="186" spans="1:2" x14ac:dyDescent="0.25">
      <c r="A186" s="63" t="s">
        <v>24</v>
      </c>
      <c r="B186" s="64">
        <v>0.31666666666666665</v>
      </c>
    </row>
    <row r="187" spans="1:2" x14ac:dyDescent="0.25">
      <c r="A187" s="63" t="s">
        <v>75</v>
      </c>
      <c r="B187" s="64">
        <v>0.81666666666666665</v>
      </c>
    </row>
    <row r="188" spans="1:2" x14ac:dyDescent="0.25">
      <c r="A188" s="63" t="s">
        <v>475</v>
      </c>
      <c r="B188" s="64">
        <v>0.58333333333333337</v>
      </c>
    </row>
    <row r="189" spans="1:2" x14ac:dyDescent="0.25">
      <c r="A189" s="63" t="s">
        <v>69</v>
      </c>
      <c r="B189" s="64">
        <v>0.2</v>
      </c>
    </row>
    <row r="190" spans="1:2" x14ac:dyDescent="0.25">
      <c r="A190" s="63" t="s">
        <v>477</v>
      </c>
      <c r="B190" s="64">
        <v>0.35</v>
      </c>
    </row>
    <row r="191" spans="1:2" x14ac:dyDescent="0.25">
      <c r="A191" s="63" t="s">
        <v>724</v>
      </c>
      <c r="B191" s="64">
        <v>0.51666666666666672</v>
      </c>
    </row>
    <row r="192" spans="1:2" x14ac:dyDescent="0.25">
      <c r="A192" s="63" t="s">
        <v>480</v>
      </c>
      <c r="B192" s="64">
        <v>0.58166666666666667</v>
      </c>
    </row>
    <row r="193" spans="1:2" x14ac:dyDescent="0.25">
      <c r="A193" s="63" t="s">
        <v>667</v>
      </c>
      <c r="B193" s="64">
        <v>0.18333333333333332</v>
      </c>
    </row>
    <row r="194" spans="1:2" x14ac:dyDescent="0.25">
      <c r="A194" s="63" t="s">
        <v>481</v>
      </c>
      <c r="B194" s="64">
        <v>0.48333333333333334</v>
      </c>
    </row>
    <row r="195" spans="1:2" x14ac:dyDescent="0.25">
      <c r="A195" s="63" t="s">
        <v>482</v>
      </c>
      <c r="B195" s="64">
        <v>0.57500000000000007</v>
      </c>
    </row>
    <row r="196" spans="1:2" x14ac:dyDescent="0.25">
      <c r="A196" s="63" t="s">
        <v>484</v>
      </c>
      <c r="B196" s="64">
        <v>2</v>
      </c>
    </row>
    <row r="197" spans="1:2" x14ac:dyDescent="0.25">
      <c r="A197" s="63" t="s">
        <v>184</v>
      </c>
      <c r="B197" s="64">
        <v>0.75</v>
      </c>
    </row>
    <row r="198" spans="1:2" x14ac:dyDescent="0.25">
      <c r="A198" s="63" t="s">
        <v>101</v>
      </c>
      <c r="B198" s="64">
        <v>0.6</v>
      </c>
    </row>
    <row r="199" spans="1:2" x14ac:dyDescent="0.25">
      <c r="A199" s="63" t="s">
        <v>86</v>
      </c>
      <c r="B199" s="64">
        <v>4.2666666666666666</v>
      </c>
    </row>
    <row r="200" spans="1:2" x14ac:dyDescent="0.25">
      <c r="A200" s="63" t="s">
        <v>736</v>
      </c>
      <c r="B200" s="64">
        <v>0.58333333333333337</v>
      </c>
    </row>
    <row r="201" spans="1:2" x14ac:dyDescent="0.25">
      <c r="A201" s="63" t="s">
        <v>42</v>
      </c>
      <c r="B201" s="64">
        <v>1.25</v>
      </c>
    </row>
    <row r="202" spans="1:2" x14ac:dyDescent="0.25">
      <c r="A202" s="63" t="s">
        <v>489</v>
      </c>
      <c r="B202" s="64">
        <v>1.4500000000000002</v>
      </c>
    </row>
    <row r="203" spans="1:2" x14ac:dyDescent="0.25">
      <c r="A203" s="63" t="s">
        <v>114</v>
      </c>
      <c r="B203" s="64">
        <v>0.28333333333333333</v>
      </c>
    </row>
    <row r="204" spans="1:2" x14ac:dyDescent="0.25">
      <c r="A204" s="63" t="s">
        <v>492</v>
      </c>
      <c r="B204" s="64">
        <v>1.2833333333333332</v>
      </c>
    </row>
    <row r="205" spans="1:2" x14ac:dyDescent="0.25">
      <c r="A205" s="63" t="s">
        <v>493</v>
      </c>
      <c r="B205" s="64">
        <v>1.0666666666666667</v>
      </c>
    </row>
    <row r="206" spans="1:2" x14ac:dyDescent="0.25">
      <c r="A206" s="63" t="s">
        <v>44</v>
      </c>
      <c r="B206" s="64">
        <v>1.5166666666666666</v>
      </c>
    </row>
    <row r="207" spans="1:2" x14ac:dyDescent="0.25">
      <c r="A207" s="63" t="s">
        <v>160</v>
      </c>
      <c r="B207" s="64">
        <v>0.6333333333333333</v>
      </c>
    </row>
    <row r="208" spans="1:2" x14ac:dyDescent="0.25">
      <c r="A208" s="63" t="s">
        <v>973</v>
      </c>
      <c r="B208" s="64">
        <v>1.4500000000000002</v>
      </c>
    </row>
    <row r="209" spans="1:2" x14ac:dyDescent="0.25">
      <c r="A209" s="63" t="s">
        <v>982</v>
      </c>
      <c r="B209" s="64">
        <v>0.43333333333333335</v>
      </c>
    </row>
    <row r="210" spans="1:2" x14ac:dyDescent="0.25">
      <c r="A210" s="63" t="s">
        <v>123</v>
      </c>
      <c r="B210" s="64">
        <v>36.25</v>
      </c>
    </row>
    <row r="211" spans="1:2" x14ac:dyDescent="0.25">
      <c r="A211" s="63" t="s">
        <v>502</v>
      </c>
      <c r="B211" s="64">
        <v>11.3</v>
      </c>
    </row>
    <row r="212" spans="1:2" x14ac:dyDescent="0.25">
      <c r="A212" s="63" t="s">
        <v>139</v>
      </c>
      <c r="B212" s="64">
        <v>3.3666666666666671</v>
      </c>
    </row>
    <row r="213" spans="1:2" x14ac:dyDescent="0.25">
      <c r="A213" s="63" t="s">
        <v>26</v>
      </c>
      <c r="B213" s="64">
        <v>2.6500000000000004</v>
      </c>
    </row>
    <row r="214" spans="1:2" x14ac:dyDescent="0.25">
      <c r="A214" s="63" t="s">
        <v>646</v>
      </c>
      <c r="B214" s="64">
        <v>0.18333333333333332</v>
      </c>
    </row>
    <row r="215" spans="1:2" x14ac:dyDescent="0.25">
      <c r="A215" s="63" t="s">
        <v>985</v>
      </c>
      <c r="B215" s="64">
        <v>0.65</v>
      </c>
    </row>
    <row r="216" spans="1:2" x14ac:dyDescent="0.25">
      <c r="A216" s="63" t="s">
        <v>96</v>
      </c>
      <c r="B216" s="64">
        <v>1</v>
      </c>
    </row>
    <row r="217" spans="1:2" x14ac:dyDescent="0.25">
      <c r="A217" s="63" t="s">
        <v>138</v>
      </c>
      <c r="B217" s="64">
        <v>1.3166666666666667</v>
      </c>
    </row>
    <row r="218" spans="1:2" x14ac:dyDescent="0.25">
      <c r="A218" s="63" t="s">
        <v>508</v>
      </c>
      <c r="B218" s="64">
        <v>0.26666666666666666</v>
      </c>
    </row>
    <row r="219" spans="1:2" x14ac:dyDescent="0.25">
      <c r="A219" s="63" t="s">
        <v>509</v>
      </c>
      <c r="B219" s="64">
        <v>2</v>
      </c>
    </row>
    <row r="220" spans="1:2" x14ac:dyDescent="0.25">
      <c r="A220" s="63" t="s">
        <v>107</v>
      </c>
      <c r="B220" s="64">
        <v>0.19166666666666668</v>
      </c>
    </row>
    <row r="221" spans="1:2" x14ac:dyDescent="0.25">
      <c r="A221" s="63" t="s">
        <v>104</v>
      </c>
      <c r="B221" s="64">
        <v>0.55000000000000004</v>
      </c>
    </row>
    <row r="222" spans="1:2" x14ac:dyDescent="0.25">
      <c r="A222" s="63" t="s">
        <v>512</v>
      </c>
      <c r="B222" s="64">
        <v>0.26666666666666666</v>
      </c>
    </row>
    <row r="223" spans="1:2" x14ac:dyDescent="0.25">
      <c r="A223" s="63" t="s">
        <v>515</v>
      </c>
      <c r="B223" s="64">
        <v>1.8666666666666667</v>
      </c>
    </row>
    <row r="224" spans="1:2" x14ac:dyDescent="0.25">
      <c r="A224" s="63" t="s">
        <v>141</v>
      </c>
      <c r="B224" s="64">
        <v>0.83333333333333337</v>
      </c>
    </row>
    <row r="225" spans="1:2" x14ac:dyDescent="0.25">
      <c r="A225" s="63" t="s">
        <v>518</v>
      </c>
      <c r="B225" s="64">
        <v>0.5</v>
      </c>
    </row>
    <row r="226" spans="1:2" x14ac:dyDescent="0.25">
      <c r="A226" s="63" t="s">
        <v>110</v>
      </c>
      <c r="B226" s="64">
        <v>3.3666666666666667</v>
      </c>
    </row>
    <row r="227" spans="1:2" x14ac:dyDescent="0.25">
      <c r="A227" s="63" t="s">
        <v>523</v>
      </c>
      <c r="B227" s="64">
        <v>0.6166666666666667</v>
      </c>
    </row>
    <row r="228" spans="1:2" x14ac:dyDescent="0.25">
      <c r="A228" s="63" t="s">
        <v>526</v>
      </c>
      <c r="B228" s="64">
        <v>0.31666666666666665</v>
      </c>
    </row>
    <row r="229" spans="1:2" x14ac:dyDescent="0.25">
      <c r="A229" s="63" t="s">
        <v>889</v>
      </c>
      <c r="B229" s="64">
        <v>0.31666666666666665</v>
      </c>
    </row>
    <row r="230" spans="1:2" x14ac:dyDescent="0.25">
      <c r="A230" s="63" t="s">
        <v>529</v>
      </c>
      <c r="B230" s="64">
        <v>0.2</v>
      </c>
    </row>
    <row r="231" spans="1:2" x14ac:dyDescent="0.25">
      <c r="A231" s="63" t="s">
        <v>117</v>
      </c>
      <c r="B231" s="64">
        <v>0.71666666666666667</v>
      </c>
    </row>
    <row r="232" spans="1:2" x14ac:dyDescent="0.25">
      <c r="A232" s="63" t="s">
        <v>532</v>
      </c>
      <c r="B232" s="64">
        <v>0.36666666666666664</v>
      </c>
    </row>
    <row r="233" spans="1:2" x14ac:dyDescent="0.25">
      <c r="A233" s="63" t="s">
        <v>891</v>
      </c>
      <c r="B233" s="64">
        <v>0.36666666666666664</v>
      </c>
    </row>
    <row r="234" spans="1:2" x14ac:dyDescent="0.25">
      <c r="A234" s="63" t="s">
        <v>536</v>
      </c>
      <c r="B234" s="64">
        <v>0.26666666666666666</v>
      </c>
    </row>
    <row r="235" spans="1:2" x14ac:dyDescent="0.25">
      <c r="A235" s="63" t="s">
        <v>71</v>
      </c>
      <c r="B235" s="64">
        <v>0.18333333333333332</v>
      </c>
    </row>
    <row r="236" spans="1:2" x14ac:dyDescent="0.25">
      <c r="A236" s="63" t="s">
        <v>120</v>
      </c>
      <c r="B236" s="64">
        <v>1</v>
      </c>
    </row>
    <row r="237" spans="1:2" x14ac:dyDescent="0.25">
      <c r="A237" s="63" t="s">
        <v>146</v>
      </c>
      <c r="B237" s="64">
        <v>0.51666666666666672</v>
      </c>
    </row>
    <row r="238" spans="1:2" x14ac:dyDescent="0.25">
      <c r="A238" s="63" t="s">
        <v>137</v>
      </c>
      <c r="B238" s="64">
        <v>21.45</v>
      </c>
    </row>
    <row r="239" spans="1:2" x14ac:dyDescent="0.25">
      <c r="A239" s="63" t="s">
        <v>540</v>
      </c>
      <c r="B239" s="64">
        <v>1.9666666666666666</v>
      </c>
    </row>
    <row r="240" spans="1:2" x14ac:dyDescent="0.25">
      <c r="A240" s="63" t="s">
        <v>543</v>
      </c>
      <c r="B240" s="64">
        <v>0.6333333333333333</v>
      </c>
    </row>
    <row r="241" spans="1:2" x14ac:dyDescent="0.25">
      <c r="A241" s="63" t="s">
        <v>164</v>
      </c>
      <c r="B241" s="64">
        <v>1.5833333333333335</v>
      </c>
    </row>
    <row r="242" spans="1:2" x14ac:dyDescent="0.25">
      <c r="A242" s="63" t="s">
        <v>41</v>
      </c>
      <c r="B242" s="64">
        <v>0.96666666666666667</v>
      </c>
    </row>
    <row r="243" spans="1:2" x14ac:dyDescent="0.25">
      <c r="A243" s="63" t="s">
        <v>163</v>
      </c>
      <c r="B243" s="64">
        <v>0.43333333333333335</v>
      </c>
    </row>
    <row r="244" spans="1:2" x14ac:dyDescent="0.25">
      <c r="A244" s="63" t="s">
        <v>172</v>
      </c>
      <c r="B244" s="64">
        <v>0.8</v>
      </c>
    </row>
    <row r="245" spans="1:2" x14ac:dyDescent="0.25">
      <c r="A245" s="63" t="s">
        <v>189</v>
      </c>
      <c r="B245" s="64">
        <v>0.21666666666666667</v>
      </c>
    </row>
    <row r="246" spans="1:2" x14ac:dyDescent="0.25">
      <c r="A246" s="63" t="s">
        <v>7</v>
      </c>
      <c r="B246" s="64">
        <v>0.71666666666666667</v>
      </c>
    </row>
    <row r="247" spans="1:2" x14ac:dyDescent="0.25">
      <c r="A247" s="63" t="s">
        <v>38</v>
      </c>
      <c r="B247" s="64">
        <v>0.53333333333333333</v>
      </c>
    </row>
    <row r="248" spans="1:2" x14ac:dyDescent="0.25">
      <c r="A248" s="63" t="s">
        <v>84</v>
      </c>
      <c r="B248" s="64">
        <v>2.0166666666666666</v>
      </c>
    </row>
    <row r="249" spans="1:2" x14ac:dyDescent="0.25">
      <c r="A249" s="63" t="s">
        <v>177</v>
      </c>
      <c r="B249" s="64">
        <v>0.4</v>
      </c>
    </row>
    <row r="250" spans="1:2" x14ac:dyDescent="0.25">
      <c r="A250" s="63" t="s">
        <v>82</v>
      </c>
      <c r="B250" s="64">
        <v>0.21666666666666667</v>
      </c>
    </row>
    <row r="251" spans="1:2" x14ac:dyDescent="0.25">
      <c r="A251" s="63" t="s">
        <v>153</v>
      </c>
      <c r="B251" s="64">
        <v>0.44333333333333336</v>
      </c>
    </row>
    <row r="252" spans="1:2" x14ac:dyDescent="0.25">
      <c r="A252" s="63" t="s">
        <v>49</v>
      </c>
      <c r="B252" s="64">
        <v>0.43333333333333335</v>
      </c>
    </row>
    <row r="253" spans="1:2" x14ac:dyDescent="0.25">
      <c r="A253" s="63" t="s">
        <v>36</v>
      </c>
      <c r="B253" s="64">
        <v>0.41666666666666669</v>
      </c>
    </row>
    <row r="254" spans="1:2" x14ac:dyDescent="0.25">
      <c r="A254" s="63" t="s">
        <v>252</v>
      </c>
      <c r="B254" s="64">
        <v>0.9</v>
      </c>
    </row>
    <row r="255" spans="1:2" x14ac:dyDescent="0.25">
      <c r="A255" s="63" t="s">
        <v>87</v>
      </c>
      <c r="B255" s="64">
        <v>0.16666666666666666</v>
      </c>
    </row>
    <row r="256" spans="1:2" x14ac:dyDescent="0.25">
      <c r="A256" s="63" t="s">
        <v>549</v>
      </c>
      <c r="B256" s="64">
        <v>0.66666666666666663</v>
      </c>
    </row>
    <row r="257" spans="1:2" x14ac:dyDescent="0.25">
      <c r="A257" s="63" t="s">
        <v>599</v>
      </c>
      <c r="B257" s="64">
        <v>7.4333333333333336</v>
      </c>
    </row>
    <row r="258" spans="1:2" x14ac:dyDescent="0.25">
      <c r="A258" s="63" t="s">
        <v>255</v>
      </c>
      <c r="B258" s="64">
        <v>0.16666666666666666</v>
      </c>
    </row>
    <row r="259" spans="1:2" x14ac:dyDescent="0.25">
      <c r="A259" s="63" t="s">
        <v>256</v>
      </c>
      <c r="B259" s="64">
        <v>0.25</v>
      </c>
    </row>
    <row r="260" spans="1:2" x14ac:dyDescent="0.25">
      <c r="A260" s="63" t="s">
        <v>714</v>
      </c>
      <c r="B260" s="64">
        <v>1.0333333333333332</v>
      </c>
    </row>
    <row r="261" spans="1:2" x14ac:dyDescent="0.25">
      <c r="A261" s="63" t="s">
        <v>554</v>
      </c>
      <c r="B261" s="64">
        <v>0.8</v>
      </c>
    </row>
    <row r="262" spans="1:2" x14ac:dyDescent="0.25">
      <c r="A262" s="63" t="s">
        <v>555</v>
      </c>
      <c r="B262" s="64">
        <v>2</v>
      </c>
    </row>
    <row r="263" spans="1:2" x14ac:dyDescent="0.25">
      <c r="A263" s="63" t="s">
        <v>182</v>
      </c>
      <c r="B263" s="64">
        <v>0.78333333333333333</v>
      </c>
    </row>
    <row r="264" spans="1:2" x14ac:dyDescent="0.25">
      <c r="A264" s="63" t="s">
        <v>37</v>
      </c>
      <c r="B264" s="64">
        <v>0.6333333333333333</v>
      </c>
    </row>
    <row r="265" spans="1:2" x14ac:dyDescent="0.25">
      <c r="A265" s="63" t="s">
        <v>558</v>
      </c>
      <c r="B265" s="64">
        <v>0.31666666666666665</v>
      </c>
    </row>
    <row r="266" spans="1:2" x14ac:dyDescent="0.25">
      <c r="A266" s="63" t="s">
        <v>560</v>
      </c>
      <c r="B266" s="64">
        <v>0.2</v>
      </c>
    </row>
    <row r="267" spans="1:2" x14ac:dyDescent="0.25">
      <c r="A267" s="63" t="s">
        <v>563</v>
      </c>
      <c r="B267" s="64">
        <v>1</v>
      </c>
    </row>
    <row r="268" spans="1:2" x14ac:dyDescent="0.25">
      <c r="A268" s="63" t="s">
        <v>40</v>
      </c>
      <c r="B268" s="64">
        <v>19.133333333333333</v>
      </c>
    </row>
    <row r="269" spans="1:2" x14ac:dyDescent="0.25">
      <c r="A269" s="63" t="s">
        <v>34</v>
      </c>
      <c r="B269" s="64">
        <v>1.95</v>
      </c>
    </row>
    <row r="270" spans="1:2" x14ac:dyDescent="0.25">
      <c r="A270" s="63" t="s">
        <v>565</v>
      </c>
      <c r="B270" s="64">
        <v>0.81666666666666665</v>
      </c>
    </row>
    <row r="271" spans="1:2" x14ac:dyDescent="0.25">
      <c r="A271" s="63" t="s">
        <v>706</v>
      </c>
      <c r="B271" s="64">
        <v>2.855</v>
      </c>
    </row>
    <row r="272" spans="1:2" x14ac:dyDescent="0.25">
      <c r="A272" s="63" t="s">
        <v>1052</v>
      </c>
      <c r="B272" s="64">
        <v>0.15</v>
      </c>
    </row>
    <row r="273" spans="1:2" x14ac:dyDescent="0.25">
      <c r="A273" s="63" t="s">
        <v>58</v>
      </c>
      <c r="B273" s="64">
        <v>2.9</v>
      </c>
    </row>
    <row r="274" spans="1:2" x14ac:dyDescent="0.25">
      <c r="A274" s="63" t="s">
        <v>15</v>
      </c>
      <c r="B274" s="64">
        <v>0.53333333333333333</v>
      </c>
    </row>
    <row r="275" spans="1:2" x14ac:dyDescent="0.25">
      <c r="A275" s="63" t="s">
        <v>986</v>
      </c>
      <c r="B275" s="64">
        <v>0.8</v>
      </c>
    </row>
    <row r="276" spans="1:2" x14ac:dyDescent="0.25">
      <c r="A276" s="63" t="s">
        <v>155</v>
      </c>
      <c r="B276" s="64">
        <v>9.0833333333333339</v>
      </c>
    </row>
    <row r="277" spans="1:2" x14ac:dyDescent="0.25">
      <c r="A277" s="63" t="s">
        <v>570</v>
      </c>
      <c r="B277" s="64">
        <v>1.2000000000000002</v>
      </c>
    </row>
    <row r="278" spans="1:2" x14ac:dyDescent="0.25">
      <c r="A278" s="63" t="s">
        <v>194</v>
      </c>
      <c r="B278" s="64">
        <v>0.95</v>
      </c>
    </row>
    <row r="279" spans="1:2" x14ac:dyDescent="0.25">
      <c r="A279" s="63" t="s">
        <v>27</v>
      </c>
      <c r="B279" s="64">
        <v>1.9666666666666666</v>
      </c>
    </row>
    <row r="280" spans="1:2" x14ac:dyDescent="0.25">
      <c r="A280" s="63" t="s">
        <v>576</v>
      </c>
      <c r="B280" s="64">
        <v>3.3073333333333332</v>
      </c>
    </row>
    <row r="281" spans="1:2" x14ac:dyDescent="0.25">
      <c r="A281" s="63" t="s">
        <v>10</v>
      </c>
      <c r="B281" s="64">
        <v>1.08</v>
      </c>
    </row>
    <row r="282" spans="1:2" x14ac:dyDescent="0.25">
      <c r="A282" s="63" t="s">
        <v>579</v>
      </c>
      <c r="B282" s="64">
        <v>0.41666666666666669</v>
      </c>
    </row>
    <row r="283" spans="1:2" x14ac:dyDescent="0.25">
      <c r="A283" s="63" t="s">
        <v>581</v>
      </c>
      <c r="B283" s="64">
        <v>0.35</v>
      </c>
    </row>
    <row r="284" spans="1:2" x14ac:dyDescent="0.25">
      <c r="A284" s="63" t="s">
        <v>53</v>
      </c>
      <c r="B284" s="64">
        <v>1.25</v>
      </c>
    </row>
    <row r="285" spans="1:2" x14ac:dyDescent="0.25">
      <c r="A285" s="63" t="s">
        <v>584</v>
      </c>
      <c r="B285" s="64">
        <v>12.566666666666666</v>
      </c>
    </row>
    <row r="286" spans="1:2" x14ac:dyDescent="0.25">
      <c r="A286" s="63" t="s">
        <v>585</v>
      </c>
      <c r="B286" s="64">
        <v>0.75</v>
      </c>
    </row>
    <row r="287" spans="1:2" x14ac:dyDescent="0.25">
      <c r="A287" s="63" t="s">
        <v>589</v>
      </c>
      <c r="B287" s="64">
        <v>1</v>
      </c>
    </row>
    <row r="288" spans="1:2" x14ac:dyDescent="0.25">
      <c r="A288" s="63" t="s">
        <v>148</v>
      </c>
      <c r="B288" s="64">
        <v>1.3166666666666667</v>
      </c>
    </row>
    <row r="289" spans="1:2" x14ac:dyDescent="0.25">
      <c r="A289" s="63" t="s">
        <v>274</v>
      </c>
      <c r="B289" s="64">
        <v>1</v>
      </c>
    </row>
    <row r="290" spans="1:2" x14ac:dyDescent="0.25">
      <c r="A290" s="63" t="s">
        <v>938</v>
      </c>
      <c r="B290" s="64">
        <v>0.71666666666666667</v>
      </c>
    </row>
    <row r="291" spans="1:2" x14ac:dyDescent="0.25">
      <c r="A291" s="63" t="s">
        <v>946</v>
      </c>
      <c r="B291" s="64">
        <v>0.33333333333333331</v>
      </c>
    </row>
    <row r="292" spans="1:2" x14ac:dyDescent="0.25">
      <c r="A292" s="63" t="s">
        <v>731</v>
      </c>
      <c r="B292" s="64">
        <v>0.5</v>
      </c>
    </row>
    <row r="293" spans="1:2" x14ac:dyDescent="0.25">
      <c r="A293" s="63" t="s">
        <v>16</v>
      </c>
      <c r="B293" s="64">
        <v>0.23333333333333334</v>
      </c>
    </row>
    <row r="294" spans="1:2" x14ac:dyDescent="0.25">
      <c r="A294" s="63" t="s">
        <v>152</v>
      </c>
      <c r="B294" s="64">
        <v>0.36666666666666664</v>
      </c>
    </row>
    <row r="295" spans="1:2" x14ac:dyDescent="0.25">
      <c r="A295" t="s">
        <v>148</v>
      </c>
      <c r="B295" s="59">
        <v>1.3166666666666667</v>
      </c>
    </row>
    <row r="296" spans="1:2" x14ac:dyDescent="0.25">
      <c r="A296" t="s">
        <v>274</v>
      </c>
      <c r="B296" s="59">
        <v>1</v>
      </c>
    </row>
    <row r="297" spans="1:2" x14ac:dyDescent="0.25">
      <c r="A297" t="s">
        <v>938</v>
      </c>
      <c r="B297" s="59">
        <v>0.71666666666666667</v>
      </c>
    </row>
    <row r="298" spans="1:2" x14ac:dyDescent="0.25">
      <c r="A298" t="s">
        <v>946</v>
      </c>
      <c r="B298" s="59">
        <v>0.33333333333333331</v>
      </c>
    </row>
    <row r="299" spans="1:2" x14ac:dyDescent="0.25">
      <c r="A299" t="s">
        <v>731</v>
      </c>
      <c r="B299" s="59">
        <v>0.5</v>
      </c>
    </row>
    <row r="300" spans="1:2" x14ac:dyDescent="0.25">
      <c r="A300" t="s">
        <v>16</v>
      </c>
      <c r="B300" s="59">
        <v>0.16666666666666666</v>
      </c>
    </row>
    <row r="301" spans="1:2" x14ac:dyDescent="0.25">
      <c r="A301" t="s">
        <v>1234</v>
      </c>
    </row>
    <row r="302" spans="1:2" x14ac:dyDescent="0.25">
      <c r="A302" t="s">
        <v>1235</v>
      </c>
      <c r="B302">
        <v>408.76816666666645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4E3E-C22D-45B4-8293-7A61C646E41B}">
  <sheetPr codeName="Hoja14"/>
  <dimension ref="A1:C307"/>
  <sheetViews>
    <sheetView workbookViewId="0">
      <pane xSplit="1" ySplit="1" topLeftCell="B173" activePane="bottomRight" state="frozen"/>
      <selection pane="topRight" activeCell="B1" sqref="B1"/>
      <selection pane="bottomLeft" activeCell="A2" sqref="A2"/>
      <selection pane="bottomRight" activeCell="D178" sqref="D178"/>
    </sheetView>
  </sheetViews>
  <sheetFormatPr baseColWidth="10" defaultRowHeight="15" x14ac:dyDescent="0.25"/>
  <cols>
    <col min="1" max="1" width="11.42578125" style="55" bestFit="1" customWidth="1"/>
    <col min="2" max="2" width="39.5703125" style="55" bestFit="1" customWidth="1"/>
    <col min="3" max="3" width="11.85546875" style="56" bestFit="1" customWidth="1"/>
    <col min="4" max="16384" width="11.42578125" style="55"/>
  </cols>
  <sheetData>
    <row r="1" spans="1:3" x14ac:dyDescent="0.25">
      <c r="A1" s="53" t="s">
        <v>981</v>
      </c>
      <c r="B1" s="53" t="s">
        <v>976</v>
      </c>
      <c r="C1" s="54" t="s">
        <v>1238</v>
      </c>
    </row>
    <row r="2" spans="1:3" x14ac:dyDescent="0.25">
      <c r="A2" t="str">
        <f>'UNIFICADO x CODIGO'!A2</f>
        <v>ADA0102</v>
      </c>
      <c r="B2" s="55" t="str">
        <f>VLOOKUP(A2,BASE!A:B,2,0)</f>
        <v>8025 ADAPTADOR 158 MATE</v>
      </c>
      <c r="C2" s="59">
        <f>'UNIFICADO x CODIGO'!B2</f>
        <v>0.26666666666666666</v>
      </c>
    </row>
    <row r="3" spans="1:3" x14ac:dyDescent="0.25">
      <c r="A3" t="str">
        <f>'UNIFICADO x CODIGO'!A3</f>
        <v>ADA0103</v>
      </c>
      <c r="B3" s="55" t="str">
        <f>VLOOKUP(A3,BASE!A:B,2,0)</f>
        <v>744 ADAPTADOR 403 MATE</v>
      </c>
      <c r="C3" s="59">
        <f>'UNIFICADO x CODIGO'!B3</f>
        <v>0.99999999999999989</v>
      </c>
    </row>
    <row r="4" spans="1:3" x14ac:dyDescent="0.25">
      <c r="A4" t="str">
        <f>'UNIFICADO x CODIGO'!A4</f>
        <v>ADA0201</v>
      </c>
      <c r="B4" s="55" t="str">
        <f>VLOOKUP(A4,BASE!A:B,2,0)</f>
        <v>8025 ADAPTADOR 158 GRIS PLATA</v>
      </c>
      <c r="C4" s="59">
        <f>'UNIFICADO x CODIGO'!B4</f>
        <v>0.81666666666666665</v>
      </c>
    </row>
    <row r="5" spans="1:3" x14ac:dyDescent="0.25">
      <c r="A5" t="str">
        <f>'UNIFICADO x CODIGO'!A5</f>
        <v>ADA0206</v>
      </c>
      <c r="B5" s="55" t="str">
        <f>VLOOKUP(A5,BASE!A:B,2,0)</f>
        <v>744 ADAPTADOR 403 GRIS PLATA</v>
      </c>
      <c r="C5" s="59">
        <f>'UNIFICADO x CODIGO'!B5</f>
        <v>0.65</v>
      </c>
    </row>
    <row r="6" spans="1:3" x14ac:dyDescent="0.25">
      <c r="A6" t="str">
        <f>'UNIFICADO x CODIGO'!A6</f>
        <v>ADA0404</v>
      </c>
      <c r="B6" s="55" t="str">
        <f>VLOOKUP(A6,BASE!A:B,2,0)</f>
        <v>3831 ADAPTADOR 175 BLANCO</v>
      </c>
      <c r="C6" s="59">
        <f>'UNIFICADO x CODIGO'!B6</f>
        <v>0.16666666666666666</v>
      </c>
    </row>
    <row r="7" spans="1:3" x14ac:dyDescent="0.25">
      <c r="A7" t="str">
        <f>'UNIFICADO x CODIGO'!A7</f>
        <v>ADA0405</v>
      </c>
      <c r="B7" s="55" t="str">
        <f>VLOOKUP(A7,BASE!A:B,2,0)</f>
        <v>744 ADAPTADOR 403 BLANCO</v>
      </c>
      <c r="C7" s="59">
        <f>'UNIFICADO x CODIGO'!B7</f>
        <v>0.66666666666666663</v>
      </c>
    </row>
    <row r="8" spans="1:3" x14ac:dyDescent="0.25">
      <c r="A8" t="str">
        <f>'UNIFICADO x CODIGO'!A8</f>
        <v>ada0504</v>
      </c>
      <c r="B8" s="55" t="str">
        <f>VLOOKUP(A8,BASE!A:B,2,0)</f>
        <v>744 ADAPTADOR 403 BRONCE</v>
      </c>
      <c r="C8" s="59">
        <f>'UNIFICADO x CODIGO'!B8</f>
        <v>0.75</v>
      </c>
    </row>
    <row r="9" spans="1:3" x14ac:dyDescent="0.25">
      <c r="A9" t="str">
        <f>'UNIFICADO x CODIGO'!A9</f>
        <v>ADA0601</v>
      </c>
      <c r="B9" s="55" t="str">
        <f>VLOOKUP(A9,BASE!A:B,2,0)</f>
        <v>744 ADAPTADOR 403 NEGRO</v>
      </c>
      <c r="C9" s="59">
        <f>'UNIFICADO x CODIGO'!B9</f>
        <v>0.16666666666666666</v>
      </c>
    </row>
    <row r="10" spans="1:3" x14ac:dyDescent="0.25">
      <c r="A10" t="str">
        <f>'UNIFICADO x CODIGO'!A10</f>
        <v>ADA0603</v>
      </c>
      <c r="B10" s="55" t="str">
        <f>VLOOKUP(A10,BASE!A:B,2,0)</f>
        <v>8025 ADAPTADOR 158 NEGRO</v>
      </c>
      <c r="C10" s="59">
        <f>'UNIFICADO x CODIGO'!B10</f>
        <v>4.3</v>
      </c>
    </row>
    <row r="11" spans="1:3" x14ac:dyDescent="0.25">
      <c r="A11" t="str">
        <f>'UNIFICADO x CODIGO'!A11</f>
        <v>ADA0606</v>
      </c>
      <c r="B11" s="55" t="str">
        <f>VLOOKUP(A11,BASE!A:B,2,0)</f>
        <v>3831 ADAPTADOR 175 NEGRO</v>
      </c>
      <c r="C11" s="59">
        <f>'UNIFICADO x CODIGO'!B11</f>
        <v>1.5</v>
      </c>
    </row>
    <row r="12" spans="1:3" x14ac:dyDescent="0.25">
      <c r="A12" t="str">
        <f>'UNIFICADO x CODIGO'!A12</f>
        <v>ADA0608</v>
      </c>
      <c r="B12" s="55" t="str">
        <f>VLOOKUP(A12,BASE!A:B,2,0)</f>
        <v>7038 ADAPTADOR 840 NEGRO</v>
      </c>
      <c r="C12" s="59">
        <f>'UNIFICADO x CODIGO'!B12</f>
        <v>0.43333333333333335</v>
      </c>
    </row>
    <row r="13" spans="1:3" x14ac:dyDescent="0.25">
      <c r="A13" t="str">
        <f>'UNIFICADO x CODIGO'!A13</f>
        <v>ALF0101</v>
      </c>
      <c r="B13" s="55" t="str">
        <f>VLOOKUP(A13,BASE!A:B,2,0)</f>
        <v>ALFAJIA S-332 MATE</v>
      </c>
      <c r="C13" s="59">
        <f>'UNIFICADO x CODIGO'!B13</f>
        <v>0.51666666666666661</v>
      </c>
    </row>
    <row r="14" spans="1:3" x14ac:dyDescent="0.25">
      <c r="A14" t="str">
        <f>'UNIFICADO x CODIGO'!A14</f>
        <v>ALF0102</v>
      </c>
      <c r="B14" s="55" t="str">
        <f>VLOOKUP(A14,BASE!A:B,2,0)</f>
        <v>ALFAJIA 413 MATE</v>
      </c>
      <c r="C14" s="59">
        <f>'UNIFICADO x CODIGO'!B14</f>
        <v>1.45</v>
      </c>
    </row>
    <row r="15" spans="1:3" x14ac:dyDescent="0.25">
      <c r="A15" t="str">
        <f>'UNIFICADO x CODIGO'!A15</f>
        <v>ALF0104</v>
      </c>
      <c r="B15" s="55" t="str">
        <f>VLOOKUP(A15,BASE!A:B,2,0)</f>
        <v>ALFAJIA S-012 MATE</v>
      </c>
      <c r="C15" s="59">
        <f>'UNIFICADO x CODIGO'!B15</f>
        <v>0.53333333333333333</v>
      </c>
    </row>
    <row r="16" spans="1:3" x14ac:dyDescent="0.25">
      <c r="A16" t="str">
        <f>'UNIFICADO x CODIGO'!A16</f>
        <v>ALF0105</v>
      </c>
      <c r="B16" s="55" t="str">
        <f>VLOOKUP(A16,BASE!A:B,2,0)</f>
        <v>SILLAR ALFAJIA 616 MATE</v>
      </c>
      <c r="C16" s="59">
        <f>'UNIFICADO x CODIGO'!B16</f>
        <v>1</v>
      </c>
    </row>
    <row r="17" spans="1:3" x14ac:dyDescent="0.25">
      <c r="A17" t="str">
        <f>'UNIFICADO x CODIGO'!A17</f>
        <v>ALF0111</v>
      </c>
      <c r="B17" s="55" t="str">
        <f>VLOOKUP(A17,BASE!A:B,2,0)</f>
        <v>ALFAJIA 1123 MATE</v>
      </c>
      <c r="C17" s="59">
        <f>'UNIFICADO x CODIGO'!B17</f>
        <v>3.4</v>
      </c>
    </row>
    <row r="18" spans="1:3" x14ac:dyDescent="0.25">
      <c r="A18" t="str">
        <f>'UNIFICADO x CODIGO'!A18</f>
        <v>ALF0204</v>
      </c>
      <c r="B18" s="55" t="str">
        <f>VLOOKUP(A18,BASE!A:B,2,0)</f>
        <v>ALFAJIA 413 GRIS PLATA</v>
      </c>
      <c r="C18" s="59">
        <f>'UNIFICADO x CODIGO'!B18</f>
        <v>0.21666666666666667</v>
      </c>
    </row>
    <row r="19" spans="1:3" x14ac:dyDescent="0.25">
      <c r="A19" t="str">
        <f>'UNIFICADO x CODIGO'!A19</f>
        <v>ALF0402</v>
      </c>
      <c r="B19" s="55" t="str">
        <f>VLOOKUP(A19,BASE!A:B,2,0)</f>
        <v>ALFAJIA S-012 BLANCA</v>
      </c>
      <c r="C19" s="59">
        <f>'UNIFICADO x CODIGO'!B19</f>
        <v>0.37666666666666665</v>
      </c>
    </row>
    <row r="20" spans="1:3" x14ac:dyDescent="0.25">
      <c r="A20" t="str">
        <f>'UNIFICADO x CODIGO'!A20</f>
        <v>ALF0403</v>
      </c>
      <c r="B20" s="55" t="str">
        <f>VLOOKUP(A20,BASE!A:B,2,0)</f>
        <v>ALFAJIA 413 BLANCO</v>
      </c>
      <c r="C20" s="59">
        <f>'UNIFICADO x CODIGO'!B20</f>
        <v>0.56666666666666665</v>
      </c>
    </row>
    <row r="21" spans="1:3" x14ac:dyDescent="0.25">
      <c r="A21" t="str">
        <f>'UNIFICADO x CODIGO'!A21</f>
        <v>ALF0501</v>
      </c>
      <c r="B21" s="55" t="str">
        <f>VLOOKUP(A21,BASE!A:B,2,0)</f>
        <v>ALFAJIA 1123 BRONCE</v>
      </c>
      <c r="C21" s="59">
        <f>'UNIFICADO x CODIGO'!B21</f>
        <v>0.58333333333333337</v>
      </c>
    </row>
    <row r="22" spans="1:3" x14ac:dyDescent="0.25">
      <c r="A22" t="str">
        <f>'UNIFICADO x CODIGO'!A22</f>
        <v>ALF0503</v>
      </c>
      <c r="B22" s="55" t="str">
        <f>VLOOKUP(A22,BASE!A:B,2,0)</f>
        <v>ALFAJIA S-012 BRONCE</v>
      </c>
      <c r="C22" s="59">
        <f>'UNIFICADO x CODIGO'!B22</f>
        <v>0.18333333333333332</v>
      </c>
    </row>
    <row r="23" spans="1:3" x14ac:dyDescent="0.25">
      <c r="A23" t="str">
        <f>'UNIFICADO x CODIGO'!A23</f>
        <v>ALF0532</v>
      </c>
      <c r="B23" s="55" t="str">
        <f>VLOOKUP(A23,BASE!A:B,2,0)</f>
        <v>ALFAJIA S-332 BRONCE</v>
      </c>
      <c r="C23" s="59">
        <f>'UNIFICADO x CODIGO'!B23</f>
        <v>0.3666666666666667</v>
      </c>
    </row>
    <row r="24" spans="1:3" x14ac:dyDescent="0.25">
      <c r="A24" t="str">
        <f>'UNIFICADO x CODIGO'!A24</f>
        <v>ALF0601</v>
      </c>
      <c r="B24" s="55" t="str">
        <f>VLOOKUP(A24,BASE!A:B,2,0)</f>
        <v>ALFAJIA 1123 NEGRO</v>
      </c>
      <c r="C24" s="59">
        <f>'UNIFICADO x CODIGO'!B24</f>
        <v>0.83333333333333337</v>
      </c>
    </row>
    <row r="25" spans="1:3" x14ac:dyDescent="0.25">
      <c r="A25" t="str">
        <f>'UNIFICADO x CODIGO'!A25</f>
        <v>ALF0603</v>
      </c>
      <c r="B25" s="55" t="str">
        <f>VLOOKUP(A25,BASE!A:B,2,0)</f>
        <v>ALFAJIA 413 NEGRA</v>
      </c>
      <c r="C25" s="59">
        <f>'UNIFICADO x CODIGO'!B25</f>
        <v>13.05</v>
      </c>
    </row>
    <row r="26" spans="1:3" x14ac:dyDescent="0.25">
      <c r="A26" t="str">
        <f>'UNIFICADO x CODIGO'!A26</f>
        <v>ALF0604</v>
      </c>
      <c r="B26" s="55" t="str">
        <f>VLOOKUP(A26,BASE!A:B,2,0)</f>
        <v>ALFAJIA S-332 NEGRA</v>
      </c>
      <c r="C26" s="59">
        <f>'UNIFICADO x CODIGO'!B26</f>
        <v>1.1499999999999999</v>
      </c>
    </row>
    <row r="27" spans="1:3" x14ac:dyDescent="0.25">
      <c r="A27" t="str">
        <f>'UNIFICADO x CODIGO'!A27</f>
        <v>ALF0605</v>
      </c>
      <c r="B27" s="55" t="str">
        <f>VLOOKUP(A27,BASE!A:B,2,0)</f>
        <v>ALFAJIA S-012 NEGRO</v>
      </c>
      <c r="C27" s="59">
        <f>'UNIFICADO x CODIGO'!B27</f>
        <v>0.15</v>
      </c>
    </row>
    <row r="28" spans="1:3" x14ac:dyDescent="0.25">
      <c r="A28" t="str">
        <f>'UNIFICADO x CODIGO'!A28</f>
        <v>ALF0612</v>
      </c>
      <c r="B28" s="55" t="str">
        <f>VLOOKUP(A28,BASE!A:B,2,0)</f>
        <v>ALFAJIA 449 NEGRA</v>
      </c>
      <c r="C28" s="59">
        <f>'UNIFICADO x CODIGO'!B28</f>
        <v>3.6933333333333334</v>
      </c>
    </row>
    <row r="29" spans="1:3" x14ac:dyDescent="0.25">
      <c r="A29" t="str">
        <f>'UNIFICADO x CODIGO'!A29</f>
        <v>ANG0101</v>
      </c>
      <c r="B29" s="55" t="str">
        <f>VLOOKUP(A29,BASE!A:B,2,0)</f>
        <v>ANGULO IRREGULAR A-46 MATE</v>
      </c>
      <c r="C29" s="59">
        <f>'UNIFICADO x CODIGO'!B29</f>
        <v>5.5833333333333339</v>
      </c>
    </row>
    <row r="30" spans="1:3" x14ac:dyDescent="0.25">
      <c r="A30" t="str">
        <f>'UNIFICADO x CODIGO'!A30</f>
        <v>ANG0201</v>
      </c>
      <c r="B30" s="55" t="str">
        <f>VLOOKUP(A30,BASE!A:B,2,0)</f>
        <v>ANGULO A-01 GRIS PLATA (1/2 X 1/2)</v>
      </c>
      <c r="C30" s="59">
        <f>'UNIFICADO x CODIGO'!B30</f>
        <v>0.5</v>
      </c>
    </row>
    <row r="31" spans="1:3" x14ac:dyDescent="0.25">
      <c r="A31" t="str">
        <f>'UNIFICADO x CODIGO'!A31</f>
        <v>ANG0309</v>
      </c>
      <c r="B31" s="55" t="str">
        <f>VLOOKUP(A31,BASE!A:B,2,0)</f>
        <v>ANGULO A-15 CRUDO (1-1/4 X 1-1/4)</v>
      </c>
      <c r="C31" s="59">
        <f>'UNIFICADO x CODIGO'!B31</f>
        <v>1</v>
      </c>
    </row>
    <row r="32" spans="1:3" x14ac:dyDescent="0.25">
      <c r="A32" t="str">
        <f>'UNIFICADO x CODIGO'!A32</f>
        <v>ANG0401</v>
      </c>
      <c r="B32" s="55" t="str">
        <f>VLOOKUP(A32,BASE!A:B,2,0)</f>
        <v>ANGULO IRREGULAR A-46 BLANCO</v>
      </c>
      <c r="C32" s="59">
        <f>'UNIFICADO x CODIGO'!B32</f>
        <v>3.3450000000000002</v>
      </c>
    </row>
    <row r="33" spans="1:3" x14ac:dyDescent="0.25">
      <c r="A33" t="str">
        <f>'UNIFICADO x CODIGO'!A33</f>
        <v>ANG0409</v>
      </c>
      <c r="B33" s="55" t="str">
        <f>VLOOKUP(A33,BASE!A:B,2,0)</f>
        <v>ANGULO A-01 BLANCO (1/2 X 1/2)</v>
      </c>
      <c r="C33" s="59">
        <f>'UNIFICADO x CODIGO'!B33</f>
        <v>1.35</v>
      </c>
    </row>
    <row r="34" spans="1:3" x14ac:dyDescent="0.25">
      <c r="A34" t="str">
        <f>'UNIFICADO x CODIGO'!A34</f>
        <v>ANG0506</v>
      </c>
      <c r="B34" s="55" t="str">
        <f>VLOOKUP(A34,BASE!A:B,2,0)</f>
        <v>ANGULO A-01 BRONCE (1/2*1/2)</v>
      </c>
      <c r="C34" s="59">
        <f>'UNIFICADO x CODIGO'!B34</f>
        <v>0.23333333333333334</v>
      </c>
    </row>
    <row r="35" spans="1:3" x14ac:dyDescent="0.25">
      <c r="A35" t="str">
        <f>'UNIFICADO x CODIGO'!A35</f>
        <v>ANG0508</v>
      </c>
      <c r="B35" s="55" t="str">
        <f>VLOOKUP(A35,BASE!A:B,2,0)</f>
        <v>ANGULO IRREGULAR A-46 BRONCE</v>
      </c>
      <c r="C35" s="59">
        <f>'UNIFICADO x CODIGO'!B35</f>
        <v>0.51666666666666672</v>
      </c>
    </row>
    <row r="36" spans="1:3" x14ac:dyDescent="0.25">
      <c r="A36" t="str">
        <f>'UNIFICADO x CODIGO'!A36</f>
        <v>ANG0601</v>
      </c>
      <c r="B36" s="55" t="str">
        <f>VLOOKUP(A36,BASE!A:B,2,0)</f>
        <v>ANGULO IRREGULAR A-46 NEGRO</v>
      </c>
      <c r="C36" s="59">
        <f>'UNIFICADO x CODIGO'!B36</f>
        <v>0.56666666666666665</v>
      </c>
    </row>
    <row r="37" spans="1:3" x14ac:dyDescent="0.25">
      <c r="A37" t="str">
        <f>'UNIFICADO x CODIGO'!A37</f>
        <v>ANG0609</v>
      </c>
      <c r="B37" s="55" t="str">
        <f>VLOOKUP(A37,BASE!A:B,2,0)</f>
        <v>ANGULO A-09 NEGRO (1" X 1")</v>
      </c>
      <c r="C37" s="59">
        <f>'UNIFICADO x CODIGO'!B37</f>
        <v>1</v>
      </c>
    </row>
    <row r="38" spans="1:3" x14ac:dyDescent="0.25">
      <c r="A38" t="str">
        <f>'UNIFICADO x CODIGO'!A38</f>
        <v>ANG0610</v>
      </c>
      <c r="B38" s="55" t="str">
        <f>VLOOKUP(A38,BASE!A:B,2,0)</f>
        <v>ANGULO A-01 NEGRO (1/2 X 1/2)</v>
      </c>
      <c r="C38" s="59">
        <f>'UNIFICADO x CODIGO'!B38</f>
        <v>1.2833333333333332</v>
      </c>
    </row>
    <row r="39" spans="1:3" x14ac:dyDescent="0.25">
      <c r="A39" t="str">
        <f>'UNIFICADO x CODIGO'!A39</f>
        <v>CAB0101</v>
      </c>
      <c r="B39" s="55" t="str">
        <f>VLOOKUP(A39,BASE!A:B,2,0)</f>
        <v>CABEZAL CABINA S-319 MATE</v>
      </c>
      <c r="C39" s="59">
        <f>'UNIFICADO x CODIGO'!B39</f>
        <v>0.98333333333333339</v>
      </c>
    </row>
    <row r="40" spans="1:3" x14ac:dyDescent="0.25">
      <c r="A40" t="str">
        <f>'UNIFICADO x CODIGO'!A40</f>
        <v>CAB0102</v>
      </c>
      <c r="B40" s="55" t="str">
        <f>VLOOKUP(A40,BASE!A:B,2,0)</f>
        <v>5020 CABEZAL 144 MATE</v>
      </c>
      <c r="C40" s="59">
        <f>'UNIFICADO x CODIGO'!B40</f>
        <v>0.33333333333333331</v>
      </c>
    </row>
    <row r="41" spans="1:3" x14ac:dyDescent="0.25">
      <c r="A41" t="str">
        <f>'UNIFICADO x CODIGO'!A41</f>
        <v>CAB0104</v>
      </c>
      <c r="B41" s="55" t="str">
        <f>VLOOKUP(A41,BASE!A:B,2,0)</f>
        <v>744 CABEZAL 392 MATE</v>
      </c>
      <c r="C41" s="59">
        <f>'UNIFICADO x CODIGO'!B41</f>
        <v>2.915</v>
      </c>
    </row>
    <row r="42" spans="1:3" x14ac:dyDescent="0.25">
      <c r="A42" t="str">
        <f>'UNIFICADO x CODIGO'!A42</f>
        <v>CAB0106</v>
      </c>
      <c r="B42" s="55" t="str">
        <f>VLOOKUP(A42,BASE!A:B,2,0)</f>
        <v>8025 CABEZAL 706 MATE</v>
      </c>
      <c r="C42" s="59">
        <f>'UNIFICADO x CODIGO'!B42</f>
        <v>0.6333333333333333</v>
      </c>
    </row>
    <row r="43" spans="1:3" x14ac:dyDescent="0.25">
      <c r="A43" t="str">
        <f>'UNIFICADO x CODIGO'!A43</f>
        <v>CAB0109</v>
      </c>
      <c r="B43" s="55" t="str">
        <f>VLOOKUP(A43,BASE!A:B,2,0)</f>
        <v>744 CABEZAL 1857 TRES RIELES MATE</v>
      </c>
      <c r="C43" s="59">
        <f>'UNIFICADO x CODIGO'!B43</f>
        <v>0.66666666666666663</v>
      </c>
    </row>
    <row r="44" spans="1:3" x14ac:dyDescent="0.25">
      <c r="A44" t="str">
        <f>'UNIFICADO x CODIGO'!A44</f>
        <v>CAB0201</v>
      </c>
      <c r="B44" s="55" t="str">
        <f>VLOOKUP(A44,BASE!A:B,2,0)</f>
        <v>CABEZAL CABINA S-319 GRIS PLATA</v>
      </c>
      <c r="C44" s="59">
        <f>'UNIFICADO x CODIGO'!B44</f>
        <v>0.2</v>
      </c>
    </row>
    <row r="45" spans="1:3" x14ac:dyDescent="0.25">
      <c r="A45" t="str">
        <f>'UNIFICADO x CODIGO'!A45</f>
        <v>CAB0203</v>
      </c>
      <c r="B45" s="55" t="str">
        <f>VLOOKUP(A45,BASE!A:B,2,0)</f>
        <v>5020 CABEZAL 144 GRIS PLATA</v>
      </c>
      <c r="C45" s="59">
        <f>'UNIFICADO x CODIGO'!B45</f>
        <v>0.54</v>
      </c>
    </row>
    <row r="46" spans="1:3" x14ac:dyDescent="0.25">
      <c r="A46" t="str">
        <f>'UNIFICADO x CODIGO'!A46</f>
        <v>CAB0206</v>
      </c>
      <c r="B46" s="55" t="str">
        <f>VLOOKUP(A46,BASE!A:B,2,0)</f>
        <v>8025 CABEZAL 706 BLANCO</v>
      </c>
      <c r="C46" s="59">
        <f>'UNIFICADO x CODIGO'!B46</f>
        <v>0.58166666666666667</v>
      </c>
    </row>
    <row r="47" spans="1:3" x14ac:dyDescent="0.25">
      <c r="A47" t="str">
        <f>'UNIFICADO x CODIGO'!A47</f>
        <v>CAB0207</v>
      </c>
      <c r="B47" s="55" t="str">
        <f>VLOOKUP(A47,BASE!A:B,2,0)</f>
        <v>8025 CABEZAL 151 GRIS PLATA</v>
      </c>
      <c r="C47" s="59">
        <f>'UNIFICADO x CODIGO'!B47</f>
        <v>1.0499999999999998</v>
      </c>
    </row>
    <row r="48" spans="1:3" x14ac:dyDescent="0.25">
      <c r="A48" t="str">
        <f>'UNIFICADO x CODIGO'!A48</f>
        <v>CAB0305</v>
      </c>
      <c r="B48" s="55" t="str">
        <f>VLOOKUP(A48,BASE!A:B,2,0)</f>
        <v>744 CABEZAL 1857 TRES RIELES CRUDO</v>
      </c>
      <c r="C48" s="59">
        <f>'UNIFICADO x CODIGO'!B48</f>
        <v>0.51666666666666672</v>
      </c>
    </row>
    <row r="49" spans="1:3" x14ac:dyDescent="0.25">
      <c r="A49" t="str">
        <f>'UNIFICADO x CODIGO'!A49</f>
        <v>CAB0401</v>
      </c>
      <c r="B49" s="55" t="str">
        <f>VLOOKUP(A49,BASE!A:B,2,0)</f>
        <v>CABEZAL CABINA S-319 BLANCO</v>
      </c>
      <c r="C49" s="59">
        <f>'UNIFICADO x CODIGO'!B49</f>
        <v>0.43333333333333335</v>
      </c>
    </row>
    <row r="50" spans="1:3" x14ac:dyDescent="0.25">
      <c r="A50" t="str">
        <f>'UNIFICADO x CODIGO'!A50</f>
        <v>CAB0402</v>
      </c>
      <c r="B50" s="55" t="str">
        <f>VLOOKUP(A50,BASE!A:B,2,0)</f>
        <v>744 CABEZAL 392 BLANCO</v>
      </c>
      <c r="C50" s="59">
        <f>'UNIFICADO x CODIGO'!B50</f>
        <v>0.57500000000000007</v>
      </c>
    </row>
    <row r="51" spans="1:3" x14ac:dyDescent="0.25">
      <c r="A51" t="str">
        <f>'UNIFICADO x CODIGO'!A51</f>
        <v>CAB0404</v>
      </c>
      <c r="B51" s="55" t="str">
        <f>VLOOKUP(A51,BASE!A:B,2,0)</f>
        <v>7038 CABEZAL 700 BLANCO</v>
      </c>
      <c r="C51" s="59">
        <f>'UNIFICADO x CODIGO'!B51</f>
        <v>0.48333333333333334</v>
      </c>
    </row>
    <row r="52" spans="1:3" x14ac:dyDescent="0.25">
      <c r="A52" t="str">
        <f>'UNIFICADO x CODIGO'!A52</f>
        <v>CAB0410</v>
      </c>
      <c r="B52" s="55" t="str">
        <f>VLOOKUP(A52,BASE!A:B,2,0)</f>
        <v>5020 CABEZAL 144 BLANCO</v>
      </c>
      <c r="C52" s="59">
        <f>'UNIFICADO x CODIGO'!B52</f>
        <v>0.75</v>
      </c>
    </row>
    <row r="53" spans="1:3" x14ac:dyDescent="0.25">
      <c r="A53" t="str">
        <f>'UNIFICADO x CODIGO'!A53</f>
        <v>CAB0501</v>
      </c>
      <c r="B53" s="55" t="str">
        <f>VLOOKUP(A53,BASE!A:B,2,0)</f>
        <v>CABEZAL CABINA S-319 BRONCE</v>
      </c>
      <c r="C53" s="59">
        <f>'UNIFICADO x CODIGO'!B53</f>
        <v>0.77833333333333332</v>
      </c>
    </row>
    <row r="54" spans="1:3" x14ac:dyDescent="0.25">
      <c r="A54" t="str">
        <f>'UNIFICADO x CODIGO'!A54</f>
        <v>CAB0504</v>
      </c>
      <c r="B54" s="55" t="str">
        <f>VLOOKUP(A54,BASE!A:B,2,0)</f>
        <v>8025 CABEZAL 706 BRONCE</v>
      </c>
      <c r="C54" s="59">
        <f>'UNIFICADO x CODIGO'!B54</f>
        <v>1.2833333333333332</v>
      </c>
    </row>
    <row r="55" spans="1:3" x14ac:dyDescent="0.25">
      <c r="A55" t="str">
        <f>'UNIFICADO x CODIGO'!A55</f>
        <v>CAB0505</v>
      </c>
      <c r="B55" s="55" t="str">
        <f>VLOOKUP(A55,BASE!A:B,2,0)</f>
        <v>8025 CABEZAL 151 BRONCE</v>
      </c>
      <c r="C55" s="59">
        <f>'UNIFICADO x CODIGO'!B55</f>
        <v>0.31666666666666665</v>
      </c>
    </row>
    <row r="56" spans="1:3" x14ac:dyDescent="0.25">
      <c r="A56" t="str">
        <f>'UNIFICADO x CODIGO'!A56</f>
        <v>CAB0508</v>
      </c>
      <c r="B56" s="55" t="str">
        <f>VLOOKUP(A56,BASE!A:B,2,0)</f>
        <v>744 CABEZAL 392 BRONCE</v>
      </c>
      <c r="C56" s="59">
        <f>'UNIFICADO x CODIGO'!B56</f>
        <v>0.6166666666666667</v>
      </c>
    </row>
    <row r="57" spans="1:3" x14ac:dyDescent="0.25">
      <c r="A57" t="str">
        <f>'UNIFICADO x CODIGO'!A57</f>
        <v>CAB0510</v>
      </c>
      <c r="B57" s="55" t="str">
        <f>VLOOKUP(A57,BASE!A:B,2,0)</f>
        <v>5020 CABEZAL 144 BRONCE</v>
      </c>
      <c r="C57" s="59">
        <f>'UNIFICADO x CODIGO'!B57</f>
        <v>1.4166666666666667</v>
      </c>
    </row>
    <row r="58" spans="1:3" x14ac:dyDescent="0.25">
      <c r="A58" t="str">
        <f>'UNIFICADO x CODIGO'!A58</f>
        <v>CAB0601</v>
      </c>
      <c r="B58" s="55" t="str">
        <f>VLOOKUP(A58,BASE!A:B,2,0)</f>
        <v>7038 CABEZAL 700 NEGRO</v>
      </c>
      <c r="C58" s="59">
        <f>'UNIFICADO x CODIGO'!B58</f>
        <v>0.96666666666666679</v>
      </c>
    </row>
    <row r="59" spans="1:3" x14ac:dyDescent="0.25">
      <c r="A59" t="str">
        <f>'UNIFICADO x CODIGO'!A59</f>
        <v>CAB0602</v>
      </c>
      <c r="B59" s="55" t="str">
        <f>VLOOKUP(A59,BASE!A:B,2,0)</f>
        <v>744 CABEZAL 392 NEGRO</v>
      </c>
      <c r="C59" s="59">
        <f>'UNIFICADO x CODIGO'!B59</f>
        <v>0.16666666666666666</v>
      </c>
    </row>
    <row r="60" spans="1:3" x14ac:dyDescent="0.25">
      <c r="A60" t="str">
        <f>'UNIFICADO x CODIGO'!A60</f>
        <v>CAB0603</v>
      </c>
      <c r="B60" s="55" t="str">
        <f>VLOOKUP(A60,BASE!A:B,2,0)</f>
        <v>8025 CABEZAL 706 NEGRO</v>
      </c>
      <c r="C60" s="59">
        <f>'UNIFICADO x CODIGO'!B60</f>
        <v>3.4000000000000004</v>
      </c>
    </row>
    <row r="61" spans="1:3" x14ac:dyDescent="0.25">
      <c r="A61" t="str">
        <f>'UNIFICADO x CODIGO'!A61</f>
        <v>CAB0604</v>
      </c>
      <c r="B61" s="55" t="str">
        <f>VLOOKUP(A61,BASE!A:B,2,0)</f>
        <v>8025 CABEZAL 151 NEGRO</v>
      </c>
      <c r="C61" s="59">
        <f>'UNIFICADO x CODIGO'!B61</f>
        <v>11.3</v>
      </c>
    </row>
    <row r="62" spans="1:3" x14ac:dyDescent="0.25">
      <c r="A62" t="str">
        <f>'UNIFICADO x CODIGO'!A62</f>
        <v>CAB0605</v>
      </c>
      <c r="B62" s="55" t="str">
        <f>VLOOKUP(A62,BASE!A:B,2,0)</f>
        <v>CABEZAL CABINA S-319 NEGRO</v>
      </c>
      <c r="C62" s="59">
        <f>'UNIFICADO x CODIGO'!B62</f>
        <v>0.31666666666666665</v>
      </c>
    </row>
    <row r="63" spans="1:3" x14ac:dyDescent="0.25">
      <c r="A63" t="str">
        <f>'UNIFICADO x CODIGO'!A63</f>
        <v>CAB0606</v>
      </c>
      <c r="B63" s="55" t="str">
        <f>VLOOKUP(A63,BASE!A:B,2,0)</f>
        <v>5020 CABEZAL 144 NEGRO</v>
      </c>
      <c r="C63" s="59">
        <f>'UNIFICADO x CODIGO'!B63</f>
        <v>0.51666666666666672</v>
      </c>
    </row>
    <row r="64" spans="1:3" x14ac:dyDescent="0.25">
      <c r="A64" t="str">
        <f>'UNIFICADO x CODIGO'!A64</f>
        <v>CAB0608</v>
      </c>
      <c r="B64" s="55" t="str">
        <f>VLOOKUP(A64,BASE!A:B,2,0)</f>
        <v>7038 CABEZAL TRES RIELES 1730 NEGRO</v>
      </c>
      <c r="C64" s="59">
        <f>'UNIFICADO x CODIGO'!B64</f>
        <v>0.6</v>
      </c>
    </row>
    <row r="65" spans="1:3" x14ac:dyDescent="0.25">
      <c r="A65" t="str">
        <f>'UNIFICADO x CODIGO'!A65</f>
        <v>CABE8025</v>
      </c>
      <c r="B65" s="55" t="str">
        <f>VLOOKUP(A65,BASE!A:B,2,0)</f>
        <v>8025 CABEZAL 151 MATE</v>
      </c>
      <c r="C65" s="59">
        <f>'UNIFICADO x CODIGO'!B65</f>
        <v>1.1333333333333333</v>
      </c>
    </row>
    <row r="66" spans="1:3" x14ac:dyDescent="0.25">
      <c r="A66" t="str">
        <f>'UNIFICADO x CODIGO'!A66</f>
        <v>DIV0101</v>
      </c>
      <c r="B66" s="55" t="str">
        <f>VLOOKUP(A66,BASE!A:B,2,0)</f>
        <v>3831 DIVISOR 292 MATE</v>
      </c>
      <c r="C66" s="59">
        <f>'UNIFICADO x CODIGO'!B66</f>
        <v>0.55000000000000004</v>
      </c>
    </row>
    <row r="67" spans="1:3" x14ac:dyDescent="0.25">
      <c r="A67" t="str">
        <f>'UNIFICADO x CODIGO'!A67</f>
        <v>DIV0205</v>
      </c>
      <c r="B67" s="55" t="str">
        <f>VLOOKUP(A67,BASE!A:B,2,0)</f>
        <v>3831 DIVISOR 1103 MATE</v>
      </c>
      <c r="C67" s="59">
        <f>'UNIFICADO x CODIGO'!B67</f>
        <v>1.3</v>
      </c>
    </row>
    <row r="68" spans="1:3" x14ac:dyDescent="0.25">
      <c r="A68" t="str">
        <f>'UNIFICADO x CODIGO'!A68</f>
        <v>DIV0401</v>
      </c>
      <c r="B68" s="55" t="str">
        <f>VLOOKUP(A68,BASE!A:B,2,0)</f>
        <v>3831 DIVISOR 292 BLANCO</v>
      </c>
      <c r="C68" s="59">
        <f>'UNIFICADO x CODIGO'!B68</f>
        <v>0.55000000000000004</v>
      </c>
    </row>
    <row r="69" spans="1:3" x14ac:dyDescent="0.25">
      <c r="A69" t="str">
        <f>'UNIFICADO x CODIGO'!A69</f>
        <v>DIV0502</v>
      </c>
      <c r="B69" s="55" t="str">
        <f>VLOOKUP(A69,BASE!A:B,2,0)</f>
        <v>3831 DIVISOR 292 BRONCE</v>
      </c>
      <c r="C69" s="59">
        <f>'UNIFICADO x CODIGO'!B69</f>
        <v>2.15</v>
      </c>
    </row>
    <row r="70" spans="1:3" x14ac:dyDescent="0.25">
      <c r="A70" t="str">
        <f>'UNIFICADO x CODIGO'!A70</f>
        <v>DIV0604</v>
      </c>
      <c r="B70" s="55" t="str">
        <f>VLOOKUP(A70,BASE!A:B,2,0)</f>
        <v>3831 DIVISOR 292 NEGRO</v>
      </c>
      <c r="C70" s="59">
        <f>'UNIFICADO x CODIGO'!B70</f>
        <v>3.9166666666666665</v>
      </c>
    </row>
    <row r="71" spans="1:3" x14ac:dyDescent="0.25">
      <c r="A71" t="str">
        <f>'UNIFICADO x CODIGO'!A71</f>
        <v>ENG0101</v>
      </c>
      <c r="B71" s="55" t="str">
        <f>VLOOKUP(A71,BASE!A:B,2,0)</f>
        <v>744 ENGANCHE 391 MATE</v>
      </c>
      <c r="C71" s="59">
        <f>'UNIFICADO x CODIGO'!B71</f>
        <v>4.416666666666667</v>
      </c>
    </row>
    <row r="72" spans="1:3" x14ac:dyDescent="0.25">
      <c r="A72" t="str">
        <f>'UNIFICADO x CODIGO'!A72</f>
        <v>ENG0102</v>
      </c>
      <c r="B72" s="55" t="str">
        <f>VLOOKUP(A72,BASE!A:B,2,0)</f>
        <v>5020 ENGANCHE 147 GRIS PLATA</v>
      </c>
      <c r="C72" s="59">
        <f>'UNIFICADO x CODIGO'!B72</f>
        <v>0.6166666666666667</v>
      </c>
    </row>
    <row r="73" spans="1:3" x14ac:dyDescent="0.25">
      <c r="A73" t="str">
        <f>'UNIFICADO x CODIGO'!A73</f>
        <v>ENG0103</v>
      </c>
      <c r="B73" s="55" t="str">
        <f>VLOOKUP(A73,BASE!A:B,2,0)</f>
        <v>5020 ENGANCHE 147 MATE</v>
      </c>
      <c r="C73" s="59">
        <f>'UNIFICADO x CODIGO'!B73</f>
        <v>0.93333333333333335</v>
      </c>
    </row>
    <row r="74" spans="1:3" x14ac:dyDescent="0.25">
      <c r="A74" t="str">
        <f>'UNIFICADO x CODIGO'!A74</f>
        <v>ENG0201</v>
      </c>
      <c r="B74" s="55" t="str">
        <f>VLOOKUP(A74,BASE!A:B,2,0)</f>
        <v>8025 ENGANCHE 191 GRIS PLATA</v>
      </c>
      <c r="C74" s="59">
        <f>'UNIFICADO x CODIGO'!B74</f>
        <v>1.1666666666666667</v>
      </c>
    </row>
    <row r="75" spans="1:3" x14ac:dyDescent="0.25">
      <c r="A75" t="str">
        <f>'UNIFICADO x CODIGO'!A75</f>
        <v>ENG0304</v>
      </c>
      <c r="B75" s="55" t="str">
        <f>VLOOKUP(A75,BASE!A:B,2,0)</f>
        <v>744 ENGANCHE 391 CRUDO</v>
      </c>
      <c r="C75" s="59">
        <f>'UNIFICADO x CODIGO'!B75</f>
        <v>0.31666666666666665</v>
      </c>
    </row>
    <row r="76" spans="1:3" x14ac:dyDescent="0.25">
      <c r="A76" t="str">
        <f>'UNIFICADO x CODIGO'!A76</f>
        <v>ENG0402</v>
      </c>
      <c r="B76" s="55" t="str">
        <f>VLOOKUP(A76,BASE!A:B,2,0)</f>
        <v>8025 ENGANCHE 191 BLANCO</v>
      </c>
      <c r="C76" s="59">
        <f>'UNIFICADO x CODIGO'!B76</f>
        <v>0.18333333333333332</v>
      </c>
    </row>
    <row r="77" spans="1:3" x14ac:dyDescent="0.25">
      <c r="A77" t="str">
        <f>'UNIFICADO x CODIGO'!A77</f>
        <v>ENG0403</v>
      </c>
      <c r="B77" s="55" t="str">
        <f>VLOOKUP(A77,BASE!A:B,2,0)</f>
        <v>744 ENGANCHE 391 BLANCO</v>
      </c>
      <c r="C77" s="59">
        <f>'UNIFICADO x CODIGO'!B77</f>
        <v>0.65</v>
      </c>
    </row>
    <row r="78" spans="1:3" x14ac:dyDescent="0.25">
      <c r="A78" t="str">
        <f>'UNIFICADO x CODIGO'!A78</f>
        <v>ENG0404</v>
      </c>
      <c r="B78" s="55" t="str">
        <f>VLOOKUP(A78,BASE!A:B,2,0)</f>
        <v>7038 ENGANCHE 705 BLANCO</v>
      </c>
      <c r="C78" s="59">
        <f>'UNIFICADO x CODIGO'!B78</f>
        <v>0.39166666666666666</v>
      </c>
    </row>
    <row r="79" spans="1:3" x14ac:dyDescent="0.25">
      <c r="A79" t="str">
        <f>'UNIFICADO x CODIGO'!A79</f>
        <v>ENG0406</v>
      </c>
      <c r="B79" s="55" t="str">
        <f>VLOOKUP(A79,BASE!A:B,2,0)</f>
        <v>5020 ENGANCHE 147 BLANCO</v>
      </c>
      <c r="C79" s="59">
        <f>'UNIFICADO x CODIGO'!B79</f>
        <v>0.13333333333333333</v>
      </c>
    </row>
    <row r="80" spans="1:3" x14ac:dyDescent="0.25">
      <c r="A80" t="str">
        <f>'UNIFICADO x CODIGO'!A80</f>
        <v>ENG0501</v>
      </c>
      <c r="B80" s="55" t="str">
        <f>VLOOKUP(A80,BASE!A:B,2,0)</f>
        <v>7038 ENGANCHE 705 BRONCE</v>
      </c>
      <c r="C80" s="59">
        <f>'UNIFICADO x CODIGO'!B80</f>
        <v>0.36666666666666664</v>
      </c>
    </row>
    <row r="81" spans="1:3" x14ac:dyDescent="0.25">
      <c r="A81" t="str">
        <f>'UNIFICADO x CODIGO'!A81</f>
        <v>ENG0503</v>
      </c>
      <c r="B81" s="55" t="str">
        <f>VLOOKUP(A81,BASE!A:B,2,0)</f>
        <v>8025 ENGANCHE 191 BRONCE</v>
      </c>
      <c r="C81" s="59">
        <f>'UNIFICADO x CODIGO'!B81</f>
        <v>1.0666666666666667</v>
      </c>
    </row>
    <row r="82" spans="1:3" x14ac:dyDescent="0.25">
      <c r="A82" t="str">
        <f>'UNIFICADO x CODIGO'!A82</f>
        <v>ENG0504</v>
      </c>
      <c r="B82" s="55" t="str">
        <f>VLOOKUP(A82,BASE!A:B,2,0)</f>
        <v>5020 ENGANCHE 147 BRONCE</v>
      </c>
      <c r="C82" s="59">
        <f>'UNIFICADO x CODIGO'!B82</f>
        <v>0.44999999999999996</v>
      </c>
    </row>
    <row r="83" spans="1:3" x14ac:dyDescent="0.25">
      <c r="A83" t="str">
        <f>'UNIFICADO x CODIGO'!A83</f>
        <v>ENG0505</v>
      </c>
      <c r="B83" s="55" t="str">
        <f>VLOOKUP(A83,BASE!A:B,2,0)</f>
        <v>744 ENGANCHE 391 BRONCE</v>
      </c>
      <c r="C83" s="59">
        <f>'UNIFICADO x CODIGO'!B83</f>
        <v>0.15</v>
      </c>
    </row>
    <row r="84" spans="1:3" x14ac:dyDescent="0.25">
      <c r="A84" t="str">
        <f>'UNIFICADO x CODIGO'!A84</f>
        <v>ENG0506</v>
      </c>
      <c r="B84" s="55" t="str">
        <f>VLOOKUP(A84,BASE!A:B,2,0)</f>
        <v>5020 ENGANCHE 147 NEGRO</v>
      </c>
      <c r="C84" s="59">
        <f>'UNIFICADO x CODIGO'!B84</f>
        <v>0.55000000000000004</v>
      </c>
    </row>
    <row r="85" spans="1:3" x14ac:dyDescent="0.25">
      <c r="A85" t="str">
        <f>'UNIFICADO x CODIGO'!A85</f>
        <v>ENG0601</v>
      </c>
      <c r="B85" s="55" t="str">
        <f>VLOOKUP(A85,BASE!A:B,2,0)</f>
        <v>744 ENGANCHE 391 NEGRO</v>
      </c>
      <c r="C85" s="59">
        <f>'UNIFICADO x CODIGO'!B85</f>
        <v>0.18333333333333332</v>
      </c>
    </row>
    <row r="86" spans="1:3" x14ac:dyDescent="0.25">
      <c r="A86" t="str">
        <f>'UNIFICADO x CODIGO'!A86</f>
        <v>ENG0602</v>
      </c>
      <c r="B86" s="55" t="str">
        <f>VLOOKUP(A86,BASE!A:B,2,0)</f>
        <v>7038 ENGANCHE 705 NEGRO</v>
      </c>
      <c r="C86" s="59">
        <f>'UNIFICADO x CODIGO'!B86</f>
        <v>0.6</v>
      </c>
    </row>
    <row r="87" spans="1:3" x14ac:dyDescent="0.25">
      <c r="A87" t="str">
        <f>'UNIFICADO x CODIGO'!A87</f>
        <v>ENG0607</v>
      </c>
      <c r="B87" s="55" t="str">
        <f>VLOOKUP(A87,BASE!A:B,2,0)</f>
        <v>8025 ENGANCHE 191 NEGRO</v>
      </c>
      <c r="C87" s="59">
        <f>'UNIFICADO x CODIGO'!B87</f>
        <v>21.816666666666666</v>
      </c>
    </row>
    <row r="88" spans="1:3" x14ac:dyDescent="0.25">
      <c r="A88" t="str">
        <f>'UNIFICADO x CODIGO'!A88</f>
        <v>ENGA8025</v>
      </c>
      <c r="B88" s="55" t="str">
        <f>VLOOKUP(A88,BASE!A:B,2,0)</f>
        <v>8025 ENGANCHE 191 MATE</v>
      </c>
      <c r="C88" s="59">
        <f>'UNIFICADO x CODIGO'!B88</f>
        <v>1.25</v>
      </c>
    </row>
    <row r="89" spans="1:3" x14ac:dyDescent="0.25">
      <c r="A89" t="str">
        <f>'UNIFICADO x CODIGO'!A89</f>
        <v>ESQ0103</v>
      </c>
      <c r="B89" s="55" t="str">
        <f>VLOOKUP(A89,BASE!A:B,2,0)</f>
        <v>3831 ESQUINERO 416 MATE</v>
      </c>
      <c r="C89" s="59">
        <f>'UNIFICADO x CODIGO'!B89</f>
        <v>0.4</v>
      </c>
    </row>
    <row r="90" spans="1:3" x14ac:dyDescent="0.25">
      <c r="A90" t="str">
        <f>'UNIFICADO x CODIGO'!A90</f>
        <v>ESQ0501</v>
      </c>
      <c r="B90" s="55" t="str">
        <f>VLOOKUP(A90,BASE!A:B,2,0)</f>
        <v>3831 ESQUINERO 416 BRONCE</v>
      </c>
      <c r="C90" s="59">
        <f>'UNIFICADO x CODIGO'!B90</f>
        <v>0.96666666666666679</v>
      </c>
    </row>
    <row r="91" spans="1:3" x14ac:dyDescent="0.25">
      <c r="A91" t="str">
        <f>'UNIFICADO x CODIGO'!A91</f>
        <v>ESQ0604</v>
      </c>
      <c r="B91" s="55" t="str">
        <f>VLOOKUP(A91,BASE!A:B,2,0)</f>
        <v>3831 ESQUINERO 416 NEGRO</v>
      </c>
      <c r="C91" s="59">
        <f>'UNIFICADO x CODIGO'!B91</f>
        <v>1.0499999999999998</v>
      </c>
    </row>
    <row r="92" spans="1:3" x14ac:dyDescent="0.25">
      <c r="A92" t="str">
        <f>'UNIFICADO x CODIGO'!A92</f>
        <v>F080101</v>
      </c>
      <c r="B92" s="55" t="str">
        <f>VLOOKUP(A92,BASE!A:B,2,0)</f>
        <v>TABLILLA F-08 MATE</v>
      </c>
      <c r="C92" s="59">
        <f>'UNIFICADO x CODIGO'!B92</f>
        <v>2.8666666666666667</v>
      </c>
    </row>
    <row r="93" spans="1:3" x14ac:dyDescent="0.25">
      <c r="A93" t="str">
        <f>'UNIFICADO x CODIGO'!A93</f>
        <v>F080501</v>
      </c>
      <c r="B93" s="55" t="str">
        <f>VLOOKUP(A93,BASE!A:B,2,0)</f>
        <v>TABLILLA F-08 BRONCE</v>
      </c>
      <c r="C93" s="59">
        <f>'UNIFICADO x CODIGO'!B93</f>
        <v>0.18333333333333332</v>
      </c>
    </row>
    <row r="94" spans="1:3" x14ac:dyDescent="0.25">
      <c r="A94" t="str">
        <f>'UNIFICADO x CODIGO'!A94</f>
        <v>F080601</v>
      </c>
      <c r="B94" s="55" t="str">
        <f>VLOOKUP(A94,BASE!A:B,2,0)</f>
        <v>TABLILLA F-08 NEGRA</v>
      </c>
      <c r="C94" s="59">
        <f>'UNIFICADO x CODIGO'!B94</f>
        <v>0.55000000000000004</v>
      </c>
    </row>
    <row r="95" spans="1:3" x14ac:dyDescent="0.25">
      <c r="A95" t="str">
        <f>'UNIFICADO x CODIGO'!A95</f>
        <v>FAR0102</v>
      </c>
      <c r="B95" s="55" t="str">
        <f>VLOOKUP(A95,BASE!A:B,2,0)</f>
        <v>FALSA RETICULA 511 MATE</v>
      </c>
      <c r="C95" s="59">
        <f>'UNIFICADO x CODIGO'!B95</f>
        <v>0.73333333333333328</v>
      </c>
    </row>
    <row r="96" spans="1:3" x14ac:dyDescent="0.25">
      <c r="A96" t="str">
        <f>'UNIFICADO x CODIGO'!A96</f>
        <v>FAR0401</v>
      </c>
      <c r="B96" s="55" t="str">
        <f>VLOOKUP(A96,BASE!A:B,2,0)</f>
        <v>FALSA RETICULA 511 BLANCA</v>
      </c>
      <c r="C96" s="59">
        <f>'UNIFICADO x CODIGO'!B96</f>
        <v>1.0166666666666666</v>
      </c>
    </row>
    <row r="97" spans="1:3" x14ac:dyDescent="0.25">
      <c r="A97" t="str">
        <f>'UNIFICADO x CODIGO'!A97</f>
        <v>FAR0501</v>
      </c>
      <c r="B97" s="55" t="str">
        <f>VLOOKUP(A97,BASE!A:B,2,0)</f>
        <v>FALSA RETICULA 511 BRONCE</v>
      </c>
      <c r="C97" s="59">
        <f>'UNIFICADO x CODIGO'!B97</f>
        <v>0.65</v>
      </c>
    </row>
    <row r="98" spans="1:3" x14ac:dyDescent="0.25">
      <c r="A98" t="str">
        <f>'UNIFICADO x CODIGO'!A98</f>
        <v>FAR0601</v>
      </c>
      <c r="B98" s="55" t="str">
        <f>VLOOKUP(A98,BASE!A:B,2,0)</f>
        <v>FALSA RETICULA 511 NEGRA</v>
      </c>
      <c r="C98" s="59">
        <f>'UNIFICADO x CODIGO'!B98</f>
        <v>1</v>
      </c>
    </row>
    <row r="99" spans="1:3" x14ac:dyDescent="0.25">
      <c r="A99" t="str">
        <f>'UNIFICADO x CODIGO'!A99</f>
        <v>HOI0101</v>
      </c>
      <c r="B99" s="55" t="str">
        <f>VLOOKUP(A99,BASE!A:B,2,0)</f>
        <v>744 HORIZONTAL INFERIOR 390 MATE</v>
      </c>
      <c r="C99" s="59">
        <f>'UNIFICADO x CODIGO'!B99</f>
        <v>2.3333333333333335</v>
      </c>
    </row>
    <row r="100" spans="1:3" x14ac:dyDescent="0.25">
      <c r="A100" t="str">
        <f>'UNIFICADO x CODIGO'!A100</f>
        <v>HOI0102</v>
      </c>
      <c r="B100" s="55" t="str">
        <f>VLOOKUP(A100,BASE!A:B,2,0)</f>
        <v>8025 HORIZONTAL INFERIOR 157 MATE</v>
      </c>
      <c r="C100" s="59">
        <f>'UNIFICADO x CODIGO'!B100</f>
        <v>1</v>
      </c>
    </row>
    <row r="101" spans="1:3" x14ac:dyDescent="0.25">
      <c r="A101" t="str">
        <f>'UNIFICADO x CODIGO'!A101</f>
        <v>HOI0204</v>
      </c>
      <c r="B101" s="55" t="str">
        <f>VLOOKUP(A101,BASE!A:B,2,0)</f>
        <v>744 HORIZONTAL INFERIOR 390 GRIS PLATA</v>
      </c>
      <c r="C101" s="59">
        <f>'UNIFICADO x CODIGO'!B101</f>
        <v>0.15</v>
      </c>
    </row>
    <row r="102" spans="1:3" x14ac:dyDescent="0.25">
      <c r="A102" t="str">
        <f>'UNIFICADO x CODIGO'!A102</f>
        <v>HOI0402</v>
      </c>
      <c r="B102" s="55" t="str">
        <f>VLOOKUP(A102,BASE!A:B,2,0)</f>
        <v>744 HORIZONTAL INFERIOR 390 BLANCO</v>
      </c>
      <c r="C102" s="59">
        <f>'UNIFICADO x CODIGO'!B102</f>
        <v>0.71666666666666667</v>
      </c>
    </row>
    <row r="103" spans="1:3" x14ac:dyDescent="0.25">
      <c r="A103" t="str">
        <f>'UNIFICADO x CODIGO'!A103</f>
        <v>HOI0505</v>
      </c>
      <c r="B103" s="55" t="str">
        <f>VLOOKUP(A103,BASE!A:B,2,0)</f>
        <v>8025 HORIZONTAL INFERIOR 157 BRONCE</v>
      </c>
      <c r="C103" s="59">
        <f>'UNIFICADO x CODIGO'!B103</f>
        <v>0.95</v>
      </c>
    </row>
    <row r="104" spans="1:3" x14ac:dyDescent="0.25">
      <c r="A104" t="str">
        <f>'UNIFICADO x CODIGO'!A104</f>
        <v>HOI0602</v>
      </c>
      <c r="B104" s="55" t="str">
        <f>VLOOKUP(A104,BASE!A:B,2,0)</f>
        <v>8025 HORIZONTAL INFERIOR 157 NEGRO</v>
      </c>
      <c r="C104" s="59">
        <f>'UNIFICADO x CODIGO'!B104</f>
        <v>10.466666666666667</v>
      </c>
    </row>
    <row r="105" spans="1:3" x14ac:dyDescent="0.25">
      <c r="A105" t="str">
        <f>'UNIFICADO x CODIGO'!A105</f>
        <v>HOI0606</v>
      </c>
      <c r="B105" s="55" t="str">
        <f>VLOOKUP(A105,BASE!A:B,2,0)</f>
        <v>744 HORIZONTAL INFERIOR 390 NEGRO</v>
      </c>
      <c r="C105" s="59">
        <f>'UNIFICADO x CODIGO'!B105</f>
        <v>1</v>
      </c>
    </row>
    <row r="106" spans="1:3" x14ac:dyDescent="0.25">
      <c r="A106" t="str">
        <f>'UNIFICADO x CODIGO'!A106</f>
        <v>HOR0101</v>
      </c>
      <c r="B106" s="55" t="str">
        <f>VLOOKUP(A106,BASE!A:B,2,0)</f>
        <v>5020 HORIZONTAL 148 MATE</v>
      </c>
      <c r="C106" s="59">
        <f>'UNIFICADO x CODIGO'!B106</f>
        <v>0.11666666666666667</v>
      </c>
    </row>
    <row r="107" spans="1:3" x14ac:dyDescent="0.25">
      <c r="A107" t="str">
        <f>'UNIFICADO x CODIGO'!A107</f>
        <v>HOR0102</v>
      </c>
      <c r="B107" s="55" t="str">
        <f>VLOOKUP(A107,BASE!A:B,2,0)</f>
        <v>7038 HORIZONTAL 703 MATE</v>
      </c>
      <c r="C107" s="59">
        <f>'UNIFICADO x CODIGO'!B107</f>
        <v>0.8</v>
      </c>
    </row>
    <row r="108" spans="1:3" x14ac:dyDescent="0.25">
      <c r="A108" t="str">
        <f>'UNIFICADO x CODIGO'!A108</f>
        <v>HOR0204</v>
      </c>
      <c r="B108" s="55" t="str">
        <f>VLOOKUP(A108,BASE!A:B,2,0)</f>
        <v>5020 HORIZONTAL 148 GRIS PLATA</v>
      </c>
      <c r="C108" s="59">
        <f>'UNIFICADO x CODIGO'!B108</f>
        <v>0.8833333333333333</v>
      </c>
    </row>
    <row r="109" spans="1:3" x14ac:dyDescent="0.25">
      <c r="A109" t="str">
        <f>'UNIFICADO x CODIGO'!A109</f>
        <v>HOR0408</v>
      </c>
      <c r="B109" s="55" t="str">
        <f>VLOOKUP(A109,BASE!A:B,2,0)</f>
        <v>5020 HORIZONTAL 148 BLANCO</v>
      </c>
      <c r="C109" s="59">
        <f>'UNIFICADO x CODIGO'!B109</f>
        <v>8.3333333333333329E-2</v>
      </c>
    </row>
    <row r="110" spans="1:3" x14ac:dyDescent="0.25">
      <c r="A110" t="str">
        <f>'UNIFICADO x CODIGO'!A110</f>
        <v>HOR0502</v>
      </c>
      <c r="B110" s="55" t="str">
        <f>VLOOKUP(A110,BASE!A:B,2,0)</f>
        <v>5020 HORIZONTAL 148 BRONCE</v>
      </c>
      <c r="C110" s="59">
        <f>'UNIFICADO x CODIGO'!B110</f>
        <v>0.6166666666666667</v>
      </c>
    </row>
    <row r="111" spans="1:3" x14ac:dyDescent="0.25">
      <c r="A111" t="str">
        <f>'UNIFICADO x CODIGO'!A111</f>
        <v>HOR0602</v>
      </c>
      <c r="B111" s="55" t="str">
        <f>VLOOKUP(A111,BASE!A:B,2,0)</f>
        <v>7038 HORIZONTAL 703 NEGRO</v>
      </c>
      <c r="C111" s="59">
        <f>'UNIFICADO x CODIGO'!B111</f>
        <v>0.70000000000000007</v>
      </c>
    </row>
    <row r="112" spans="1:3" x14ac:dyDescent="0.25">
      <c r="A112" t="str">
        <f>'UNIFICADO x CODIGO'!A112</f>
        <v>HOR0603</v>
      </c>
      <c r="B112" s="55" t="str">
        <f>VLOOKUP(A112,BASE!A:B,2,0)</f>
        <v>5020 HORIZONTAL 148 NEGRO</v>
      </c>
      <c r="C112" s="59">
        <f>'UNIFICADO x CODIGO'!B112</f>
        <v>0.13333333333333333</v>
      </c>
    </row>
    <row r="113" spans="1:3" x14ac:dyDescent="0.25">
      <c r="A113" t="str">
        <f>'UNIFICADO x CODIGO'!A113</f>
        <v>HORS061</v>
      </c>
      <c r="B113" s="55" t="str">
        <f>VLOOKUP(A113,BASE!A:B,2,0)</f>
        <v>8025 HORIZONTAL SUPERIOR 156 NEGRO</v>
      </c>
      <c r="C113" s="59">
        <f>'UNIFICADO x CODIGO'!B113</f>
        <v>10.266666666666667</v>
      </c>
    </row>
    <row r="114" spans="1:3" x14ac:dyDescent="0.25">
      <c r="A114" t="str">
        <f>'UNIFICADO x CODIGO'!A114</f>
        <v>HOS0101</v>
      </c>
      <c r="B114" s="55" t="str">
        <f>VLOOKUP(A114,BASE!A:B,2,0)</f>
        <v>744 HORIZONTAL SUPERIOR 389 MATE</v>
      </c>
      <c r="C114" s="59">
        <f>'UNIFICADO x CODIGO'!B114</f>
        <v>2.4833333333333334</v>
      </c>
    </row>
    <row r="115" spans="1:3" x14ac:dyDescent="0.25">
      <c r="A115" t="str">
        <f>'UNIFICADO x CODIGO'!A115</f>
        <v>HOS0202</v>
      </c>
      <c r="B115" s="55" t="str">
        <f>VLOOKUP(A115,BASE!A:B,2,0)</f>
        <v>744 HORIZONTAL SUPERIOR 389 GRIS PLATA</v>
      </c>
      <c r="C115" s="59">
        <f>'UNIFICADO x CODIGO'!B115</f>
        <v>0.41666666666666663</v>
      </c>
    </row>
    <row r="116" spans="1:3" x14ac:dyDescent="0.25">
      <c r="A116" t="str">
        <f>'UNIFICADO x CODIGO'!A116</f>
        <v>HOS0302</v>
      </c>
      <c r="B116" s="55" t="str">
        <f>VLOOKUP(A116,BASE!A:B,2,0)</f>
        <v>744 HORIZONTAL SUPERIOR 389 CRUDO</v>
      </c>
      <c r="C116" s="59">
        <f>'UNIFICADO x CODIGO'!B116</f>
        <v>0.51666666666666672</v>
      </c>
    </row>
    <row r="117" spans="1:3" x14ac:dyDescent="0.25">
      <c r="A117" t="str">
        <f>'UNIFICADO x CODIGO'!A117</f>
        <v>HOS0401</v>
      </c>
      <c r="B117" s="55" t="str">
        <f>VLOOKUP(A117,BASE!A:B,2,0)</f>
        <v>744 HORIZONTAL SUPERIOR 389 BLANCO</v>
      </c>
      <c r="C117" s="59">
        <f>'UNIFICADO x CODIGO'!B117</f>
        <v>0.38333333333333336</v>
      </c>
    </row>
    <row r="118" spans="1:3" x14ac:dyDescent="0.25">
      <c r="A118" t="str">
        <f>'UNIFICADO x CODIGO'!A118</f>
        <v>HOS0506</v>
      </c>
      <c r="B118" s="55" t="str">
        <f>VLOOKUP(A118,BASE!A:B,2,0)</f>
        <v>8025 HORIZONTAL SUPERIOR 156 BRONCE</v>
      </c>
      <c r="C118" s="59">
        <f>'UNIFICADO x CODIGO'!B118</f>
        <v>0.6166666666666667</v>
      </c>
    </row>
    <row r="119" spans="1:3" x14ac:dyDescent="0.25">
      <c r="A119" t="str">
        <f>'UNIFICADO x CODIGO'!A119</f>
        <v>HOS0601</v>
      </c>
      <c r="B119" s="55" t="str">
        <f>VLOOKUP(A119,BASE!A:B,2,0)</f>
        <v>744 HORIZONTAL SUPERIOR 389 NEGRO</v>
      </c>
      <c r="C119" s="59">
        <f>'UNIFICADO x CODIGO'!B119</f>
        <v>1.9166666666666665</v>
      </c>
    </row>
    <row r="120" spans="1:3" x14ac:dyDescent="0.25">
      <c r="A120" t="str">
        <f>'UNIFICADO x CODIGO'!A120</f>
        <v>HOSU8025</v>
      </c>
      <c r="B120" s="55" t="str">
        <f>VLOOKUP(A120,BASE!A:B,2,0)</f>
        <v>8025 HORIZONTAL SUPERIOR 156 MATE</v>
      </c>
      <c r="C120" s="59">
        <f>'UNIFICADO x CODIGO'!B120</f>
        <v>1</v>
      </c>
    </row>
    <row r="121" spans="1:3" x14ac:dyDescent="0.25">
      <c r="A121" t="str">
        <f>'UNIFICADO x CODIGO'!A121</f>
        <v>JAM0101</v>
      </c>
      <c r="B121" s="55" t="str">
        <f>VLOOKUP(A121,BASE!A:B,2,0)</f>
        <v>3831 JAMBA 174 BRONCE</v>
      </c>
      <c r="C121" s="59">
        <f>'UNIFICADO x CODIGO'!B121</f>
        <v>1.5833333333333335</v>
      </c>
    </row>
    <row r="122" spans="1:3" x14ac:dyDescent="0.25">
      <c r="A122" t="str">
        <f>'UNIFICADO x CODIGO'!A122</f>
        <v>JAM0102</v>
      </c>
      <c r="B122" s="55" t="str">
        <f>VLOOKUP(A122,BASE!A:B,2,0)</f>
        <v>5020 JAMBA 193 GRIS PLATA</v>
      </c>
      <c r="C122" s="59">
        <f>'UNIFICADO x CODIGO'!B122</f>
        <v>0.6166666666666667</v>
      </c>
    </row>
    <row r="123" spans="1:3" x14ac:dyDescent="0.25">
      <c r="A123" t="str">
        <f>'UNIFICADO x CODIGO'!A123</f>
        <v>JAM0103</v>
      </c>
      <c r="B123" s="55" t="str">
        <f>VLOOKUP(A123,BASE!A:B,2,0)</f>
        <v>5020 JAMBA 193 MATE</v>
      </c>
      <c r="C123" s="59">
        <f>'UNIFICADO x CODIGO'!B123</f>
        <v>1.0666666666666667</v>
      </c>
    </row>
    <row r="124" spans="1:3" x14ac:dyDescent="0.25">
      <c r="A124" t="str">
        <f>'UNIFICADO x CODIGO'!A124</f>
        <v>JAM0104</v>
      </c>
      <c r="B124" s="55" t="str">
        <f>VLOOKUP(A124,BASE!A:B,2,0)</f>
        <v>7038 JAMBA 702 MATE</v>
      </c>
      <c r="C124" s="59">
        <f>'UNIFICADO x CODIGO'!B124</f>
        <v>1.25</v>
      </c>
    </row>
    <row r="125" spans="1:3" x14ac:dyDescent="0.25">
      <c r="A125" t="str">
        <f>'UNIFICADO x CODIGO'!A125</f>
        <v>JAM0106</v>
      </c>
      <c r="B125" s="55" t="str">
        <f>VLOOKUP(A125,BASE!A:B,2,0)</f>
        <v>8025 JAMBA 708 MATE</v>
      </c>
      <c r="C125" s="59">
        <f>'UNIFICADO x CODIGO'!B125</f>
        <v>1</v>
      </c>
    </row>
    <row r="126" spans="1:3" x14ac:dyDescent="0.25">
      <c r="A126" t="str">
        <f>'UNIFICADO x CODIGO'!A126</f>
        <v>JAM0108</v>
      </c>
      <c r="B126" s="55" t="str">
        <f>VLOOKUP(A126,BASE!A:B,2,0)</f>
        <v>744 JAMBA 393 MATE</v>
      </c>
      <c r="C126" s="59">
        <f>'UNIFICADO x CODIGO'!B126</f>
        <v>2.1666666666666665</v>
      </c>
    </row>
    <row r="127" spans="1:3" x14ac:dyDescent="0.25">
      <c r="A127" t="str">
        <f>'UNIFICADO x CODIGO'!A127</f>
        <v>JAM0109</v>
      </c>
      <c r="B127" s="55" t="str">
        <f>VLOOKUP(A127,BASE!A:B,2,0)</f>
        <v>744 JAMBA 1858 TRES RIELES MATE</v>
      </c>
      <c r="C127" s="59">
        <f>'UNIFICADO x CODIGO'!B127</f>
        <v>1</v>
      </c>
    </row>
    <row r="128" spans="1:3" x14ac:dyDescent="0.25">
      <c r="A128" t="str">
        <f>'UNIFICADO x CODIGO'!A128</f>
        <v>JAM0206</v>
      </c>
      <c r="B128" s="55" t="str">
        <f>VLOOKUP(A128,BASE!A:B,2,0)</f>
        <v>3831 JAMBA 174 GRIS PLATA</v>
      </c>
      <c r="C128" s="59">
        <f>'UNIFICADO x CODIGO'!B128</f>
        <v>0.1</v>
      </c>
    </row>
    <row r="129" spans="1:3" x14ac:dyDescent="0.25">
      <c r="A129" t="str">
        <f>'UNIFICADO x CODIGO'!A129</f>
        <v>JAM0207</v>
      </c>
      <c r="B129" s="55" t="str">
        <f>VLOOKUP(A129,BASE!A:B,2,0)</f>
        <v>8025 JAMBA 152 GRIS PLATA</v>
      </c>
      <c r="C129" s="59">
        <f>'UNIFICADO x CODIGO'!B129</f>
        <v>0.16666666666666666</v>
      </c>
    </row>
    <row r="130" spans="1:3" x14ac:dyDescent="0.25">
      <c r="A130" t="str">
        <f>'UNIFICADO x CODIGO'!A130</f>
        <v>JAM0302</v>
      </c>
      <c r="B130" s="55" t="str">
        <f>VLOOKUP(A130,BASE!A:B,2,0)</f>
        <v>3831 JAMBA 174 CRUDO</v>
      </c>
      <c r="C130" s="59">
        <f>'UNIFICADO x CODIGO'!B130</f>
        <v>2.5</v>
      </c>
    </row>
    <row r="131" spans="1:3" x14ac:dyDescent="0.25">
      <c r="A131" t="str">
        <f>'UNIFICADO x CODIGO'!A131</f>
        <v>JAM0305</v>
      </c>
      <c r="B131" s="55" t="str">
        <f>VLOOKUP(A131,BASE!A:B,2,0)</f>
        <v>744 JAMBA 1858 TRES RIELES CRUDO</v>
      </c>
      <c r="C131" s="59">
        <f>'UNIFICADO x CODIGO'!B131</f>
        <v>1.05</v>
      </c>
    </row>
    <row r="132" spans="1:3" x14ac:dyDescent="0.25">
      <c r="A132" t="str">
        <f>'UNIFICADO x CODIGO'!A132</f>
        <v>JAM0306</v>
      </c>
      <c r="B132" s="55" t="str">
        <f>VLOOKUP(A132,BASE!A:B,2,0)</f>
        <v>744 JAMBA 393 CRUDO</v>
      </c>
      <c r="C132" s="59">
        <f>'UNIFICADO x CODIGO'!B132</f>
        <v>0.28333333333333333</v>
      </c>
    </row>
    <row r="133" spans="1:3" x14ac:dyDescent="0.25">
      <c r="A133" t="str">
        <f>'UNIFICADO x CODIGO'!A133</f>
        <v>JAM0402</v>
      </c>
      <c r="B133" s="55" t="str">
        <f>VLOOKUP(A133,BASE!A:B,2,0)</f>
        <v>744 JAMBA 393 BLANCO</v>
      </c>
      <c r="C133" s="59">
        <f>'UNIFICADO x CODIGO'!B133</f>
        <v>0.13333333333333333</v>
      </c>
    </row>
    <row r="134" spans="1:3" x14ac:dyDescent="0.25">
      <c r="A134" t="str">
        <f>'UNIFICADO x CODIGO'!A134</f>
        <v>JAM0403</v>
      </c>
      <c r="B134" s="55" t="str">
        <f>VLOOKUP(A134,BASE!A:B,2,0)</f>
        <v>5020 JAMBA 193 BLANCO</v>
      </c>
      <c r="C134" s="59">
        <f>'UNIFICADO x CODIGO'!B134</f>
        <v>0.2</v>
      </c>
    </row>
    <row r="135" spans="1:3" x14ac:dyDescent="0.25">
      <c r="A135" t="str">
        <f>'UNIFICADO x CODIGO'!A135</f>
        <v>JAM0405</v>
      </c>
      <c r="B135" s="55" t="str">
        <f>VLOOKUP(A135,BASE!A:B,2,0)</f>
        <v>7038 JAMBA 702 BLANCO</v>
      </c>
      <c r="C135" s="59">
        <f>'UNIFICADO x CODIGO'!B135</f>
        <v>0.5</v>
      </c>
    </row>
    <row r="136" spans="1:3" x14ac:dyDescent="0.25">
      <c r="A136" t="str">
        <f>'UNIFICADO x CODIGO'!A136</f>
        <v>JAM0408</v>
      </c>
      <c r="B136" s="55" t="str">
        <f>VLOOKUP(A136,BASE!A:B,2,0)</f>
        <v>8025 JAMBA 152 BLANCO</v>
      </c>
      <c r="C136" s="59">
        <f>'UNIFICADO x CODIGO'!B136</f>
        <v>0.33333333333333331</v>
      </c>
    </row>
    <row r="137" spans="1:3" x14ac:dyDescent="0.25">
      <c r="A137" t="str">
        <f>'UNIFICADO x CODIGO'!A137</f>
        <v>JAM0503</v>
      </c>
      <c r="B137" s="55" t="str">
        <f>VLOOKUP(A137,BASE!A:B,2,0)</f>
        <v>3831 JAMBA 174 MATE</v>
      </c>
      <c r="C137" s="59">
        <f>'UNIFICADO x CODIGO'!B137</f>
        <v>2.0833333333333335</v>
      </c>
    </row>
    <row r="138" spans="1:3" x14ac:dyDescent="0.25">
      <c r="A138" t="str">
        <f>'UNIFICADO x CODIGO'!A138</f>
        <v>JAM0504</v>
      </c>
      <c r="B138" s="55" t="str">
        <f>VLOOKUP(A138,BASE!A:B,2,0)</f>
        <v>5020 JAMBA 193 BRONCE</v>
      </c>
      <c r="C138" s="59">
        <f>'UNIFICADO x CODIGO'!B138</f>
        <v>0.6333333333333333</v>
      </c>
    </row>
    <row r="139" spans="1:3" x14ac:dyDescent="0.25">
      <c r="A139" t="str">
        <f>'UNIFICADO x CODIGO'!A139</f>
        <v>JAM0505</v>
      </c>
      <c r="B139" s="55" t="str">
        <f>VLOOKUP(A139,BASE!A:B,2,0)</f>
        <v>744 JAMBA 393 BRONCE</v>
      </c>
      <c r="C139" s="59">
        <f>'UNIFICADO x CODIGO'!B139</f>
        <v>0.3</v>
      </c>
    </row>
    <row r="140" spans="1:3" x14ac:dyDescent="0.25">
      <c r="A140" t="str">
        <f>'UNIFICADO x CODIGO'!A140</f>
        <v>JAM0506</v>
      </c>
      <c r="B140" s="55" t="str">
        <f>VLOOKUP(A140,BASE!A:B,2,0)</f>
        <v>8025 JAMBA 152 BRONCE</v>
      </c>
      <c r="C140" s="59">
        <f>'UNIFICADO x CODIGO'!B140</f>
        <v>0.98333333333333328</v>
      </c>
    </row>
    <row r="141" spans="1:3" x14ac:dyDescent="0.25">
      <c r="A141" t="str">
        <f>'UNIFICADO x CODIGO'!A141</f>
        <v>JAM0508</v>
      </c>
      <c r="B141" s="55" t="str">
        <f>VLOOKUP(A141,BASE!A:B,2,0)</f>
        <v>8025 JAMBA 708 BRONCE</v>
      </c>
      <c r="C141" s="59">
        <f>'UNIFICADO x CODIGO'!B141</f>
        <v>1.25</v>
      </c>
    </row>
    <row r="142" spans="1:3" x14ac:dyDescent="0.25">
      <c r="A142" t="str">
        <f>'UNIFICADO x CODIGO'!A142</f>
        <v>JAM0601</v>
      </c>
      <c r="B142" s="55" t="str">
        <f>VLOOKUP(A142,BASE!A:B,2,0)</f>
        <v>744 JAMBA 393 NEGRO</v>
      </c>
      <c r="C142" s="59">
        <f>'UNIFICADO x CODIGO'!B142</f>
        <v>0.8666666666666667</v>
      </c>
    </row>
    <row r="143" spans="1:3" x14ac:dyDescent="0.25">
      <c r="A143" t="str">
        <f>'UNIFICADO x CODIGO'!A143</f>
        <v>JAM0603</v>
      </c>
      <c r="B143" s="55" t="str">
        <f>VLOOKUP(A143,BASE!A:B,2,0)</f>
        <v>7038 JAMBA 702 NEGRO</v>
      </c>
      <c r="C143" s="59">
        <f>'UNIFICADO x CODIGO'!B143</f>
        <v>1.3333333333333333</v>
      </c>
    </row>
    <row r="144" spans="1:3" x14ac:dyDescent="0.25">
      <c r="A144" t="str">
        <f>'UNIFICADO x CODIGO'!A144</f>
        <v>JAM0604</v>
      </c>
      <c r="B144" s="55" t="str">
        <f>VLOOKUP(A144,BASE!A:B,2,0)</f>
        <v>3831 JAMBA 174 NEGRO</v>
      </c>
      <c r="C144" s="59">
        <f>'UNIFICADO x CODIGO'!B144</f>
        <v>6.55</v>
      </c>
    </row>
    <row r="145" spans="1:3" x14ac:dyDescent="0.25">
      <c r="A145" t="str">
        <f>'UNIFICADO x CODIGO'!A145</f>
        <v>JAM0605</v>
      </c>
      <c r="B145" s="55" t="str">
        <f>VLOOKUP(A145,BASE!A:B,2,0)</f>
        <v>5020 JAMBA 193 NEGRO</v>
      </c>
      <c r="C145" s="59">
        <f>'UNIFICADO x CODIGO'!B145</f>
        <v>0.35</v>
      </c>
    </row>
    <row r="146" spans="1:3" x14ac:dyDescent="0.25">
      <c r="A146" t="str">
        <f>'UNIFICADO x CODIGO'!A146</f>
        <v>JAM0606</v>
      </c>
      <c r="B146" s="55" t="str">
        <f>VLOOKUP(A146,BASE!A:B,2,0)</f>
        <v>744 JAMBA TRES RIELES 1858 NEGRO</v>
      </c>
      <c r="C146" s="59">
        <f>'UNIFICADO x CODIGO'!B146</f>
        <v>1.2833333333333332</v>
      </c>
    </row>
    <row r="147" spans="1:3" x14ac:dyDescent="0.25">
      <c r="A147" t="str">
        <f>'UNIFICADO x CODIGO'!A147</f>
        <v>JAM0609</v>
      </c>
      <c r="B147" s="55" t="str">
        <f>VLOOKUP(A147,BASE!A:B,2,0)</f>
        <v>8025 JAMBA 152 NEGRO</v>
      </c>
      <c r="C147" s="59">
        <f>'UNIFICADO x CODIGO'!B147</f>
        <v>13.933333333333334</v>
      </c>
    </row>
    <row r="148" spans="1:3" x14ac:dyDescent="0.25">
      <c r="A148" t="str">
        <f>'UNIFICADO x CODIGO'!A148</f>
        <v>JAM0610</v>
      </c>
      <c r="B148" s="55" t="str">
        <f>VLOOKUP(A148,BASE!A:B,2,0)</f>
        <v>8025 JAMBA 708 NEGRO</v>
      </c>
      <c r="C148" s="59">
        <f>'UNIFICADO x CODIGO'!B148</f>
        <v>0.91666666666666663</v>
      </c>
    </row>
    <row r="149" spans="1:3" x14ac:dyDescent="0.25">
      <c r="A149" t="str">
        <f>'UNIFICADO x CODIGO'!A149</f>
        <v>JAM8025</v>
      </c>
      <c r="B149" s="55" t="str">
        <f>VLOOKUP(A149,BASE!A:B,2,0)</f>
        <v>8025 JAMBA 152 MATE</v>
      </c>
      <c r="C149" s="59">
        <f>'UNIFICADO x CODIGO'!B149</f>
        <v>2.5</v>
      </c>
    </row>
    <row r="150" spans="1:3" x14ac:dyDescent="0.25">
      <c r="A150" t="str">
        <f>'UNIFICADO x CODIGO'!A150</f>
        <v>MOS0501</v>
      </c>
      <c r="B150" s="55" t="str">
        <f>VLOOKUP(A150,BASE!A:B,2,0)</f>
        <v xml:space="preserve">PERFIL MOSQUITERO M-364 </v>
      </c>
      <c r="C150" s="59">
        <f>'UNIFICADO x CODIGO'!B150</f>
        <v>1.4333333333333333</v>
      </c>
    </row>
    <row r="151" spans="1:3" x14ac:dyDescent="0.25">
      <c r="A151" t="str">
        <f>'UNIFICADO x CODIGO'!A151</f>
        <v>MOSMATE</v>
      </c>
      <c r="B151" s="55" t="str">
        <f>VLOOKUP(A151,BASE!A:B,2,0)</f>
        <v>PERFIL MOSQUITERO M-364 MATE</v>
      </c>
      <c r="C151" s="59">
        <f>'UNIFICADO x CODIGO'!B151</f>
        <v>0.46666666666666667</v>
      </c>
    </row>
    <row r="152" spans="1:3" x14ac:dyDescent="0.25">
      <c r="A152" t="str">
        <f>'UNIFICADO x CODIGO'!A152</f>
        <v>NAV0101</v>
      </c>
      <c r="B152" s="55" t="str">
        <f>VLOOKUP(A152,BASE!A:B,2,0)</f>
        <v>3831 NAVE 176 MATE</v>
      </c>
      <c r="C152" s="59">
        <f>'UNIFICADO x CODIGO'!B152</f>
        <v>0.60000000000000009</v>
      </c>
    </row>
    <row r="153" spans="1:3" x14ac:dyDescent="0.25">
      <c r="A153" t="str">
        <f>'UNIFICADO x CODIGO'!A153</f>
        <v>NAV0202</v>
      </c>
      <c r="B153" s="55" t="str">
        <f>VLOOKUP(A153,BASE!A:B,2,0)</f>
        <v>3831 NAVE 176 GRIS PLATA</v>
      </c>
      <c r="C153" s="59">
        <f>'UNIFICADO x CODIGO'!B153</f>
        <v>0.73333333333333328</v>
      </c>
    </row>
    <row r="154" spans="1:3" x14ac:dyDescent="0.25">
      <c r="A154" t="str">
        <f>'UNIFICADO x CODIGO'!A154</f>
        <v>NAV0503</v>
      </c>
      <c r="B154" s="55" t="str">
        <f>VLOOKUP(A154,BASE!A:B,2,0)</f>
        <v>3831 NAVE 176 BRONCE</v>
      </c>
      <c r="C154" s="59">
        <f>'UNIFICADO x CODIGO'!B154</f>
        <v>0.45</v>
      </c>
    </row>
    <row r="155" spans="1:3" x14ac:dyDescent="0.25">
      <c r="A155" t="str">
        <f>'UNIFICADO x CODIGO'!A155</f>
        <v>NAV0606</v>
      </c>
      <c r="B155" s="55" t="str">
        <f>VLOOKUP(A155,BASE!A:B,2,0)</f>
        <v>3831 NAVE 176 NEGRO</v>
      </c>
      <c r="C155" s="59">
        <f>'UNIFICADO x CODIGO'!B155</f>
        <v>1.4</v>
      </c>
    </row>
    <row r="156" spans="1:3" x14ac:dyDescent="0.25">
      <c r="A156" t="str">
        <f>'UNIFICADO x CODIGO'!A156</f>
        <v>P180601</v>
      </c>
      <c r="B156" s="55" t="str">
        <f>VLOOKUP(A156,BASE!A:B,2,0)</f>
        <v xml:space="preserve">PLATINA 1" P-18 NEGRO </v>
      </c>
      <c r="C156" s="59">
        <f>'UNIFICADO x CODIGO'!B156</f>
        <v>0.7</v>
      </c>
    </row>
    <row r="157" spans="1:3" x14ac:dyDescent="0.25">
      <c r="A157" t="str">
        <f>'UNIFICADO x CODIGO'!A157</f>
        <v>PCE0202</v>
      </c>
      <c r="B157" s="55" t="str">
        <f>VLOOKUP(A157,BASE!A:B,2,0)</f>
        <v>PERSIANA 315 GRIS PLATA</v>
      </c>
      <c r="C157" s="59">
        <f>'UNIFICADO x CODIGO'!B157</f>
        <v>0.16666666666666666</v>
      </c>
    </row>
    <row r="158" spans="1:3" x14ac:dyDescent="0.25">
      <c r="A158" t="str">
        <f>'UNIFICADO x CODIGO'!A158</f>
        <v>PEF0106</v>
      </c>
      <c r="B158" s="55" t="str">
        <f>VLOOKUP(A158,BASE!A:B,2,0)</f>
        <v>PERFIL F 463 NEGRO</v>
      </c>
      <c r="C158" s="59">
        <f>'UNIFICADO x CODIGO'!B158</f>
        <v>3.55</v>
      </c>
    </row>
    <row r="159" spans="1:3" x14ac:dyDescent="0.25">
      <c r="A159" t="str">
        <f>'UNIFICADO x CODIGO'!A159</f>
        <v>PEP0101</v>
      </c>
      <c r="B159" s="55" t="str">
        <f>VLOOKUP(A159,BASE!A:B,2,0)</f>
        <v>PERFIL U DE CABINA S-364 MATE</v>
      </c>
      <c r="C159" s="59">
        <f>'UNIFICADO x CODIGO'!B159</f>
        <v>0.5</v>
      </c>
    </row>
    <row r="160" spans="1:3" x14ac:dyDescent="0.25">
      <c r="A160" t="str">
        <f>'UNIFICADO x CODIGO'!A160</f>
        <v>PER0103</v>
      </c>
      <c r="B160" s="55" t="str">
        <f>VLOOKUP(A160,BASE!A:B,2,0)</f>
        <v>PERSIANA 315 MATE</v>
      </c>
      <c r="C160" s="59">
        <f>'UNIFICADO x CODIGO'!B160</f>
        <v>3.0833333333333335</v>
      </c>
    </row>
    <row r="161" spans="1:3" x14ac:dyDescent="0.25">
      <c r="A161" t="str">
        <f>'UNIFICADO x CODIGO'!A161</f>
        <v>PER0301</v>
      </c>
      <c r="B161" s="55" t="str">
        <f>VLOOKUP(A161,BASE!A:B,2,0)</f>
        <v>PERFIL F 463 MATE</v>
      </c>
      <c r="C161" s="59">
        <f>'UNIFICADO x CODIGO'!B161</f>
        <v>1.9833333333333332</v>
      </c>
    </row>
    <row r="162" spans="1:3" x14ac:dyDescent="0.25">
      <c r="A162" t="str">
        <f>'UNIFICADO x CODIGO'!A162</f>
        <v>PER0302</v>
      </c>
      <c r="B162" s="55" t="str">
        <f>VLOOKUP(A162,BASE!A:B,2,0)</f>
        <v>PERFIL F 463 CRUDO</v>
      </c>
      <c r="C162" s="59">
        <f>'UNIFICADO x CODIGO'!B162</f>
        <v>0.31666666666666665</v>
      </c>
    </row>
    <row r="163" spans="1:3" x14ac:dyDescent="0.25">
      <c r="A163" t="str">
        <f>'UNIFICADO x CODIGO'!A163</f>
        <v>PER0303</v>
      </c>
      <c r="B163" s="55" t="str">
        <f>VLOOKUP(A163,BASE!A:B,2,0)</f>
        <v>PERSIANA 315 CRUDO</v>
      </c>
      <c r="C163" s="59">
        <f>'UNIFICADO x CODIGO'!B163</f>
        <v>1.2166666666666668</v>
      </c>
    </row>
    <row r="164" spans="1:3" x14ac:dyDescent="0.25">
      <c r="A164" t="str">
        <f>'UNIFICADO x CODIGO'!A164</f>
        <v>PER0401</v>
      </c>
      <c r="B164" s="55" t="str">
        <f>VLOOKUP(A164,BASE!A:B,2,0)</f>
        <v>PERSIANA 315 BLANCO</v>
      </c>
      <c r="C164" s="59">
        <f>'UNIFICADO x CODIGO'!B164</f>
        <v>0.56666666666666665</v>
      </c>
    </row>
    <row r="165" spans="1:3" x14ac:dyDescent="0.25">
      <c r="A165" t="str">
        <f>'UNIFICADO x CODIGO'!A165</f>
        <v>PER0503</v>
      </c>
      <c r="B165" s="55" t="str">
        <f>VLOOKUP(A165,BASE!A:B,2,0)</f>
        <v>PERSIANA 315 BRONCE</v>
      </c>
      <c r="C165" s="59">
        <f>'UNIFICADO x CODIGO'!B165</f>
        <v>2.65</v>
      </c>
    </row>
    <row r="166" spans="1:3" x14ac:dyDescent="0.25">
      <c r="A166" t="str">
        <f>'UNIFICADO x CODIGO'!A166</f>
        <v>PER0601</v>
      </c>
      <c r="B166" s="55" t="str">
        <f>VLOOKUP(A166,BASE!A:B,2,0)</f>
        <v>PERSIANA 315 NEGRO</v>
      </c>
      <c r="C166" s="59">
        <f>'UNIFICADO x CODIGO'!B166</f>
        <v>23.35</v>
      </c>
    </row>
    <row r="167" spans="1:3" x14ac:dyDescent="0.25">
      <c r="A167" t="str">
        <f>'UNIFICADO x CODIGO'!A167</f>
        <v>PIS0102</v>
      </c>
      <c r="B167" s="55" t="str">
        <f>VLOOKUP(A167,BASE!A:B,2,0)</f>
        <v>PISAVIDRIO CURVO 635 MATE</v>
      </c>
      <c r="C167" s="59">
        <f>'UNIFICADO x CODIGO'!B167</f>
        <v>1.8666666666666667</v>
      </c>
    </row>
    <row r="168" spans="1:3" x14ac:dyDescent="0.25">
      <c r="A168" t="str">
        <f>'UNIFICADO x CODIGO'!A168</f>
        <v>PIS0204</v>
      </c>
      <c r="B168" s="55" t="str">
        <f>VLOOKUP(A168,BASE!A:B,2,0)</f>
        <v>3831 PISAVIDRIO 177 GRIS PLATA</v>
      </c>
      <c r="C168" s="59">
        <f>'UNIFICADO x CODIGO'!B168</f>
        <v>0.31666666666666665</v>
      </c>
    </row>
    <row r="169" spans="1:3" x14ac:dyDescent="0.25">
      <c r="A169" t="str">
        <f>'UNIFICADO x CODIGO'!A169</f>
        <v>PIS0304</v>
      </c>
      <c r="B169" s="55" t="str">
        <f>VLOOKUP(A169,BASE!A:B,2,0)</f>
        <v>3831 PISAVIDRIO 177 CRUDO</v>
      </c>
      <c r="C169" s="59">
        <f>'UNIFICADO x CODIGO'!B169</f>
        <v>1</v>
      </c>
    </row>
    <row r="170" spans="1:3" x14ac:dyDescent="0.25">
      <c r="A170" t="str">
        <f>'UNIFICADO x CODIGO'!A170</f>
        <v>PIS0405</v>
      </c>
      <c r="B170" s="55" t="str">
        <f>VLOOKUP(A170,BASE!A:B,2,0)</f>
        <v>3831 PISAVIDRIO 177 BLANCO</v>
      </c>
      <c r="C170" s="59">
        <f>'UNIFICADO x CODIGO'!B170</f>
        <v>5.3833333333333346</v>
      </c>
    </row>
    <row r="171" spans="1:3" x14ac:dyDescent="0.25">
      <c r="A171" t="str">
        <f>'UNIFICADO x CODIGO'!A171</f>
        <v>PIS0602</v>
      </c>
      <c r="B171" s="55" t="str">
        <f>VLOOKUP(A171,BASE!A:B,2,0)</f>
        <v>3831 PISAVIDRIO 177 NEGRO</v>
      </c>
      <c r="C171" s="59">
        <f>'UNIFICADO x CODIGO'!B171</f>
        <v>31.133333333333333</v>
      </c>
    </row>
    <row r="172" spans="1:3" x14ac:dyDescent="0.25">
      <c r="A172" t="str">
        <f>'UNIFICADO x CODIGO'!A172</f>
        <v>PPR0101</v>
      </c>
      <c r="B172" s="55" t="str">
        <f>VLOOKUP(A172,BASE!A:B,2,0)</f>
        <v>3831 PISAVIDRIO 177 MATE</v>
      </c>
      <c r="C172" s="59">
        <f>'UNIFICADO x CODIGO'!B172</f>
        <v>3.1166666666666667</v>
      </c>
    </row>
    <row r="173" spans="1:3" x14ac:dyDescent="0.25">
      <c r="A173" t="str">
        <f>'UNIFICADO x CODIGO'!A173</f>
        <v>PPR0501</v>
      </c>
      <c r="B173" s="55" t="str">
        <f>VLOOKUP(A173,BASE!A:B,2,0)</f>
        <v>3831 PISAVIDRIO 177 BRONCE</v>
      </c>
      <c r="C173" s="59">
        <f>'UNIFICADO x CODIGO'!B173</f>
        <v>2.3333333333333335</v>
      </c>
    </row>
    <row r="174" spans="1:3" x14ac:dyDescent="0.25">
      <c r="A174" t="str">
        <f>'UNIFICADO x CODIGO'!A174</f>
        <v>RDU0101</v>
      </c>
      <c r="B174" s="55" t="str">
        <f>VLOOKUP(A174,BASE!A:B,2,0)</f>
        <v>RIEL DUCASSE 1764 MATE</v>
      </c>
      <c r="C174" s="59">
        <f>'UNIFICADO x CODIGO'!B174</f>
        <v>1.7833333333333332</v>
      </c>
    </row>
    <row r="175" spans="1:3" x14ac:dyDescent="0.25">
      <c r="A175" t="s">
        <v>738</v>
      </c>
      <c r="B175" s="55" t="str">
        <f>VLOOKUP(A175,BASE!A:B,2,0)</f>
        <v>RIEL DUCASSE 1764 NEGRO</v>
      </c>
      <c r="C175" s="59">
        <v>0.63</v>
      </c>
    </row>
    <row r="176" spans="1:3" x14ac:dyDescent="0.25">
      <c r="A176" t="str">
        <f>'UNIFICADO x CODIGO'!A176</f>
        <v>ROS0301</v>
      </c>
      <c r="B176" s="55" t="str">
        <f>VLOOKUP(A176,BASE!A:B,2,0)</f>
        <v>RIEL OPTIGLASS SENCILLO SL-010 MATE</v>
      </c>
      <c r="C176" s="59">
        <f>'UNIFICADO x CODIGO'!B176</f>
        <v>0.6</v>
      </c>
    </row>
    <row r="177" spans="1:3" x14ac:dyDescent="0.25">
      <c r="A177" t="str">
        <f>'UNIFICADO x CODIGO'!A177</f>
        <v>ROS0302</v>
      </c>
      <c r="B177" s="55" t="str">
        <f>VLOOKUP(A177,BASE!A:B,2,0)</f>
        <v>RIEL OPTIGLASS DOBLE SL-011 MATE</v>
      </c>
      <c r="C177" s="59">
        <f>'UNIFICADO x CODIGO'!B177</f>
        <v>1.3666666666666667</v>
      </c>
    </row>
    <row r="178" spans="1:3" x14ac:dyDescent="0.25">
      <c r="A178" t="s">
        <v>764</v>
      </c>
      <c r="B178" s="55" t="str">
        <f>VLOOKUP(A178,BASE!A:B,2,0)</f>
        <v>RIEL OPTIGLASS SENCILLO SL-010 NEGRO</v>
      </c>
      <c r="C178" s="59">
        <v>0.32</v>
      </c>
    </row>
    <row r="179" spans="1:3" x14ac:dyDescent="0.25">
      <c r="A179" t="str">
        <f>'UNIFICADO x CODIGO'!A179</f>
        <v>ROS0602</v>
      </c>
      <c r="B179" s="55" t="str">
        <f>VLOOKUP(A179,BASE!A:B,2,0)</f>
        <v>RIEL OPTIGLASS DOBLE SL-011 NEGRO</v>
      </c>
      <c r="C179" s="59">
        <f>'UNIFICADO x CODIGO'!B179</f>
        <v>1.5833333333333335</v>
      </c>
    </row>
    <row r="180" spans="1:3" x14ac:dyDescent="0.25">
      <c r="A180" t="str">
        <f>'UNIFICADO x CODIGO'!A180</f>
        <v>SIL0101</v>
      </c>
      <c r="B180" s="55" t="str">
        <f>VLOOKUP(A180,BASE!A:B,2,0)</f>
        <v>SILLAR CABINA S-201 MATE</v>
      </c>
      <c r="C180" s="59">
        <f>'UNIFICADO x CODIGO'!B180</f>
        <v>1.4833333333333334</v>
      </c>
    </row>
    <row r="181" spans="1:3" x14ac:dyDescent="0.25">
      <c r="A181" t="str">
        <f>'UNIFICADO x CODIGO'!A181</f>
        <v>SIL0102</v>
      </c>
      <c r="B181" s="55" t="str">
        <f>VLOOKUP(A181,BASE!A:B,2,0)</f>
        <v>3831 SILLAR CABEZAL 173 MATE</v>
      </c>
      <c r="C181" s="59">
        <f>'UNIFICADO x CODIGO'!B181</f>
        <v>1.3666666666666667</v>
      </c>
    </row>
    <row r="182" spans="1:3" x14ac:dyDescent="0.25">
      <c r="A182" t="str">
        <f>'UNIFICADO x CODIGO'!A182</f>
        <v>SIL0103</v>
      </c>
      <c r="B182" s="55" t="str">
        <f>VLOOKUP(A182,BASE!A:B,2,0)</f>
        <v>3831 ADAPTADOR 175 MATE</v>
      </c>
      <c r="C182" s="59">
        <v>1</v>
      </c>
    </row>
    <row r="183" spans="1:3" x14ac:dyDescent="0.25">
      <c r="A183" t="str">
        <f>'UNIFICADO x CODIGO'!A183</f>
        <v>SIL0106</v>
      </c>
      <c r="B183" s="55" t="str">
        <f>VLOOKUP(A183,BASE!A:B,2,0)</f>
        <v>8025 SILLAR 150 MATE</v>
      </c>
      <c r="C183" s="59">
        <f>'UNIFICADO x CODIGO'!B183</f>
        <v>1.1166666666666667</v>
      </c>
    </row>
    <row r="184" spans="1:3" x14ac:dyDescent="0.25">
      <c r="A184" t="str">
        <f>'UNIFICADO x CODIGO'!A184</f>
        <v>SIL0109</v>
      </c>
      <c r="B184" s="55" t="str">
        <f>VLOOKUP(A184,BASE!A:B,2,0)</f>
        <v>744 SILLAR 1856 TRES RIELES MATE</v>
      </c>
      <c r="C184" s="59">
        <f>'UNIFICADO x CODIGO'!B184</f>
        <v>0.66666666666666663</v>
      </c>
    </row>
    <row r="185" spans="1:3" x14ac:dyDescent="0.25">
      <c r="A185" t="str">
        <f>'UNIFICADO x CODIGO'!A185</f>
        <v>SIL0110</v>
      </c>
      <c r="B185" s="55" t="str">
        <f>VLOOKUP(A185,BASE!A:B,2,0)</f>
        <v>8025 SILLAR 707 MATE</v>
      </c>
      <c r="C185" s="59">
        <f>'UNIFICADO x CODIGO'!B185</f>
        <v>1.1166666666666667</v>
      </c>
    </row>
    <row r="186" spans="1:3" x14ac:dyDescent="0.25">
      <c r="A186" t="str">
        <f>'UNIFICADO x CODIGO'!A186</f>
        <v>SIL0201</v>
      </c>
      <c r="B186" s="55" t="str">
        <f>VLOOKUP(A186,BASE!A:B,2,0)</f>
        <v>SILLAR CABINA S-201 GRIS PLATA</v>
      </c>
      <c r="C186" s="59">
        <f>'UNIFICADO x CODIGO'!B186</f>
        <v>0.31666666666666665</v>
      </c>
    </row>
    <row r="187" spans="1:3" x14ac:dyDescent="0.25">
      <c r="A187" t="str">
        <f>'UNIFICADO x CODIGO'!A187</f>
        <v>SIL0205</v>
      </c>
      <c r="B187" s="55" t="str">
        <f>VLOOKUP(A187,BASE!A:B,2,0)</f>
        <v>5020 SILLAR 194 GRIS PLATA</v>
      </c>
      <c r="C187" s="59">
        <f>'UNIFICADO x CODIGO'!B187</f>
        <v>0.81666666666666665</v>
      </c>
    </row>
    <row r="188" spans="1:3" x14ac:dyDescent="0.25">
      <c r="A188" t="str">
        <f>'UNIFICADO x CODIGO'!A188</f>
        <v>SIL0207</v>
      </c>
      <c r="B188" s="55" t="str">
        <f>VLOOKUP(A188,BASE!A:B,2,0)</f>
        <v>8025 SILLAR 150 GRIS PLATA</v>
      </c>
      <c r="C188" s="59">
        <f>'UNIFICADO x CODIGO'!B188</f>
        <v>0.58333333333333337</v>
      </c>
    </row>
    <row r="189" spans="1:3" x14ac:dyDescent="0.25">
      <c r="A189" t="str">
        <f>'UNIFICADO x CODIGO'!A189</f>
        <v>SIL0212</v>
      </c>
      <c r="B189" s="55" t="str">
        <f>VLOOKUP(A189,BASE!A:B,2,0)</f>
        <v>744 SILLAR 387 GRIS PLATA</v>
      </c>
      <c r="C189" s="59">
        <f>'UNIFICADO x CODIGO'!B189</f>
        <v>0.2</v>
      </c>
    </row>
    <row r="190" spans="1:3" x14ac:dyDescent="0.25">
      <c r="A190" t="str">
        <f>'UNIFICADO x CODIGO'!A190</f>
        <v>SIL0301</v>
      </c>
      <c r="B190" s="55" t="str">
        <f>VLOOKUP(A190,BASE!A:B,2,0)</f>
        <v>3831 SILLAR CABEZAL 173 CRUDO</v>
      </c>
      <c r="C190" s="59">
        <f>'UNIFICADO x CODIGO'!B190</f>
        <v>0.35</v>
      </c>
    </row>
    <row r="191" spans="1:3" x14ac:dyDescent="0.25">
      <c r="A191" t="str">
        <f>'UNIFICADO x CODIGO'!A191</f>
        <v>SIL0305</v>
      </c>
      <c r="B191" s="55" t="str">
        <f>VLOOKUP(A191,BASE!A:B,2,0)</f>
        <v>744 SILLAR 1856 TRES RIELES CRUDO</v>
      </c>
      <c r="C191" s="59">
        <f>'UNIFICADO x CODIGO'!B191</f>
        <v>0.51666666666666672</v>
      </c>
    </row>
    <row r="192" spans="1:3" x14ac:dyDescent="0.25">
      <c r="A192" t="str">
        <f>'UNIFICADO x CODIGO'!A192</f>
        <v>SIL0402</v>
      </c>
      <c r="B192" s="55" t="str">
        <f>VLOOKUP(A192,BASE!A:B,2,0)</f>
        <v>8025 SILLAR 707 BLANCO</v>
      </c>
      <c r="C192" s="59">
        <f>'UNIFICADO x CODIGO'!B192</f>
        <v>0.58166666666666667</v>
      </c>
    </row>
    <row r="193" spans="1:3" x14ac:dyDescent="0.25">
      <c r="A193" t="str">
        <f>'UNIFICADO x CODIGO'!A193</f>
        <v>SIL0403</v>
      </c>
      <c r="B193" s="55" t="str">
        <f>VLOOKUP(A193,BASE!A:B,2,0)</f>
        <v>8025 SILLAR 150 BLANCO</v>
      </c>
      <c r="C193" s="59">
        <f>'UNIFICADO x CODIGO'!B193</f>
        <v>0.18333333333333332</v>
      </c>
    </row>
    <row r="194" spans="1:3" x14ac:dyDescent="0.25">
      <c r="A194" t="str">
        <f>'UNIFICADO x CODIGO'!A194</f>
        <v>SIL0404</v>
      </c>
      <c r="B194" s="55" t="str">
        <f>VLOOKUP(A194,BASE!A:B,2,0)</f>
        <v>7038 SILLAR 701 BLANCO</v>
      </c>
      <c r="C194" s="59">
        <f>'UNIFICADO x CODIGO'!B194</f>
        <v>0.48333333333333334</v>
      </c>
    </row>
    <row r="195" spans="1:3" x14ac:dyDescent="0.25">
      <c r="A195" t="str">
        <f>'UNIFICADO x CODIGO'!A195</f>
        <v>SIL0408</v>
      </c>
      <c r="B195" s="55" t="str">
        <f>VLOOKUP(A195,BASE!A:B,2,0)</f>
        <v>744 SILLAR 387 BLANCO</v>
      </c>
      <c r="C195" s="59">
        <f>'UNIFICADO x CODIGO'!B195</f>
        <v>0.57500000000000007</v>
      </c>
    </row>
    <row r="196" spans="1:3" x14ac:dyDescent="0.25">
      <c r="A196" t="str">
        <f>'UNIFICADO x CODIGO'!A196</f>
        <v>SIL0415</v>
      </c>
      <c r="B196" s="55" t="str">
        <f>VLOOKUP(A196,BASE!A:B,2,0)</f>
        <v>3831 SILLAR CABEZAL 173 BLANCO</v>
      </c>
      <c r="C196" s="59">
        <f>'UNIFICADO x CODIGO'!B196</f>
        <v>2</v>
      </c>
    </row>
    <row r="197" spans="1:3" x14ac:dyDescent="0.25">
      <c r="A197" t="str">
        <f>'UNIFICADO x CODIGO'!A197</f>
        <v>SIL0416</v>
      </c>
      <c r="B197" s="55" t="str">
        <f>VLOOKUP(A197,BASE!A:B,2,0)</f>
        <v>5020 SILLAR 194 BLANCO</v>
      </c>
      <c r="C197" s="59">
        <f>'UNIFICADO x CODIGO'!B197</f>
        <v>0.75</v>
      </c>
    </row>
    <row r="198" spans="1:3" x14ac:dyDescent="0.25">
      <c r="A198" t="str">
        <f>'UNIFICADO x CODIGO'!A198</f>
        <v>SIL0501</v>
      </c>
      <c r="B198" s="55" t="str">
        <f>VLOOKUP(A198,BASE!A:B,2,0)</f>
        <v>SILLAR CABINA S-201 BRONCE</v>
      </c>
      <c r="C198" s="59">
        <f>'UNIFICADO x CODIGO'!B198</f>
        <v>0.6</v>
      </c>
    </row>
    <row r="199" spans="1:3" x14ac:dyDescent="0.25">
      <c r="A199" t="str">
        <f>'UNIFICADO x CODIGO'!A199</f>
        <v>SIL0502</v>
      </c>
      <c r="B199" s="55" t="str">
        <f>VLOOKUP(A199,BASE!A:B,2,0)</f>
        <v>3831 ADAPTADOR 175 BRONCE</v>
      </c>
      <c r="C199" s="59">
        <f>'UNIFICADO x CODIGO'!B199</f>
        <v>4.2666666666666666</v>
      </c>
    </row>
    <row r="200" spans="1:3" x14ac:dyDescent="0.25">
      <c r="A200" t="str">
        <f>'UNIFICADO x CODIGO'!A200</f>
        <v>SIL0503</v>
      </c>
      <c r="B200" s="55" t="str">
        <f>VLOOKUP(A200,BASE!A:B,2,0)</f>
        <v>7038 SILLAR 701 BRONCE</v>
      </c>
      <c r="C200" s="59">
        <f>'UNIFICADO x CODIGO'!B200</f>
        <v>0.58333333333333337</v>
      </c>
    </row>
    <row r="201" spans="1:3" x14ac:dyDescent="0.25">
      <c r="A201" t="str">
        <f>'UNIFICADO x CODIGO'!A201</f>
        <v>SIL0504</v>
      </c>
      <c r="B201" s="55" t="str">
        <f>VLOOKUP(A201,BASE!A:B,2,0)</f>
        <v>3831 SILLAR CABEZAL 173 BRONCE</v>
      </c>
      <c r="C201" s="59">
        <f>'UNIFICADO x CODIGO'!B201</f>
        <v>1.25</v>
      </c>
    </row>
    <row r="202" spans="1:3" x14ac:dyDescent="0.25">
      <c r="A202" t="str">
        <f>'UNIFICADO x CODIGO'!A202</f>
        <v>SIL0506</v>
      </c>
      <c r="B202" s="55" t="str">
        <f>VLOOKUP(A202,BASE!A:B,2,0)</f>
        <v>5020 SILLAR 194 BRONCE</v>
      </c>
      <c r="C202" s="59">
        <f>'UNIFICADO x CODIGO'!B202</f>
        <v>1.4500000000000002</v>
      </c>
    </row>
    <row r="203" spans="1:3" x14ac:dyDescent="0.25">
      <c r="A203" t="str">
        <f>'UNIFICADO x CODIGO'!A203</f>
        <v>SIL0507</v>
      </c>
      <c r="B203" s="55" t="str">
        <f>VLOOKUP(A203,BASE!A:B,2,0)</f>
        <v>744 SILLAR 387 BRONCE</v>
      </c>
      <c r="C203" s="59">
        <f>'UNIFICADO x CODIGO'!B203</f>
        <v>0.28333333333333333</v>
      </c>
    </row>
    <row r="204" spans="1:3" x14ac:dyDescent="0.25">
      <c r="A204" t="str">
        <f>'UNIFICADO x CODIGO'!A204</f>
        <v>SIL0508</v>
      </c>
      <c r="B204" s="55" t="str">
        <f>VLOOKUP(A204,BASE!A:B,2,0)</f>
        <v>8025 SILLAR 707 BRONCE</v>
      </c>
      <c r="C204" s="59">
        <f>'UNIFICADO x CODIGO'!B204</f>
        <v>1.2833333333333332</v>
      </c>
    </row>
    <row r="205" spans="1:3" x14ac:dyDescent="0.25">
      <c r="A205" t="str">
        <f>'UNIFICADO x CODIGO'!A205</f>
        <v>SIL0510</v>
      </c>
      <c r="B205" s="55" t="str">
        <f>VLOOKUP(A205,BASE!A:B,2,0)</f>
        <v>8025 SILLAR 150 BRONCE</v>
      </c>
      <c r="C205" s="59">
        <f>'UNIFICADO x CODIGO'!B205</f>
        <v>1.0666666666666667</v>
      </c>
    </row>
    <row r="206" spans="1:3" x14ac:dyDescent="0.25">
      <c r="A206" t="str">
        <f>'UNIFICADO x CODIGO'!A206</f>
        <v>SIL0601</v>
      </c>
      <c r="B206" s="55" t="str">
        <f>VLOOKUP(A206,BASE!A:B,2,0)</f>
        <v>7038 SILLAR 701 NEGRO</v>
      </c>
      <c r="C206" s="59">
        <f>'UNIFICADO x CODIGO'!B206</f>
        <v>1.5166666666666666</v>
      </c>
    </row>
    <row r="207" spans="1:3" x14ac:dyDescent="0.25">
      <c r="A207" t="str">
        <f>'UNIFICADO x CODIGO'!A207</f>
        <v>SIL0603</v>
      </c>
      <c r="B207" s="55" t="str">
        <f>VLOOKUP(A207,BASE!A:B,2,0)</f>
        <v>5020 SILLAR 194 NEGRO</v>
      </c>
      <c r="C207" s="59">
        <f>'UNIFICADO x CODIGO'!B207</f>
        <v>0.6333333333333333</v>
      </c>
    </row>
    <row r="208" spans="1:3" x14ac:dyDescent="0.25">
      <c r="A208" t="str">
        <f>'UNIFICADO x CODIGO'!A208</f>
        <v>SIL0604</v>
      </c>
      <c r="B208" s="55" t="str">
        <f>VLOOKUP(A208,BASE!A:B,2,0)</f>
        <v>SILLAR CABINA S-201 NEGRO</v>
      </c>
      <c r="C208" s="59">
        <f>'UNIFICADO x CODIGO'!B208</f>
        <v>1.4500000000000002</v>
      </c>
    </row>
    <row r="209" spans="1:3" x14ac:dyDescent="0.25">
      <c r="A209" t="str">
        <f>'UNIFICADO x CODIGO'!A209</f>
        <v>SIL0605</v>
      </c>
      <c r="B209" s="55" t="str">
        <f>VLOOKUP(A209,BASE!A:B,2,0)</f>
        <v>7038 SILLAR TRES RIELES 2190 NEGRO</v>
      </c>
      <c r="C209" s="59">
        <f>'UNIFICADO x CODIGO'!B209</f>
        <v>0.43333333333333335</v>
      </c>
    </row>
    <row r="210" spans="1:3" x14ac:dyDescent="0.25">
      <c r="A210" t="str">
        <f>'UNIFICADO x CODIGO'!A210</f>
        <v>SIL0606</v>
      </c>
      <c r="B210" s="55" t="str">
        <f>VLOOKUP(A210,BASE!A:B,2,0)</f>
        <v>3831 SILLAR CABEZAL 173 NEGRO</v>
      </c>
      <c r="C210" s="59">
        <f>'UNIFICADO x CODIGO'!B210</f>
        <v>36.25</v>
      </c>
    </row>
    <row r="211" spans="1:3" x14ac:dyDescent="0.25">
      <c r="A211" t="str">
        <f>'UNIFICADO x CODIGO'!A211</f>
        <v>SIL0609</v>
      </c>
      <c r="B211" s="55" t="str">
        <f>VLOOKUP(A211,BASE!A:B,2,0)</f>
        <v>8025 SILLAR 150 NEGRO</v>
      </c>
      <c r="C211" s="59">
        <f>'UNIFICADO x CODIGO'!B211</f>
        <v>11.3</v>
      </c>
    </row>
    <row r="212" spans="1:3" x14ac:dyDescent="0.25">
      <c r="A212" t="str">
        <f>'UNIFICADO x CODIGO'!A212</f>
        <v>SIL0610</v>
      </c>
      <c r="B212" s="55" t="str">
        <f>VLOOKUP(A212,BASE!A:B,2,0)</f>
        <v>8025 SILLAR 707 NEGRO</v>
      </c>
      <c r="C212" s="59">
        <f>'UNIFICADO x CODIGO'!B212</f>
        <v>3.3666666666666671</v>
      </c>
    </row>
    <row r="213" spans="1:3" x14ac:dyDescent="0.25">
      <c r="A213" t="str">
        <f>'UNIFICADO x CODIGO'!A213</f>
        <v>SIL0744</v>
      </c>
      <c r="B213" s="55" t="str">
        <f>VLOOKUP(A213,BASE!A:B,2,0)</f>
        <v>744 SILLAR 387 MATE</v>
      </c>
      <c r="C213" s="59">
        <f>'UNIFICADO x CODIGO'!B213</f>
        <v>2.6500000000000004</v>
      </c>
    </row>
    <row r="214" spans="1:3" x14ac:dyDescent="0.25">
      <c r="A214" t="str">
        <f>'UNIFICADO x CODIGO'!A214</f>
        <v>SILL0501</v>
      </c>
      <c r="B214" s="55" t="str">
        <f>VLOOKUP(A214,BASE!A:B,2,0)</f>
        <v>5020 SILLAR ALFAJIA 581 BRONCE</v>
      </c>
      <c r="C214" s="59">
        <f>'UNIFICADO x CODIGO'!B214</f>
        <v>0.18333333333333332</v>
      </c>
    </row>
    <row r="215" spans="1:3" x14ac:dyDescent="0.25">
      <c r="A215" t="str">
        <f>'UNIFICADO x CODIGO'!A215</f>
        <v>SIN CODIGO</v>
      </c>
      <c r="B215" s="55" t="e">
        <f>VLOOKUP(A215,BASE!A:B,2,0)</f>
        <v>#N/A</v>
      </c>
      <c r="C215" s="59">
        <f>'UNIFICADO x CODIGO'!B215</f>
        <v>0.65</v>
      </c>
    </row>
    <row r="216" spans="1:3" x14ac:dyDescent="0.25">
      <c r="A216" t="str">
        <f>'UNIFICADO x CODIGO'!A216</f>
        <v>T020101</v>
      </c>
      <c r="B216" s="55" t="str">
        <f>VLOOKUP(A216,BASE!A:B,2,0)</f>
        <v>TAPALUZ PT02 MATE</v>
      </c>
      <c r="C216" s="59">
        <f>'UNIFICADO x CODIGO'!B216</f>
        <v>1</v>
      </c>
    </row>
    <row r="217" spans="1:3" x14ac:dyDescent="0.25">
      <c r="A217" t="str">
        <f>'UNIFICADO x CODIGO'!A217</f>
        <v>T020601</v>
      </c>
      <c r="B217" s="55" t="str">
        <f>VLOOKUP(A217,BASE!A:B,2,0)</f>
        <v>TAPALUZ PT02 NEGRO</v>
      </c>
      <c r="C217" s="59">
        <f>'UNIFICADO x CODIGO'!B217</f>
        <v>1.3166666666666667</v>
      </c>
    </row>
    <row r="218" spans="1:3" x14ac:dyDescent="0.25">
      <c r="A218" t="str">
        <f>'UNIFICADO x CODIGO'!A218</f>
        <v>TAP0101</v>
      </c>
      <c r="B218" s="55" t="str">
        <f>VLOOKUP(A218,BASE!A:B,2,0)</f>
        <v>TAPALUZ PT08 MATE</v>
      </c>
      <c r="C218" s="59">
        <f>'UNIFICADO x CODIGO'!B218</f>
        <v>0.26666666666666666</v>
      </c>
    </row>
    <row r="219" spans="1:3" x14ac:dyDescent="0.25">
      <c r="A219" t="str">
        <f>'UNIFICADO x CODIGO'!A219</f>
        <v>TAP0201</v>
      </c>
      <c r="B219" s="55" t="str">
        <f>VLOOKUP(A219,BASE!A:B,2,0)</f>
        <v>TAPALUZ PT08 GRIS PLATA</v>
      </c>
      <c r="C219" s="59">
        <f>'UNIFICADO x CODIGO'!B219</f>
        <v>2</v>
      </c>
    </row>
    <row r="220" spans="1:3" x14ac:dyDescent="0.25">
      <c r="A220" t="str">
        <f>'UNIFICADO x CODIGO'!A220</f>
        <v>TPR0101</v>
      </c>
      <c r="B220" s="55" t="str">
        <f>VLOOKUP(A220,BASE!A:B,2,0)</f>
        <v>5020 TRASLAPE REFORZADO 462 MATE</v>
      </c>
      <c r="C220" s="59">
        <f>'UNIFICADO x CODIGO'!B220</f>
        <v>0.19166666666666668</v>
      </c>
    </row>
    <row r="221" spans="1:3" x14ac:dyDescent="0.25">
      <c r="A221" t="str">
        <f>'UNIFICADO x CODIGO'!A221</f>
        <v>TPR0402</v>
      </c>
      <c r="B221" s="55" t="str">
        <f>VLOOKUP(A221,BASE!A:B,2,0)</f>
        <v>5020 TRASLAPE REFORZADO 462 BLANCO</v>
      </c>
      <c r="C221" s="59">
        <f>'UNIFICADO x CODIGO'!B221</f>
        <v>0.55000000000000004</v>
      </c>
    </row>
    <row r="222" spans="1:3" x14ac:dyDescent="0.25">
      <c r="A222" t="str">
        <f>'UNIFICADO x CODIGO'!A222</f>
        <v>TPR0503</v>
      </c>
      <c r="B222" s="55" t="str">
        <f>VLOOKUP(A222,BASE!A:B,2,0)</f>
        <v>5020 TRASLAPE REFORZADO 462 BRONCE</v>
      </c>
      <c r="C222" s="59">
        <f>'UNIFICADO x CODIGO'!B222</f>
        <v>0.26666666666666666</v>
      </c>
    </row>
    <row r="223" spans="1:3" x14ac:dyDescent="0.25">
      <c r="A223" t="str">
        <f>'UNIFICADO x CODIGO'!A223</f>
        <v>TRA0102</v>
      </c>
      <c r="B223" s="55" t="str">
        <f>VLOOKUP(A223,BASE!A:B,2,0)</f>
        <v>5020 TRASLAPE 192 BRONCE</v>
      </c>
      <c r="C223" s="59">
        <f>'UNIFICADO x CODIGO'!B223</f>
        <v>1.8666666666666667</v>
      </c>
    </row>
    <row r="224" spans="1:3" x14ac:dyDescent="0.25">
      <c r="A224" t="str">
        <f>'UNIFICADO x CODIGO'!A224</f>
        <v>TRA0103</v>
      </c>
      <c r="B224" s="55" t="str">
        <f>VLOOKUP(A224,BASE!A:B,2,0)</f>
        <v>5020 TRASLAPE 192 MATE</v>
      </c>
      <c r="C224" s="59">
        <f>'UNIFICADO x CODIGO'!B224</f>
        <v>0.83333333333333337</v>
      </c>
    </row>
    <row r="225" spans="1:3" x14ac:dyDescent="0.25">
      <c r="A225" t="str">
        <f>'UNIFICADO x CODIGO'!A225</f>
        <v>TRA0104</v>
      </c>
      <c r="B225" s="55" t="str">
        <f>VLOOKUP(A225,BASE!A:B,2,0)</f>
        <v>7038 TRASLAPE 704 MATE</v>
      </c>
      <c r="C225" s="59">
        <f>'UNIFICADO x CODIGO'!B225</f>
        <v>0.5</v>
      </c>
    </row>
    <row r="226" spans="1:3" x14ac:dyDescent="0.25">
      <c r="A226" t="str">
        <f>'UNIFICADO x CODIGO'!A226</f>
        <v>TRA0105</v>
      </c>
      <c r="B226" s="55" t="str">
        <f>VLOOKUP(A226,BASE!A:B,2,0)</f>
        <v>744 TRASLAPE 388 MATE</v>
      </c>
      <c r="C226" s="59">
        <f>'UNIFICADO x CODIGO'!B226</f>
        <v>3.3666666666666667</v>
      </c>
    </row>
    <row r="227" spans="1:3" x14ac:dyDescent="0.25">
      <c r="A227" t="str">
        <f>'UNIFICADO x CODIGO'!A227</f>
        <v>TRA0201</v>
      </c>
      <c r="B227" s="55" t="str">
        <f>VLOOKUP(A227,BASE!A:B,2,0)</f>
        <v>5020 TRASLAPE 192 GRIS PLATA</v>
      </c>
      <c r="C227" s="59">
        <f>'UNIFICADO x CODIGO'!B227</f>
        <v>0.6166666666666667</v>
      </c>
    </row>
    <row r="228" spans="1:3" x14ac:dyDescent="0.25">
      <c r="A228" t="str">
        <f>'UNIFICADO x CODIGO'!A228</f>
        <v>TRA0207</v>
      </c>
      <c r="B228" s="55" t="str">
        <f>VLOOKUP(A228,BASE!A:B,2,0)</f>
        <v>8025 TRASLAPE 190 GRIS PLATA</v>
      </c>
      <c r="C228" s="59">
        <f>'UNIFICADO x CODIGO'!B228</f>
        <v>0.31666666666666665</v>
      </c>
    </row>
    <row r="229" spans="1:3" x14ac:dyDescent="0.25">
      <c r="A229" t="str">
        <f>'UNIFICADO x CODIGO'!A229</f>
        <v>TRA0306</v>
      </c>
      <c r="B229" s="55" t="str">
        <f>VLOOKUP(A229,BASE!A:B,2,0)</f>
        <v>744 TRASLAPE 388 CRUDO</v>
      </c>
      <c r="C229" s="59">
        <f>'UNIFICADO x CODIGO'!B229</f>
        <v>0.31666666666666665</v>
      </c>
    </row>
    <row r="230" spans="1:3" x14ac:dyDescent="0.25">
      <c r="A230" t="str">
        <f>'UNIFICADO x CODIGO'!A230</f>
        <v>TRA0307</v>
      </c>
      <c r="B230" s="55" t="str">
        <f>VLOOKUP(A230,BASE!A:B,2,0)</f>
        <v>5020 TRASLAPE 192 BLANCO</v>
      </c>
      <c r="C230" s="59">
        <f>'UNIFICADO x CODIGO'!B230</f>
        <v>0.2</v>
      </c>
    </row>
    <row r="231" spans="1:3" x14ac:dyDescent="0.25">
      <c r="A231" t="str">
        <f>'UNIFICADO x CODIGO'!A231</f>
        <v>TRA0402</v>
      </c>
      <c r="B231" s="55" t="str">
        <f>VLOOKUP(A231,BASE!A:B,2,0)</f>
        <v>744 TRASLAPE 388 BLANCO</v>
      </c>
      <c r="C231" s="59">
        <f>'UNIFICADO x CODIGO'!B231</f>
        <v>0.71666666666666667</v>
      </c>
    </row>
    <row r="232" spans="1:3" x14ac:dyDescent="0.25">
      <c r="A232" t="str">
        <f>'UNIFICADO x CODIGO'!A232</f>
        <v>TRA0403</v>
      </c>
      <c r="B232" s="55" t="str">
        <f>VLOOKUP(A232,BASE!A:B,2,0)</f>
        <v>8025 TRASLAPE 190 BLANCO</v>
      </c>
      <c r="C232" s="59">
        <f>'UNIFICADO x CODIGO'!B232</f>
        <v>0.36666666666666664</v>
      </c>
    </row>
    <row r="233" spans="1:3" x14ac:dyDescent="0.25">
      <c r="A233" t="str">
        <f>'UNIFICADO x CODIGO'!A233</f>
        <v>TRA0501</v>
      </c>
      <c r="B233" s="55" t="str">
        <f>VLOOKUP(A233,BASE!A:B,2,0)</f>
        <v>7038 TRASLAPE 704 BRONCE</v>
      </c>
      <c r="C233" s="59">
        <f>'UNIFICADO x CODIGO'!B233</f>
        <v>0.36666666666666664</v>
      </c>
    </row>
    <row r="234" spans="1:3" x14ac:dyDescent="0.25">
      <c r="A234" t="str">
        <f>'UNIFICADO x CODIGO'!A234</f>
        <v>TRA0502</v>
      </c>
      <c r="B234" s="55" t="str">
        <f>VLOOKUP(A234,BASE!A:B,2,0)</f>
        <v>8025 TRASLAPE 190 BRONCE</v>
      </c>
      <c r="C234" s="59">
        <f>'UNIFICADO x CODIGO'!B234</f>
        <v>0.26666666666666666</v>
      </c>
    </row>
    <row r="235" spans="1:3" x14ac:dyDescent="0.25">
      <c r="A235" t="str">
        <f>'UNIFICADO x CODIGO'!A235</f>
        <v>TRA0601</v>
      </c>
      <c r="B235" s="55" t="str">
        <f>VLOOKUP(A235,BASE!A:B,2,0)</f>
        <v>744 TRASLAPE 388 NEGRO</v>
      </c>
      <c r="C235" s="59">
        <f>'UNIFICADO x CODIGO'!B235</f>
        <v>0.18333333333333332</v>
      </c>
    </row>
    <row r="236" spans="1:3" x14ac:dyDescent="0.25">
      <c r="A236" t="str">
        <f>'UNIFICADO x CODIGO'!A236</f>
        <v>TRA0602</v>
      </c>
      <c r="B236" s="55" t="str">
        <f>VLOOKUP(A236,BASE!A:B,2,0)</f>
        <v>7038 TRASLAPE 704 NEGRO</v>
      </c>
      <c r="C236" s="59">
        <f>'UNIFICADO x CODIGO'!B236</f>
        <v>1</v>
      </c>
    </row>
    <row r="237" spans="1:3" x14ac:dyDescent="0.25">
      <c r="A237" t="str">
        <f>'UNIFICADO x CODIGO'!A237</f>
        <v>TRA0604</v>
      </c>
      <c r="B237" s="55" t="str">
        <f>VLOOKUP(A237,BASE!A:B,2,0)</f>
        <v>5020 TRASLAPE 192 NEGRO</v>
      </c>
      <c r="C237" s="59">
        <f>'UNIFICADO x CODIGO'!B237</f>
        <v>0.51666666666666672</v>
      </c>
    </row>
    <row r="238" spans="1:3" x14ac:dyDescent="0.25">
      <c r="A238" t="str">
        <f>'UNIFICADO x CODIGO'!A238</f>
        <v>TRA0608</v>
      </c>
      <c r="B238" s="55" t="str">
        <f>VLOOKUP(A238,BASE!A:B,2,0)</f>
        <v>8025 TRASLAPE 190 NEGRO</v>
      </c>
      <c r="C238" s="59">
        <f>'UNIFICADO x CODIGO'!B238</f>
        <v>21.45</v>
      </c>
    </row>
    <row r="239" spans="1:3" x14ac:dyDescent="0.25">
      <c r="A239" t="str">
        <f>'UNIFICADO x CODIGO'!A239</f>
        <v>TRAS8025</v>
      </c>
      <c r="B239" s="55" t="str">
        <f>VLOOKUP(A239,BASE!A:B,2,0)</f>
        <v>8025 TRASLAPE 190 MATE</v>
      </c>
      <c r="C239" s="59">
        <f>'UNIFICADO x CODIGO'!B239</f>
        <v>1.9666666666666666</v>
      </c>
    </row>
    <row r="240" spans="1:3" x14ac:dyDescent="0.25">
      <c r="A240" t="str">
        <f>'UNIFICADO x CODIGO'!A240</f>
        <v>TUB0101</v>
      </c>
      <c r="B240" s="55" t="str">
        <f>VLOOKUP(A240,BASE!A:B,2,0)</f>
        <v>TUBULAR T-103 MATE</v>
      </c>
      <c r="C240" s="59">
        <f>'UNIFICADO x CODIGO'!B240</f>
        <v>0.6333333333333333</v>
      </c>
    </row>
    <row r="241" spans="1:3" x14ac:dyDescent="0.25">
      <c r="A241" t="str">
        <f>'UNIFICADO x CODIGO'!A241</f>
        <v>TUB0102</v>
      </c>
      <c r="B241" s="55" t="str">
        <f>VLOOKUP(A241,BASE!A:B,2,0)</f>
        <v>TUBULAR T-244 MATE</v>
      </c>
      <c r="C241" s="59">
        <f>'UNIFICADO x CODIGO'!B241</f>
        <v>1.5833333333333335</v>
      </c>
    </row>
    <row r="242" spans="1:3" x14ac:dyDescent="0.25">
      <c r="A242" t="str">
        <f>'UNIFICADO x CODIGO'!A242</f>
        <v>TUB0103</v>
      </c>
      <c r="B242" s="55" t="str">
        <f>VLOOKUP(A242,BASE!A:B,2,0)</f>
        <v>TUBULAR T-70 MATE</v>
      </c>
      <c r="C242" s="59">
        <f>'UNIFICADO x CODIGO'!B242</f>
        <v>0.96666666666666667</v>
      </c>
    </row>
    <row r="243" spans="1:3" x14ac:dyDescent="0.25">
      <c r="A243" t="str">
        <f>'UNIFICADO x CODIGO'!A243</f>
        <v>TUB0104</v>
      </c>
      <c r="B243" s="55" t="str">
        <f>VLOOKUP(A243,BASE!A:B,2,0)</f>
        <v>TUBULAR T-97 CRUDO</v>
      </c>
      <c r="C243" s="59">
        <f>'UNIFICADO x CODIGO'!B243</f>
        <v>0.43333333333333335</v>
      </c>
    </row>
    <row r="244" spans="1:3" x14ac:dyDescent="0.25">
      <c r="A244" t="str">
        <f>'UNIFICADO x CODIGO'!A244</f>
        <v>TUB0105</v>
      </c>
      <c r="B244" s="55" t="str">
        <f>VLOOKUP(A244,BASE!A:B,2,0)</f>
        <v>TUBULAR T-94 MATE</v>
      </c>
      <c r="C244" s="59">
        <f>'UNIFICADO x CODIGO'!B244</f>
        <v>0.8</v>
      </c>
    </row>
    <row r="245" spans="1:3" x14ac:dyDescent="0.25">
      <c r="A245" t="str">
        <f>'UNIFICADO x CODIGO'!A245</f>
        <v>TUB0106</v>
      </c>
      <c r="B245" s="55" t="str">
        <f>VLOOKUP(A245,BASE!A:B,2,0)</f>
        <v>TUBULAR T-97 MATE</v>
      </c>
      <c r="C245" s="59">
        <f>'UNIFICADO x CODIGO'!B245</f>
        <v>0.21666666666666667</v>
      </c>
    </row>
    <row r="246" spans="1:3" x14ac:dyDescent="0.25">
      <c r="A246" t="str">
        <f>'UNIFICADO x CODIGO'!A246</f>
        <v>TUB0108</v>
      </c>
      <c r="B246" s="55" t="str">
        <f>VLOOKUP(A246,BASE!A:B,2,0)</f>
        <v>TUBULAR T-198 CRUDO</v>
      </c>
      <c r="C246" s="59">
        <f>'UNIFICADO x CODIGO'!B246</f>
        <v>0.71666666666666667</v>
      </c>
    </row>
    <row r="247" spans="1:3" x14ac:dyDescent="0.25">
      <c r="A247" t="str">
        <f>'UNIFICADO x CODIGO'!A247</f>
        <v>TUB0111</v>
      </c>
      <c r="B247" s="55" t="str">
        <f>VLOOKUP(A247,BASE!A:B,2,0)</f>
        <v>TUBULAR T-101 MATE</v>
      </c>
      <c r="C247" s="59">
        <f>'UNIFICADO x CODIGO'!B247</f>
        <v>0.53333333333333333</v>
      </c>
    </row>
    <row r="248" spans="1:3" x14ac:dyDescent="0.25">
      <c r="A248" t="str">
        <f>'UNIFICADO x CODIGO'!A248</f>
        <v>TUB0112</v>
      </c>
      <c r="B248" s="55" t="str">
        <f>VLOOKUP(A248,BASE!A:B,2,0)</f>
        <v>TUBULAR 1101 MATE</v>
      </c>
      <c r="C248" s="59">
        <f>'UNIFICADO x CODIGO'!B248</f>
        <v>2.0166666666666666</v>
      </c>
    </row>
    <row r="249" spans="1:3" x14ac:dyDescent="0.25">
      <c r="A249" t="str">
        <f>'UNIFICADO x CODIGO'!A249</f>
        <v>TUB0114</v>
      </c>
      <c r="B249" s="55" t="str">
        <f>VLOOKUP(A249,BASE!A:B,2,0)</f>
        <v>TUBULAR T-280 MATE</v>
      </c>
      <c r="C249" s="59">
        <f>'UNIFICADO x CODIGO'!B249</f>
        <v>0.4</v>
      </c>
    </row>
    <row r="250" spans="1:3" x14ac:dyDescent="0.25">
      <c r="A250" t="str">
        <f>'UNIFICADO x CODIGO'!A250</f>
        <v>TUB0117</v>
      </c>
      <c r="B250" s="55" t="str">
        <f>VLOOKUP(A250,BASE!A:B,2,0)</f>
        <v>TUBULAR T-95 MATE</v>
      </c>
      <c r="C250" s="59">
        <f>'UNIFICADO x CODIGO'!B250</f>
        <v>0.21666666666666667</v>
      </c>
    </row>
    <row r="251" spans="1:3" x14ac:dyDescent="0.25">
      <c r="A251" t="str">
        <f>'UNIFICADO x CODIGO'!A251</f>
        <v>TUB0118</v>
      </c>
      <c r="B251" s="55" t="str">
        <f>VLOOKUP(A251,BASE!A:B,2,0)</f>
        <v>TUBULAR 1102 MATE</v>
      </c>
      <c r="C251" s="59">
        <f>'UNIFICADO x CODIGO'!B251</f>
        <v>0.44333333333333336</v>
      </c>
    </row>
    <row r="252" spans="1:3" x14ac:dyDescent="0.25">
      <c r="A252" t="str">
        <f>'UNIFICADO x CODIGO'!A252</f>
        <v>TUB0132</v>
      </c>
      <c r="B252" s="55" t="str">
        <f>VLOOKUP(A252,BASE!A:B,2,0)</f>
        <v>CUARTO CIRCULAR 1 1/2 " MATE</v>
      </c>
      <c r="C252" s="59">
        <f>'UNIFICADO x CODIGO'!B252</f>
        <v>0.43333333333333335</v>
      </c>
    </row>
    <row r="253" spans="1:3" x14ac:dyDescent="0.25">
      <c r="A253" t="str">
        <f>'UNIFICADO x CODIGO'!A253</f>
        <v>TUB0201</v>
      </c>
      <c r="B253" s="55" t="str">
        <f>VLOOKUP(A253,BASE!A:B,2,0)</f>
        <v>TUBULAR T-244 GRIS PLATA</v>
      </c>
      <c r="C253" s="59">
        <f>'UNIFICADO x CODIGO'!B253</f>
        <v>0.41666666666666669</v>
      </c>
    </row>
    <row r="254" spans="1:3" x14ac:dyDescent="0.25">
      <c r="A254" t="str">
        <f>'UNIFICADO x CODIGO'!A254</f>
        <v>TUB0203</v>
      </c>
      <c r="B254" s="55" t="str">
        <f>VLOOKUP(A254,BASE!A:B,2,0)</f>
        <v>TUBULAR T-244 BLANCO</v>
      </c>
      <c r="C254" s="59">
        <f>'UNIFICADO x CODIGO'!B254</f>
        <v>0.9</v>
      </c>
    </row>
    <row r="255" spans="1:3" x14ac:dyDescent="0.25">
      <c r="A255" t="str">
        <f>'UNIFICADO x CODIGO'!A255</f>
        <v>TUB0206</v>
      </c>
      <c r="B255" s="55" t="str">
        <f>VLOOKUP(A255,BASE!A:B,2,0)</f>
        <v>TUBULAR T-80 GRIS PLATA</v>
      </c>
      <c r="C255" s="59">
        <f>'UNIFICADO x CODIGO'!B255</f>
        <v>0.16666666666666666</v>
      </c>
    </row>
    <row r="256" spans="1:3" x14ac:dyDescent="0.25">
      <c r="A256" t="str">
        <f>'UNIFICADO x CODIGO'!A256</f>
        <v>TUB0216</v>
      </c>
      <c r="B256" s="55" t="str">
        <f>VLOOKUP(A256,BASE!A:B,2,0)</f>
        <v>TUBULAR T-90 MATE</v>
      </c>
      <c r="C256" s="59">
        <f>'UNIFICADO x CODIGO'!B256</f>
        <v>0.66666666666666663</v>
      </c>
    </row>
    <row r="257" spans="1:3" x14ac:dyDescent="0.25">
      <c r="A257" t="str">
        <f>'UNIFICADO x CODIGO'!A257</f>
        <v>TUB0302</v>
      </c>
      <c r="B257" s="55" t="str">
        <f>VLOOKUP(A257,BASE!A:B,2,0)</f>
        <v>TUBULAR T-76 CRUDO</v>
      </c>
      <c r="C257" s="59">
        <f>'UNIFICADO x CODIGO'!B257</f>
        <v>7.4333333333333336</v>
      </c>
    </row>
    <row r="258" spans="1:3" x14ac:dyDescent="0.25">
      <c r="A258" t="str">
        <f>'UNIFICADO x CODIGO'!A258</f>
        <v>TUB0304</v>
      </c>
      <c r="B258" s="55" t="str">
        <f>VLOOKUP(A258,BASE!A:B,2,0)</f>
        <v>TUBULAR T-94 CRUDO</v>
      </c>
      <c r="C258" s="59">
        <f>'UNIFICADO x CODIGO'!B258</f>
        <v>0.16666666666666666</v>
      </c>
    </row>
    <row r="259" spans="1:3" x14ac:dyDescent="0.25">
      <c r="A259" t="str">
        <f>'UNIFICADO x CODIGO'!A259</f>
        <v>TUB0309</v>
      </c>
      <c r="B259" s="55" t="str">
        <f>VLOOKUP(A259,BASE!A:B,2,0)</f>
        <v>TUBULAR T-101 CRUDO</v>
      </c>
      <c r="C259" s="59">
        <f>'UNIFICADO x CODIGO'!B259</f>
        <v>0.25</v>
      </c>
    </row>
    <row r="260" spans="1:3" x14ac:dyDescent="0.25">
      <c r="A260" t="str">
        <f>'UNIFICADO x CODIGO'!A260</f>
        <v>TUB0401</v>
      </c>
      <c r="B260" s="55" t="str">
        <f>VLOOKUP(A260,BASE!A:B,2,0)</f>
        <v>TUBULAR 1101 BLANCO</v>
      </c>
      <c r="C260" s="59">
        <f>'UNIFICADO x CODIGO'!B260</f>
        <v>1.0333333333333332</v>
      </c>
    </row>
    <row r="261" spans="1:3" x14ac:dyDescent="0.25">
      <c r="A261" t="str">
        <f>'UNIFICADO x CODIGO'!A261</f>
        <v>TUB0409</v>
      </c>
      <c r="B261" s="55" t="str">
        <f>VLOOKUP(A261,BASE!A:B,2,0)</f>
        <v>TUBULAR T-70 BLANCO</v>
      </c>
      <c r="C261" s="59">
        <f>'UNIFICADO x CODIGO'!B261</f>
        <v>0.8</v>
      </c>
    </row>
    <row r="262" spans="1:3" x14ac:dyDescent="0.25">
      <c r="A262" t="str">
        <f>'UNIFICADO x CODIGO'!A262</f>
        <v>TUB0501</v>
      </c>
      <c r="B262" s="55" t="str">
        <f>VLOOKUP(A262,BASE!A:B,2,0)</f>
        <v>TUBULAR T-244 BRONCE</v>
      </c>
      <c r="C262" s="59">
        <f>'UNIFICADO x CODIGO'!B262</f>
        <v>2</v>
      </c>
    </row>
    <row r="263" spans="1:3" x14ac:dyDescent="0.25">
      <c r="A263" t="str">
        <f>'UNIFICADO x CODIGO'!A263</f>
        <v>TUB0502</v>
      </c>
      <c r="B263" s="55" t="str">
        <f>VLOOKUP(A263,BASE!A:B,2,0)</f>
        <v>TUBULAR T-70 BRONCE</v>
      </c>
      <c r="C263" s="59">
        <f>'UNIFICADO x CODIGO'!B263</f>
        <v>0.78333333333333333</v>
      </c>
    </row>
    <row r="264" spans="1:3" x14ac:dyDescent="0.25">
      <c r="A264" t="str">
        <f>'UNIFICADO x CODIGO'!A264</f>
        <v>TUB0506</v>
      </c>
      <c r="B264" s="55" t="str">
        <f>VLOOKUP(A264,BASE!A:B,2,0)</f>
        <v>TUBULAR T-94 BRONCE</v>
      </c>
      <c r="C264" s="59">
        <f>'UNIFICADO x CODIGO'!B264</f>
        <v>0.6333333333333333</v>
      </c>
    </row>
    <row r="265" spans="1:3" x14ac:dyDescent="0.25">
      <c r="A265" t="str">
        <f>'UNIFICADO x CODIGO'!A265</f>
        <v>TUB0510</v>
      </c>
      <c r="B265" s="55" t="str">
        <f>VLOOKUP(A265,BASE!A:B,2,0)</f>
        <v>TUBULAR T-95 BRONCE</v>
      </c>
      <c r="C265" s="59">
        <f>'UNIFICADO x CODIGO'!B265</f>
        <v>0.31666666666666665</v>
      </c>
    </row>
    <row r="266" spans="1:3" x14ac:dyDescent="0.25">
      <c r="A266" t="str">
        <f>'UNIFICADO x CODIGO'!A266</f>
        <v>TUB0514</v>
      </c>
      <c r="B266" s="55" t="str">
        <f>VLOOKUP(A266,BASE!A:B,2,0)</f>
        <v>TUBULAR T-97 BRONCE</v>
      </c>
      <c r="C266" s="59">
        <f>'UNIFICADO x CODIGO'!B266</f>
        <v>0.2</v>
      </c>
    </row>
    <row r="267" spans="1:3" x14ac:dyDescent="0.25">
      <c r="A267" t="str">
        <f>'UNIFICADO x CODIGO'!A267</f>
        <v>TUB0601</v>
      </c>
      <c r="B267" s="55" t="str">
        <f>VLOOKUP(A267,BASE!A:B,2,0)</f>
        <v>TUBULAR 1101 NEGRO</v>
      </c>
      <c r="C267" s="59">
        <f>'UNIFICADO x CODIGO'!B267</f>
        <v>1</v>
      </c>
    </row>
    <row r="268" spans="1:3" x14ac:dyDescent="0.25">
      <c r="A268" t="str">
        <f>'UNIFICADO x CODIGO'!A268</f>
        <v>TUB0602</v>
      </c>
      <c r="B268" s="55" t="str">
        <f>VLOOKUP(A268,BASE!A:B,2,0)</f>
        <v>TUBULAR T-94 NEGRO</v>
      </c>
      <c r="C268" s="59">
        <f>'UNIFICADO x CODIGO'!B268</f>
        <v>19.133333333333333</v>
      </c>
    </row>
    <row r="269" spans="1:3" x14ac:dyDescent="0.25">
      <c r="A269" t="str">
        <f>'UNIFICADO x CODIGO'!A269</f>
        <v>TUB0604</v>
      </c>
      <c r="B269" s="55" t="str">
        <f>VLOOKUP(A269,BASE!A:B,2,0)</f>
        <v>TUBULAR T-244 NEGRO</v>
      </c>
      <c r="C269" s="59">
        <f>'UNIFICADO x CODIGO'!B269</f>
        <v>1.95</v>
      </c>
    </row>
    <row r="270" spans="1:3" x14ac:dyDescent="0.25">
      <c r="A270" t="str">
        <f>'UNIFICADO x CODIGO'!A270</f>
        <v>TUB0605</v>
      </c>
      <c r="B270" s="55" t="str">
        <f>VLOOKUP(A270,BASE!A:B,2,0)</f>
        <v>TUBULAR T-101 NEGRO</v>
      </c>
      <c r="C270" s="59">
        <f>'UNIFICADO x CODIGO'!B270</f>
        <v>0.81666666666666665</v>
      </c>
    </row>
    <row r="271" spans="1:3" x14ac:dyDescent="0.25">
      <c r="A271" t="str">
        <f>'UNIFICADO x CODIGO'!A271</f>
        <v>TUB0607</v>
      </c>
      <c r="B271" s="55" t="str">
        <f>VLOOKUP(A271,BASE!A:B,2,0)</f>
        <v>TUBULAR 1102 NEGRO</v>
      </c>
      <c r="C271" s="59">
        <f>'UNIFICADO x CODIGO'!B271</f>
        <v>2.855</v>
      </c>
    </row>
    <row r="272" spans="1:3" x14ac:dyDescent="0.25">
      <c r="A272" t="str">
        <f>'UNIFICADO x CODIGO'!A272</f>
        <v>TUB0608</v>
      </c>
      <c r="B272" s="55" t="str">
        <f>VLOOKUP(A272,BASE!A:B,2,0)</f>
        <v>TUBULAR T-198 NEGRO</v>
      </c>
      <c r="C272" s="59">
        <f>'UNIFICADO x CODIGO'!B272</f>
        <v>0.15</v>
      </c>
    </row>
    <row r="273" spans="1:3" x14ac:dyDescent="0.25">
      <c r="A273" t="str">
        <f>'UNIFICADO x CODIGO'!A273</f>
        <v>TUB0610</v>
      </c>
      <c r="B273" s="55" t="str">
        <f>VLOOKUP(A273,BASE!A:B,2,0)</f>
        <v>TUBULAR T-70 NEGRO</v>
      </c>
      <c r="C273" s="59">
        <f>'UNIFICADO x CODIGO'!B273</f>
        <v>2.9</v>
      </c>
    </row>
    <row r="274" spans="1:3" x14ac:dyDescent="0.25">
      <c r="A274" t="str">
        <f>'UNIFICADO x CODIGO'!A274</f>
        <v>TUB0706</v>
      </c>
      <c r="B274" s="55" t="str">
        <f>VLOOKUP(A274,BASE!A:B,2,0)</f>
        <v>TUBULAR T-95 NEGRO</v>
      </c>
      <c r="C274" s="59">
        <f>'UNIFICADO x CODIGO'!B274</f>
        <v>0.53333333333333333</v>
      </c>
    </row>
    <row r="275" spans="1:3" x14ac:dyDescent="0.25">
      <c r="A275" t="str">
        <f>'UNIFICADO x CODIGO'!A275</f>
        <v>TUBT502</v>
      </c>
      <c r="B275" s="55" t="str">
        <f>VLOOKUP(A275,BASE!A:B,2,0)</f>
        <v>TUBULAR T-50 BRONCE</v>
      </c>
      <c r="C275" s="59">
        <f>'UNIFICADO x CODIGO'!B275</f>
        <v>0.8</v>
      </c>
    </row>
    <row r="276" spans="1:3" x14ac:dyDescent="0.25">
      <c r="A276" t="str">
        <f>'UNIFICADO x CODIGO'!A276</f>
        <v>U320101</v>
      </c>
      <c r="B276" s="55" t="str">
        <f>VLOOKUP(A276,BASE!A:B,2,0)</f>
        <v>U32 MATE</v>
      </c>
      <c r="C276" s="59">
        <f>'UNIFICADO x CODIGO'!B276</f>
        <v>9.0833333333333339</v>
      </c>
    </row>
    <row r="277" spans="1:3" x14ac:dyDescent="0.25">
      <c r="A277" t="str">
        <f>'UNIFICADO x CODIGO'!A277</f>
        <v>U320201</v>
      </c>
      <c r="B277" s="55" t="str">
        <f>VLOOKUP(A277,BASE!A:B,2,0)</f>
        <v>U32 NEGRA</v>
      </c>
      <c r="C277" s="59">
        <f>'UNIFICADO x CODIGO'!B277</f>
        <v>1.2000000000000002</v>
      </c>
    </row>
    <row r="278" spans="1:3" x14ac:dyDescent="0.25">
      <c r="A278" t="str">
        <f>'UNIFICADO x CODIGO'!A278</f>
        <v>U320203</v>
      </c>
      <c r="B278" s="55" t="str">
        <f>VLOOKUP(A278,BASE!A:B,2,0)</f>
        <v>U32 GRIS PLATA</v>
      </c>
      <c r="C278" s="59">
        <f>'UNIFICADO x CODIGO'!B278</f>
        <v>0.95</v>
      </c>
    </row>
    <row r="279" spans="1:3" x14ac:dyDescent="0.25">
      <c r="A279" t="str">
        <f>'UNIFICADO x CODIGO'!A279</f>
        <v>U320401</v>
      </c>
      <c r="B279" s="55" t="str">
        <f>VLOOKUP(A279,BASE!A:B,2,0)</f>
        <v>U32 BLANCA</v>
      </c>
      <c r="C279" s="59">
        <f>'UNIFICADO x CODIGO'!B279</f>
        <v>1.9666666666666666</v>
      </c>
    </row>
    <row r="280" spans="1:3" x14ac:dyDescent="0.25">
      <c r="A280" t="str">
        <f>'UNIFICADO x CODIGO'!A280</f>
        <v>U570101</v>
      </c>
      <c r="B280" s="55" t="str">
        <f>VLOOKUP(A280,BASE!A:B,2,0)</f>
        <v>U57 MATE</v>
      </c>
      <c r="C280" s="59">
        <f>'UNIFICADO x CODIGO'!B280</f>
        <v>3.3073333333333332</v>
      </c>
    </row>
    <row r="281" spans="1:3" x14ac:dyDescent="0.25">
      <c r="A281" t="str">
        <f>'UNIFICADO x CODIGO'!A281</f>
        <v>U570201</v>
      </c>
      <c r="B281" s="55" t="str">
        <f>VLOOKUP(A281,BASE!A:B,2,0)</f>
        <v>U57 GRIS PLATA</v>
      </c>
      <c r="C281" s="59">
        <f>'UNIFICADO x CODIGO'!B281</f>
        <v>1.08</v>
      </c>
    </row>
    <row r="282" spans="1:3" x14ac:dyDescent="0.25">
      <c r="A282" t="str">
        <f>'UNIFICADO x CODIGO'!A282</f>
        <v>U570401</v>
      </c>
      <c r="B282" s="55" t="str">
        <f>VLOOKUP(A282,BASE!A:B,2,0)</f>
        <v>U57 BLANCO</v>
      </c>
      <c r="C282" s="59">
        <f>'UNIFICADO x CODIGO'!B282</f>
        <v>0.41666666666666669</v>
      </c>
    </row>
    <row r="283" spans="1:3" x14ac:dyDescent="0.25">
      <c r="A283" t="str">
        <f>'UNIFICADO x CODIGO'!A283</f>
        <v>U570502</v>
      </c>
      <c r="B283" s="55" t="str">
        <f>VLOOKUP(A283,BASE!A:B,2,0)</f>
        <v>U57 BRONCE</v>
      </c>
      <c r="C283" s="59">
        <f>'UNIFICADO x CODIGO'!B283</f>
        <v>0.35</v>
      </c>
    </row>
    <row r="284" spans="1:3" x14ac:dyDescent="0.25">
      <c r="A284" t="str">
        <f>'UNIFICADO x CODIGO'!A284</f>
        <v>U570604</v>
      </c>
      <c r="B284" s="55" t="str">
        <f>VLOOKUP(A284,BASE!A:B,2,0)</f>
        <v>U57 NEGRO</v>
      </c>
      <c r="C284" s="59">
        <f>'UNIFICADO x CODIGO'!B284</f>
        <v>1.25</v>
      </c>
    </row>
    <row r="285" spans="1:3" x14ac:dyDescent="0.25">
      <c r="A285" t="str">
        <f>'UNIFICADO x CODIGO'!A285</f>
        <v>U680101</v>
      </c>
      <c r="B285" s="55" t="str">
        <f>VLOOKUP(A285,BASE!A:B,2,0)</f>
        <v>U68 MATE</v>
      </c>
      <c r="C285" s="59">
        <f>'UNIFICADO x CODIGO'!B285</f>
        <v>12.566666666666666</v>
      </c>
    </row>
    <row r="286" spans="1:3" x14ac:dyDescent="0.25">
      <c r="A286" t="str">
        <f>'UNIFICADO x CODIGO'!A286</f>
        <v>U680201</v>
      </c>
      <c r="B286" s="55" t="str">
        <f>VLOOKUP(A286,BASE!A:B,2,0)</f>
        <v>U68 GRIS PLATA</v>
      </c>
      <c r="C286" s="59">
        <f>'UNIFICADO x CODIGO'!B286</f>
        <v>0.75</v>
      </c>
    </row>
    <row r="287" spans="1:3" x14ac:dyDescent="0.25">
      <c r="A287" t="str">
        <f>'UNIFICADO x CODIGO'!A287</f>
        <v>U680501</v>
      </c>
      <c r="B287" s="55" t="str">
        <f>VLOOKUP(A287,BASE!A:B,2,0)</f>
        <v>U68 BRONCE</v>
      </c>
      <c r="C287" s="59">
        <f>'UNIFICADO x CODIGO'!B287</f>
        <v>1</v>
      </c>
    </row>
    <row r="288" spans="1:3" x14ac:dyDescent="0.25">
      <c r="A288" t="str">
        <f>'UNIFICADO x CODIGO'!A288</f>
        <v>U890101</v>
      </c>
      <c r="B288" s="55" t="str">
        <f>VLOOKUP(A288,BASE!A:B,2,0)</f>
        <v>U-089 MATE</v>
      </c>
      <c r="C288" s="59">
        <f>'UNIFICADO x CODIGO'!B288</f>
        <v>1.3166666666666667</v>
      </c>
    </row>
    <row r="289" spans="1:3" x14ac:dyDescent="0.25">
      <c r="A289" t="str">
        <f>'UNIFICADO x CODIGO'!A289</f>
        <v>U890602</v>
      </c>
      <c r="B289" s="55" t="str">
        <f>VLOOKUP(A289,BASE!A:B,2,0)</f>
        <v>U89 NEGRO</v>
      </c>
      <c r="C289" s="59">
        <f>'UNIFICADO x CODIGO'!B289</f>
        <v>1</v>
      </c>
    </row>
    <row r="290" spans="1:3" x14ac:dyDescent="0.25">
      <c r="A290" t="str">
        <f>'UNIFICADO x CODIGO'!A290</f>
        <v>VP47P01</v>
      </c>
      <c r="B290" s="55" t="str">
        <f>VLOOKUP(A290,BASE!A:B,2,0)</f>
        <v>MARCO VENTANA K40 MATE</v>
      </c>
      <c r="C290" s="59">
        <f>'UNIFICADO x CODIGO'!B290</f>
        <v>0.71666666666666667</v>
      </c>
    </row>
    <row r="291" spans="1:3" x14ac:dyDescent="0.25">
      <c r="A291" t="str">
        <f>'UNIFICADO x CODIGO'!A291</f>
        <v>W0101</v>
      </c>
      <c r="B291" s="55" t="str">
        <f>VLOOKUP(A291,BASE!A:B,2,0)</f>
        <v>RIEL W CRUDO</v>
      </c>
      <c r="C291" s="59">
        <f>'UNIFICADO x CODIGO'!B291</f>
        <v>0.33333333333333331</v>
      </c>
    </row>
    <row r="292" spans="1:3" x14ac:dyDescent="0.25">
      <c r="A292" t="str">
        <f>'UNIFICADO x CODIGO'!A292</f>
        <v>ZOC0105</v>
      </c>
      <c r="B292" s="55" t="str">
        <f>VLOOKUP(A292,BASE!A:B,2,0)</f>
        <v>ZOCALO 9CMS S-369 BRONCE MOVIL</v>
      </c>
      <c r="C292" s="59">
        <f>'UNIFICADO x CODIGO'!B292</f>
        <v>0.5</v>
      </c>
    </row>
    <row r="293" spans="1:3" x14ac:dyDescent="0.25">
      <c r="A293" t="str">
        <f>'UNIFICADO x CODIGO'!A293</f>
        <v>ZSE0101</v>
      </c>
      <c r="B293" s="55" t="str">
        <f>VLOOKUP(A293,BASE!A:B,2,0)</f>
        <v>ZOCALO 10CMS S-351 MATE</v>
      </c>
      <c r="C293" s="59">
        <f>'UNIFICADO x CODIGO'!B293</f>
        <v>0.23333333333333334</v>
      </c>
    </row>
    <row r="294" spans="1:3" x14ac:dyDescent="0.25">
      <c r="A294" t="str">
        <f>'UNIFICADO x CODIGO'!A294</f>
        <v>ZSE0206</v>
      </c>
      <c r="B294" s="55" t="str">
        <f>VLOOKUP(A294,BASE!A:B,2,0)</f>
        <v>ZOCALO 10CMS S-351 NEGRO</v>
      </c>
      <c r="C294" s="59">
        <f>'UNIFICADO x CODIGO'!B294</f>
        <v>0.36666666666666664</v>
      </c>
    </row>
    <row r="295" spans="1:3" x14ac:dyDescent="0.25">
      <c r="A295" t="str">
        <f>'UNIFICADO x CODIGO'!A295</f>
        <v>U890101</v>
      </c>
      <c r="B295" s="55" t="str">
        <f>VLOOKUP(A295,BASE!A:B,2,0)</f>
        <v>U-089 MATE</v>
      </c>
      <c r="C295" s="59">
        <f>'UNIFICADO x CODIGO'!B295</f>
        <v>1.3166666666666667</v>
      </c>
    </row>
    <row r="296" spans="1:3" x14ac:dyDescent="0.25">
      <c r="A296" t="str">
        <f>'UNIFICADO x CODIGO'!A296</f>
        <v>U890602</v>
      </c>
      <c r="B296" s="55" t="str">
        <f>VLOOKUP(A296,BASE!A:B,2,0)</f>
        <v>U89 NEGRO</v>
      </c>
      <c r="C296" s="59">
        <f>'UNIFICADO x CODIGO'!B296</f>
        <v>1</v>
      </c>
    </row>
    <row r="297" spans="1:3" x14ac:dyDescent="0.25">
      <c r="A297" t="str">
        <f>'UNIFICADO x CODIGO'!A297</f>
        <v>VP47P01</v>
      </c>
      <c r="B297" s="55" t="str">
        <f>VLOOKUP(A297,BASE!A:B,2,0)</f>
        <v>MARCO VENTANA K40 MATE</v>
      </c>
      <c r="C297" s="59">
        <f>'UNIFICADO x CODIGO'!B297</f>
        <v>0.71666666666666667</v>
      </c>
    </row>
    <row r="298" spans="1:3" x14ac:dyDescent="0.25">
      <c r="A298" t="str">
        <f>'UNIFICADO x CODIGO'!A298</f>
        <v>W0101</v>
      </c>
      <c r="B298" s="55" t="str">
        <f>VLOOKUP(A298,BASE!A:B,2,0)</f>
        <v>RIEL W CRUDO</v>
      </c>
      <c r="C298" s="59">
        <f>'UNIFICADO x CODIGO'!B298</f>
        <v>0.33333333333333331</v>
      </c>
    </row>
    <row r="299" spans="1:3" x14ac:dyDescent="0.25">
      <c r="A299" t="str">
        <f>'UNIFICADO x CODIGO'!A299</f>
        <v>ZOC0105</v>
      </c>
      <c r="B299" s="55" t="str">
        <f>VLOOKUP(A299,BASE!A:B,2,0)</f>
        <v>ZOCALO 9CMS S-369 BRONCE MOVIL</v>
      </c>
      <c r="C299" s="59">
        <f>'UNIFICADO x CODIGO'!B299</f>
        <v>0.5</v>
      </c>
    </row>
    <row r="300" spans="1:3" x14ac:dyDescent="0.25">
      <c r="A300" t="str">
        <f>'UNIFICADO x CODIGO'!A300</f>
        <v>ZSE0101</v>
      </c>
      <c r="B300" s="55" t="str">
        <f>VLOOKUP(A300,BASE!A:B,2,0)</f>
        <v>ZOCALO 10CMS S-351 MATE</v>
      </c>
      <c r="C300" s="59">
        <f>'UNIFICADO x CODIGO'!B300</f>
        <v>0.16666666666666666</v>
      </c>
    </row>
    <row r="301" spans="1:3" x14ac:dyDescent="0.25">
      <c r="A301" t="str">
        <f>'UNIFICADO x CODIGO'!A301</f>
        <v>(en blanco)</v>
      </c>
      <c r="C301" s="59">
        <f>'UNIFICADO x CODIGO'!B301</f>
        <v>0</v>
      </c>
    </row>
    <row r="302" spans="1:3" x14ac:dyDescent="0.25">
      <c r="A302" t="str">
        <f>'UNIFICADO x CODIGO'!A302</f>
        <v>Total general</v>
      </c>
      <c r="C302" s="59">
        <f>'UNIFICADO x CODIGO'!B302</f>
        <v>408.76816666666645</v>
      </c>
    </row>
    <row r="303" spans="1:3" x14ac:dyDescent="0.25">
      <c r="A303">
        <f>'UNIFICADO x CODIGO'!A303</f>
        <v>0</v>
      </c>
      <c r="C303" s="59">
        <f>'UNIFICADO x CODIGO'!B303</f>
        <v>0</v>
      </c>
    </row>
    <row r="304" spans="1:3" x14ac:dyDescent="0.25">
      <c r="A304">
        <f>'UNIFICADO x CODIGO'!A304</f>
        <v>0</v>
      </c>
      <c r="C304" s="59">
        <f>'UNIFICADO x CODIGO'!B304</f>
        <v>0</v>
      </c>
    </row>
    <row r="305" spans="1:3" x14ac:dyDescent="0.25">
      <c r="A305">
        <f>'UNIFICADO x CODIGO'!A305</f>
        <v>0</v>
      </c>
      <c r="C305" s="59">
        <f>'UNIFICADO x CODIGO'!B305</f>
        <v>0</v>
      </c>
    </row>
    <row r="306" spans="1:3" x14ac:dyDescent="0.25">
      <c r="A306">
        <f>'UNIFICADO x CODIGO'!A306</f>
        <v>0</v>
      </c>
      <c r="C306" s="59">
        <f>'UNIFICADO x CODIGO'!B306</f>
        <v>0</v>
      </c>
    </row>
    <row r="307" spans="1:3" x14ac:dyDescent="0.25">
      <c r="A307">
        <f>'UNIFICADO x CODIGO'!A307</f>
        <v>0</v>
      </c>
      <c r="C307" s="59">
        <f>'UNIFICADO x CODIGO'!B307</f>
        <v>0</v>
      </c>
    </row>
  </sheetData>
  <autoFilter ref="A1:C300" xr:uid="{ACD74E3E-C22D-45B4-8293-7A61C646E41B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815D-4569-49CE-8F09-87031AE9D2A5}">
  <sheetPr codeName="Hoja10" filterMode="1"/>
  <dimension ref="A1:P794"/>
  <sheetViews>
    <sheetView workbookViewId="0">
      <selection sqref="A1:G1"/>
    </sheetView>
  </sheetViews>
  <sheetFormatPr baseColWidth="10" defaultColWidth="11.5703125" defaultRowHeight="18.75" customHeight="1" x14ac:dyDescent="0.25"/>
  <cols>
    <col min="1" max="1" width="7.5703125" style="49" customWidth="1"/>
    <col min="2" max="2" width="14.5703125" style="50" customWidth="1"/>
    <col min="3" max="3" width="44.7109375" style="36" bestFit="1" customWidth="1"/>
    <col min="4" max="4" width="12.28515625" style="49" bestFit="1" customWidth="1"/>
    <col min="5" max="5" width="9.5703125" style="51" bestFit="1" customWidth="1"/>
    <col min="6" max="6" width="11.140625" style="51" bestFit="1" customWidth="1"/>
    <col min="7" max="7" width="15.42578125" style="24" customWidth="1"/>
    <col min="8" max="8" width="11.5703125" style="36" customWidth="1"/>
    <col min="9" max="9" width="3.28515625" style="36" customWidth="1"/>
    <col min="10" max="10" width="24" style="36" customWidth="1"/>
    <col min="11" max="11" width="11.85546875" style="36" customWidth="1"/>
    <col min="12" max="12" width="10.140625" style="36" customWidth="1"/>
    <col min="13" max="13" width="15.5703125" style="36" customWidth="1"/>
    <col min="14" max="16" width="11.5703125" style="36" customWidth="1"/>
    <col min="17" max="16384" width="11.5703125" style="36"/>
  </cols>
  <sheetData>
    <row r="1" spans="1:16" ht="20.25" customHeight="1" thickBot="1" x14ac:dyDescent="0.3">
      <c r="A1" s="83" t="s">
        <v>1264</v>
      </c>
      <c r="B1" s="84"/>
      <c r="C1" s="84"/>
      <c r="D1" s="84"/>
      <c r="E1" s="84"/>
      <c r="F1" s="84"/>
      <c r="G1" s="84"/>
    </row>
    <row r="2" spans="1:16" ht="20.25" customHeight="1" x14ac:dyDescent="0.25">
      <c r="A2" s="37" t="s">
        <v>683</v>
      </c>
      <c r="B2" s="38" t="s">
        <v>0</v>
      </c>
      <c r="C2" s="39" t="s">
        <v>1</v>
      </c>
      <c r="D2" s="39" t="s">
        <v>2</v>
      </c>
      <c r="E2" s="40" t="s">
        <v>609</v>
      </c>
      <c r="F2" s="40" t="s">
        <v>1042</v>
      </c>
      <c r="G2" s="22" t="s">
        <v>744</v>
      </c>
    </row>
    <row r="3" spans="1:16" ht="20.25" hidden="1" customHeight="1" x14ac:dyDescent="0.25">
      <c r="A3" s="29">
        <v>752</v>
      </c>
      <c r="B3" s="34" t="s">
        <v>10</v>
      </c>
      <c r="C3" s="31" t="str">
        <f>VLOOKUP(B3,BASE!$A:$B,2,0)</f>
        <v>U57 GRIS PLATA</v>
      </c>
      <c r="D3" s="35" t="str">
        <f>VLOOKUP(B3,BASE!$A:$D,3,0)</f>
        <v>GRIS PLATA</v>
      </c>
      <c r="E3" s="32" t="str">
        <f>VLOOKUP(B3,BASE!$A:$E,4,0)</f>
        <v>U-57</v>
      </c>
      <c r="F3" s="32">
        <v>2000</v>
      </c>
      <c r="G3" s="23">
        <f t="shared" ref="G3:G66" si="0">+F3/6000</f>
        <v>0.33333333333333331</v>
      </c>
      <c r="K3" s="60"/>
      <c r="M3" s="61"/>
    </row>
    <row r="4" spans="1:16" ht="20.25" hidden="1" customHeight="1" x14ac:dyDescent="0.25">
      <c r="A4" s="29">
        <v>755</v>
      </c>
      <c r="B4" s="34" t="s">
        <v>10</v>
      </c>
      <c r="C4" s="31" t="str">
        <f>VLOOKUP(B4,BASE!$A:$B,2,0)</f>
        <v>U57 GRIS PLATA</v>
      </c>
      <c r="D4" s="35" t="str">
        <f>VLOOKUP(B4,BASE!$A:$D,3,0)</f>
        <v>GRIS PLATA</v>
      </c>
      <c r="E4" s="32" t="str">
        <f>VLOOKUP(B4,BASE!$A:$E,4,0)</f>
        <v>U-57</v>
      </c>
      <c r="F4" s="32">
        <v>1880</v>
      </c>
      <c r="G4" s="23">
        <f t="shared" si="0"/>
        <v>0.31333333333333335</v>
      </c>
      <c r="K4" s="60"/>
      <c r="L4" s="60"/>
      <c r="M4" s="61"/>
    </row>
    <row r="5" spans="1:16" ht="20.25" hidden="1" customHeight="1" x14ac:dyDescent="0.25">
      <c r="A5" s="29">
        <v>910</v>
      </c>
      <c r="B5" s="42" t="s">
        <v>731</v>
      </c>
      <c r="C5" s="31" t="str">
        <f>VLOOKUP(B5,BASE!$A:$B,2,0)</f>
        <v>ZOCALO 9CMS S-369 BRONCE MOVIL</v>
      </c>
      <c r="D5" s="35" t="str">
        <f>VLOOKUP(B5,BASE!$A:$D,3,0)</f>
        <v>BRONCE</v>
      </c>
      <c r="E5" s="32" t="str">
        <f>VLOOKUP(B5,BASE!$A:$E,4,0)</f>
        <v>S-369</v>
      </c>
      <c r="F5" s="32">
        <v>1300</v>
      </c>
      <c r="G5" s="23">
        <f t="shared" si="0"/>
        <v>0.21666666666666667</v>
      </c>
      <c r="K5" s="60"/>
      <c r="L5" s="60"/>
      <c r="M5" s="61"/>
    </row>
    <row r="6" spans="1:16" ht="20.25" hidden="1" customHeight="1" x14ac:dyDescent="0.25">
      <c r="A6" s="29">
        <v>1093</v>
      </c>
      <c r="B6" s="34" t="s">
        <v>18</v>
      </c>
      <c r="C6" s="31" t="str">
        <f>VLOOKUP(B6,BASE!$A:$B,2,0)</f>
        <v>8025 CABEZAL 151 GRIS PLATA</v>
      </c>
      <c r="D6" s="35" t="str">
        <f>VLOOKUP(B6,BASE!$A:$D,3,0)</f>
        <v>GRIS PLATA</v>
      </c>
      <c r="E6" s="32">
        <f>VLOOKUP(B6,BASE!$A:$E,4,0)</f>
        <v>151</v>
      </c>
      <c r="F6" s="32">
        <v>2600</v>
      </c>
      <c r="G6" s="23">
        <f t="shared" si="0"/>
        <v>0.43333333333333335</v>
      </c>
      <c r="K6" s="60"/>
      <c r="L6" s="60"/>
      <c r="M6" s="61"/>
    </row>
    <row r="7" spans="1:16" ht="20.25" hidden="1" customHeight="1" x14ac:dyDescent="0.25">
      <c r="A7" s="29">
        <v>1316</v>
      </c>
      <c r="B7" s="34" t="s">
        <v>22</v>
      </c>
      <c r="C7" s="31" t="str">
        <f>VLOOKUP(B7,BASE!$A:$B,2,0)</f>
        <v>CABEZAL CABINA S-319 BLANCO</v>
      </c>
      <c r="D7" s="35" t="str">
        <f>VLOOKUP(B7,BASE!$A:$D,3,0)</f>
        <v>BLANCO</v>
      </c>
      <c r="E7" s="32" t="str">
        <f>VLOOKUP(B7,BASE!$A:$E,4,0)</f>
        <v>S-319</v>
      </c>
      <c r="F7" s="32">
        <v>750</v>
      </c>
      <c r="G7" s="23">
        <f t="shared" si="0"/>
        <v>0.125</v>
      </c>
      <c r="K7" s="60"/>
      <c r="L7" s="60"/>
      <c r="M7" s="61"/>
    </row>
    <row r="8" spans="1:16" ht="20.25" hidden="1" customHeight="1" x14ac:dyDescent="0.25">
      <c r="A8" s="29">
        <v>1340</v>
      </c>
      <c r="B8" s="34" t="s">
        <v>23</v>
      </c>
      <c r="C8" s="31" t="str">
        <f>VLOOKUP(B8,BASE!$A:$B,2,0)</f>
        <v>8025 CABEZAL 706 BLANCO</v>
      </c>
      <c r="D8" s="35" t="str">
        <f>VLOOKUP(B8,BASE!$A:$D,3,0)</f>
        <v>BLANCO</v>
      </c>
      <c r="E8" s="32">
        <f>VLOOKUP(B8,BASE!$A:$E,4,0)</f>
        <v>706</v>
      </c>
      <c r="F8" s="32">
        <v>3490</v>
      </c>
      <c r="G8" s="23">
        <f t="shared" si="0"/>
        <v>0.58166666666666667</v>
      </c>
      <c r="K8" s="60"/>
      <c r="L8" s="60"/>
      <c r="M8" s="61"/>
    </row>
    <row r="9" spans="1:16" ht="20.25" hidden="1" customHeight="1" x14ac:dyDescent="0.25">
      <c r="A9" s="29">
        <v>1341</v>
      </c>
      <c r="B9" s="34" t="s">
        <v>480</v>
      </c>
      <c r="C9" s="31" t="str">
        <f>VLOOKUP(B9,BASE!$A:$B,2,0)</f>
        <v>8025 SILLAR 707 BLANCO</v>
      </c>
      <c r="D9" s="35" t="str">
        <f>VLOOKUP(B9,BASE!$A:$D,3,0)</f>
        <v>BLANCO</v>
      </c>
      <c r="E9" s="32">
        <f>VLOOKUP(B9,BASE!$A:$E,4,0)</f>
        <v>707</v>
      </c>
      <c r="F9" s="32">
        <v>3490</v>
      </c>
      <c r="G9" s="23">
        <f t="shared" si="0"/>
        <v>0.58166666666666667</v>
      </c>
      <c r="K9" s="60"/>
      <c r="L9" s="60"/>
      <c r="M9" s="61"/>
    </row>
    <row r="10" spans="1:16" ht="20.25" hidden="1" customHeight="1" x14ac:dyDescent="0.25">
      <c r="A10" s="29">
        <v>1546</v>
      </c>
      <c r="B10" s="34" t="s">
        <v>29</v>
      </c>
      <c r="C10" s="31" t="str">
        <f>VLOOKUP(B10,BASE!$A:$B,2,0)</f>
        <v>SILLAR ALFAJIA 616 MATE</v>
      </c>
      <c r="D10" s="35" t="str">
        <f>VLOOKUP(B10,BASE!$A:$D,3,0)</f>
        <v>MATE</v>
      </c>
      <c r="E10" s="32">
        <f>VLOOKUP(B10,BASE!$A:$E,4,0)</f>
        <v>616</v>
      </c>
      <c r="F10" s="32">
        <v>6000</v>
      </c>
      <c r="G10" s="23">
        <f t="shared" si="0"/>
        <v>1</v>
      </c>
      <c r="K10" s="60"/>
      <c r="L10" s="60"/>
      <c r="M10" s="61"/>
    </row>
    <row r="11" spans="1:16" ht="20.25" hidden="1" customHeight="1" x14ac:dyDescent="0.25">
      <c r="A11" s="29">
        <v>2054</v>
      </c>
      <c r="B11" s="34" t="s">
        <v>10</v>
      </c>
      <c r="C11" s="31" t="str">
        <f>VLOOKUP(B11,BASE!$A:$B,2,0)</f>
        <v>U57 GRIS PLATA</v>
      </c>
      <c r="D11" s="35" t="str">
        <f>VLOOKUP(B11,BASE!$A:$D,3,0)</f>
        <v>GRIS PLATA</v>
      </c>
      <c r="E11" s="32" t="str">
        <f>VLOOKUP(B11,BASE!$A:$E,4,0)</f>
        <v>U-57</v>
      </c>
      <c r="F11" s="32">
        <v>2600</v>
      </c>
      <c r="G11" s="23">
        <f t="shared" si="0"/>
        <v>0.43333333333333335</v>
      </c>
      <c r="K11" s="60"/>
      <c r="L11" s="60"/>
      <c r="M11" s="61"/>
    </row>
    <row r="12" spans="1:16" ht="20.25" hidden="1" customHeight="1" x14ac:dyDescent="0.25">
      <c r="A12" s="29">
        <v>2248</v>
      </c>
      <c r="B12" s="34" t="s">
        <v>49</v>
      </c>
      <c r="C12" s="31" t="str">
        <f>VLOOKUP(B12,BASE!$A:$B,2,0)</f>
        <v>CUARTO CIRCULAR 1 1/2 " MATE</v>
      </c>
      <c r="D12" s="35" t="str">
        <f>VLOOKUP(B12,BASE!$A:$D,3,0)</f>
        <v>MATE</v>
      </c>
      <c r="E12" s="32" t="str">
        <f>VLOOKUP(B12,BASE!$A:$E,4,0)</f>
        <v>T-280</v>
      </c>
      <c r="F12" s="32">
        <v>2600</v>
      </c>
      <c r="G12" s="23">
        <f t="shared" si="0"/>
        <v>0.43333333333333335</v>
      </c>
      <c r="K12" s="60"/>
      <c r="L12" s="60"/>
      <c r="M12" s="61"/>
    </row>
    <row r="13" spans="1:16" ht="20.25" hidden="1" customHeight="1" x14ac:dyDescent="0.25">
      <c r="A13" s="29">
        <v>2452</v>
      </c>
      <c r="B13" s="34" t="s">
        <v>22</v>
      </c>
      <c r="C13" s="31" t="str">
        <f>VLOOKUP(B13,BASE!$A:$B,2,0)</f>
        <v>CABEZAL CABINA S-319 BLANCO</v>
      </c>
      <c r="D13" s="35" t="str">
        <f>VLOOKUP(B13,BASE!$A:$D,3,0)</f>
        <v>BLANCO</v>
      </c>
      <c r="E13" s="32" t="str">
        <f>VLOOKUP(B13,BASE!$A:$E,4,0)</f>
        <v>S-319</v>
      </c>
      <c r="F13" s="32">
        <v>950</v>
      </c>
      <c r="G13" s="23">
        <f t="shared" si="0"/>
        <v>0.15833333333333333</v>
      </c>
      <c r="K13" s="60"/>
      <c r="M13" s="61"/>
      <c r="N13" s="60"/>
      <c r="O13" s="60"/>
      <c r="P13" s="60"/>
    </row>
    <row r="14" spans="1:16" ht="20.25" hidden="1" customHeight="1" x14ac:dyDescent="0.25">
      <c r="A14" s="29">
        <v>2585</v>
      </c>
      <c r="B14" s="34" t="s">
        <v>28</v>
      </c>
      <c r="C14" s="31" t="str">
        <f>VLOOKUP(B14,BASE!$A:$B,2,0)</f>
        <v>5020 CABEZAL 144 GRIS PLATA</v>
      </c>
      <c r="D14" s="35" t="str">
        <f>VLOOKUP(B14,BASE!$A:$D,3,0)</f>
        <v>GRIS PLATA</v>
      </c>
      <c r="E14" s="32">
        <f>VLOOKUP(B14,BASE!$A:$E,4,0)</f>
        <v>144</v>
      </c>
      <c r="F14" s="32">
        <v>940</v>
      </c>
      <c r="G14" s="23">
        <f t="shared" si="0"/>
        <v>0.15666666666666668</v>
      </c>
      <c r="K14" s="60"/>
      <c r="M14" s="61"/>
    </row>
    <row r="15" spans="1:16" ht="20.25" hidden="1" customHeight="1" x14ac:dyDescent="0.25">
      <c r="A15" s="29">
        <v>2719</v>
      </c>
      <c r="B15" s="34" t="s">
        <v>102</v>
      </c>
      <c r="C15" s="31" t="str">
        <f>VLOOKUP(B15,BASE!$A:$B,2,0)</f>
        <v>CABEZAL CABINA S-319 BRONCE</v>
      </c>
      <c r="D15" s="35" t="str">
        <f>VLOOKUP(B15,BASE!$A:$D,3,0)</f>
        <v>BRONCE</v>
      </c>
      <c r="E15" s="32" t="str">
        <f>VLOOKUP(B15,BASE!$A:$E,4,0)</f>
        <v>S-319</v>
      </c>
      <c r="F15" s="32">
        <v>970</v>
      </c>
      <c r="G15" s="23">
        <f t="shared" si="0"/>
        <v>0.16166666666666665</v>
      </c>
      <c r="K15" s="60"/>
      <c r="M15" s="61"/>
    </row>
    <row r="16" spans="1:16" ht="20.25" hidden="1" customHeight="1" x14ac:dyDescent="0.25">
      <c r="A16" s="29">
        <v>2968</v>
      </c>
      <c r="B16" s="34" t="s">
        <v>114</v>
      </c>
      <c r="C16" s="31" t="str">
        <f>VLOOKUP(B16,BASE!$A:$B,2,0)</f>
        <v>744 SILLAR 387 BRONCE</v>
      </c>
      <c r="D16" s="35" t="str">
        <f>VLOOKUP(B16,BASE!$A:$D,3,0)</f>
        <v>BRONCE</v>
      </c>
      <c r="E16" s="32">
        <f>VLOOKUP(B16,BASE!$A:$E,4,0)</f>
        <v>387</v>
      </c>
      <c r="F16" s="32">
        <v>800</v>
      </c>
      <c r="G16" s="23">
        <f t="shared" si="0"/>
        <v>0.13333333333333333</v>
      </c>
      <c r="K16" s="60"/>
      <c r="M16" s="61"/>
    </row>
    <row r="17" spans="1:13" ht="20.25" hidden="1" customHeight="1" x14ac:dyDescent="0.25">
      <c r="A17" s="29">
        <v>2979</v>
      </c>
      <c r="B17" s="34" t="s">
        <v>20</v>
      </c>
      <c r="C17" s="31" t="str">
        <f>VLOOKUP(B17,BASE!$A:$B,2,0)</f>
        <v>ALFAJIA 413 MATE</v>
      </c>
      <c r="D17" s="35" t="str">
        <f>VLOOKUP(B17,BASE!$A:$D,3,0)</f>
        <v>MATE</v>
      </c>
      <c r="E17" s="32">
        <f>VLOOKUP(B17,BASE!$A:$E,4,0)</f>
        <v>413</v>
      </c>
      <c r="F17" s="32">
        <v>2000</v>
      </c>
      <c r="G17" s="23">
        <f t="shared" si="0"/>
        <v>0.33333333333333331</v>
      </c>
      <c r="K17" s="60"/>
      <c r="M17" s="61"/>
    </row>
    <row r="18" spans="1:13" ht="20.25" hidden="1" customHeight="1" x14ac:dyDescent="0.25">
      <c r="A18" s="29">
        <v>2981</v>
      </c>
      <c r="B18" s="34" t="s">
        <v>20</v>
      </c>
      <c r="C18" s="31" t="str">
        <f>VLOOKUP(B18,BASE!$A:$B,2,0)</f>
        <v>ALFAJIA 413 MATE</v>
      </c>
      <c r="D18" s="35" t="str">
        <f>VLOOKUP(B18,BASE!$A:$D,3,0)</f>
        <v>MATE</v>
      </c>
      <c r="E18" s="32">
        <f>VLOOKUP(B18,BASE!$A:$E,4,0)</f>
        <v>413</v>
      </c>
      <c r="F18" s="32">
        <v>1800</v>
      </c>
      <c r="G18" s="23">
        <f t="shared" si="0"/>
        <v>0.3</v>
      </c>
      <c r="K18" s="60"/>
      <c r="M18" s="61"/>
    </row>
    <row r="19" spans="1:13" ht="20.25" hidden="1" customHeight="1" x14ac:dyDescent="0.25">
      <c r="A19" s="29">
        <v>2992</v>
      </c>
      <c r="B19" s="34" t="s">
        <v>20</v>
      </c>
      <c r="C19" s="31" t="str">
        <f>VLOOKUP(B19,BASE!$A:$B,2,0)</f>
        <v>ALFAJIA 413 MATE</v>
      </c>
      <c r="D19" s="35" t="str">
        <f>VLOOKUP(B19,BASE!$A:$D,3,0)</f>
        <v>MATE</v>
      </c>
      <c r="E19" s="32">
        <f>VLOOKUP(B19,BASE!$A:$E,4,0)</f>
        <v>413</v>
      </c>
      <c r="F19" s="32">
        <v>2100</v>
      </c>
      <c r="G19" s="23">
        <f t="shared" si="0"/>
        <v>0.35</v>
      </c>
      <c r="K19" s="60"/>
      <c r="M19" s="61"/>
    </row>
    <row r="20" spans="1:13" ht="20.25" hidden="1" customHeight="1" x14ac:dyDescent="0.25">
      <c r="A20" s="29">
        <v>3203</v>
      </c>
      <c r="B20" s="34" t="s">
        <v>150</v>
      </c>
      <c r="C20" s="31" t="str">
        <f>VLOOKUP(B20,BASE!$A:$B,2,0)</f>
        <v>ALFAJIA S-332 NEGRA</v>
      </c>
      <c r="D20" s="35" t="str">
        <f>VLOOKUP(B20,BASE!$A:$D,3,0)</f>
        <v>NEGRO</v>
      </c>
      <c r="E20" s="32" t="str">
        <f>VLOOKUP(B20,BASE!$A:$E,4,0)</f>
        <v>S-332</v>
      </c>
      <c r="F20" s="32">
        <v>900</v>
      </c>
      <c r="G20" s="23">
        <f t="shared" si="0"/>
        <v>0.15</v>
      </c>
    </row>
    <row r="21" spans="1:13" ht="20.25" hidden="1" customHeight="1" x14ac:dyDescent="0.25">
      <c r="A21" s="29">
        <v>3255</v>
      </c>
      <c r="B21" s="42" t="s">
        <v>731</v>
      </c>
      <c r="C21" s="31" t="str">
        <f>VLOOKUP(B21,BASE!$A:$B,2,0)</f>
        <v>ZOCALO 9CMS S-369 BRONCE MOVIL</v>
      </c>
      <c r="D21" s="35" t="str">
        <f>VLOOKUP(B21,BASE!$A:$D,3,0)</f>
        <v>BRONCE</v>
      </c>
      <c r="E21" s="32" t="str">
        <f>VLOOKUP(B21,BASE!$A:$E,4,0)</f>
        <v>S-369</v>
      </c>
      <c r="F21" s="32">
        <v>1700</v>
      </c>
      <c r="G21" s="23">
        <f t="shared" si="0"/>
        <v>0.28333333333333333</v>
      </c>
    </row>
    <row r="22" spans="1:13" ht="20.25" hidden="1" customHeight="1" x14ac:dyDescent="0.25">
      <c r="A22" s="29">
        <v>3291</v>
      </c>
      <c r="B22" s="44" t="s">
        <v>274</v>
      </c>
      <c r="C22" s="31" t="str">
        <f>VLOOKUP(B22,BASE!$A:$B,2,0)</f>
        <v>U89 NEGRO</v>
      </c>
      <c r="D22" s="35" t="str">
        <f>VLOOKUP(B22,BASE!$A:$D,3,0)</f>
        <v>NEGRO</v>
      </c>
      <c r="E22" s="32" t="str">
        <f>VLOOKUP(B22,BASE!$A:$E,4,0)</f>
        <v>U-89</v>
      </c>
      <c r="F22" s="32">
        <v>6000</v>
      </c>
      <c r="G22" s="23">
        <f t="shared" si="0"/>
        <v>1</v>
      </c>
    </row>
    <row r="23" spans="1:13" ht="20.25" hidden="1" customHeight="1" x14ac:dyDescent="0.25">
      <c r="A23" s="29">
        <v>3295</v>
      </c>
      <c r="B23" s="43" t="s">
        <v>139</v>
      </c>
      <c r="C23" s="31" t="str">
        <f>VLOOKUP(B23,BASE!$A:$B,2,0)</f>
        <v>8025 SILLAR 707 NEGRO</v>
      </c>
      <c r="D23" s="35" t="str">
        <f>VLOOKUP(B23,BASE!$A:$D,3,0)</f>
        <v>NEGRO</v>
      </c>
      <c r="E23" s="32">
        <f>VLOOKUP(B23,BASE!$A:$E,4,0)</f>
        <v>707</v>
      </c>
      <c r="F23" s="32">
        <v>2800</v>
      </c>
      <c r="G23" s="23">
        <f t="shared" si="0"/>
        <v>0.46666666666666667</v>
      </c>
    </row>
    <row r="24" spans="1:13" ht="20.25" hidden="1" customHeight="1" x14ac:dyDescent="0.25">
      <c r="A24" s="29">
        <v>3317</v>
      </c>
      <c r="B24" s="43" t="s">
        <v>177</v>
      </c>
      <c r="C24" s="31" t="str">
        <f>VLOOKUP(B24,BASE!$A:$B,2,0)</f>
        <v>TUBULAR T-280 MATE</v>
      </c>
      <c r="D24" s="35" t="str">
        <f>VLOOKUP(B24,BASE!$A:$D,3,0)</f>
        <v>MATE</v>
      </c>
      <c r="E24" s="32" t="str">
        <f>VLOOKUP(B24,BASE!$A:$E,4,0)</f>
        <v>T-280</v>
      </c>
      <c r="F24" s="32">
        <v>2400</v>
      </c>
      <c r="G24" s="23">
        <f t="shared" si="0"/>
        <v>0.4</v>
      </c>
    </row>
    <row r="25" spans="1:13" ht="20.25" hidden="1" customHeight="1" x14ac:dyDescent="0.25">
      <c r="A25" s="29">
        <v>3530</v>
      </c>
      <c r="B25" s="34" t="s">
        <v>596</v>
      </c>
      <c r="C25" s="31" t="str">
        <f>VLOOKUP(B25,BASE!$A:$B,2,0)</f>
        <v>ALFAJIA 413 BLANCO</v>
      </c>
      <c r="D25" s="35" t="str">
        <f>VLOOKUP(B25,BASE!$A:$D,3,0)</f>
        <v>BLANCO</v>
      </c>
      <c r="E25" s="32">
        <f>VLOOKUP(B25,BASE!$A:$E,4,0)</f>
        <v>413</v>
      </c>
      <c r="F25" s="32">
        <v>3400</v>
      </c>
      <c r="G25" s="23">
        <f t="shared" si="0"/>
        <v>0.56666666666666665</v>
      </c>
    </row>
    <row r="26" spans="1:13" ht="20.25" hidden="1" customHeight="1" x14ac:dyDescent="0.25">
      <c r="A26" s="29">
        <v>3737</v>
      </c>
      <c r="B26" s="34" t="s">
        <v>104</v>
      </c>
      <c r="C26" s="31" t="str">
        <f>VLOOKUP(B26,BASE!$A:$B,2,0)</f>
        <v>5020 TRASLAPE REFORZADO 462 BLANCO</v>
      </c>
      <c r="D26" s="35" t="str">
        <f>VLOOKUP(B26,BASE!$A:$D,3,0)</f>
        <v>BLANCO</v>
      </c>
      <c r="E26" s="32">
        <f>VLOOKUP(B26,BASE!$A:$E,4,0)</f>
        <v>462</v>
      </c>
      <c r="F26" s="32">
        <v>3300</v>
      </c>
      <c r="G26" s="23">
        <f t="shared" si="0"/>
        <v>0.55000000000000004</v>
      </c>
    </row>
    <row r="27" spans="1:13" ht="20.25" hidden="1" customHeight="1" x14ac:dyDescent="0.25">
      <c r="A27" s="29">
        <v>3817</v>
      </c>
      <c r="B27" s="34" t="s">
        <v>148</v>
      </c>
      <c r="C27" s="31" t="str">
        <f>VLOOKUP(B27,BASE!$A:$B,2,0)</f>
        <v>U-089 MATE</v>
      </c>
      <c r="D27" s="35" t="str">
        <f>VLOOKUP(B27,BASE!$A:$D,3,0)</f>
        <v>MATE</v>
      </c>
      <c r="E27" s="32" t="str">
        <f>VLOOKUP(B27,BASE!$A:$E,4,0)</f>
        <v>U-89</v>
      </c>
      <c r="F27" s="32">
        <v>1700</v>
      </c>
      <c r="G27" s="23">
        <f t="shared" si="0"/>
        <v>0.28333333333333333</v>
      </c>
    </row>
    <row r="28" spans="1:13" ht="20.25" hidden="1" customHeight="1" x14ac:dyDescent="0.25">
      <c r="A28" s="29">
        <v>3970</v>
      </c>
      <c r="B28" s="34" t="s">
        <v>22</v>
      </c>
      <c r="C28" s="31" t="str">
        <f>VLOOKUP(B28,BASE!$A:$B,2,0)</f>
        <v>CABEZAL CABINA S-319 BLANCO</v>
      </c>
      <c r="D28" s="35" t="str">
        <f>VLOOKUP(B28,BASE!$A:$D,3,0)</f>
        <v>BLANCO</v>
      </c>
      <c r="E28" s="32" t="str">
        <f>VLOOKUP(B28,BASE!$A:$E,4,0)</f>
        <v>S-319</v>
      </c>
      <c r="F28" s="32">
        <v>900</v>
      </c>
      <c r="G28" s="23">
        <f t="shared" si="0"/>
        <v>0.15</v>
      </c>
    </row>
    <row r="29" spans="1:13" ht="20.25" hidden="1" customHeight="1" x14ac:dyDescent="0.25">
      <c r="A29" s="29">
        <v>4055</v>
      </c>
      <c r="B29" s="34" t="s">
        <v>38</v>
      </c>
      <c r="C29" s="31" t="str">
        <f>VLOOKUP(B29,BASE!$A:$B,2,0)</f>
        <v>TUBULAR T-101 MATE</v>
      </c>
      <c r="D29" s="35" t="str">
        <f>VLOOKUP(B29,BASE!$A:$D,3,0)</f>
        <v>MATE</v>
      </c>
      <c r="E29" s="32" t="str">
        <f>VLOOKUP(B29,BASE!$A:$E,4,0)</f>
        <v>T-101</v>
      </c>
      <c r="F29" s="32">
        <v>1800</v>
      </c>
      <c r="G29" s="23">
        <f t="shared" si="0"/>
        <v>0.3</v>
      </c>
    </row>
    <row r="30" spans="1:13" ht="20.25" hidden="1" customHeight="1" x14ac:dyDescent="0.25">
      <c r="A30" s="29">
        <v>4072</v>
      </c>
      <c r="B30" s="34" t="s">
        <v>101</v>
      </c>
      <c r="C30" s="31" t="str">
        <f>VLOOKUP(B30,BASE!$A:$B,2,0)</f>
        <v>SILLAR CABINA S-201 BRONCE</v>
      </c>
      <c r="D30" s="35" t="str">
        <f>VLOOKUP(B30,BASE!$A:$D,3,0)</f>
        <v>BRONCE</v>
      </c>
      <c r="E30" s="32" t="str">
        <f>VLOOKUP(B30,BASE!$A:$E,4,0)</f>
        <v>S-201</v>
      </c>
      <c r="F30" s="32">
        <v>900</v>
      </c>
      <c r="G30" s="23">
        <f t="shared" si="0"/>
        <v>0.15</v>
      </c>
    </row>
    <row r="31" spans="1:13" ht="20.25" hidden="1" customHeight="1" x14ac:dyDescent="0.25">
      <c r="A31" s="29">
        <v>4190</v>
      </c>
      <c r="B31" s="34" t="s">
        <v>128</v>
      </c>
      <c r="C31" s="31" t="str">
        <f>VLOOKUP(B31,BASE!$A:$B,2,0)</f>
        <v>8025 ADAPTADOR 158 NEGRO</v>
      </c>
      <c r="D31" s="35" t="str">
        <f>VLOOKUP(B31,BASE!$A:$D,3,0)</f>
        <v>NEGRO</v>
      </c>
      <c r="E31" s="32">
        <f>VLOOKUP(B31,BASE!$A:$E,4,0)</f>
        <v>158</v>
      </c>
      <c r="F31" s="32">
        <v>6000</v>
      </c>
      <c r="G31" s="23">
        <f t="shared" si="0"/>
        <v>1</v>
      </c>
    </row>
    <row r="32" spans="1:13" ht="20.25" hidden="1" customHeight="1" x14ac:dyDescent="0.25">
      <c r="A32" s="29">
        <v>4264</v>
      </c>
      <c r="B32" s="34" t="s">
        <v>349</v>
      </c>
      <c r="C32" s="31" t="str">
        <f>VLOOKUP(B32,BASE!$A:$B,2,0)</f>
        <v>3831 DIVISOR 1103 MATE</v>
      </c>
      <c r="D32" s="35" t="str">
        <f>VLOOKUP(B32,BASE!$A:$D,3,0)</f>
        <v>MATE</v>
      </c>
      <c r="E32" s="32">
        <f>VLOOKUP(B32,BASE!$A:$E,4,0)</f>
        <v>1103</v>
      </c>
      <c r="F32" s="32">
        <v>1800</v>
      </c>
      <c r="G32" s="23">
        <f t="shared" si="0"/>
        <v>0.3</v>
      </c>
    </row>
    <row r="33" spans="1:7" ht="20.25" hidden="1" customHeight="1" x14ac:dyDescent="0.25">
      <c r="A33" s="29">
        <v>4279</v>
      </c>
      <c r="B33" s="34" t="s">
        <v>166</v>
      </c>
      <c r="C33" s="31" t="str">
        <f>VLOOKUP(B33,BASE!$A:$B,2,0)</f>
        <v>5020 JAMBA 193 BLANCO</v>
      </c>
      <c r="D33" s="35" t="str">
        <f>VLOOKUP(B33,BASE!$A:$D,3,0)</f>
        <v>BLANCO</v>
      </c>
      <c r="E33" s="32">
        <f>VLOOKUP(B33,BASE!$A:$E,4,0)</f>
        <v>193</v>
      </c>
      <c r="F33" s="32">
        <v>600</v>
      </c>
      <c r="G33" s="23">
        <f t="shared" si="0"/>
        <v>0.1</v>
      </c>
    </row>
    <row r="34" spans="1:7" ht="20.25" hidden="1" customHeight="1" x14ac:dyDescent="0.25">
      <c r="A34" s="29">
        <v>4315</v>
      </c>
      <c r="B34" s="34" t="s">
        <v>349</v>
      </c>
      <c r="C34" s="31" t="str">
        <f>VLOOKUP(B34,BASE!$A:$B,2,0)</f>
        <v>3831 DIVISOR 1103 MATE</v>
      </c>
      <c r="D34" s="35" t="str">
        <f>VLOOKUP(B34,BASE!$A:$D,3,0)</f>
        <v>MATE</v>
      </c>
      <c r="E34" s="32">
        <f>VLOOKUP(B34,BASE!$A:$E,4,0)</f>
        <v>1103</v>
      </c>
      <c r="F34" s="32">
        <v>6000</v>
      </c>
      <c r="G34" s="23">
        <f t="shared" si="0"/>
        <v>1</v>
      </c>
    </row>
    <row r="35" spans="1:7" ht="20.25" hidden="1" customHeight="1" x14ac:dyDescent="0.25">
      <c r="A35" s="29">
        <v>4635</v>
      </c>
      <c r="B35" s="34" t="s">
        <v>384</v>
      </c>
      <c r="C35" s="31" t="str">
        <f>VLOOKUP(B35,BASE!$A:$B,2,0)</f>
        <v>3831 ESQUINERO 416 NEGRO</v>
      </c>
      <c r="D35" s="35" t="str">
        <f>VLOOKUP(B35,BASE!$A:$D,3,0)</f>
        <v>NEGRO</v>
      </c>
      <c r="E35" s="32">
        <f>VLOOKUP(B35,BASE!$A:$E,4,0)</f>
        <v>416</v>
      </c>
      <c r="F35" s="32">
        <v>900</v>
      </c>
      <c r="G35" s="23">
        <f t="shared" si="0"/>
        <v>0.15</v>
      </c>
    </row>
    <row r="36" spans="1:7" ht="20.25" hidden="1" customHeight="1" x14ac:dyDescent="0.25">
      <c r="A36" s="29">
        <v>4636</v>
      </c>
      <c r="B36" s="34" t="s">
        <v>384</v>
      </c>
      <c r="C36" s="31" t="str">
        <f>VLOOKUP(B36,BASE!$A:$B,2,0)</f>
        <v>3831 ESQUINERO 416 NEGRO</v>
      </c>
      <c r="D36" s="35" t="str">
        <f>VLOOKUP(B36,BASE!$A:$D,3,0)</f>
        <v>NEGRO</v>
      </c>
      <c r="E36" s="32">
        <f>VLOOKUP(B36,BASE!$A:$E,4,0)</f>
        <v>416</v>
      </c>
      <c r="F36" s="32">
        <v>800</v>
      </c>
      <c r="G36" s="23">
        <f t="shared" si="0"/>
        <v>0.13333333333333333</v>
      </c>
    </row>
    <row r="37" spans="1:7" ht="20.25" hidden="1" customHeight="1" x14ac:dyDescent="0.25">
      <c r="A37" s="29">
        <v>4874</v>
      </c>
      <c r="B37" s="34" t="s">
        <v>173</v>
      </c>
      <c r="C37" s="31" t="str">
        <f>VLOOKUP(B37,BASE!$A:$B,2,0)</f>
        <v>8025 SILLAR 707 MATE</v>
      </c>
      <c r="D37" s="35" t="str">
        <f>VLOOKUP(B37,BASE!$A:$D,3,0)</f>
        <v>MATE</v>
      </c>
      <c r="E37" s="32">
        <f>VLOOKUP(B37,BASE!$A:$E,4,0)</f>
        <v>707</v>
      </c>
      <c r="F37" s="32">
        <v>2900</v>
      </c>
      <c r="G37" s="23">
        <f t="shared" si="0"/>
        <v>0.48333333333333334</v>
      </c>
    </row>
    <row r="38" spans="1:7" ht="20.25" hidden="1" customHeight="1" x14ac:dyDescent="0.25">
      <c r="A38" s="29">
        <v>4964</v>
      </c>
      <c r="B38" s="45" t="s">
        <v>75</v>
      </c>
      <c r="C38" s="31" t="str">
        <f>VLOOKUP(B38,BASE!$A:$B,2,0)</f>
        <v>5020 SILLAR 194 GRIS PLATA</v>
      </c>
      <c r="D38" s="35" t="str">
        <f>VLOOKUP(B38,BASE!$A:$D,3,0)</f>
        <v>GRIS PLATA</v>
      </c>
      <c r="E38" s="32">
        <f>VLOOKUP(B38,BASE!$A:$E,4,0)</f>
        <v>194</v>
      </c>
      <c r="F38" s="32">
        <v>2600</v>
      </c>
      <c r="G38" s="23">
        <f t="shared" si="0"/>
        <v>0.43333333333333335</v>
      </c>
    </row>
    <row r="39" spans="1:7" ht="20.25" hidden="1" customHeight="1" x14ac:dyDescent="0.25">
      <c r="A39" s="29">
        <v>5081</v>
      </c>
      <c r="B39" s="45" t="s">
        <v>581</v>
      </c>
      <c r="C39" s="31" t="str">
        <f>VLOOKUP(B39,BASE!$A:$B,2,0)</f>
        <v>U57 BRONCE</v>
      </c>
      <c r="D39" s="35" t="str">
        <f>VLOOKUP(B39,BASE!$A:$D,3,0)</f>
        <v>BRONCE</v>
      </c>
      <c r="E39" s="32" t="str">
        <f>VLOOKUP(B39,BASE!$A:$E,4,0)</f>
        <v>U-57</v>
      </c>
      <c r="F39" s="32">
        <v>2100</v>
      </c>
      <c r="G39" s="23">
        <f t="shared" si="0"/>
        <v>0.35</v>
      </c>
    </row>
    <row r="40" spans="1:7" ht="20.25" hidden="1" customHeight="1" x14ac:dyDescent="0.25">
      <c r="A40" s="29">
        <v>5140</v>
      </c>
      <c r="B40" s="45" t="s">
        <v>369</v>
      </c>
      <c r="C40" s="31" t="str">
        <f>VLOOKUP(B40,BASE!$A:$B,2,0)</f>
        <v>7038 ENGANCHE 705 BLANCO</v>
      </c>
      <c r="D40" s="35" t="str">
        <f>VLOOKUP(B40,BASE!$A:$D,3,0)</f>
        <v>BLANCO</v>
      </c>
      <c r="E40" s="32">
        <f>VLOOKUP(B40,BASE!$A:$E,4,0)</f>
        <v>705</v>
      </c>
      <c r="F40" s="32">
        <v>2350</v>
      </c>
      <c r="G40" s="23">
        <f t="shared" si="0"/>
        <v>0.39166666666666666</v>
      </c>
    </row>
    <row r="41" spans="1:7" ht="20.25" hidden="1" customHeight="1" x14ac:dyDescent="0.25">
      <c r="A41" s="29">
        <v>5147</v>
      </c>
      <c r="B41" s="45" t="s">
        <v>438</v>
      </c>
      <c r="C41" s="31" t="str">
        <f>VLOOKUP(B41,BASE!$A:$B,2,0)</f>
        <v>8025 JAMBA 708 BRONCE</v>
      </c>
      <c r="D41" s="35" t="str">
        <f>VLOOKUP(B41,BASE!$A:$D,3,0)</f>
        <v>BRONCE</v>
      </c>
      <c r="E41" s="32">
        <f>VLOOKUP(B41,BASE!$A:$E,4,0)</f>
        <v>708</v>
      </c>
      <c r="F41" s="32">
        <v>3500</v>
      </c>
      <c r="G41" s="23">
        <f t="shared" si="0"/>
        <v>0.58333333333333337</v>
      </c>
    </row>
    <row r="42" spans="1:7" ht="20.25" hidden="1" customHeight="1" x14ac:dyDescent="0.25">
      <c r="A42" s="29">
        <v>5184</v>
      </c>
      <c r="B42" s="45" t="s">
        <v>26</v>
      </c>
      <c r="C42" s="31" t="str">
        <f>VLOOKUP(B42,BASE!$A:$B,2,0)</f>
        <v>744 SILLAR 387 MATE</v>
      </c>
      <c r="D42" s="35" t="str">
        <f>VLOOKUP(B42,BASE!$A:$D,3,0)</f>
        <v>MATE</v>
      </c>
      <c r="E42" s="32">
        <f>VLOOKUP(B42,BASE!$A:$E,4,0)</f>
        <v>387</v>
      </c>
      <c r="F42" s="32">
        <v>900</v>
      </c>
      <c r="G42" s="23">
        <f t="shared" si="0"/>
        <v>0.15</v>
      </c>
    </row>
    <row r="43" spans="1:7" ht="20.25" hidden="1" customHeight="1" x14ac:dyDescent="0.25">
      <c r="A43" s="29">
        <v>5193</v>
      </c>
      <c r="B43" s="45" t="s">
        <v>148</v>
      </c>
      <c r="C43" s="31" t="str">
        <f>VLOOKUP(B43,BASE!$A:$B,2,0)</f>
        <v>U-089 MATE</v>
      </c>
      <c r="D43" s="35" t="str">
        <f>VLOOKUP(B43,BASE!$A:$D,3,0)</f>
        <v>MATE</v>
      </c>
      <c r="E43" s="32" t="str">
        <f>VLOOKUP(B43,BASE!$A:$E,4,0)</f>
        <v>U-89</v>
      </c>
      <c r="F43" s="32">
        <v>1700</v>
      </c>
      <c r="G43" s="23">
        <f t="shared" si="0"/>
        <v>0.28333333333333333</v>
      </c>
    </row>
    <row r="44" spans="1:7" ht="20.25" hidden="1" customHeight="1" x14ac:dyDescent="0.25">
      <c r="A44" s="29">
        <v>5255</v>
      </c>
      <c r="B44" s="45" t="s">
        <v>509</v>
      </c>
      <c r="C44" s="31" t="str">
        <f>VLOOKUP(B44,BASE!$A:$B,2,0)</f>
        <v>TAPALUZ PT08 GRIS PLATA</v>
      </c>
      <c r="D44" s="35" t="str">
        <f>VLOOKUP(B44,BASE!$A:$D,3,0)</f>
        <v>GRIS PLATA</v>
      </c>
      <c r="E44" s="32" t="str">
        <f>VLOOKUP(B44,BASE!$A:$E,4,0)</f>
        <v>PT-08</v>
      </c>
      <c r="F44" s="32">
        <v>6000</v>
      </c>
      <c r="G44" s="23">
        <f t="shared" si="0"/>
        <v>1</v>
      </c>
    </row>
    <row r="45" spans="1:7" ht="20.25" hidden="1" customHeight="1" x14ac:dyDescent="0.25">
      <c r="A45" s="29">
        <v>5256</v>
      </c>
      <c r="B45" s="45" t="s">
        <v>509</v>
      </c>
      <c r="C45" s="31" t="str">
        <f>VLOOKUP(B45,BASE!$A:$B,2,0)</f>
        <v>TAPALUZ PT08 GRIS PLATA</v>
      </c>
      <c r="D45" s="35" t="str">
        <f>VLOOKUP(B45,BASE!$A:$D,3,0)</f>
        <v>GRIS PLATA</v>
      </c>
      <c r="E45" s="32" t="str">
        <f>VLOOKUP(B45,BASE!$A:$E,4,0)</f>
        <v>PT-08</v>
      </c>
      <c r="F45" s="32">
        <v>6000</v>
      </c>
      <c r="G45" s="23">
        <f t="shared" si="0"/>
        <v>1</v>
      </c>
    </row>
    <row r="46" spans="1:7" ht="20.25" hidden="1" customHeight="1" x14ac:dyDescent="0.25">
      <c r="A46" s="29">
        <v>5307</v>
      </c>
      <c r="B46" s="45" t="s">
        <v>26</v>
      </c>
      <c r="C46" s="31" t="str">
        <f>VLOOKUP(B46,BASE!$A:$B,2,0)</f>
        <v>744 SILLAR 387 MATE</v>
      </c>
      <c r="D46" s="35" t="str">
        <f>VLOOKUP(B46,BASE!$A:$D,3,0)</f>
        <v>MATE</v>
      </c>
      <c r="E46" s="32">
        <f>VLOOKUP(B46,BASE!$A:$E,4,0)</f>
        <v>387</v>
      </c>
      <c r="F46" s="32">
        <v>900</v>
      </c>
      <c r="G46" s="23">
        <f t="shared" si="0"/>
        <v>0.15</v>
      </c>
    </row>
    <row r="47" spans="1:7" ht="20.25" hidden="1" customHeight="1" x14ac:dyDescent="0.25">
      <c r="A47" s="29">
        <v>5314</v>
      </c>
      <c r="B47" s="45" t="s">
        <v>946</v>
      </c>
      <c r="C47" s="31" t="str">
        <f>VLOOKUP(B47,BASE!$A:$B,2,0)</f>
        <v>RIEL W CRUDO</v>
      </c>
      <c r="D47" s="35" t="str">
        <f>VLOOKUP(B47,BASE!$A:$D,3,0)</f>
        <v xml:space="preserve">CRUDO </v>
      </c>
      <c r="E47" s="32" t="str">
        <f>VLOOKUP(B47,BASE!$A:$E,4,0)</f>
        <v>S-479</v>
      </c>
      <c r="F47" s="32">
        <v>2000</v>
      </c>
      <c r="G47" s="23">
        <f t="shared" si="0"/>
        <v>0.33333333333333331</v>
      </c>
    </row>
    <row r="48" spans="1:7" ht="20.25" hidden="1" customHeight="1" x14ac:dyDescent="0.25">
      <c r="A48" s="29">
        <v>5409</v>
      </c>
      <c r="B48" s="45" t="s">
        <v>139</v>
      </c>
      <c r="C48" s="31" t="str">
        <f>VLOOKUP(B48,BASE!$A:$B,2,0)</f>
        <v>8025 SILLAR 707 NEGRO</v>
      </c>
      <c r="D48" s="35" t="str">
        <f>VLOOKUP(B48,BASE!$A:$D,3,0)</f>
        <v>NEGRO</v>
      </c>
      <c r="E48" s="32">
        <f>VLOOKUP(B48,BASE!$A:$E,4,0)</f>
        <v>707</v>
      </c>
      <c r="F48" s="32">
        <v>2700</v>
      </c>
      <c r="G48" s="23">
        <f t="shared" si="0"/>
        <v>0.45</v>
      </c>
    </row>
    <row r="49" spans="1:7" ht="20.25" hidden="1" customHeight="1" x14ac:dyDescent="0.25">
      <c r="A49" s="29">
        <v>5410</v>
      </c>
      <c r="B49" s="45" t="s">
        <v>340</v>
      </c>
      <c r="C49" s="31" t="str">
        <f>VLOOKUP(B49,BASE!$A:$B,2,0)</f>
        <v>8025 CABEZAL 706 NEGRO</v>
      </c>
      <c r="D49" s="35" t="str">
        <f>VLOOKUP(B49,BASE!$A:$D,3,0)</f>
        <v>NEGRO</v>
      </c>
      <c r="E49" s="32">
        <f>VLOOKUP(B49,BASE!$A:$E,4,0)</f>
        <v>706</v>
      </c>
      <c r="F49" s="32">
        <v>2700</v>
      </c>
      <c r="G49" s="23">
        <f t="shared" si="0"/>
        <v>0.45</v>
      </c>
    </row>
    <row r="50" spans="1:7" ht="20.25" hidden="1" customHeight="1" x14ac:dyDescent="0.25">
      <c r="A50" s="29">
        <v>5464</v>
      </c>
      <c r="B50" s="45" t="s">
        <v>723</v>
      </c>
      <c r="C50" s="31" t="str">
        <f>VLOOKUP(B50,BASE!$A:$B,2,0)</f>
        <v>744 JAMBA 1858 TRES RIELES CRUDO</v>
      </c>
      <c r="D50" s="35" t="str">
        <f>VLOOKUP(B50,BASE!$A:$D,3,0)</f>
        <v xml:space="preserve">CRUDO </v>
      </c>
      <c r="E50" s="32">
        <f>VLOOKUP(B50,BASE!$A:$E,4,0)</f>
        <v>1858</v>
      </c>
      <c r="F50" s="32">
        <v>3500</v>
      </c>
      <c r="G50" s="23">
        <f t="shared" si="0"/>
        <v>0.58333333333333337</v>
      </c>
    </row>
    <row r="51" spans="1:7" ht="20.25" hidden="1" customHeight="1" x14ac:dyDescent="0.25">
      <c r="A51" s="29">
        <v>5466</v>
      </c>
      <c r="B51" s="45" t="s">
        <v>565</v>
      </c>
      <c r="C51" s="31" t="str">
        <f>VLOOKUP(B51,BASE!$A:$B,2,0)</f>
        <v>TUBULAR T-101 NEGRO</v>
      </c>
      <c r="D51" s="35" t="str">
        <f>VLOOKUP(B51,BASE!$A:$D,3,0)</f>
        <v>NEGRO</v>
      </c>
      <c r="E51" s="32" t="str">
        <f>VLOOKUP(B51,BASE!$A:$E,4,0)</f>
        <v>T-101</v>
      </c>
      <c r="F51" s="32">
        <v>2100</v>
      </c>
      <c r="G51" s="23">
        <f t="shared" si="0"/>
        <v>0.35</v>
      </c>
    </row>
    <row r="52" spans="1:7" ht="20.25" hidden="1" customHeight="1" x14ac:dyDescent="0.25">
      <c r="A52" s="29">
        <v>5471</v>
      </c>
      <c r="B52" s="45" t="s">
        <v>173</v>
      </c>
      <c r="C52" s="31" t="str">
        <f>VLOOKUP(B52,BASE!$A:$B,2,0)</f>
        <v>8025 SILLAR 707 MATE</v>
      </c>
      <c r="D52" s="35" t="str">
        <f>VLOOKUP(B52,BASE!$A:$D,3,0)</f>
        <v>MATE</v>
      </c>
      <c r="E52" s="32">
        <f>VLOOKUP(B52,BASE!$A:$E,4,0)</f>
        <v>707</v>
      </c>
      <c r="F52" s="32">
        <v>3800</v>
      </c>
      <c r="G52" s="23">
        <f t="shared" si="0"/>
        <v>0.6333333333333333</v>
      </c>
    </row>
    <row r="53" spans="1:7" ht="20.25" hidden="1" customHeight="1" x14ac:dyDescent="0.25">
      <c r="A53" s="29">
        <v>5472</v>
      </c>
      <c r="B53" s="45" t="s">
        <v>140</v>
      </c>
      <c r="C53" s="31" t="str">
        <f>VLOOKUP(B53,BASE!$A:$B,2,0)</f>
        <v>8025 CABEZAL 706 MATE</v>
      </c>
      <c r="D53" s="35" t="str">
        <f>VLOOKUP(B53,BASE!$A:$D,3,0)</f>
        <v>MATE</v>
      </c>
      <c r="E53" s="32">
        <f>VLOOKUP(B53,BASE!$A:$E,4,0)</f>
        <v>706</v>
      </c>
      <c r="F53" s="32">
        <v>3800</v>
      </c>
      <c r="G53" s="23">
        <f t="shared" si="0"/>
        <v>0.6333333333333333</v>
      </c>
    </row>
    <row r="54" spans="1:7" ht="20.25" hidden="1" customHeight="1" x14ac:dyDescent="0.25">
      <c r="A54" s="29">
        <v>5618</v>
      </c>
      <c r="B54" s="45" t="s">
        <v>33</v>
      </c>
      <c r="C54" s="31" t="str">
        <f>VLOOKUP(B54,BASE!$A:$B,2,0)</f>
        <v>ALFAJIA S-332 MATE</v>
      </c>
      <c r="D54" s="35" t="str">
        <f>VLOOKUP(B54,BASE!$A:$D,3,0)</f>
        <v>MATE</v>
      </c>
      <c r="E54" s="32" t="str">
        <f>VLOOKUP(B54,BASE!$A:$E,4,0)</f>
        <v>S-332</v>
      </c>
      <c r="F54" s="32">
        <v>2100</v>
      </c>
      <c r="G54" s="23">
        <f t="shared" si="0"/>
        <v>0.35</v>
      </c>
    </row>
    <row r="55" spans="1:7" ht="20.25" hidden="1" customHeight="1" x14ac:dyDescent="0.25">
      <c r="A55" s="29">
        <v>5630</v>
      </c>
      <c r="B55" s="45" t="s">
        <v>714</v>
      </c>
      <c r="C55" s="31" t="str">
        <f>VLOOKUP(B55,BASE!$A:$B,2,0)</f>
        <v>TUBULAR 1101 BLANCO</v>
      </c>
      <c r="D55" s="35" t="str">
        <f>VLOOKUP(B55,BASE!$A:$D,3,0)</f>
        <v>BLANCO</v>
      </c>
      <c r="E55" s="32">
        <f>VLOOKUP(B55,BASE!$A:$E,4,0)</f>
        <v>1101</v>
      </c>
      <c r="F55" s="32">
        <v>3000</v>
      </c>
      <c r="G55" s="23">
        <f t="shared" si="0"/>
        <v>0.5</v>
      </c>
    </row>
    <row r="56" spans="1:7" ht="20.25" hidden="1" customHeight="1" x14ac:dyDescent="0.25">
      <c r="A56" s="29">
        <v>5638</v>
      </c>
      <c r="B56" s="45" t="s">
        <v>603</v>
      </c>
      <c r="C56" s="31" t="str">
        <f>VLOOKUP(B56,BASE!$A:$B,2,0)</f>
        <v>ALFAJIA 1123 MATE</v>
      </c>
      <c r="D56" s="35" t="str">
        <f>VLOOKUP(B56,BASE!$A:$D,3,0)</f>
        <v>MATE</v>
      </c>
      <c r="E56" s="32">
        <f>VLOOKUP(B56,BASE!$A:$E,4,0)</f>
        <v>1123</v>
      </c>
      <c r="F56" s="32">
        <v>1100</v>
      </c>
      <c r="G56" s="23">
        <f t="shared" si="0"/>
        <v>0.18333333333333332</v>
      </c>
    </row>
    <row r="57" spans="1:7" ht="20.25" hidden="1" customHeight="1" x14ac:dyDescent="0.25">
      <c r="A57" s="29">
        <v>5742</v>
      </c>
      <c r="B57" s="45" t="s">
        <v>602</v>
      </c>
      <c r="C57" s="31" t="str">
        <f>VLOOKUP(B57,BASE!$A:$B,2,0)</f>
        <v>ALFAJIA 1123 BRONCE</v>
      </c>
      <c r="D57" s="35" t="str">
        <f>VLOOKUP(B57,BASE!$A:$D,3,0)</f>
        <v>BRONCE</v>
      </c>
      <c r="E57" s="32">
        <f>VLOOKUP(B57,BASE!$A:$E,4,0)</f>
        <v>1123</v>
      </c>
      <c r="F57" s="32">
        <v>1100</v>
      </c>
      <c r="G57" s="23">
        <f t="shared" si="0"/>
        <v>0.18333333333333332</v>
      </c>
    </row>
    <row r="58" spans="1:7" ht="20.25" hidden="1" customHeight="1" x14ac:dyDescent="0.25">
      <c r="A58" s="29">
        <v>5743</v>
      </c>
      <c r="B58" s="45" t="s">
        <v>605</v>
      </c>
      <c r="C58" s="31" t="str">
        <f>VLOOKUP(B58,BASE!$A:$B,2,0)</f>
        <v>ALFAJIA S-012 BRONCE</v>
      </c>
      <c r="D58" s="35" t="str">
        <f>VLOOKUP(B58,BASE!$A:$D,3,0)</f>
        <v>BRONCE</v>
      </c>
      <c r="E58" s="32" t="str">
        <f>VLOOKUP(B58,BASE!$A:$E,4,0)</f>
        <v>S-012</v>
      </c>
      <c r="F58" s="32">
        <v>1100</v>
      </c>
      <c r="G58" s="23">
        <f t="shared" si="0"/>
        <v>0.18333333333333332</v>
      </c>
    </row>
    <row r="59" spans="1:7" ht="20.25" hidden="1" customHeight="1" x14ac:dyDescent="0.25">
      <c r="A59" s="29">
        <v>5745</v>
      </c>
      <c r="B59" s="45" t="s">
        <v>985</v>
      </c>
      <c r="C59" s="31" t="e">
        <f>VLOOKUP(B59,BASE!$A:$B,2,0)</f>
        <v>#N/A</v>
      </c>
      <c r="D59" s="35" t="e">
        <f>VLOOKUP(B59,BASE!$A:$D,3,0)</f>
        <v>#N/A</v>
      </c>
      <c r="E59" s="32">
        <v>1103</v>
      </c>
      <c r="F59" s="32">
        <v>3900</v>
      </c>
      <c r="G59" s="23">
        <f t="shared" si="0"/>
        <v>0.65</v>
      </c>
    </row>
    <row r="60" spans="1:7" ht="20.25" hidden="1" customHeight="1" x14ac:dyDescent="0.25">
      <c r="A60" s="29">
        <v>5848</v>
      </c>
      <c r="B60" s="45" t="s">
        <v>280</v>
      </c>
      <c r="C60" s="31" t="str">
        <f>VLOOKUP(B60,BASE!$A:$B,2,0)</f>
        <v>8025 ADAPTADOR 158 GRIS PLATA</v>
      </c>
      <c r="D60" s="35" t="str">
        <f>VLOOKUP(B60,BASE!$A:$D,3,0)</f>
        <v>GRIS PLATA</v>
      </c>
      <c r="E60" s="32">
        <f>VLOOKUP(B60,BASE!$A:$E,4,0)</f>
        <v>158</v>
      </c>
      <c r="F60" s="32">
        <v>4900</v>
      </c>
      <c r="G60" s="23">
        <f t="shared" si="0"/>
        <v>0.81666666666666665</v>
      </c>
    </row>
    <row r="61" spans="1:7" ht="20.25" hidden="1" customHeight="1" x14ac:dyDescent="0.25">
      <c r="A61" s="29">
        <v>5854</v>
      </c>
      <c r="B61" s="45" t="s">
        <v>36</v>
      </c>
      <c r="C61" s="31" t="str">
        <f>VLOOKUP(B61,BASE!$A:$B,2,0)</f>
        <v>TUBULAR T-244 GRIS PLATA</v>
      </c>
      <c r="D61" s="35" t="str">
        <f>VLOOKUP(B61,BASE!$A:$D,3,0)</f>
        <v>GRIS PLATA</v>
      </c>
      <c r="E61" s="32" t="str">
        <f>VLOOKUP(B61,BASE!$A:$E,4,0)</f>
        <v>T-244</v>
      </c>
      <c r="F61" s="32">
        <v>2500</v>
      </c>
      <c r="G61" s="23">
        <f t="shared" si="0"/>
        <v>0.41666666666666669</v>
      </c>
    </row>
    <row r="62" spans="1:7" ht="20.25" hidden="1" customHeight="1" x14ac:dyDescent="0.25">
      <c r="A62" s="29">
        <v>5941</v>
      </c>
      <c r="B62" s="45" t="s">
        <v>646</v>
      </c>
      <c r="C62" s="31" t="str">
        <f>VLOOKUP(B62,BASE!$A:$B,2,0)</f>
        <v>5020 SILLAR ALFAJIA 581 BRONCE</v>
      </c>
      <c r="D62" s="35" t="str">
        <f>VLOOKUP(B62,BASE!$A:$D,3,0)</f>
        <v>BRONCE</v>
      </c>
      <c r="E62" s="32">
        <f>VLOOKUP(B62,BASE!$A:$E,4,0)</f>
        <v>581</v>
      </c>
      <c r="F62" s="32">
        <v>1100</v>
      </c>
      <c r="G62" s="23">
        <f t="shared" si="0"/>
        <v>0.18333333333333332</v>
      </c>
    </row>
    <row r="63" spans="1:7" ht="20.25" hidden="1" customHeight="1" x14ac:dyDescent="0.25">
      <c r="A63" s="29">
        <v>6004</v>
      </c>
      <c r="B63" s="45" t="s">
        <v>515</v>
      </c>
      <c r="C63" s="31" t="str">
        <f>VLOOKUP(B63,BASE!$A:$B,2,0)</f>
        <v>5020 TRASLAPE 192 BRONCE</v>
      </c>
      <c r="D63" s="35" t="str">
        <f>VLOOKUP(B63,BASE!$A:$D,3,0)</f>
        <v>BRONCE</v>
      </c>
      <c r="E63" s="32">
        <f>VLOOKUP(B63,BASE!$A:$E,4,0)</f>
        <v>192</v>
      </c>
      <c r="F63" s="32">
        <v>6000</v>
      </c>
      <c r="G63" s="23">
        <f t="shared" si="0"/>
        <v>1</v>
      </c>
    </row>
    <row r="64" spans="1:7" ht="20.25" hidden="1" customHeight="1" x14ac:dyDescent="0.25">
      <c r="A64" s="29">
        <v>6115</v>
      </c>
      <c r="B64" s="45" t="s">
        <v>475</v>
      </c>
      <c r="C64" s="31" t="str">
        <f>VLOOKUP(B64,BASE!$A:$B,2,0)</f>
        <v>8025 SILLAR 150 GRIS PLATA</v>
      </c>
      <c r="D64" s="35" t="str">
        <f>VLOOKUP(B64,BASE!$A:$D,3,0)</f>
        <v>GRIS PLATA</v>
      </c>
      <c r="E64" s="32">
        <f>VLOOKUP(B64,BASE!$A:$E,4,0)</f>
        <v>150</v>
      </c>
      <c r="F64" s="32">
        <v>1200</v>
      </c>
      <c r="G64" s="23">
        <f t="shared" si="0"/>
        <v>0.2</v>
      </c>
    </row>
    <row r="65" spans="1:7" ht="20.25" hidden="1" customHeight="1" x14ac:dyDescent="0.25">
      <c r="A65" s="29">
        <v>6116</v>
      </c>
      <c r="B65" s="45" t="s">
        <v>18</v>
      </c>
      <c r="C65" s="31" t="str">
        <f>VLOOKUP(B65,BASE!$A:$B,2,0)</f>
        <v>8025 CABEZAL 151 GRIS PLATA</v>
      </c>
      <c r="D65" s="35" t="str">
        <f>VLOOKUP(B65,BASE!$A:$D,3,0)</f>
        <v>GRIS PLATA</v>
      </c>
      <c r="E65" s="32">
        <f>VLOOKUP(B65,BASE!$A:$E,4,0)</f>
        <v>151</v>
      </c>
      <c r="F65" s="32">
        <v>1200</v>
      </c>
      <c r="G65" s="23">
        <f t="shared" si="0"/>
        <v>0.2</v>
      </c>
    </row>
    <row r="66" spans="1:7" ht="20.25" hidden="1" customHeight="1" x14ac:dyDescent="0.25">
      <c r="A66" s="29">
        <v>6117</v>
      </c>
      <c r="B66" s="45" t="s">
        <v>18</v>
      </c>
      <c r="C66" s="31" t="str">
        <f>VLOOKUP(B66,BASE!$A:$B,2,0)</f>
        <v>8025 CABEZAL 151 GRIS PLATA</v>
      </c>
      <c r="D66" s="35" t="str">
        <f>VLOOKUP(B66,BASE!$A:$D,3,0)</f>
        <v>GRIS PLATA</v>
      </c>
      <c r="E66" s="32">
        <f>VLOOKUP(B66,BASE!$A:$E,4,0)</f>
        <v>151</v>
      </c>
      <c r="F66" s="32">
        <v>1200</v>
      </c>
      <c r="G66" s="23">
        <f t="shared" si="0"/>
        <v>0.2</v>
      </c>
    </row>
    <row r="67" spans="1:7" ht="20.25" hidden="1" customHeight="1" x14ac:dyDescent="0.25">
      <c r="A67" s="29">
        <v>6118</v>
      </c>
      <c r="B67" s="45" t="s">
        <v>730</v>
      </c>
      <c r="C67" s="31" t="str">
        <f>VLOOKUP(B67,BASE!$A:$B,2,0)</f>
        <v>8025 ENGANCHE 191 GRIS PLATA</v>
      </c>
      <c r="D67" s="35" t="str">
        <f>VLOOKUP(B67,BASE!$A:$D,3,0)</f>
        <v>GRIS PLATA</v>
      </c>
      <c r="E67" s="32">
        <f>VLOOKUP(B67,BASE!$A:$E,4,0)</f>
        <v>191</v>
      </c>
      <c r="F67" s="32">
        <v>1300</v>
      </c>
      <c r="G67" s="23">
        <f t="shared" ref="G67:G130" si="1">+F67/6000</f>
        <v>0.21666666666666667</v>
      </c>
    </row>
    <row r="68" spans="1:7" ht="20.25" hidden="1" customHeight="1" x14ac:dyDescent="0.25">
      <c r="A68" s="29">
        <v>6119</v>
      </c>
      <c r="B68" s="45" t="s">
        <v>730</v>
      </c>
      <c r="C68" s="31" t="str">
        <f>VLOOKUP(B68,BASE!$A:$B,2,0)</f>
        <v>8025 ENGANCHE 191 GRIS PLATA</v>
      </c>
      <c r="D68" s="35" t="str">
        <f>VLOOKUP(B68,BASE!$A:$D,3,0)</f>
        <v>GRIS PLATA</v>
      </c>
      <c r="E68" s="32">
        <f>VLOOKUP(B68,BASE!$A:$E,4,0)</f>
        <v>191</v>
      </c>
      <c r="F68" s="32">
        <v>1300</v>
      </c>
      <c r="G68" s="23">
        <f t="shared" si="1"/>
        <v>0.21666666666666667</v>
      </c>
    </row>
    <row r="69" spans="1:7" ht="20.25" hidden="1" customHeight="1" x14ac:dyDescent="0.25">
      <c r="A69" s="29">
        <v>6120</v>
      </c>
      <c r="B69" s="45" t="s">
        <v>730</v>
      </c>
      <c r="C69" s="31" t="str">
        <f>VLOOKUP(B69,BASE!$A:$B,2,0)</f>
        <v>8025 ENGANCHE 191 GRIS PLATA</v>
      </c>
      <c r="D69" s="35" t="str">
        <f>VLOOKUP(B69,BASE!$A:$D,3,0)</f>
        <v>GRIS PLATA</v>
      </c>
      <c r="E69" s="32">
        <f>VLOOKUP(B69,BASE!$A:$E,4,0)</f>
        <v>191</v>
      </c>
      <c r="F69" s="32">
        <v>1300</v>
      </c>
      <c r="G69" s="23">
        <f t="shared" si="1"/>
        <v>0.21666666666666667</v>
      </c>
    </row>
    <row r="70" spans="1:7" ht="20.25" hidden="1" customHeight="1" x14ac:dyDescent="0.25">
      <c r="A70" s="29">
        <v>6121</v>
      </c>
      <c r="B70" s="45" t="s">
        <v>730</v>
      </c>
      <c r="C70" s="31" t="str">
        <f>VLOOKUP(B70,BASE!$A:$B,2,0)</f>
        <v>8025 ENGANCHE 191 GRIS PLATA</v>
      </c>
      <c r="D70" s="35" t="str">
        <f>VLOOKUP(B70,BASE!$A:$D,3,0)</f>
        <v>GRIS PLATA</v>
      </c>
      <c r="E70" s="32">
        <f>VLOOKUP(B70,BASE!$A:$E,4,0)</f>
        <v>191</v>
      </c>
      <c r="F70" s="32">
        <v>1300</v>
      </c>
      <c r="G70" s="23">
        <f t="shared" si="1"/>
        <v>0.21666666666666667</v>
      </c>
    </row>
    <row r="71" spans="1:7" ht="20.25" hidden="1" customHeight="1" x14ac:dyDescent="0.25">
      <c r="A71" s="29">
        <v>6143</v>
      </c>
      <c r="B71" s="45" t="s">
        <v>3</v>
      </c>
      <c r="C71" s="31" t="str">
        <f>VLOOKUP(B71,BASE!$A:$B,2,0)</f>
        <v>744 ADAPTADOR 403 GRIS PLATA</v>
      </c>
      <c r="D71" s="35" t="str">
        <f>VLOOKUP(B71,BASE!$A:$D,3,0)</f>
        <v>GRIS PLATA</v>
      </c>
      <c r="E71" s="32">
        <f>VLOOKUP(B71,BASE!$A:$E,4,0)</f>
        <v>403</v>
      </c>
      <c r="F71" s="32">
        <v>3900</v>
      </c>
      <c r="G71" s="23">
        <f t="shared" si="1"/>
        <v>0.65</v>
      </c>
    </row>
    <row r="72" spans="1:7" ht="20.25" hidden="1" customHeight="1" x14ac:dyDescent="0.25">
      <c r="A72" s="29">
        <v>6349</v>
      </c>
      <c r="B72" s="34" t="s">
        <v>35</v>
      </c>
      <c r="C72" s="31" t="str">
        <f>VLOOKUP(B72,BASE!$A:$B,2,0)</f>
        <v>ALFAJIA S-332 BRONCE</v>
      </c>
      <c r="D72" s="35" t="str">
        <f>VLOOKUP(B72,BASE!$A:$D,3,0)</f>
        <v>BRONCE</v>
      </c>
      <c r="E72" s="32" t="str">
        <f>VLOOKUP(B72,BASE!$A:$E,4,0)</f>
        <v>S-332</v>
      </c>
      <c r="F72" s="32">
        <v>1200</v>
      </c>
      <c r="G72" s="23">
        <f t="shared" si="1"/>
        <v>0.2</v>
      </c>
    </row>
    <row r="73" spans="1:7" ht="20.25" hidden="1" customHeight="1" x14ac:dyDescent="0.25">
      <c r="A73" s="29">
        <v>6382</v>
      </c>
      <c r="B73" s="34" t="s">
        <v>589</v>
      </c>
      <c r="C73" s="31" t="str">
        <f>VLOOKUP(B73,BASE!$A:$B,2,0)</f>
        <v>U68 BRONCE</v>
      </c>
      <c r="D73" s="35" t="str">
        <f>VLOOKUP(B73,BASE!$A:$D,3,0)</f>
        <v>BRONCE</v>
      </c>
      <c r="E73" s="32" t="str">
        <f>VLOOKUP(B73,BASE!$A:$E,4,0)</f>
        <v>U-68</v>
      </c>
      <c r="F73" s="32">
        <v>6000</v>
      </c>
      <c r="G73" s="23">
        <f t="shared" si="1"/>
        <v>1</v>
      </c>
    </row>
    <row r="74" spans="1:7" ht="20.25" hidden="1" customHeight="1" x14ac:dyDescent="0.25">
      <c r="A74" s="29">
        <v>6420</v>
      </c>
      <c r="B74" s="34" t="s">
        <v>706</v>
      </c>
      <c r="C74" s="31" t="str">
        <f>VLOOKUP(B74,BASE!$A:$B,2,0)</f>
        <v>TUBULAR 1102 NEGRO</v>
      </c>
      <c r="D74" s="35" t="str">
        <f>VLOOKUP(B74,BASE!$A:$D,3,0)</f>
        <v>NEGRO</v>
      </c>
      <c r="E74" s="32">
        <f>VLOOKUP(B74,BASE!$A:$E,4,0)</f>
        <v>1102</v>
      </c>
      <c r="F74" s="32">
        <v>1100</v>
      </c>
      <c r="G74" s="23">
        <f t="shared" si="1"/>
        <v>0.18333333333333332</v>
      </c>
    </row>
    <row r="75" spans="1:7" ht="20.25" hidden="1" customHeight="1" x14ac:dyDescent="0.25">
      <c r="A75" s="29">
        <v>6470</v>
      </c>
      <c r="B75" s="34" t="s">
        <v>309</v>
      </c>
      <c r="C75" s="31" t="str">
        <f>VLOOKUP(B75,BASE!$A:$B,2,0)</f>
        <v>ANGULO A-01 GRIS PLATA (1/2 X 1/2)</v>
      </c>
      <c r="D75" s="35" t="str">
        <f>VLOOKUP(B75,BASE!$A:$D,3,0)</f>
        <v>GRIS PLATA</v>
      </c>
      <c r="E75" s="32" t="str">
        <f>VLOOKUP(B75,BASE!$A:$E,4,0)</f>
        <v>A-01</v>
      </c>
      <c r="F75" s="32">
        <v>3000</v>
      </c>
      <c r="G75" s="23">
        <f t="shared" si="1"/>
        <v>0.5</v>
      </c>
    </row>
    <row r="76" spans="1:7" ht="20.25" hidden="1" customHeight="1" x14ac:dyDescent="0.25">
      <c r="A76" s="29">
        <v>6554</v>
      </c>
      <c r="B76" s="34" t="s">
        <v>148</v>
      </c>
      <c r="C76" s="31" t="str">
        <f>VLOOKUP(B76,BASE!$A:$B,2,0)</f>
        <v>U-089 MATE</v>
      </c>
      <c r="D76" s="35" t="str">
        <f>VLOOKUP(B76,BASE!$A:$D,3,0)</f>
        <v>MATE</v>
      </c>
      <c r="E76" s="32" t="str">
        <f>VLOOKUP(B76,BASE!$A:$E,4,0)</f>
        <v>U-89</v>
      </c>
      <c r="F76" s="32">
        <v>1200</v>
      </c>
      <c r="G76" s="23">
        <f t="shared" si="1"/>
        <v>0.2</v>
      </c>
    </row>
    <row r="77" spans="1:7" ht="20.25" hidden="1" customHeight="1" x14ac:dyDescent="0.25">
      <c r="A77" s="29">
        <v>6586</v>
      </c>
      <c r="B77" s="34" t="s">
        <v>186</v>
      </c>
      <c r="C77" s="31" t="str">
        <f>VLOOKUP(B77,BASE!$A:$B,2,0)</f>
        <v>5020 ENGANCHE 147 BLANCO</v>
      </c>
      <c r="D77" s="35" t="str">
        <f>VLOOKUP(B77,BASE!$A:$D,3,0)</f>
        <v>BLANCO</v>
      </c>
      <c r="E77" s="32">
        <f>VLOOKUP(B77,BASE!$A:$E,4,0)</f>
        <v>147</v>
      </c>
      <c r="F77" s="32">
        <v>800</v>
      </c>
      <c r="G77" s="23">
        <f t="shared" si="1"/>
        <v>0.13333333333333333</v>
      </c>
    </row>
    <row r="78" spans="1:7" ht="20.25" hidden="1" customHeight="1" x14ac:dyDescent="0.25">
      <c r="A78" s="29">
        <v>6587</v>
      </c>
      <c r="B78" s="34" t="s">
        <v>109</v>
      </c>
      <c r="C78" s="31" t="str">
        <f>VLOOKUP(B78,BASE!$A:$B,2,0)</f>
        <v>5020 ENGANCHE 147 BRONCE</v>
      </c>
      <c r="D78" s="35" t="str">
        <f>VLOOKUP(B78,BASE!$A:$D,3,0)</f>
        <v>BRONCE</v>
      </c>
      <c r="E78" s="32">
        <f>VLOOKUP(B78,BASE!$A:$E,4,0)</f>
        <v>147</v>
      </c>
      <c r="F78" s="32">
        <v>800</v>
      </c>
      <c r="G78" s="23">
        <f t="shared" si="1"/>
        <v>0.13333333333333333</v>
      </c>
    </row>
    <row r="79" spans="1:7" ht="20.25" hidden="1" customHeight="1" x14ac:dyDescent="0.25">
      <c r="A79" s="29">
        <v>6612</v>
      </c>
      <c r="B79" s="42" t="s">
        <v>492</v>
      </c>
      <c r="C79" s="31" t="str">
        <f>VLOOKUP(B79,BASE!$A:$B,2,0)</f>
        <v>8025 SILLAR 707 BRONCE</v>
      </c>
      <c r="D79" s="35" t="str">
        <f>VLOOKUP(B79,BASE!$A:$D,3,0)</f>
        <v>BRONCE</v>
      </c>
      <c r="E79" s="32">
        <f>VLOOKUP(B79,BASE!$A:$E,4,0)</f>
        <v>707</v>
      </c>
      <c r="F79" s="32">
        <v>4100</v>
      </c>
      <c r="G79" s="23">
        <f t="shared" si="1"/>
        <v>0.68333333333333335</v>
      </c>
    </row>
    <row r="80" spans="1:7" ht="20.25" hidden="1" customHeight="1" x14ac:dyDescent="0.25">
      <c r="A80" s="29">
        <v>6613</v>
      </c>
      <c r="B80" s="42" t="s">
        <v>332</v>
      </c>
      <c r="C80" s="31" t="str">
        <f>VLOOKUP(B80,BASE!$A:$B,2,0)</f>
        <v>8025 CABEZAL 706 BRONCE</v>
      </c>
      <c r="D80" s="35" t="str">
        <f>VLOOKUP(B80,BASE!$A:$D,3,0)</f>
        <v>BRONCE</v>
      </c>
      <c r="E80" s="32">
        <f>VLOOKUP(B80,BASE!$A:$E,4,0)</f>
        <v>706</v>
      </c>
      <c r="F80" s="32">
        <v>4100</v>
      </c>
      <c r="G80" s="23">
        <f t="shared" si="1"/>
        <v>0.68333333333333335</v>
      </c>
    </row>
    <row r="81" spans="1:7" ht="20.25" hidden="1" customHeight="1" x14ac:dyDescent="0.25">
      <c r="A81" s="29">
        <v>6626</v>
      </c>
      <c r="B81" s="42" t="s">
        <v>95</v>
      </c>
      <c r="C81" s="31" t="str">
        <f>VLOOKUP(B81,BASE!$A:$B,2,0)</f>
        <v xml:space="preserve">PERFIL MOSQUITERO M-364 </v>
      </c>
      <c r="D81" s="35" t="str">
        <f>VLOOKUP(B81,BASE!$A:$D,3,0)</f>
        <v xml:space="preserve">CRUDO </v>
      </c>
      <c r="E81" s="32" t="str">
        <f>VLOOKUP(B81,BASE!$A:$E,4,0)</f>
        <v>M-364</v>
      </c>
      <c r="F81" s="32">
        <v>2300</v>
      </c>
      <c r="G81" s="23">
        <f t="shared" si="1"/>
        <v>0.38333333333333336</v>
      </c>
    </row>
    <row r="82" spans="1:7" ht="20.25" hidden="1" customHeight="1" x14ac:dyDescent="0.25">
      <c r="A82" s="29">
        <v>6678</v>
      </c>
      <c r="B82" s="42" t="s">
        <v>436</v>
      </c>
      <c r="C82" s="31" t="str">
        <f>VLOOKUP(B82,BASE!$A:$B,2,0)</f>
        <v>8025 JAMBA 152 BRONCE</v>
      </c>
      <c r="D82" s="35" t="str">
        <f>VLOOKUP(B82,BASE!$A:$D,3,0)</f>
        <v>BRONCE</v>
      </c>
      <c r="E82" s="32">
        <f>VLOOKUP(B82,BASE!$A:$E,4,0)</f>
        <v>152</v>
      </c>
      <c r="F82" s="32">
        <v>1400</v>
      </c>
      <c r="G82" s="23">
        <f t="shared" si="1"/>
        <v>0.23333333333333334</v>
      </c>
    </row>
    <row r="83" spans="1:7" ht="20.25" hidden="1" customHeight="1" x14ac:dyDescent="0.25">
      <c r="A83" s="29">
        <v>6679</v>
      </c>
      <c r="B83" s="42" t="s">
        <v>384</v>
      </c>
      <c r="C83" s="31" t="str">
        <f>VLOOKUP(B83,BASE!$A:$B,2,0)</f>
        <v>3831 ESQUINERO 416 NEGRO</v>
      </c>
      <c r="D83" s="35" t="str">
        <f>VLOOKUP(B83,BASE!$A:$D,3,0)</f>
        <v>NEGRO</v>
      </c>
      <c r="E83" s="32">
        <f>VLOOKUP(B83,BASE!$A:$E,4,0)</f>
        <v>416</v>
      </c>
      <c r="F83" s="32">
        <v>800</v>
      </c>
      <c r="G83" s="23">
        <f t="shared" si="1"/>
        <v>0.13333333333333333</v>
      </c>
    </row>
    <row r="84" spans="1:7" ht="20.25" hidden="1" customHeight="1" x14ac:dyDescent="0.25">
      <c r="A84" s="29">
        <v>6687</v>
      </c>
      <c r="B84" s="42" t="s">
        <v>489</v>
      </c>
      <c r="C84" s="31" t="str">
        <f>VLOOKUP(B84,BASE!$A:$B,2,0)</f>
        <v>5020 SILLAR 194 BRONCE</v>
      </c>
      <c r="D84" s="35" t="str">
        <f>VLOOKUP(B84,BASE!$A:$D,3,0)</f>
        <v>BRONCE</v>
      </c>
      <c r="E84" s="32">
        <f>VLOOKUP(B84,BASE!$A:$E,4,0)</f>
        <v>194</v>
      </c>
      <c r="F84" s="32">
        <v>600</v>
      </c>
      <c r="G84" s="23">
        <f t="shared" si="1"/>
        <v>0.1</v>
      </c>
    </row>
    <row r="85" spans="1:7" ht="20.25" hidden="1" customHeight="1" x14ac:dyDescent="0.25">
      <c r="A85" s="29">
        <v>6734</v>
      </c>
      <c r="B85" s="42" t="s">
        <v>8</v>
      </c>
      <c r="C85" s="31" t="str">
        <f>VLOOKUP(B85,BASE!$A:$B,2,0)</f>
        <v>3831 DIVISOR 292 BRONCE</v>
      </c>
      <c r="D85" s="35" t="str">
        <f>VLOOKUP(B85,BASE!$A:$D,3,0)</f>
        <v>BRONCE</v>
      </c>
      <c r="E85" s="32">
        <f>VLOOKUP(B85,BASE!$A:$E,4,0)</f>
        <v>292</v>
      </c>
      <c r="F85" s="32">
        <v>6000</v>
      </c>
      <c r="G85" s="23">
        <f t="shared" si="1"/>
        <v>1</v>
      </c>
    </row>
    <row r="86" spans="1:7" ht="20.25" hidden="1" customHeight="1" x14ac:dyDescent="0.25">
      <c r="A86" s="29">
        <v>6735</v>
      </c>
      <c r="B86" s="31" t="s">
        <v>42</v>
      </c>
      <c r="C86" s="31" t="str">
        <f>VLOOKUP(B86,BASE!$A:$B,2,0)</f>
        <v>3831 SILLAR CABEZAL 173 BRONCE</v>
      </c>
      <c r="D86" s="35" t="str">
        <f>VLOOKUP(B86,BASE!$A:$D,3,0)</f>
        <v>BRONCE</v>
      </c>
      <c r="E86" s="32">
        <f>VLOOKUP(B86,BASE!$A:$E,4,0)</f>
        <v>173</v>
      </c>
      <c r="F86" s="32">
        <v>6000</v>
      </c>
      <c r="G86" s="23">
        <f t="shared" si="1"/>
        <v>1</v>
      </c>
    </row>
    <row r="87" spans="1:7" ht="20.25" hidden="1" customHeight="1" x14ac:dyDescent="0.25">
      <c r="A87" s="29">
        <v>6761</v>
      </c>
      <c r="B87" s="42" t="s">
        <v>714</v>
      </c>
      <c r="C87" s="31" t="str">
        <f>VLOOKUP(B87,BASE!$A:$B,2,0)</f>
        <v>TUBULAR 1101 BLANCO</v>
      </c>
      <c r="D87" s="35" t="str">
        <f>VLOOKUP(B87,BASE!$A:$D,3,0)</f>
        <v>BLANCO</v>
      </c>
      <c r="E87" s="32">
        <f>VLOOKUP(B87,BASE!$A:$E,4,0)</f>
        <v>1101</v>
      </c>
      <c r="F87" s="32">
        <v>3200</v>
      </c>
      <c r="G87" s="23">
        <f t="shared" si="1"/>
        <v>0.53333333333333333</v>
      </c>
    </row>
    <row r="88" spans="1:7" ht="20.25" hidden="1" customHeight="1" x14ac:dyDescent="0.25">
      <c r="A88" s="29">
        <v>6784</v>
      </c>
      <c r="B88" s="42" t="s">
        <v>372</v>
      </c>
      <c r="C88" s="31" t="str">
        <f>VLOOKUP(B88,BASE!$A:$B,2,0)</f>
        <v>8025 ENGANCHE 191 BRONCE</v>
      </c>
      <c r="D88" s="35" t="str">
        <f>VLOOKUP(B88,BASE!$A:$D,3,0)</f>
        <v>BRONCE</v>
      </c>
      <c r="E88" s="32">
        <f>VLOOKUP(B88,BASE!$A:$E,4,0)</f>
        <v>191</v>
      </c>
      <c r="F88" s="32">
        <v>1200</v>
      </c>
      <c r="G88" s="23">
        <f t="shared" si="1"/>
        <v>0.2</v>
      </c>
    </row>
    <row r="89" spans="1:7" ht="20.25" hidden="1" customHeight="1" x14ac:dyDescent="0.25">
      <c r="A89" s="29">
        <v>6785</v>
      </c>
      <c r="B89" s="42" t="s">
        <v>436</v>
      </c>
      <c r="C89" s="31" t="str">
        <f>VLOOKUP(B89,BASE!$A:$B,2,0)</f>
        <v>8025 JAMBA 152 BRONCE</v>
      </c>
      <c r="D89" s="35" t="str">
        <f>VLOOKUP(B89,BASE!$A:$D,3,0)</f>
        <v>BRONCE</v>
      </c>
      <c r="E89" s="32">
        <f>VLOOKUP(B89,BASE!$A:$E,4,0)</f>
        <v>152</v>
      </c>
      <c r="F89" s="32">
        <v>1200</v>
      </c>
      <c r="G89" s="23">
        <f t="shared" si="1"/>
        <v>0.2</v>
      </c>
    </row>
    <row r="90" spans="1:7" ht="20.25" hidden="1" customHeight="1" x14ac:dyDescent="0.25">
      <c r="A90" s="29">
        <v>6810</v>
      </c>
      <c r="B90" s="45" t="s">
        <v>42</v>
      </c>
      <c r="C90" s="31" t="str">
        <f>VLOOKUP(B90,BASE!$A:$B,2,0)</f>
        <v>3831 SILLAR CABEZAL 173 BRONCE</v>
      </c>
      <c r="D90" s="35" t="str">
        <f>VLOOKUP(B90,BASE!$A:$D,3,0)</f>
        <v>BRONCE</v>
      </c>
      <c r="E90" s="32">
        <f>VLOOKUP(B90,BASE!$A:$E,4,0)</f>
        <v>173</v>
      </c>
      <c r="F90" s="32">
        <v>600</v>
      </c>
      <c r="G90" s="23">
        <f t="shared" si="1"/>
        <v>0.1</v>
      </c>
    </row>
    <row r="91" spans="1:7" ht="20.25" hidden="1" customHeight="1" x14ac:dyDescent="0.25">
      <c r="A91" s="29">
        <v>6813</v>
      </c>
      <c r="B91" s="45" t="s">
        <v>8</v>
      </c>
      <c r="C91" s="31" t="str">
        <f>VLOOKUP(B91,BASE!$A:$B,2,0)</f>
        <v>3831 DIVISOR 292 BRONCE</v>
      </c>
      <c r="D91" s="35" t="str">
        <f>VLOOKUP(B91,BASE!$A:$D,3,0)</f>
        <v>BRONCE</v>
      </c>
      <c r="E91" s="32">
        <f>VLOOKUP(B91,BASE!$A:$E,4,0)</f>
        <v>292</v>
      </c>
      <c r="F91" s="32">
        <v>6000</v>
      </c>
      <c r="G91" s="23">
        <f t="shared" si="1"/>
        <v>1</v>
      </c>
    </row>
    <row r="92" spans="1:7" ht="20.25" hidden="1" customHeight="1" x14ac:dyDescent="0.25">
      <c r="A92" s="29">
        <v>6815</v>
      </c>
      <c r="B92" s="45" t="s">
        <v>61</v>
      </c>
      <c r="C92" s="31" t="str">
        <f>VLOOKUP(B92,BASE!$A:$B,2,0)</f>
        <v>3831 JAMBA 174 BRONCE</v>
      </c>
      <c r="D92" s="35" t="str">
        <f>VLOOKUP(B92,BASE!$A:$D,3,0)</f>
        <v>BRONCE</v>
      </c>
      <c r="E92" s="32">
        <f>VLOOKUP(B92,BASE!$A:$E,4,0)</f>
        <v>174</v>
      </c>
      <c r="F92" s="32">
        <v>6000</v>
      </c>
      <c r="G92" s="23">
        <f t="shared" si="1"/>
        <v>1</v>
      </c>
    </row>
    <row r="93" spans="1:7" ht="20.25" hidden="1" customHeight="1" x14ac:dyDescent="0.25">
      <c r="A93" s="29">
        <v>6882</v>
      </c>
      <c r="B93" s="45" t="s">
        <v>184</v>
      </c>
      <c r="C93" s="31" t="str">
        <f>VLOOKUP(B93,BASE!$A:$B,2,0)</f>
        <v>5020 SILLAR 194 BLANCO</v>
      </c>
      <c r="D93" s="35" t="str">
        <f>VLOOKUP(B93,BASE!$A:$D,3,0)</f>
        <v>BLANCO</v>
      </c>
      <c r="E93" s="32">
        <f>VLOOKUP(B93,BASE!$A:$E,4,0)</f>
        <v>194</v>
      </c>
      <c r="F93" s="32">
        <v>4500</v>
      </c>
      <c r="G93" s="23">
        <f t="shared" si="1"/>
        <v>0.75</v>
      </c>
    </row>
    <row r="94" spans="1:7" ht="20.25" hidden="1" customHeight="1" x14ac:dyDescent="0.25">
      <c r="A94" s="29">
        <v>6883</v>
      </c>
      <c r="B94" s="45" t="s">
        <v>183</v>
      </c>
      <c r="C94" s="31" t="str">
        <f>VLOOKUP(B94,BASE!$A:$B,2,0)</f>
        <v>5020 CABEZAL 144 BLANCO</v>
      </c>
      <c r="D94" s="35" t="str">
        <f>VLOOKUP(B94,BASE!$A:$D,3,0)</f>
        <v>BLANCO</v>
      </c>
      <c r="E94" s="32">
        <f>VLOOKUP(B94,BASE!$A:$E,4,0)</f>
        <v>144</v>
      </c>
      <c r="F94" s="32">
        <v>4500</v>
      </c>
      <c r="G94" s="23">
        <f t="shared" si="1"/>
        <v>0.75</v>
      </c>
    </row>
    <row r="95" spans="1:7" ht="20.25" hidden="1" customHeight="1" x14ac:dyDescent="0.25">
      <c r="A95" s="29">
        <v>6884</v>
      </c>
      <c r="B95" s="45" t="s">
        <v>493</v>
      </c>
      <c r="C95" s="31" t="str">
        <f>VLOOKUP(B95,BASE!$A:$B,2,0)</f>
        <v>8025 SILLAR 150 BRONCE</v>
      </c>
      <c r="D95" s="35" t="str">
        <f>VLOOKUP(B95,BASE!$A:$D,3,0)</f>
        <v>BRONCE</v>
      </c>
      <c r="E95" s="32">
        <f>VLOOKUP(B95,BASE!$A:$E,4,0)</f>
        <v>150</v>
      </c>
      <c r="F95" s="32">
        <v>4100</v>
      </c>
      <c r="G95" s="23">
        <f t="shared" si="1"/>
        <v>0.68333333333333335</v>
      </c>
    </row>
    <row r="96" spans="1:7" ht="20.25" hidden="1" customHeight="1" x14ac:dyDescent="0.25">
      <c r="A96" s="29">
        <v>6893</v>
      </c>
      <c r="B96" s="45" t="s">
        <v>492</v>
      </c>
      <c r="C96" s="31" t="str">
        <f>VLOOKUP(B96,BASE!$A:$B,2,0)</f>
        <v>8025 SILLAR 707 BRONCE</v>
      </c>
      <c r="D96" s="35" t="str">
        <f>VLOOKUP(B96,BASE!$A:$D,3,0)</f>
        <v>BRONCE</v>
      </c>
      <c r="E96" s="32">
        <f>VLOOKUP(B96,BASE!$A:$E,4,0)</f>
        <v>707</v>
      </c>
      <c r="F96" s="32">
        <v>3600</v>
      </c>
      <c r="G96" s="23">
        <f t="shared" si="1"/>
        <v>0.6</v>
      </c>
    </row>
    <row r="97" spans="1:7" ht="20.25" hidden="1" customHeight="1" x14ac:dyDescent="0.25">
      <c r="A97" s="29">
        <v>6894</v>
      </c>
      <c r="B97" s="45" t="s">
        <v>332</v>
      </c>
      <c r="C97" s="31" t="str">
        <f>VLOOKUP(B97,BASE!$A:$B,2,0)</f>
        <v>8025 CABEZAL 706 BRONCE</v>
      </c>
      <c r="D97" s="35" t="str">
        <f>VLOOKUP(B97,BASE!$A:$D,3,0)</f>
        <v>BRONCE</v>
      </c>
      <c r="E97" s="32">
        <f>VLOOKUP(B97,BASE!$A:$E,4,0)</f>
        <v>706</v>
      </c>
      <c r="F97" s="32">
        <v>3600</v>
      </c>
      <c r="G97" s="23">
        <f t="shared" si="1"/>
        <v>0.6</v>
      </c>
    </row>
    <row r="98" spans="1:7" ht="20.25" hidden="1" customHeight="1" x14ac:dyDescent="0.25">
      <c r="A98" s="29">
        <v>6895</v>
      </c>
      <c r="B98" s="45" t="s">
        <v>736</v>
      </c>
      <c r="C98" s="31" t="str">
        <f>VLOOKUP(B98,BASE!$A:$B,2,0)</f>
        <v>7038 SILLAR 701 BRONCE</v>
      </c>
      <c r="D98" s="35" t="str">
        <f>VLOOKUP(B98,BASE!$A:$D,3,0)</f>
        <v>BRONCE</v>
      </c>
      <c r="E98" s="32">
        <f>VLOOKUP(B98,BASE!$A:$E,4,0)</f>
        <v>701</v>
      </c>
      <c r="F98" s="32">
        <v>3500</v>
      </c>
      <c r="G98" s="23">
        <f t="shared" si="1"/>
        <v>0.58333333333333337</v>
      </c>
    </row>
    <row r="99" spans="1:7" ht="20.25" hidden="1" customHeight="1" x14ac:dyDescent="0.25">
      <c r="A99" s="29">
        <v>6903</v>
      </c>
      <c r="B99" s="45" t="s">
        <v>617</v>
      </c>
      <c r="C99" s="31" t="str">
        <f>VLOOKUP(B99,BASE!$A:$B,2,0)</f>
        <v>FALSA RETICULA 511 BRONCE</v>
      </c>
      <c r="D99" s="35" t="str">
        <f>VLOOKUP(B99,BASE!$A:$D,3,0)</f>
        <v>BRONCE</v>
      </c>
      <c r="E99" s="32">
        <f>VLOOKUP(B99,BASE!$A:$E,4,0)</f>
        <v>511</v>
      </c>
      <c r="F99" s="32">
        <v>3900</v>
      </c>
      <c r="G99" s="23">
        <f t="shared" si="1"/>
        <v>0.65</v>
      </c>
    </row>
    <row r="100" spans="1:7" ht="20.25" hidden="1" customHeight="1" x14ac:dyDescent="0.25">
      <c r="A100" s="29">
        <v>6905</v>
      </c>
      <c r="B100" s="45" t="s">
        <v>61</v>
      </c>
      <c r="C100" s="31" t="str">
        <f>VLOOKUP(B100,BASE!$A:$B,2,0)</f>
        <v>3831 JAMBA 174 BRONCE</v>
      </c>
      <c r="D100" s="35" t="str">
        <f>VLOOKUP(B100,BASE!$A:$D,3,0)</f>
        <v>BRONCE</v>
      </c>
      <c r="E100" s="32">
        <f>VLOOKUP(B100,BASE!$A:$E,4,0)</f>
        <v>174</v>
      </c>
      <c r="F100" s="32">
        <v>3500</v>
      </c>
      <c r="G100" s="23">
        <f t="shared" si="1"/>
        <v>0.58333333333333337</v>
      </c>
    </row>
    <row r="101" spans="1:7" ht="20.25" hidden="1" customHeight="1" x14ac:dyDescent="0.25">
      <c r="A101" s="29">
        <v>6910</v>
      </c>
      <c r="B101" s="45" t="s">
        <v>372</v>
      </c>
      <c r="C101" s="31" t="str">
        <f>VLOOKUP(B101,BASE!$A:$B,2,0)</f>
        <v>8025 ENGANCHE 191 BRONCE</v>
      </c>
      <c r="D101" s="35" t="str">
        <f>VLOOKUP(B101,BASE!$A:$D,3,0)</f>
        <v>BRONCE</v>
      </c>
      <c r="E101" s="32">
        <f>VLOOKUP(B101,BASE!$A:$E,4,0)</f>
        <v>191</v>
      </c>
      <c r="F101" s="32">
        <v>1600</v>
      </c>
      <c r="G101" s="23">
        <f t="shared" si="1"/>
        <v>0.26666666666666666</v>
      </c>
    </row>
    <row r="102" spans="1:7" ht="20.25" hidden="1" customHeight="1" x14ac:dyDescent="0.25">
      <c r="A102" s="29">
        <v>6918</v>
      </c>
      <c r="B102" s="45" t="s">
        <v>438</v>
      </c>
      <c r="C102" s="31" t="str">
        <f>VLOOKUP(B102,BASE!$A:$B,2,0)</f>
        <v>8025 JAMBA 708 BRONCE</v>
      </c>
      <c r="D102" s="35" t="str">
        <f>VLOOKUP(B102,BASE!$A:$D,3,0)</f>
        <v>BRONCE</v>
      </c>
      <c r="E102" s="32">
        <f>VLOOKUP(B102,BASE!$A:$E,4,0)</f>
        <v>708</v>
      </c>
      <c r="F102" s="32">
        <v>2100</v>
      </c>
      <c r="G102" s="23">
        <f t="shared" si="1"/>
        <v>0.35</v>
      </c>
    </row>
    <row r="103" spans="1:7" ht="20.25" hidden="1" customHeight="1" x14ac:dyDescent="0.25">
      <c r="A103" s="29">
        <v>6919</v>
      </c>
      <c r="B103" s="42" t="s">
        <v>436</v>
      </c>
      <c r="C103" s="31" t="str">
        <f>VLOOKUP(B103,BASE!$A:$B,2,0)</f>
        <v>8025 JAMBA 152 BRONCE</v>
      </c>
      <c r="D103" s="35" t="str">
        <f>VLOOKUP(B103,BASE!$A:$D,3,0)</f>
        <v>BRONCE</v>
      </c>
      <c r="E103" s="32">
        <f>VLOOKUP(B103,BASE!$A:$E,4,0)</f>
        <v>152</v>
      </c>
      <c r="F103" s="32">
        <v>1600</v>
      </c>
      <c r="G103" s="23">
        <f t="shared" si="1"/>
        <v>0.26666666666666666</v>
      </c>
    </row>
    <row r="104" spans="1:7" ht="20.25" hidden="1" customHeight="1" x14ac:dyDescent="0.25">
      <c r="A104" s="29">
        <v>6935</v>
      </c>
      <c r="B104" s="34" t="s">
        <v>529</v>
      </c>
      <c r="C104" s="31" t="str">
        <f>VLOOKUP(B104,BASE!$A:$B,2,0)</f>
        <v>5020 TRASLAPE 192 BLANCO</v>
      </c>
      <c r="D104" s="35" t="str">
        <f>VLOOKUP(B104,BASE!$A:$D,3,0)</f>
        <v>BLANCO</v>
      </c>
      <c r="E104" s="32">
        <f>VLOOKUP(B104,BASE!$A:$E,4,0)</f>
        <v>192</v>
      </c>
      <c r="F104" s="32">
        <v>1200</v>
      </c>
      <c r="G104" s="23">
        <f t="shared" si="1"/>
        <v>0.2</v>
      </c>
    </row>
    <row r="105" spans="1:7" ht="20.25" hidden="1" customHeight="1" x14ac:dyDescent="0.25">
      <c r="A105" s="29">
        <v>6958</v>
      </c>
      <c r="B105" s="45" t="s">
        <v>336</v>
      </c>
      <c r="C105" s="31" t="str">
        <f>VLOOKUP(B105,BASE!$A:$B,2,0)</f>
        <v>744 CABEZAL 392 BRONCE</v>
      </c>
      <c r="D105" s="35" t="str">
        <f>VLOOKUP(B105,BASE!$A:$D,3,0)</f>
        <v>BRONCE</v>
      </c>
      <c r="E105" s="32">
        <f>VLOOKUP(B105,BASE!$A:$E,4,0)</f>
        <v>392</v>
      </c>
      <c r="F105" s="32">
        <v>1000</v>
      </c>
      <c r="G105" s="23">
        <f t="shared" si="1"/>
        <v>0.16666666666666666</v>
      </c>
    </row>
    <row r="106" spans="1:7" ht="20.25" hidden="1" customHeight="1" x14ac:dyDescent="0.25">
      <c r="A106" s="29">
        <v>6963</v>
      </c>
      <c r="B106" s="45" t="s">
        <v>8</v>
      </c>
      <c r="C106" s="31" t="str">
        <f>VLOOKUP(B106,BASE!$A:$B,2,0)</f>
        <v>3831 DIVISOR 292 BRONCE</v>
      </c>
      <c r="D106" s="35" t="str">
        <f>VLOOKUP(B106,BASE!$A:$D,3,0)</f>
        <v>BRONCE</v>
      </c>
      <c r="E106" s="32">
        <f>VLOOKUP(B106,BASE!$A:$E,4,0)</f>
        <v>292</v>
      </c>
      <c r="F106" s="32">
        <v>900</v>
      </c>
      <c r="G106" s="23">
        <f t="shared" si="1"/>
        <v>0.15</v>
      </c>
    </row>
    <row r="107" spans="1:7" ht="20.25" hidden="1" customHeight="1" x14ac:dyDescent="0.25">
      <c r="A107" s="29">
        <v>6971</v>
      </c>
      <c r="B107" s="45" t="s">
        <v>285</v>
      </c>
      <c r="C107" s="31" t="str">
        <f>VLOOKUP(B107,BASE!$A:$B,2,0)</f>
        <v>3831 ADAPTADOR 175 BLANCO</v>
      </c>
      <c r="D107" s="35" t="str">
        <f>VLOOKUP(B107,BASE!$A:$D,3,0)</f>
        <v>BLANCO</v>
      </c>
      <c r="E107" s="32">
        <f>VLOOKUP(B107,BASE!$A:$E,4,0)</f>
        <v>175</v>
      </c>
      <c r="F107" s="32">
        <v>1000</v>
      </c>
      <c r="G107" s="23">
        <f t="shared" si="1"/>
        <v>0.16666666666666666</v>
      </c>
    </row>
    <row r="108" spans="1:7" ht="20.25" hidden="1" customHeight="1" x14ac:dyDescent="0.25">
      <c r="A108" s="29">
        <v>6981</v>
      </c>
      <c r="B108" s="45" t="s">
        <v>401</v>
      </c>
      <c r="C108" s="31" t="str">
        <f>VLOOKUP(B108,BASE!$A:$B,2,0)</f>
        <v>5020 HORIZONTAL 148 BLANCO</v>
      </c>
      <c r="D108" s="35" t="str">
        <f>VLOOKUP(B108,BASE!$A:$D,3,0)</f>
        <v>BLANCO</v>
      </c>
      <c r="E108" s="32">
        <f>VLOOKUP(B108,BASE!$A:$E,4,0)</f>
        <v>148</v>
      </c>
      <c r="F108" s="32">
        <v>500</v>
      </c>
      <c r="G108" s="23">
        <f t="shared" si="1"/>
        <v>8.3333333333333329E-2</v>
      </c>
    </row>
    <row r="109" spans="1:7" ht="20.25" hidden="1" customHeight="1" x14ac:dyDescent="0.25">
      <c r="A109" s="29">
        <v>6982</v>
      </c>
      <c r="B109" s="45" t="s">
        <v>166</v>
      </c>
      <c r="C109" s="31" t="str">
        <f>VLOOKUP(B109,BASE!$A:$B,2,0)</f>
        <v>5020 JAMBA 193 BLANCO</v>
      </c>
      <c r="D109" s="35" t="str">
        <f>VLOOKUP(B109,BASE!$A:$D,3,0)</f>
        <v>BLANCO</v>
      </c>
      <c r="E109" s="32">
        <f>VLOOKUP(B109,BASE!$A:$E,4,0)</f>
        <v>193</v>
      </c>
      <c r="F109" s="32">
        <v>600</v>
      </c>
      <c r="G109" s="23">
        <f t="shared" si="1"/>
        <v>0.1</v>
      </c>
    </row>
    <row r="110" spans="1:7" ht="20.25" hidden="1" customHeight="1" x14ac:dyDescent="0.25">
      <c r="A110" s="29">
        <v>6983</v>
      </c>
      <c r="B110" s="45" t="s">
        <v>891</v>
      </c>
      <c r="C110" s="31" t="str">
        <f>VLOOKUP(B110,BASE!$A:$B,2,0)</f>
        <v>7038 TRASLAPE 704 BRONCE</v>
      </c>
      <c r="D110" s="35" t="str">
        <f>VLOOKUP(B110,BASE!$A:$D,3,0)</f>
        <v>BRONCE</v>
      </c>
      <c r="E110" s="32">
        <f>VLOOKUP(B110,BASE!$A:$E,4,0)</f>
        <v>704</v>
      </c>
      <c r="F110" s="32">
        <v>2200</v>
      </c>
      <c r="G110" s="23">
        <f t="shared" si="1"/>
        <v>0.36666666666666664</v>
      </c>
    </row>
    <row r="111" spans="1:7" ht="20.25" hidden="1" customHeight="1" x14ac:dyDescent="0.25">
      <c r="A111" s="29">
        <v>6984</v>
      </c>
      <c r="B111" s="45" t="s">
        <v>828</v>
      </c>
      <c r="C111" s="31" t="str">
        <f>VLOOKUP(B111,BASE!$A:$B,2,0)</f>
        <v>7038 ENGANCHE 705 BRONCE</v>
      </c>
      <c r="D111" s="35" t="str">
        <f>VLOOKUP(B111,BASE!$A:$D,3,0)</f>
        <v>BRONCE</v>
      </c>
      <c r="E111" s="32">
        <f>VLOOKUP(B111,BASE!$A:$E,4,0)</f>
        <v>705</v>
      </c>
      <c r="F111" s="32">
        <v>2200</v>
      </c>
      <c r="G111" s="23">
        <f t="shared" si="1"/>
        <v>0.36666666666666664</v>
      </c>
    </row>
    <row r="112" spans="1:7" ht="20.25" hidden="1" customHeight="1" x14ac:dyDescent="0.25">
      <c r="A112" s="29">
        <v>7001</v>
      </c>
      <c r="B112" s="45" t="s">
        <v>986</v>
      </c>
      <c r="C112" s="31" t="str">
        <f>VLOOKUP(B112,BASE!$A:$B,2,0)</f>
        <v>TUBULAR T-50 BRONCE</v>
      </c>
      <c r="D112" s="35" t="str">
        <f>VLOOKUP(B112,BASE!$A:$D,3,0)</f>
        <v>BRONCE</v>
      </c>
      <c r="E112" s="32" t="str">
        <f>VLOOKUP(B112,BASE!$A:$E,4,0)</f>
        <v>T-50</v>
      </c>
      <c r="F112" s="32">
        <v>4800</v>
      </c>
      <c r="G112" s="23">
        <f t="shared" si="1"/>
        <v>0.8</v>
      </c>
    </row>
    <row r="113" spans="1:7" ht="20.25" hidden="1" customHeight="1" x14ac:dyDescent="0.25">
      <c r="A113" s="29">
        <v>7018</v>
      </c>
      <c r="B113" s="46" t="s">
        <v>438</v>
      </c>
      <c r="C113" s="31" t="str">
        <f>VLOOKUP(B113,BASE!$A:$B,2,0)</f>
        <v>8025 JAMBA 708 BRONCE</v>
      </c>
      <c r="D113" s="35" t="str">
        <f>VLOOKUP(B113,BASE!$A:$D,3,0)</f>
        <v>BRONCE</v>
      </c>
      <c r="E113" s="32">
        <f>VLOOKUP(B113,BASE!$A:$E,4,0)</f>
        <v>708</v>
      </c>
      <c r="F113" s="32">
        <v>1900</v>
      </c>
      <c r="G113" s="23">
        <f t="shared" si="1"/>
        <v>0.31666666666666665</v>
      </c>
    </row>
    <row r="114" spans="1:7" ht="20.25" hidden="1" customHeight="1" x14ac:dyDescent="0.25">
      <c r="A114" s="29">
        <v>7094</v>
      </c>
      <c r="B114" s="45" t="s">
        <v>747</v>
      </c>
      <c r="C114" s="31" t="str">
        <f>VLOOKUP(B114,BASE!$A:$B,2,0)</f>
        <v>FALSA RETICULA 511 BLANCA</v>
      </c>
      <c r="D114" s="35" t="str">
        <f>VLOOKUP(B114,BASE!$A:$D,3,0)</f>
        <v>BLANCO</v>
      </c>
      <c r="E114" s="32">
        <f>VLOOKUP(B114,BASE!$A:$E,4,0)</f>
        <v>511</v>
      </c>
      <c r="F114" s="32">
        <v>3700</v>
      </c>
      <c r="G114" s="23">
        <f t="shared" si="1"/>
        <v>0.6166666666666667</v>
      </c>
    </row>
    <row r="115" spans="1:7" ht="20.25" hidden="1" customHeight="1" x14ac:dyDescent="0.25">
      <c r="A115" s="29">
        <v>7107</v>
      </c>
      <c r="B115" s="45" t="s">
        <v>747</v>
      </c>
      <c r="C115" s="31" t="str">
        <f>VLOOKUP(B115,BASE!$A:$B,2,0)</f>
        <v>FALSA RETICULA 511 BLANCA</v>
      </c>
      <c r="D115" s="35" t="str">
        <f>VLOOKUP(B115,BASE!$A:$D,3,0)</f>
        <v>BLANCO</v>
      </c>
      <c r="E115" s="32">
        <f>VLOOKUP(B115,BASE!$A:$E,4,0)</f>
        <v>511</v>
      </c>
      <c r="F115" s="32">
        <v>2400</v>
      </c>
      <c r="G115" s="23">
        <f t="shared" si="1"/>
        <v>0.4</v>
      </c>
    </row>
    <row r="116" spans="1:7" ht="20.25" hidden="1" customHeight="1" x14ac:dyDescent="0.25">
      <c r="A116" s="29">
        <v>7114</v>
      </c>
      <c r="B116" s="45" t="s">
        <v>602</v>
      </c>
      <c r="C116" s="31" t="str">
        <f>VLOOKUP(B116,BASE!$A:$B,2,0)</f>
        <v>ALFAJIA 1123 BRONCE</v>
      </c>
      <c r="D116" s="35" t="str">
        <f>VLOOKUP(B116,BASE!$A:$D,3,0)</f>
        <v>BRONCE</v>
      </c>
      <c r="E116" s="32">
        <f>VLOOKUP(B116,BASE!$A:$E,4,0)</f>
        <v>1123</v>
      </c>
      <c r="F116" s="32">
        <v>2400</v>
      </c>
      <c r="G116" s="23">
        <f t="shared" si="1"/>
        <v>0.4</v>
      </c>
    </row>
    <row r="117" spans="1:7" ht="20.25" hidden="1" customHeight="1" x14ac:dyDescent="0.25">
      <c r="A117" s="29">
        <v>7177</v>
      </c>
      <c r="B117" s="45" t="s">
        <v>489</v>
      </c>
      <c r="C117" s="31" t="str">
        <f>VLOOKUP(B117,BASE!$A:$B,2,0)</f>
        <v>5020 SILLAR 194 BRONCE</v>
      </c>
      <c r="D117" s="35" t="str">
        <f>VLOOKUP(B117,BASE!$A:$D,3,0)</f>
        <v>BRONCE</v>
      </c>
      <c r="E117" s="32">
        <f>VLOOKUP(B117,BASE!$A:$E,4,0)</f>
        <v>194</v>
      </c>
      <c r="F117" s="32">
        <v>6000</v>
      </c>
      <c r="G117" s="23">
        <f t="shared" si="1"/>
        <v>1</v>
      </c>
    </row>
    <row r="118" spans="1:7" ht="20.25" hidden="1" customHeight="1" x14ac:dyDescent="0.25">
      <c r="A118" s="29">
        <v>7213</v>
      </c>
      <c r="B118" s="46" t="s">
        <v>512</v>
      </c>
      <c r="C118" s="31" t="str">
        <f>VLOOKUP(B118,BASE!$A:$B,2,0)</f>
        <v>5020 TRASLAPE REFORZADO 462 BRONCE</v>
      </c>
      <c r="D118" s="35" t="str">
        <f>VLOOKUP(B118,BASE!$A:$D,3,0)</f>
        <v>BRONCE</v>
      </c>
      <c r="E118" s="32">
        <f>VLOOKUP(B118,BASE!$A:$E,4,0)</f>
        <v>462</v>
      </c>
      <c r="F118" s="32">
        <v>1600</v>
      </c>
      <c r="G118" s="23">
        <f t="shared" si="1"/>
        <v>0.26666666666666666</v>
      </c>
    </row>
    <row r="119" spans="1:7" ht="20.25" hidden="1" customHeight="1" x14ac:dyDescent="0.25">
      <c r="A119" s="29">
        <v>7229</v>
      </c>
      <c r="B119" s="46" t="s">
        <v>608</v>
      </c>
      <c r="C119" s="31" t="str">
        <f>VLOOKUP(B119,BASE!$A:$B,2,0)</f>
        <v>ALFAJIA 1123 NEGRO</v>
      </c>
      <c r="D119" s="35" t="str">
        <f>VLOOKUP(B119,BASE!$A:$D,3,0)</f>
        <v>NEGRO</v>
      </c>
      <c r="E119" s="32">
        <f>VLOOKUP(B119,BASE!$A:$E,4,0)</f>
        <v>1123</v>
      </c>
      <c r="F119" s="32">
        <v>1300</v>
      </c>
      <c r="G119" s="23">
        <f t="shared" si="1"/>
        <v>0.21666666666666667</v>
      </c>
    </row>
    <row r="120" spans="1:7" ht="20.25" hidden="1" customHeight="1" x14ac:dyDescent="0.25">
      <c r="A120" s="29">
        <v>7230</v>
      </c>
      <c r="B120" s="46" t="s">
        <v>608</v>
      </c>
      <c r="C120" s="31" t="str">
        <f>VLOOKUP(B120,BASE!$A:$B,2,0)</f>
        <v>ALFAJIA 1123 NEGRO</v>
      </c>
      <c r="D120" s="35" t="str">
        <f>VLOOKUP(B120,BASE!$A:$D,3,0)</f>
        <v>NEGRO</v>
      </c>
      <c r="E120" s="32">
        <f>VLOOKUP(B120,BASE!$A:$E,4,0)</f>
        <v>1123</v>
      </c>
      <c r="F120" s="32">
        <v>1300</v>
      </c>
      <c r="G120" s="23">
        <f t="shared" si="1"/>
        <v>0.21666666666666667</v>
      </c>
    </row>
    <row r="121" spans="1:7" ht="20.25" hidden="1" customHeight="1" x14ac:dyDescent="0.25">
      <c r="A121" s="29">
        <v>7231</v>
      </c>
      <c r="B121" s="46" t="s">
        <v>608</v>
      </c>
      <c r="C121" s="31" t="str">
        <f>VLOOKUP(B121,BASE!$A:$B,2,0)</f>
        <v>ALFAJIA 1123 NEGRO</v>
      </c>
      <c r="D121" s="35" t="str">
        <f>VLOOKUP(B121,BASE!$A:$D,3,0)</f>
        <v>NEGRO</v>
      </c>
      <c r="E121" s="32">
        <f>VLOOKUP(B121,BASE!$A:$E,4,0)</f>
        <v>1123</v>
      </c>
      <c r="F121" s="32">
        <v>1300</v>
      </c>
      <c r="G121" s="23">
        <f t="shared" si="1"/>
        <v>0.21666666666666667</v>
      </c>
    </row>
    <row r="122" spans="1:7" ht="20.25" hidden="1" customHeight="1" x14ac:dyDescent="0.25">
      <c r="A122" s="29">
        <v>7232</v>
      </c>
      <c r="B122" s="46" t="s">
        <v>608</v>
      </c>
      <c r="C122" s="31" t="str">
        <f>VLOOKUP(B122,BASE!$A:$B,2,0)</f>
        <v>ALFAJIA 1123 NEGRO</v>
      </c>
      <c r="D122" s="35" t="str">
        <f>VLOOKUP(B122,BASE!$A:$D,3,0)</f>
        <v>NEGRO</v>
      </c>
      <c r="E122" s="32">
        <f>VLOOKUP(B122,BASE!$A:$E,4,0)</f>
        <v>1123</v>
      </c>
      <c r="F122" s="32">
        <v>1100</v>
      </c>
      <c r="G122" s="23">
        <f t="shared" si="1"/>
        <v>0.18333333333333332</v>
      </c>
    </row>
    <row r="123" spans="1:7" ht="20.25" hidden="1" customHeight="1" x14ac:dyDescent="0.25">
      <c r="A123" s="29">
        <v>7256</v>
      </c>
      <c r="B123" s="45" t="s">
        <v>42</v>
      </c>
      <c r="C123" s="31" t="str">
        <f>VLOOKUP(B123,BASE!$A:$B,2,0)</f>
        <v>3831 SILLAR CABEZAL 173 BRONCE</v>
      </c>
      <c r="D123" s="35" t="str">
        <f>VLOOKUP(B123,BASE!$A:$D,3,0)</f>
        <v>BRONCE</v>
      </c>
      <c r="E123" s="32">
        <f>VLOOKUP(B123,BASE!$A:$E,4,0)</f>
        <v>173</v>
      </c>
      <c r="F123" s="32">
        <v>900</v>
      </c>
      <c r="G123" s="23">
        <f t="shared" si="1"/>
        <v>0.15</v>
      </c>
    </row>
    <row r="124" spans="1:7" ht="20.25" hidden="1" customHeight="1" x14ac:dyDescent="0.25">
      <c r="A124" s="29">
        <v>7301</v>
      </c>
      <c r="B124" s="46" t="s">
        <v>441</v>
      </c>
      <c r="C124" s="31" t="str">
        <f>VLOOKUP(B124,BASE!$A:$B,2,0)</f>
        <v>7038 JAMBA 702 NEGRO</v>
      </c>
      <c r="D124" s="35" t="str">
        <f>VLOOKUP(B124,BASE!$A:$D,3,0)</f>
        <v>NEGRO</v>
      </c>
      <c r="E124" s="32">
        <f>VLOOKUP(B124,BASE!$A:$E,4,0)</f>
        <v>702</v>
      </c>
      <c r="F124" s="32">
        <v>2000</v>
      </c>
      <c r="G124" s="23">
        <f t="shared" si="1"/>
        <v>0.33333333333333331</v>
      </c>
    </row>
    <row r="125" spans="1:7" ht="20.25" hidden="1" customHeight="1" x14ac:dyDescent="0.25">
      <c r="A125" s="29">
        <v>7302</v>
      </c>
      <c r="B125" s="42" t="s">
        <v>394</v>
      </c>
      <c r="C125" s="31" t="str">
        <f>VLOOKUP(B125,BASE!$A:$B,2,0)</f>
        <v>8025 HORIZONTAL INFERIOR 157 BRONCE</v>
      </c>
      <c r="D125" s="35" t="str">
        <f>VLOOKUP(B125,BASE!$A:$D,3,0)</f>
        <v>BRONCE</v>
      </c>
      <c r="E125" s="32">
        <f>VLOOKUP(B125,BASE!$A:$E,4,0)</f>
        <v>157</v>
      </c>
      <c r="F125" s="32">
        <v>2000</v>
      </c>
      <c r="G125" s="23">
        <f t="shared" si="1"/>
        <v>0.33333333333333331</v>
      </c>
    </row>
    <row r="126" spans="1:7" ht="20.25" hidden="1" customHeight="1" x14ac:dyDescent="0.25">
      <c r="A126" s="29">
        <v>7303</v>
      </c>
      <c r="B126" s="45" t="s">
        <v>372</v>
      </c>
      <c r="C126" s="31" t="str">
        <f>VLOOKUP(B126,BASE!$A:$B,2,0)</f>
        <v>8025 ENGANCHE 191 BRONCE</v>
      </c>
      <c r="D126" s="35" t="str">
        <f>VLOOKUP(B126,BASE!$A:$D,3,0)</f>
        <v>BRONCE</v>
      </c>
      <c r="E126" s="32">
        <f>VLOOKUP(B126,BASE!$A:$E,4,0)</f>
        <v>191</v>
      </c>
      <c r="F126" s="32">
        <v>1800</v>
      </c>
      <c r="G126" s="23">
        <f t="shared" si="1"/>
        <v>0.3</v>
      </c>
    </row>
    <row r="127" spans="1:7" ht="20.25" hidden="1" customHeight="1" x14ac:dyDescent="0.25">
      <c r="A127" s="29">
        <v>7305</v>
      </c>
      <c r="B127" s="42" t="s">
        <v>436</v>
      </c>
      <c r="C127" s="31" t="str">
        <f>VLOOKUP(B127,BASE!$A:$B,2,0)</f>
        <v>8025 JAMBA 152 BRONCE</v>
      </c>
      <c r="D127" s="35" t="str">
        <f>VLOOKUP(B127,BASE!$A:$D,3,0)</f>
        <v>BRONCE</v>
      </c>
      <c r="E127" s="32">
        <f>VLOOKUP(B127,BASE!$A:$E,4,0)</f>
        <v>152</v>
      </c>
      <c r="F127" s="32">
        <v>1700</v>
      </c>
      <c r="G127" s="23">
        <f t="shared" si="1"/>
        <v>0.28333333333333333</v>
      </c>
    </row>
    <row r="128" spans="1:7" ht="20.25" hidden="1" customHeight="1" x14ac:dyDescent="0.25">
      <c r="A128" s="29">
        <v>7306</v>
      </c>
      <c r="B128" s="46" t="s">
        <v>446</v>
      </c>
      <c r="C128" s="31" t="str">
        <f>VLOOKUP(B128,BASE!$A:$B,2,0)</f>
        <v>8025 JAMBA 708 NEGRO</v>
      </c>
      <c r="D128" s="35" t="str">
        <f>VLOOKUP(B128,BASE!$A:$D,3,0)</f>
        <v>NEGRO</v>
      </c>
      <c r="E128" s="32">
        <f>VLOOKUP(B128,BASE!$A:$E,4,0)</f>
        <v>708</v>
      </c>
      <c r="F128" s="32">
        <v>1800</v>
      </c>
      <c r="G128" s="23">
        <f t="shared" si="1"/>
        <v>0.3</v>
      </c>
    </row>
    <row r="129" spans="1:7" ht="20.25" hidden="1" customHeight="1" x14ac:dyDescent="0.25">
      <c r="A129" s="29">
        <v>7355</v>
      </c>
      <c r="B129" s="46" t="s">
        <v>150</v>
      </c>
      <c r="C129" s="31" t="str">
        <f>VLOOKUP(B129,BASE!$A:$B,2,0)</f>
        <v>ALFAJIA S-332 NEGRA</v>
      </c>
      <c r="D129" s="35" t="str">
        <f>VLOOKUP(B129,BASE!$A:$D,3,0)</f>
        <v>NEGRO</v>
      </c>
      <c r="E129" s="32" t="str">
        <f>VLOOKUP(B129,BASE!$A:$E,4,0)</f>
        <v>S-332</v>
      </c>
      <c r="F129" s="32">
        <v>6000</v>
      </c>
      <c r="G129" s="23">
        <f t="shared" si="1"/>
        <v>1</v>
      </c>
    </row>
    <row r="130" spans="1:7" ht="20.25" hidden="1" customHeight="1" x14ac:dyDescent="0.25">
      <c r="A130" s="29">
        <v>7367</v>
      </c>
      <c r="B130" s="46" t="s">
        <v>74</v>
      </c>
      <c r="C130" s="31" t="str">
        <f>VLOOKUP(B130,BASE!$A:$B,2,0)</f>
        <v>ALFAJIA 449 NEGRA</v>
      </c>
      <c r="D130" s="35" t="str">
        <f>VLOOKUP(B130,BASE!$A:$D,3,0)</f>
        <v>NEGRO</v>
      </c>
      <c r="E130" s="32">
        <f>VLOOKUP(B130,BASE!$A:$E,4,0)</f>
        <v>449</v>
      </c>
      <c r="F130" s="32">
        <v>4700</v>
      </c>
      <c r="G130" s="23">
        <f t="shared" si="1"/>
        <v>0.78333333333333333</v>
      </c>
    </row>
    <row r="131" spans="1:7" ht="20.25" hidden="1" customHeight="1" x14ac:dyDescent="0.25">
      <c r="A131" s="29">
        <v>7442</v>
      </c>
      <c r="B131" s="30" t="s">
        <v>576</v>
      </c>
      <c r="C131" s="31" t="str">
        <f>VLOOKUP(B131,BASE!$A:$B,2,0)</f>
        <v>U57 MATE</v>
      </c>
      <c r="D131" s="35" t="str">
        <f>VLOOKUP(B131,BASE!$A:$D,3,0)</f>
        <v>MATE</v>
      </c>
      <c r="E131" s="32" t="str">
        <f>VLOOKUP(B131,BASE!$A:$E,4,0)</f>
        <v>U-57</v>
      </c>
      <c r="F131" s="32">
        <v>1800</v>
      </c>
      <c r="G131" s="23">
        <f t="shared" ref="G131:G196" si="2">+F131/6000</f>
        <v>0.3</v>
      </c>
    </row>
    <row r="132" spans="1:7" ht="20.25" hidden="1" customHeight="1" x14ac:dyDescent="0.25">
      <c r="A132" s="29">
        <v>7445</v>
      </c>
      <c r="B132" s="30" t="s">
        <v>117</v>
      </c>
      <c r="C132" s="31" t="str">
        <f>VLOOKUP(B132,BASE!$A:$B,2,0)</f>
        <v>744 TRASLAPE 388 BLANCO</v>
      </c>
      <c r="D132" s="35" t="str">
        <f>VLOOKUP(B132,BASE!$A:$D,3,0)</f>
        <v>BLANCO</v>
      </c>
      <c r="E132" s="32">
        <f>VLOOKUP(B132,BASE!$A:$E,4,0)</f>
        <v>388</v>
      </c>
      <c r="F132" s="32">
        <v>1000</v>
      </c>
      <c r="G132" s="23">
        <f t="shared" si="2"/>
        <v>0.16666666666666666</v>
      </c>
    </row>
    <row r="133" spans="1:7" ht="20.25" hidden="1" customHeight="1" x14ac:dyDescent="0.25">
      <c r="A133" s="29">
        <v>7451</v>
      </c>
      <c r="B133" s="30" t="s">
        <v>723</v>
      </c>
      <c r="C133" s="31" t="str">
        <f>VLOOKUP(B133,BASE!$A:$B,2,0)</f>
        <v>744 JAMBA 1858 TRES RIELES CRUDO</v>
      </c>
      <c r="D133" s="35" t="str">
        <f>VLOOKUP(B133,BASE!$A:$D,3,0)</f>
        <v xml:space="preserve">CRUDO </v>
      </c>
      <c r="E133" s="32">
        <f>VLOOKUP(B133,BASE!$A:$E,4,0)</f>
        <v>1858</v>
      </c>
      <c r="F133" s="32">
        <v>2800</v>
      </c>
      <c r="G133" s="23">
        <f t="shared" si="2"/>
        <v>0.46666666666666667</v>
      </c>
    </row>
    <row r="134" spans="1:7" ht="20.25" hidden="1" customHeight="1" x14ac:dyDescent="0.25">
      <c r="A134" s="29">
        <v>7452</v>
      </c>
      <c r="B134" s="30" t="s">
        <v>724</v>
      </c>
      <c r="C134" s="31" t="str">
        <f>VLOOKUP(B134,BASE!$A:$B,2,0)</f>
        <v>744 SILLAR 1856 TRES RIELES CRUDO</v>
      </c>
      <c r="D134" s="35" t="str">
        <f>VLOOKUP(B134,BASE!$A:$D,3,0)</f>
        <v xml:space="preserve">CRUDO </v>
      </c>
      <c r="E134" s="32">
        <f>VLOOKUP(B134,BASE!$A:$E,4,0)</f>
        <v>1856</v>
      </c>
      <c r="F134" s="32">
        <v>3100</v>
      </c>
      <c r="G134" s="23">
        <f t="shared" si="2"/>
        <v>0.51666666666666672</v>
      </c>
    </row>
    <row r="135" spans="1:7" ht="20.25" hidden="1" customHeight="1" x14ac:dyDescent="0.25">
      <c r="A135" s="29">
        <v>7453</v>
      </c>
      <c r="B135" s="30" t="s">
        <v>722</v>
      </c>
      <c r="C135" s="31" t="str">
        <f>VLOOKUP(B135,BASE!$A:$B,2,0)</f>
        <v>744 CABEZAL 1857 TRES RIELES CRUDO</v>
      </c>
      <c r="D135" s="35" t="str">
        <f>VLOOKUP(B135,BASE!$A:$D,3,0)</f>
        <v xml:space="preserve">CRUDO </v>
      </c>
      <c r="E135" s="32">
        <f>VLOOKUP(B135,BASE!$A:$E,4,0)</f>
        <v>1857</v>
      </c>
      <c r="F135" s="32">
        <v>3100</v>
      </c>
      <c r="G135" s="23">
        <f t="shared" si="2"/>
        <v>0.51666666666666672</v>
      </c>
    </row>
    <row r="136" spans="1:7" ht="20.25" hidden="1" customHeight="1" x14ac:dyDescent="0.25">
      <c r="A136" s="29">
        <v>7458</v>
      </c>
      <c r="B136" s="30" t="s">
        <v>576</v>
      </c>
      <c r="C136" s="31" t="str">
        <f>VLOOKUP(B136,BASE!$A:$B,2,0)</f>
        <v>U57 MATE</v>
      </c>
      <c r="D136" s="35" t="str">
        <f>VLOOKUP(B136,BASE!$A:$D,3,0)</f>
        <v>MATE</v>
      </c>
      <c r="E136" s="32" t="str">
        <f>VLOOKUP(B136,BASE!$A:$E,4,0)</f>
        <v>U-57</v>
      </c>
      <c r="F136" s="32">
        <v>2000</v>
      </c>
      <c r="G136" s="23">
        <f t="shared" si="2"/>
        <v>0.33333333333333331</v>
      </c>
    </row>
    <row r="137" spans="1:7" ht="20.25" hidden="1" customHeight="1" x14ac:dyDescent="0.25">
      <c r="A137" s="29">
        <v>7461</v>
      </c>
      <c r="B137" s="30" t="s">
        <v>74</v>
      </c>
      <c r="C137" s="31" t="str">
        <f>VLOOKUP(B137,BASE!$A:$B,2,0)</f>
        <v>ALFAJIA 449 NEGRA</v>
      </c>
      <c r="D137" s="35" t="str">
        <f>VLOOKUP(B137,BASE!$A:$D,3,0)</f>
        <v>NEGRO</v>
      </c>
      <c r="E137" s="32">
        <f>VLOOKUP(B137,BASE!$A:$E,4,0)</f>
        <v>449</v>
      </c>
      <c r="F137" s="32">
        <v>1180</v>
      </c>
      <c r="G137" s="23">
        <f t="shared" si="2"/>
        <v>0.19666666666666666</v>
      </c>
    </row>
    <row r="138" spans="1:7" ht="20.25" hidden="1" customHeight="1" x14ac:dyDescent="0.25">
      <c r="A138" s="29">
        <v>7462</v>
      </c>
      <c r="B138" s="30" t="s">
        <v>74</v>
      </c>
      <c r="C138" s="31" t="str">
        <f>VLOOKUP(B138,BASE!$A:$B,2,0)</f>
        <v>ALFAJIA 449 NEGRA</v>
      </c>
      <c r="D138" s="35" t="str">
        <f>VLOOKUP(B138,BASE!$A:$D,3,0)</f>
        <v>NEGRO</v>
      </c>
      <c r="E138" s="32">
        <f>VLOOKUP(B138,BASE!$A:$E,4,0)</f>
        <v>449</v>
      </c>
      <c r="F138" s="32">
        <v>1180</v>
      </c>
      <c r="G138" s="23">
        <f t="shared" si="2"/>
        <v>0.19666666666666666</v>
      </c>
    </row>
    <row r="139" spans="1:7" ht="20.25" hidden="1" customHeight="1" x14ac:dyDescent="0.25">
      <c r="A139" s="29">
        <v>7463</v>
      </c>
      <c r="B139" s="30" t="s">
        <v>74</v>
      </c>
      <c r="C139" s="31" t="str">
        <f>VLOOKUP(B139,BASE!$A:$B,2,0)</f>
        <v>ALFAJIA 449 NEGRA</v>
      </c>
      <c r="D139" s="35" t="str">
        <f>VLOOKUP(B139,BASE!$A:$D,3,0)</f>
        <v>NEGRO</v>
      </c>
      <c r="E139" s="32">
        <f>VLOOKUP(B139,BASE!$A:$E,4,0)</f>
        <v>449</v>
      </c>
      <c r="F139" s="32">
        <v>1180</v>
      </c>
      <c r="G139" s="23">
        <f t="shared" si="2"/>
        <v>0.19666666666666666</v>
      </c>
    </row>
    <row r="140" spans="1:7" ht="20.25" hidden="1" customHeight="1" x14ac:dyDescent="0.25">
      <c r="A140" s="29">
        <v>7465</v>
      </c>
      <c r="B140" s="30" t="s">
        <v>74</v>
      </c>
      <c r="C140" s="31" t="str">
        <f>VLOOKUP(B140,BASE!$A:$B,2,0)</f>
        <v>ALFAJIA 449 NEGRA</v>
      </c>
      <c r="D140" s="35" t="str">
        <f>VLOOKUP(B140,BASE!$A:$D,3,0)</f>
        <v>NEGRO</v>
      </c>
      <c r="E140" s="32">
        <f>VLOOKUP(B140,BASE!$A:$E,4,0)</f>
        <v>449</v>
      </c>
      <c r="F140" s="32">
        <v>1580</v>
      </c>
      <c r="G140" s="23">
        <f t="shared" si="2"/>
        <v>0.26333333333333331</v>
      </c>
    </row>
    <row r="141" spans="1:7" ht="20.25" hidden="1" customHeight="1" x14ac:dyDescent="0.25">
      <c r="A141" s="29">
        <v>7466</v>
      </c>
      <c r="B141" s="30" t="s">
        <v>74</v>
      </c>
      <c r="C141" s="31" t="str">
        <f>VLOOKUP(B141,BASE!$A:$B,2,0)</f>
        <v>ALFAJIA 449 NEGRA</v>
      </c>
      <c r="D141" s="35" t="str">
        <f>VLOOKUP(B141,BASE!$A:$D,3,0)</f>
        <v>NEGRO</v>
      </c>
      <c r="E141" s="32">
        <f>VLOOKUP(B141,BASE!$A:$E,4,0)</f>
        <v>449</v>
      </c>
      <c r="F141" s="32">
        <v>2480</v>
      </c>
      <c r="G141" s="23">
        <f t="shared" si="2"/>
        <v>0.41333333333333333</v>
      </c>
    </row>
    <row r="142" spans="1:7" ht="20.25" hidden="1" customHeight="1" x14ac:dyDescent="0.25">
      <c r="A142" s="29">
        <v>7467</v>
      </c>
      <c r="B142" s="30" t="s">
        <v>74</v>
      </c>
      <c r="C142" s="31" t="str">
        <f>VLOOKUP(B142,BASE!$A:$B,2,0)</f>
        <v>ALFAJIA 449 NEGRA</v>
      </c>
      <c r="D142" s="35" t="str">
        <f>VLOOKUP(B142,BASE!$A:$D,3,0)</f>
        <v>NEGRO</v>
      </c>
      <c r="E142" s="32">
        <f>VLOOKUP(B142,BASE!$A:$E,4,0)</f>
        <v>449</v>
      </c>
      <c r="F142" s="32">
        <v>1180</v>
      </c>
      <c r="G142" s="23">
        <f t="shared" si="2"/>
        <v>0.19666666666666666</v>
      </c>
    </row>
    <row r="143" spans="1:7" ht="20.25" hidden="1" customHeight="1" x14ac:dyDescent="0.25">
      <c r="A143" s="29">
        <v>7468</v>
      </c>
      <c r="B143" s="30" t="s">
        <v>74</v>
      </c>
      <c r="C143" s="31" t="str">
        <f>VLOOKUP(B143,BASE!$A:$B,2,0)</f>
        <v>ALFAJIA 449 NEGRA</v>
      </c>
      <c r="D143" s="35" t="str">
        <f>VLOOKUP(B143,BASE!$A:$D,3,0)</f>
        <v>NEGRO</v>
      </c>
      <c r="E143" s="32">
        <f>VLOOKUP(B143,BASE!$A:$E,4,0)</f>
        <v>449</v>
      </c>
      <c r="F143" s="32">
        <v>1180</v>
      </c>
      <c r="G143" s="23">
        <f t="shared" si="2"/>
        <v>0.19666666666666666</v>
      </c>
    </row>
    <row r="144" spans="1:7" ht="20.25" hidden="1" customHeight="1" x14ac:dyDescent="0.25">
      <c r="A144" s="29">
        <v>7515</v>
      </c>
      <c r="B144" s="30" t="s">
        <v>147</v>
      </c>
      <c r="C144" s="31" t="str">
        <f>VLOOKUP(B144,BASE!$A:$B,2,0)</f>
        <v>5020 ENGANCHE 147 NEGRO</v>
      </c>
      <c r="D144" s="35" t="str">
        <f>VLOOKUP(B144,BASE!$A:$D,3,0)</f>
        <v>NEGRO</v>
      </c>
      <c r="E144" s="32">
        <f>VLOOKUP(B144,BASE!$A:$E,4,0)</f>
        <v>147</v>
      </c>
      <c r="F144" s="32">
        <v>2100</v>
      </c>
      <c r="G144" s="23">
        <f t="shared" si="2"/>
        <v>0.35</v>
      </c>
    </row>
    <row r="145" spans="1:7" ht="20.25" hidden="1" customHeight="1" x14ac:dyDescent="0.25">
      <c r="A145" s="29">
        <v>7523</v>
      </c>
      <c r="B145" s="30" t="s">
        <v>382</v>
      </c>
      <c r="C145" s="31" t="str">
        <f>VLOOKUP(B145,BASE!$A:$B,2,0)</f>
        <v>3831 ESQUINERO 416 BRONCE</v>
      </c>
      <c r="D145" s="35" t="str">
        <f>VLOOKUP(B145,BASE!$A:$D,3,0)</f>
        <v>BRONCE</v>
      </c>
      <c r="E145" s="32">
        <f>VLOOKUP(B145,BASE!$A:$E,4,0)</f>
        <v>416</v>
      </c>
      <c r="F145" s="32">
        <v>2700</v>
      </c>
      <c r="G145" s="23">
        <f t="shared" si="2"/>
        <v>0.45</v>
      </c>
    </row>
    <row r="146" spans="1:7" ht="20.25" hidden="1" customHeight="1" x14ac:dyDescent="0.25">
      <c r="A146" s="29">
        <v>7526</v>
      </c>
      <c r="B146" s="30" t="s">
        <v>252</v>
      </c>
      <c r="C146" s="31" t="str">
        <f>VLOOKUP(B146,BASE!$A:$B,2,0)</f>
        <v>TUBULAR T-244 BLANCO</v>
      </c>
      <c r="D146" s="35" t="str">
        <f>VLOOKUP(B146,BASE!$A:$D,3,0)</f>
        <v>BLANCO</v>
      </c>
      <c r="E146" s="32" t="str">
        <f>VLOOKUP(B146,BASE!$A:$E,4,0)</f>
        <v>T-244</v>
      </c>
      <c r="F146" s="32">
        <v>1500</v>
      </c>
      <c r="G146" s="23">
        <f t="shared" si="2"/>
        <v>0.25</v>
      </c>
    </row>
    <row r="147" spans="1:7" ht="20.25" hidden="1" customHeight="1" x14ac:dyDescent="0.25">
      <c r="A147" s="29">
        <v>7530</v>
      </c>
      <c r="B147" s="30" t="s">
        <v>475</v>
      </c>
      <c r="C147" s="31" t="str">
        <f>VLOOKUP(B147,BASE!$A:$B,2,0)</f>
        <v>8025 SILLAR 150 GRIS PLATA</v>
      </c>
      <c r="D147" s="35" t="str">
        <f>VLOOKUP(B147,BASE!$A:$D,3,0)</f>
        <v>GRIS PLATA</v>
      </c>
      <c r="E147" s="32">
        <f>VLOOKUP(B147,BASE!$A:$E,4,0)</f>
        <v>150</v>
      </c>
      <c r="F147" s="32">
        <v>1200</v>
      </c>
      <c r="G147" s="23">
        <f t="shared" si="2"/>
        <v>0.2</v>
      </c>
    </row>
    <row r="148" spans="1:7" ht="20.25" hidden="1" customHeight="1" x14ac:dyDescent="0.25">
      <c r="A148" s="29">
        <v>7531</v>
      </c>
      <c r="B148" s="30" t="s">
        <v>579</v>
      </c>
      <c r="C148" s="31" t="str">
        <f>VLOOKUP(B148,BASE!$A:$B,2,0)</f>
        <v>U57 BLANCO</v>
      </c>
      <c r="D148" s="35" t="str">
        <f>VLOOKUP(B148,BASE!$A:$D,3,0)</f>
        <v>BLANCO</v>
      </c>
      <c r="E148" s="32" t="str">
        <f>VLOOKUP(B148,BASE!$A:$E,4,0)</f>
        <v>U-57</v>
      </c>
      <c r="F148" s="32">
        <v>1300</v>
      </c>
      <c r="G148" s="23">
        <f t="shared" si="2"/>
        <v>0.21666666666666667</v>
      </c>
    </row>
    <row r="149" spans="1:7" ht="20.25" hidden="1" customHeight="1" x14ac:dyDescent="0.25">
      <c r="A149" s="29">
        <v>7600</v>
      </c>
      <c r="B149" s="30" t="s">
        <v>108</v>
      </c>
      <c r="C149" s="31" t="str">
        <f>VLOOKUP(B149,BASE!$A:$B,2,0)</f>
        <v>5020 CABEZAL 144 BRONCE</v>
      </c>
      <c r="D149" s="35" t="str">
        <f>VLOOKUP(B149,BASE!$A:$D,3,0)</f>
        <v>BRONCE</v>
      </c>
      <c r="E149" s="32">
        <f>VLOOKUP(B149,BASE!$A:$E,4,0)</f>
        <v>144</v>
      </c>
      <c r="F149" s="32">
        <v>6000</v>
      </c>
      <c r="G149" s="23">
        <f t="shared" si="2"/>
        <v>1</v>
      </c>
    </row>
    <row r="150" spans="1:7" ht="20.25" hidden="1" customHeight="1" x14ac:dyDescent="0.25">
      <c r="A150" s="29">
        <v>7622</v>
      </c>
      <c r="B150" s="30" t="s">
        <v>382</v>
      </c>
      <c r="C150" s="31" t="str">
        <f>VLOOKUP(B150,BASE!$A:$B,2,0)</f>
        <v>3831 ESQUINERO 416 BRONCE</v>
      </c>
      <c r="D150" s="35" t="str">
        <f>VLOOKUP(B150,BASE!$A:$D,3,0)</f>
        <v>BRONCE</v>
      </c>
      <c r="E150" s="32">
        <f>VLOOKUP(B150,BASE!$A:$E,4,0)</f>
        <v>416</v>
      </c>
      <c r="F150" s="32">
        <v>3100</v>
      </c>
      <c r="G150" s="23">
        <f t="shared" si="2"/>
        <v>0.51666666666666672</v>
      </c>
    </row>
    <row r="151" spans="1:7" ht="20.25" hidden="1" customHeight="1" x14ac:dyDescent="0.25">
      <c r="A151" s="29">
        <v>7640</v>
      </c>
      <c r="B151" s="43" t="s">
        <v>139</v>
      </c>
      <c r="C151" s="31" t="str">
        <f>VLOOKUP(B151,BASE!$A:$B,2,0)</f>
        <v>8025 SILLAR 707 NEGRO</v>
      </c>
      <c r="D151" s="35" t="str">
        <f>VLOOKUP(B151,BASE!$A:$D,3,0)</f>
        <v>NEGRO</v>
      </c>
      <c r="E151" s="32">
        <f>VLOOKUP(B151,BASE!$A:$E,4,0)</f>
        <v>707</v>
      </c>
      <c r="F151" s="32">
        <v>2500</v>
      </c>
      <c r="G151" s="23">
        <f t="shared" si="2"/>
        <v>0.41666666666666669</v>
      </c>
    </row>
    <row r="152" spans="1:7" ht="20.25" hidden="1" customHeight="1" x14ac:dyDescent="0.25">
      <c r="A152" s="29">
        <v>7641</v>
      </c>
      <c r="B152" s="43" t="s">
        <v>139</v>
      </c>
      <c r="C152" s="31" t="str">
        <f>VLOOKUP(B152,BASE!$A:$B,2,0)</f>
        <v>8025 SILLAR 707 NEGRO</v>
      </c>
      <c r="D152" s="35" t="str">
        <f>VLOOKUP(B152,BASE!$A:$D,3,0)</f>
        <v>NEGRO</v>
      </c>
      <c r="E152" s="32">
        <f>VLOOKUP(B152,BASE!$A:$E,4,0)</f>
        <v>707</v>
      </c>
      <c r="F152" s="32">
        <v>2500</v>
      </c>
      <c r="G152" s="23">
        <f t="shared" si="2"/>
        <v>0.41666666666666669</v>
      </c>
    </row>
    <row r="153" spans="1:7" ht="20.25" hidden="1" customHeight="1" x14ac:dyDescent="0.25">
      <c r="A153" s="29">
        <v>7642</v>
      </c>
      <c r="B153" s="43" t="s">
        <v>139</v>
      </c>
      <c r="C153" s="31" t="str">
        <f>VLOOKUP(B153,BASE!$A:$B,2,0)</f>
        <v>8025 SILLAR 707 NEGRO</v>
      </c>
      <c r="D153" s="35" t="str">
        <f>VLOOKUP(B153,BASE!$A:$D,3,0)</f>
        <v>NEGRO</v>
      </c>
      <c r="E153" s="32">
        <f>VLOOKUP(B153,BASE!$A:$E,4,0)</f>
        <v>707</v>
      </c>
      <c r="F153" s="32">
        <v>2700</v>
      </c>
      <c r="G153" s="23">
        <f t="shared" si="2"/>
        <v>0.45</v>
      </c>
    </row>
    <row r="154" spans="1:7" ht="20.25" hidden="1" customHeight="1" x14ac:dyDescent="0.25">
      <c r="A154" s="29">
        <v>7643</v>
      </c>
      <c r="B154" s="43" t="s">
        <v>340</v>
      </c>
      <c r="C154" s="31" t="str">
        <f>VLOOKUP(B154,BASE!$A:$B,2,0)</f>
        <v>8025 CABEZAL 706 NEGRO</v>
      </c>
      <c r="D154" s="35" t="str">
        <f>VLOOKUP(B154,BASE!$A:$D,3,0)</f>
        <v>NEGRO</v>
      </c>
      <c r="E154" s="32">
        <f>VLOOKUP(B154,BASE!$A:$E,4,0)</f>
        <v>706</v>
      </c>
      <c r="F154" s="32">
        <v>2500</v>
      </c>
      <c r="G154" s="23">
        <f t="shared" si="2"/>
        <v>0.41666666666666669</v>
      </c>
    </row>
    <row r="155" spans="1:7" ht="20.25" hidden="1" customHeight="1" x14ac:dyDescent="0.25">
      <c r="A155" s="29">
        <v>7644</v>
      </c>
      <c r="B155" s="43" t="s">
        <v>340</v>
      </c>
      <c r="C155" s="31" t="str">
        <f>VLOOKUP(B155,BASE!$A:$B,2,0)</f>
        <v>8025 CABEZAL 706 NEGRO</v>
      </c>
      <c r="D155" s="35" t="str">
        <f>VLOOKUP(B155,BASE!$A:$D,3,0)</f>
        <v>NEGRO</v>
      </c>
      <c r="E155" s="32">
        <f>VLOOKUP(B155,BASE!$A:$E,4,0)</f>
        <v>706</v>
      </c>
      <c r="F155" s="32">
        <v>2500</v>
      </c>
      <c r="G155" s="23">
        <f t="shared" si="2"/>
        <v>0.41666666666666669</v>
      </c>
    </row>
    <row r="156" spans="1:7" ht="20.25" hidden="1" customHeight="1" x14ac:dyDescent="0.25">
      <c r="A156" s="29">
        <v>7645</v>
      </c>
      <c r="B156" s="43" t="s">
        <v>340</v>
      </c>
      <c r="C156" s="31" t="str">
        <f>VLOOKUP(B156,BASE!$A:$B,2,0)</f>
        <v>8025 CABEZAL 706 NEGRO</v>
      </c>
      <c r="D156" s="35" t="str">
        <f>VLOOKUP(B156,BASE!$A:$D,3,0)</f>
        <v>NEGRO</v>
      </c>
      <c r="E156" s="32">
        <f>VLOOKUP(B156,BASE!$A:$E,4,0)</f>
        <v>706</v>
      </c>
      <c r="F156" s="32">
        <v>2700</v>
      </c>
      <c r="G156" s="23">
        <f t="shared" si="2"/>
        <v>0.45</v>
      </c>
    </row>
    <row r="157" spans="1:7" ht="20.25" hidden="1" customHeight="1" x14ac:dyDescent="0.25">
      <c r="A157" s="29">
        <v>7661</v>
      </c>
      <c r="B157" s="42" t="s">
        <v>11</v>
      </c>
      <c r="C157" s="31" t="str">
        <f>VLOOKUP(B157,BASE!$A:$B,2,0)</f>
        <v>PERFIL F 463 NEGRO</v>
      </c>
      <c r="D157" s="35" t="str">
        <f>VLOOKUP(B157,BASE!$A:$D,3,0)</f>
        <v>NEGRO</v>
      </c>
      <c r="E157" s="32" t="str">
        <f>VLOOKUP(B157,BASE!$A:$E,4,0)</f>
        <v>F-463</v>
      </c>
      <c r="F157" s="32">
        <v>600</v>
      </c>
      <c r="G157" s="23">
        <f t="shared" si="2"/>
        <v>0.1</v>
      </c>
    </row>
    <row r="158" spans="1:7" ht="20.25" hidden="1" customHeight="1" x14ac:dyDescent="0.25">
      <c r="A158" s="29">
        <v>7716</v>
      </c>
      <c r="B158" s="30" t="s">
        <v>74</v>
      </c>
      <c r="C158" s="31" t="str">
        <f>VLOOKUP(B158,BASE!$A:$B,2,0)</f>
        <v>ALFAJIA 449 NEGRA</v>
      </c>
      <c r="D158" s="35" t="str">
        <f>VLOOKUP(B158,BASE!$A:$D,3,0)</f>
        <v>NEGRO</v>
      </c>
      <c r="E158" s="32">
        <f>VLOOKUP(B158,BASE!$A:$E,4,0)</f>
        <v>449</v>
      </c>
      <c r="F158" s="32">
        <v>6000</v>
      </c>
      <c r="G158" s="23">
        <f t="shared" si="2"/>
        <v>1</v>
      </c>
    </row>
    <row r="159" spans="1:7" ht="20.25" hidden="1" customHeight="1" x14ac:dyDescent="0.25">
      <c r="A159" s="29">
        <v>7746</v>
      </c>
      <c r="B159" s="30" t="s">
        <v>194</v>
      </c>
      <c r="C159" s="31" t="str">
        <f>VLOOKUP(B159,BASE!$A:$B,2,0)</f>
        <v>U32 GRIS PLATA</v>
      </c>
      <c r="D159" s="35" t="str">
        <f>VLOOKUP(B159,BASE!$A:$D,3,0)</f>
        <v>GRIS PLATA</v>
      </c>
      <c r="E159" s="32" t="str">
        <f>VLOOKUP(B159,BASE!$A:$E,4,0)</f>
        <v>U-32</v>
      </c>
      <c r="F159" s="32">
        <v>5700</v>
      </c>
      <c r="G159" s="23">
        <f t="shared" si="2"/>
        <v>0.95</v>
      </c>
    </row>
    <row r="160" spans="1:7" ht="20.25" hidden="1" customHeight="1" x14ac:dyDescent="0.25">
      <c r="A160" s="29">
        <v>7755</v>
      </c>
      <c r="B160" s="45" t="s">
        <v>576</v>
      </c>
      <c r="C160" s="31" t="str">
        <f>VLOOKUP(B160,BASE!$A:$B,2,0)</f>
        <v>U57 MATE</v>
      </c>
      <c r="D160" s="35" t="str">
        <f>VLOOKUP(B160,BASE!$A:$D,3,0)</f>
        <v>MATE</v>
      </c>
      <c r="E160" s="32" t="str">
        <f>VLOOKUP(B160,BASE!$A:$E,4,0)</f>
        <v>U-57</v>
      </c>
      <c r="F160" s="32">
        <v>1700</v>
      </c>
      <c r="G160" s="23">
        <f t="shared" si="2"/>
        <v>0.28333333333333333</v>
      </c>
    </row>
    <row r="161" spans="1:7" ht="20.25" hidden="1" customHeight="1" x14ac:dyDescent="0.25">
      <c r="A161" s="29">
        <v>7761</v>
      </c>
      <c r="B161" s="30" t="s">
        <v>768</v>
      </c>
      <c r="C161" s="31" t="str">
        <f>VLOOKUP(B161,BASE!$A:$B,2,0)</f>
        <v>PERFIL U DE CABINA S-364 MATE</v>
      </c>
      <c r="D161" s="35" t="str">
        <f>VLOOKUP(B161,BASE!$A:$D,3,0)</f>
        <v>MATE</v>
      </c>
      <c r="E161" s="32" t="str">
        <f>VLOOKUP(B161,BASE!$A:$E,4,0)</f>
        <v>S-364</v>
      </c>
      <c r="F161" s="32">
        <v>3000</v>
      </c>
      <c r="G161" s="23">
        <f t="shared" si="2"/>
        <v>0.5</v>
      </c>
    </row>
    <row r="162" spans="1:7" ht="20.25" hidden="1" customHeight="1" x14ac:dyDescent="0.25">
      <c r="A162" s="29">
        <v>7764</v>
      </c>
      <c r="B162" s="30" t="s">
        <v>482</v>
      </c>
      <c r="C162" s="31" t="str">
        <f>VLOOKUP(B162,BASE!$A:$B,2,0)</f>
        <v>744 SILLAR 387 BLANCO</v>
      </c>
      <c r="D162" s="35" t="str">
        <f>VLOOKUP(B162,BASE!$A:$D,3,0)</f>
        <v>BLANCO</v>
      </c>
      <c r="E162" s="32">
        <f>VLOOKUP(B162,BASE!$A:$E,4,0)</f>
        <v>387</v>
      </c>
      <c r="F162" s="32">
        <v>1150</v>
      </c>
      <c r="G162" s="23">
        <f t="shared" si="2"/>
        <v>0.19166666666666668</v>
      </c>
    </row>
    <row r="163" spans="1:7" ht="20.25" hidden="1" customHeight="1" x14ac:dyDescent="0.25">
      <c r="A163" s="29">
        <v>7765</v>
      </c>
      <c r="B163" s="30" t="s">
        <v>328</v>
      </c>
      <c r="C163" s="31" t="str">
        <f>VLOOKUP(B163,BASE!$A:$B,2,0)</f>
        <v>744 CABEZAL 392 BLANCO</v>
      </c>
      <c r="D163" s="35" t="str">
        <f>VLOOKUP(B163,BASE!$A:$D,3,0)</f>
        <v>BLANCO</v>
      </c>
      <c r="E163" s="32">
        <f>VLOOKUP(B163,BASE!$A:$E,4,0)</f>
        <v>392</v>
      </c>
      <c r="F163" s="32">
        <v>1150</v>
      </c>
      <c r="G163" s="23">
        <f t="shared" si="2"/>
        <v>0.19166666666666668</v>
      </c>
    </row>
    <row r="164" spans="1:7" ht="20.25" hidden="1" customHeight="1" x14ac:dyDescent="0.25">
      <c r="A164" s="29">
        <v>7780</v>
      </c>
      <c r="B164" s="30" t="s">
        <v>163</v>
      </c>
      <c r="C164" s="31" t="str">
        <f>VLOOKUP(B164,BASE!$A:$B,2,0)</f>
        <v>TUBULAR T-97 CRUDO</v>
      </c>
      <c r="D164" s="35" t="str">
        <f>VLOOKUP(B164,BASE!$A:$D,3,0)</f>
        <v xml:space="preserve">CRUDO </v>
      </c>
      <c r="E164" s="32" t="str">
        <f>VLOOKUP(B164,BASE!$A:$E,4,0)</f>
        <v>T-97</v>
      </c>
      <c r="F164" s="32">
        <v>2600</v>
      </c>
      <c r="G164" s="23">
        <f t="shared" si="2"/>
        <v>0.43333333333333335</v>
      </c>
    </row>
    <row r="165" spans="1:7" ht="20.25" hidden="1" customHeight="1" x14ac:dyDescent="0.25">
      <c r="A165" s="29">
        <v>7799</v>
      </c>
      <c r="B165" s="30" t="s">
        <v>579</v>
      </c>
      <c r="C165" s="31" t="str">
        <f>VLOOKUP(B165,BASE!$A:$B,2,0)</f>
        <v>U57 BLANCO</v>
      </c>
      <c r="D165" s="35" t="str">
        <f>VLOOKUP(B165,BASE!$A:$D,3,0)</f>
        <v>BLANCO</v>
      </c>
      <c r="E165" s="32" t="str">
        <f>VLOOKUP(B165,BASE!$A:$E,4,0)</f>
        <v>U-57</v>
      </c>
      <c r="F165" s="32">
        <v>1200</v>
      </c>
      <c r="G165" s="23">
        <f t="shared" si="2"/>
        <v>0.2</v>
      </c>
    </row>
    <row r="166" spans="1:7" ht="20.25" hidden="1" customHeight="1" x14ac:dyDescent="0.25">
      <c r="A166" s="29">
        <v>7808</v>
      </c>
      <c r="B166" s="30" t="s">
        <v>138</v>
      </c>
      <c r="C166" s="31" t="str">
        <f>VLOOKUP(B166,BASE!$A:$B,2,0)</f>
        <v>TAPALUZ PT02 NEGRO</v>
      </c>
      <c r="D166" s="35" t="str">
        <f>VLOOKUP(B166,BASE!$A:$D,3,0)</f>
        <v>NEGRO</v>
      </c>
      <c r="E166" s="32" t="str">
        <f>VLOOKUP(B166,BASE!$A:$E,4,0)</f>
        <v>PT-02</v>
      </c>
      <c r="F166" s="32">
        <v>2000</v>
      </c>
      <c r="G166" s="23">
        <f t="shared" si="2"/>
        <v>0.33333333333333331</v>
      </c>
    </row>
    <row r="167" spans="1:7" ht="20.25" hidden="1" customHeight="1" x14ac:dyDescent="0.25">
      <c r="A167" s="29">
        <v>7820</v>
      </c>
      <c r="B167" s="30" t="s">
        <v>198</v>
      </c>
      <c r="C167" s="31" t="str">
        <f>VLOOKUP(B167,BASE!$A:$B,2,0)</f>
        <v>744 ADAPTADOR 403 BLANCO</v>
      </c>
      <c r="D167" s="35" t="str">
        <f>VLOOKUP(B167,BASE!$A:$D,3,0)</f>
        <v>BLANCO</v>
      </c>
      <c r="E167" s="32">
        <f>VLOOKUP(B167,BASE!$A:$E,4,0)</f>
        <v>403</v>
      </c>
      <c r="F167" s="32">
        <v>4000</v>
      </c>
      <c r="G167" s="23">
        <f t="shared" si="2"/>
        <v>0.66666666666666663</v>
      </c>
    </row>
    <row r="168" spans="1:7" ht="20.25" hidden="1" customHeight="1" x14ac:dyDescent="0.25">
      <c r="A168" s="29">
        <v>7821</v>
      </c>
      <c r="B168" s="30" t="s">
        <v>299</v>
      </c>
      <c r="C168" s="31" t="str">
        <f>VLOOKUP(B168,BASE!$A:$B,2,0)</f>
        <v>ALFAJIA S-012 BLANCA</v>
      </c>
      <c r="D168" s="35" t="str">
        <f>VLOOKUP(B168,BASE!$A:$D,3,0)</f>
        <v>BLANCO</v>
      </c>
      <c r="E168" s="32" t="str">
        <f>VLOOKUP(B168,BASE!$A:$E,4,0)</f>
        <v>S-012</v>
      </c>
      <c r="F168" s="32">
        <v>1130</v>
      </c>
      <c r="G168" s="23">
        <f t="shared" si="2"/>
        <v>0.18833333333333332</v>
      </c>
    </row>
    <row r="169" spans="1:7" ht="20.25" hidden="1" customHeight="1" x14ac:dyDescent="0.25">
      <c r="A169" s="29">
        <v>7822</v>
      </c>
      <c r="B169" s="30" t="s">
        <v>299</v>
      </c>
      <c r="C169" s="31" t="str">
        <f>VLOOKUP(B169,BASE!$A:$B,2,0)</f>
        <v>ALFAJIA S-012 BLANCA</v>
      </c>
      <c r="D169" s="35" t="str">
        <f>VLOOKUP(B169,BASE!$A:$D,3,0)</f>
        <v>BLANCO</v>
      </c>
      <c r="E169" s="32" t="str">
        <f>VLOOKUP(B169,BASE!$A:$E,4,0)</f>
        <v>S-012</v>
      </c>
      <c r="F169" s="32">
        <v>1130</v>
      </c>
      <c r="G169" s="23">
        <f t="shared" si="2"/>
        <v>0.18833333333333332</v>
      </c>
    </row>
    <row r="170" spans="1:7" ht="20.25" hidden="1" customHeight="1" x14ac:dyDescent="0.25">
      <c r="A170" s="29">
        <v>7827</v>
      </c>
      <c r="B170" s="30" t="s">
        <v>459</v>
      </c>
      <c r="C170" s="31" t="str">
        <f>VLOOKUP(B170,BASE!$A:$B,2,0)</f>
        <v>PERSIANA 315 BLANCO</v>
      </c>
      <c r="D170" s="35" t="str">
        <f>VLOOKUP(B170,BASE!$A:$D,3,0)</f>
        <v>BLANCO</v>
      </c>
      <c r="E170" s="32">
        <f>VLOOKUP(B170,BASE!$A:$E,4,0)</f>
        <v>315</v>
      </c>
      <c r="F170" s="32">
        <v>3400</v>
      </c>
      <c r="G170" s="23">
        <f t="shared" si="2"/>
        <v>0.56666666666666665</v>
      </c>
    </row>
    <row r="171" spans="1:7" ht="20.25" hidden="1" customHeight="1" x14ac:dyDescent="0.25">
      <c r="A171" s="29">
        <v>7833</v>
      </c>
      <c r="B171" s="30" t="s">
        <v>153</v>
      </c>
      <c r="C171" s="31" t="str">
        <f>VLOOKUP(B171,BASE!$A:$B,2,0)</f>
        <v>TUBULAR 1102 MATE</v>
      </c>
      <c r="D171" s="35" t="str">
        <f>VLOOKUP(B171,BASE!$A:$D,3,0)</f>
        <v>MATE</v>
      </c>
      <c r="E171" s="32">
        <f>VLOOKUP(B171,BASE!$A:$E,4,0)</f>
        <v>1102</v>
      </c>
      <c r="F171" s="32">
        <v>1160</v>
      </c>
      <c r="G171" s="23">
        <f t="shared" si="2"/>
        <v>0.19333333333333333</v>
      </c>
    </row>
    <row r="172" spans="1:7" ht="20.25" hidden="1" customHeight="1" x14ac:dyDescent="0.25">
      <c r="A172" s="29">
        <v>7869</v>
      </c>
      <c r="B172" s="30" t="s">
        <v>138</v>
      </c>
      <c r="C172" s="31" t="str">
        <f>VLOOKUP(B172,BASE!$A:$B,2,0)</f>
        <v>TAPALUZ PT02 NEGRO</v>
      </c>
      <c r="D172" s="35" t="str">
        <f>VLOOKUP(B172,BASE!$A:$D,3,0)</f>
        <v>NEGRO</v>
      </c>
      <c r="E172" s="32" t="str">
        <f>VLOOKUP(B172,BASE!$A:$E,4,0)</f>
        <v>PT-02</v>
      </c>
      <c r="F172" s="32">
        <v>2000</v>
      </c>
      <c r="G172" s="23">
        <f t="shared" si="2"/>
        <v>0.33333333333333331</v>
      </c>
    </row>
    <row r="173" spans="1:7" ht="20.25" hidden="1" customHeight="1" x14ac:dyDescent="0.25">
      <c r="A173" s="29">
        <v>7879</v>
      </c>
      <c r="B173" s="34" t="s">
        <v>148</v>
      </c>
      <c r="C173" s="31" t="str">
        <f>VLOOKUP(B173,BASE!$A:$B,2,0)</f>
        <v>U-089 MATE</v>
      </c>
      <c r="D173" s="35" t="str">
        <f>VLOOKUP(B173,BASE!$A:$D,3,0)</f>
        <v>MATE</v>
      </c>
      <c r="E173" s="32" t="str">
        <f>VLOOKUP(B173,BASE!$A:$E,4,0)</f>
        <v>U-89</v>
      </c>
      <c r="F173" s="32">
        <v>3300</v>
      </c>
      <c r="G173" s="23">
        <f t="shared" si="2"/>
        <v>0.55000000000000004</v>
      </c>
    </row>
    <row r="174" spans="1:7" ht="20.25" hidden="1" customHeight="1" x14ac:dyDescent="0.25">
      <c r="A174" s="29">
        <v>7907</v>
      </c>
      <c r="B174" s="34" t="s">
        <v>576</v>
      </c>
      <c r="C174" s="31" t="str">
        <f>VLOOKUP(B174,BASE!$A:$B,2,0)</f>
        <v>U57 MATE</v>
      </c>
      <c r="D174" s="35" t="str">
        <f>VLOOKUP(B174,BASE!$A:$D,3,0)</f>
        <v>MATE</v>
      </c>
      <c r="E174" s="32" t="str">
        <f>VLOOKUP(B174,BASE!$A:$E,4,0)</f>
        <v>U-57</v>
      </c>
      <c r="F174" s="32">
        <v>1919</v>
      </c>
      <c r="G174" s="23">
        <f t="shared" si="2"/>
        <v>0.31983333333333336</v>
      </c>
    </row>
    <row r="175" spans="1:7" ht="20.25" hidden="1" customHeight="1" x14ac:dyDescent="0.25">
      <c r="A175" s="29">
        <v>7908</v>
      </c>
      <c r="B175" s="34" t="s">
        <v>576</v>
      </c>
      <c r="C175" s="31" t="str">
        <f>VLOOKUP(B175,BASE!$A:$B,2,0)</f>
        <v>U57 MATE</v>
      </c>
      <c r="D175" s="35" t="str">
        <f>VLOOKUP(B175,BASE!$A:$D,3,0)</f>
        <v>MATE</v>
      </c>
      <c r="E175" s="32" t="str">
        <f>VLOOKUP(B175,BASE!$A:$E,4,0)</f>
        <v>U-57</v>
      </c>
      <c r="F175" s="32">
        <v>2020</v>
      </c>
      <c r="G175" s="23">
        <f t="shared" si="2"/>
        <v>0.33666666666666667</v>
      </c>
    </row>
    <row r="176" spans="1:7" ht="20.25" hidden="1" customHeight="1" x14ac:dyDescent="0.25">
      <c r="A176" s="29">
        <v>7909</v>
      </c>
      <c r="B176" s="34" t="s">
        <v>576</v>
      </c>
      <c r="C176" s="31" t="str">
        <f>VLOOKUP(B176,BASE!$A:$B,2,0)</f>
        <v>U57 MATE</v>
      </c>
      <c r="D176" s="35" t="str">
        <f>VLOOKUP(B176,BASE!$A:$D,3,0)</f>
        <v>MATE</v>
      </c>
      <c r="E176" s="32" t="str">
        <f>VLOOKUP(B176,BASE!$A:$E,4,0)</f>
        <v>U-57</v>
      </c>
      <c r="F176" s="32">
        <v>2005</v>
      </c>
      <c r="G176" s="23">
        <f t="shared" si="2"/>
        <v>0.33416666666666667</v>
      </c>
    </row>
    <row r="177" spans="1:7" ht="20.25" hidden="1" customHeight="1" x14ac:dyDescent="0.25">
      <c r="A177" s="29">
        <v>7947</v>
      </c>
      <c r="B177" s="34" t="s">
        <v>954</v>
      </c>
      <c r="C177" s="31" t="str">
        <f>VLOOKUP(B177,BASE!$A:$B,2,0)</f>
        <v>744 JAMBA TRES RIELES 1858 NEGRO</v>
      </c>
      <c r="D177" s="35" t="str">
        <f>VLOOKUP(B177,BASE!$A:$D,3,0)</f>
        <v>NEGRO</v>
      </c>
      <c r="E177" s="32">
        <f>VLOOKUP(B177,BASE!$A:$E,4,0)</f>
        <v>1858</v>
      </c>
      <c r="F177" s="32">
        <v>4300</v>
      </c>
      <c r="G177" s="23">
        <f t="shared" si="2"/>
        <v>0.71666666666666667</v>
      </c>
    </row>
    <row r="178" spans="1:7" ht="20.25" hidden="1" customHeight="1" x14ac:dyDescent="0.25">
      <c r="A178" s="29">
        <v>8010</v>
      </c>
      <c r="B178" s="34" t="s">
        <v>107</v>
      </c>
      <c r="C178" s="31" t="str">
        <f>VLOOKUP(B178,BASE!$A:$B,2,0)</f>
        <v>5020 TRASLAPE REFORZADO 462 MATE</v>
      </c>
      <c r="D178" s="35" t="str">
        <f>VLOOKUP(B178,BASE!$A:$D,3,0)</f>
        <v>MATE</v>
      </c>
      <c r="E178" s="32">
        <f>VLOOKUP(B178,BASE!$A:$E,4,0)</f>
        <v>462</v>
      </c>
      <c r="F178" s="32">
        <v>1150</v>
      </c>
      <c r="G178" s="23">
        <f t="shared" si="2"/>
        <v>0.19166666666666668</v>
      </c>
    </row>
    <row r="179" spans="1:7" ht="20.25" hidden="1" customHeight="1" x14ac:dyDescent="0.25">
      <c r="A179" s="29">
        <v>8046</v>
      </c>
      <c r="B179" s="34" t="s">
        <v>353</v>
      </c>
      <c r="C179" s="31" t="str">
        <f>VLOOKUP(B179,BASE!$A:$B,2,0)</f>
        <v>3831 DIVISOR 292 BLANCO</v>
      </c>
      <c r="D179" s="35" t="str">
        <f>VLOOKUP(B179,BASE!$A:$D,3,0)</f>
        <v>BLANCO</v>
      </c>
      <c r="E179" s="32">
        <f>VLOOKUP(B179,BASE!$A:$E,4,0)</f>
        <v>292</v>
      </c>
      <c r="F179" s="32">
        <v>3300</v>
      </c>
      <c r="G179" s="23">
        <f t="shared" si="2"/>
        <v>0.55000000000000004</v>
      </c>
    </row>
    <row r="180" spans="1:7" ht="20.25" hidden="1" customHeight="1" x14ac:dyDescent="0.25">
      <c r="A180" s="29">
        <v>8054</v>
      </c>
      <c r="B180" s="34" t="s">
        <v>453</v>
      </c>
      <c r="C180" s="31" t="str">
        <f>VLOOKUP(B180,BASE!$A:$B,2,0)</f>
        <v>3831 NAVE 176 BRONCE</v>
      </c>
      <c r="D180" s="35" t="str">
        <f>VLOOKUP(B180,BASE!$A:$D,3,0)</f>
        <v>BRONCE</v>
      </c>
      <c r="E180" s="32">
        <f>VLOOKUP(B180,BASE!$A:$E,4,0)</f>
        <v>176</v>
      </c>
      <c r="F180" s="32">
        <v>2700</v>
      </c>
      <c r="G180" s="23">
        <f t="shared" si="2"/>
        <v>0.45</v>
      </c>
    </row>
    <row r="181" spans="1:7" ht="20.25" hidden="1" customHeight="1" x14ac:dyDescent="0.25">
      <c r="A181" s="29">
        <v>8077</v>
      </c>
      <c r="B181" s="34" t="s">
        <v>725</v>
      </c>
      <c r="C181" s="31" t="str">
        <f>VLOOKUP(B181,BASE!$A:$B,2,0)</f>
        <v>744 ADAPTADOR 403 NEGRO</v>
      </c>
      <c r="D181" s="35" t="str">
        <f>VLOOKUP(B181,BASE!$A:$D,3,0)</f>
        <v>NEGRO</v>
      </c>
      <c r="E181" s="32">
        <f>VLOOKUP(B181,BASE!$A:$E,4,0)</f>
        <v>403</v>
      </c>
      <c r="F181" s="32">
        <v>1000</v>
      </c>
      <c r="G181" s="23">
        <f t="shared" si="2"/>
        <v>0.16666666666666666</v>
      </c>
    </row>
    <row r="182" spans="1:7" ht="20.25" hidden="1" customHeight="1" x14ac:dyDescent="0.25">
      <c r="A182" s="29">
        <v>8123</v>
      </c>
      <c r="B182" s="34" t="s">
        <v>313</v>
      </c>
      <c r="C182" s="31" t="str">
        <f>VLOOKUP(B182,BASE!$A:$B,2,0)</f>
        <v>ANGULO A-01 BLANCO (1/2 X 1/2)</v>
      </c>
      <c r="D182" s="35" t="str">
        <f>VLOOKUP(B182,BASE!$A:$D,3,0)</f>
        <v>BLANCO</v>
      </c>
      <c r="E182" s="32" t="str">
        <f>VLOOKUP(B182,BASE!$A:$E,4,0)</f>
        <v>A-01</v>
      </c>
      <c r="F182" s="32">
        <v>6000</v>
      </c>
      <c r="G182" s="23">
        <f t="shared" si="2"/>
        <v>1</v>
      </c>
    </row>
    <row r="183" spans="1:7" ht="20.25" hidden="1" customHeight="1" x14ac:dyDescent="0.25">
      <c r="A183" s="29">
        <v>8158</v>
      </c>
      <c r="B183" s="34" t="s">
        <v>549</v>
      </c>
      <c r="C183" s="31" t="str">
        <f>VLOOKUP(B183,BASE!$A:$B,2,0)</f>
        <v>TUBULAR T-90 MATE</v>
      </c>
      <c r="D183" s="35" t="str">
        <f>VLOOKUP(B183,BASE!$A:$D,3,0)</f>
        <v>MATE</v>
      </c>
      <c r="E183" s="32" t="str">
        <f>VLOOKUP(B183,BASE!$A:$E,4,0)</f>
        <v>T-90</v>
      </c>
      <c r="F183" s="32">
        <v>4000</v>
      </c>
      <c r="G183" s="23">
        <f t="shared" si="2"/>
        <v>0.66666666666666663</v>
      </c>
    </row>
    <row r="184" spans="1:7" ht="20.25" hidden="1" customHeight="1" x14ac:dyDescent="0.25">
      <c r="A184" s="29">
        <v>8169</v>
      </c>
      <c r="B184" s="34" t="s">
        <v>694</v>
      </c>
      <c r="C184" s="31" t="str">
        <f>VLOOKUP(B184,BASE!$A:$B,2,0)</f>
        <v>744 CABEZAL 392 MATE</v>
      </c>
      <c r="D184" s="35" t="str">
        <f>VLOOKUP(B184,BASE!$A:$D,3,0)</f>
        <v>MATE</v>
      </c>
      <c r="E184" s="32">
        <f>VLOOKUP(B184,BASE!$A:$E,4,0)</f>
        <v>392</v>
      </c>
      <c r="F184" s="32">
        <v>1090</v>
      </c>
      <c r="G184" s="23">
        <f t="shared" si="2"/>
        <v>0.18166666666666667</v>
      </c>
    </row>
    <row r="185" spans="1:7" ht="20.25" hidden="1" customHeight="1" x14ac:dyDescent="0.25">
      <c r="A185" s="29">
        <v>8176</v>
      </c>
      <c r="B185" s="34" t="s">
        <v>706</v>
      </c>
      <c r="C185" s="31" t="str">
        <f>VLOOKUP(B185,BASE!$A:$B,2,0)</f>
        <v>TUBULAR 1102 NEGRO</v>
      </c>
      <c r="D185" s="35" t="str">
        <f>VLOOKUP(B185,BASE!$A:$D,3,0)</f>
        <v>NEGRO</v>
      </c>
      <c r="E185" s="32">
        <f>VLOOKUP(B185,BASE!$A:$E,4,0)</f>
        <v>1102</v>
      </c>
      <c r="F185" s="32">
        <v>1330</v>
      </c>
      <c r="G185" s="23">
        <f t="shared" si="2"/>
        <v>0.22166666666666668</v>
      </c>
    </row>
    <row r="186" spans="1:7" ht="20.25" hidden="1" customHeight="1" x14ac:dyDescent="0.25">
      <c r="A186" s="29">
        <v>8285</v>
      </c>
      <c r="B186" s="34" t="s">
        <v>58</v>
      </c>
      <c r="C186" s="31" t="str">
        <f>VLOOKUP(B186,BASE!$A:$B,2,0)</f>
        <v>TUBULAR T-70 NEGRO</v>
      </c>
      <c r="D186" s="35" t="str">
        <f>VLOOKUP(B186,BASE!$A:$D,3,0)</f>
        <v>NEGRO</v>
      </c>
      <c r="E186" s="32" t="str">
        <f>VLOOKUP(B186,BASE!$A:$E,4,0)</f>
        <v>T-70</v>
      </c>
      <c r="F186" s="32">
        <v>1000</v>
      </c>
      <c r="G186" s="23">
        <f t="shared" si="2"/>
        <v>0.16666666666666666</v>
      </c>
    </row>
    <row r="187" spans="1:7" ht="20.25" hidden="1" customHeight="1" x14ac:dyDescent="0.25">
      <c r="A187" s="29">
        <v>8309</v>
      </c>
      <c r="B187" s="34" t="s">
        <v>726</v>
      </c>
      <c r="C187" s="31" t="str">
        <f>VLOOKUP(B187,BASE!$A:$B,2,0)</f>
        <v>ALFAJIA 413 GRIS PLATA</v>
      </c>
      <c r="D187" s="35" t="str">
        <f>VLOOKUP(B187,BASE!$A:$D,3,0)</f>
        <v>GRIS PLATA</v>
      </c>
      <c r="E187" s="32">
        <f>VLOOKUP(B187,BASE!$A:$E,4,0)</f>
        <v>413</v>
      </c>
      <c r="F187" s="32">
        <v>1300</v>
      </c>
      <c r="G187" s="23">
        <f t="shared" si="2"/>
        <v>0.21666666666666667</v>
      </c>
    </row>
    <row r="188" spans="1:7" ht="20.25" hidden="1" customHeight="1" x14ac:dyDescent="0.25">
      <c r="A188" s="29">
        <v>8380</v>
      </c>
      <c r="B188" s="34" t="s">
        <v>699</v>
      </c>
      <c r="C188" s="31" t="str">
        <f>VLOOKUP(B188,BASE!$A:$B,2,0)</f>
        <v>TABLILLA F-08 BRONCE</v>
      </c>
      <c r="D188" s="35" t="str">
        <f>VLOOKUP(B188,BASE!$A:$D,3,0)</f>
        <v>BRONCE</v>
      </c>
      <c r="E188" s="32" t="str">
        <f>VLOOKUP(B188,BASE!$A:$E,4,0)</f>
        <v>F-08</v>
      </c>
      <c r="F188" s="47">
        <v>1100</v>
      </c>
      <c r="G188" s="23">
        <f t="shared" si="2"/>
        <v>0.18333333333333332</v>
      </c>
    </row>
    <row r="189" spans="1:7" ht="20.25" hidden="1" customHeight="1" x14ac:dyDescent="0.25">
      <c r="A189" s="29">
        <v>8429</v>
      </c>
      <c r="B189" s="34" t="s">
        <v>74</v>
      </c>
      <c r="C189" s="31" t="str">
        <f>VLOOKUP(B189,BASE!$A:$B,2,0)</f>
        <v>ALFAJIA 449 NEGRA</v>
      </c>
      <c r="D189" s="35" t="str">
        <f>VLOOKUP(B189,BASE!$A:$D,3,0)</f>
        <v>NEGRO</v>
      </c>
      <c r="E189" s="32">
        <f>VLOOKUP(B189,BASE!$A:$E,4,0)</f>
        <v>449</v>
      </c>
      <c r="F189" s="32">
        <v>1500</v>
      </c>
      <c r="G189" s="23">
        <f t="shared" si="2"/>
        <v>0.25</v>
      </c>
    </row>
    <row r="190" spans="1:7" ht="20.25" hidden="1" customHeight="1" x14ac:dyDescent="0.25">
      <c r="A190" s="29">
        <v>8446</v>
      </c>
      <c r="B190" s="34" t="s">
        <v>954</v>
      </c>
      <c r="C190" s="31" t="str">
        <f>VLOOKUP(B190,BASE!$A:$B,2,0)</f>
        <v>744 JAMBA TRES RIELES 1858 NEGRO</v>
      </c>
      <c r="D190" s="35" t="str">
        <f>VLOOKUP(B190,BASE!$A:$D,3,0)</f>
        <v>NEGRO</v>
      </c>
      <c r="E190" s="32">
        <f>VLOOKUP(B190,BASE!$A:$E,4,0)</f>
        <v>1858</v>
      </c>
      <c r="F190" s="32">
        <v>1700</v>
      </c>
      <c r="G190" s="23">
        <f t="shared" si="2"/>
        <v>0.28333333333333333</v>
      </c>
    </row>
    <row r="191" spans="1:7" ht="20.25" hidden="1" customHeight="1" x14ac:dyDescent="0.25">
      <c r="A191" s="29">
        <v>8447</v>
      </c>
      <c r="B191" s="34" t="s">
        <v>954</v>
      </c>
      <c r="C191" s="31" t="str">
        <f>VLOOKUP(B191,BASE!$A:$B,2,0)</f>
        <v>744 JAMBA TRES RIELES 1858 NEGRO</v>
      </c>
      <c r="D191" s="35" t="str">
        <f>VLOOKUP(B191,BASE!$A:$D,3,0)</f>
        <v>NEGRO</v>
      </c>
      <c r="E191" s="32">
        <f>VLOOKUP(B191,BASE!$A:$E,4,0)</f>
        <v>1858</v>
      </c>
      <c r="F191" s="32">
        <v>1700</v>
      </c>
      <c r="G191" s="23">
        <f t="shared" si="2"/>
        <v>0.28333333333333333</v>
      </c>
    </row>
    <row r="192" spans="1:7" ht="20.25" hidden="1" customHeight="1" x14ac:dyDescent="0.25">
      <c r="A192" s="29">
        <v>8462</v>
      </c>
      <c r="B192" s="34" t="s">
        <v>85</v>
      </c>
      <c r="C192" s="31" t="str">
        <f>VLOOKUP(B192,BASE!$A:$B,2,0)</f>
        <v>3831 ESQUINERO 416 MATE</v>
      </c>
      <c r="D192" s="35" t="str">
        <f>VLOOKUP(B192,BASE!$A:$D,3,0)</f>
        <v>MATE</v>
      </c>
      <c r="E192" s="32">
        <f>VLOOKUP(B192,BASE!$A:$E,4,0)</f>
        <v>416</v>
      </c>
      <c r="F192" s="32">
        <v>900</v>
      </c>
      <c r="G192" s="23">
        <f t="shared" si="2"/>
        <v>0.15</v>
      </c>
    </row>
    <row r="193" spans="1:7" ht="20.25" hidden="1" customHeight="1" x14ac:dyDescent="0.25">
      <c r="A193" s="29">
        <v>8464</v>
      </c>
      <c r="B193" s="34" t="s">
        <v>85</v>
      </c>
      <c r="C193" s="31" t="str">
        <f>VLOOKUP(B193,BASE!$A:$B,2,0)</f>
        <v>3831 ESQUINERO 416 MATE</v>
      </c>
      <c r="D193" s="35" t="str">
        <f>VLOOKUP(B193,BASE!$A:$D,3,0)</f>
        <v>MATE</v>
      </c>
      <c r="E193" s="32">
        <f>VLOOKUP(B193,BASE!$A:$E,4,0)</f>
        <v>416</v>
      </c>
      <c r="F193" s="32">
        <v>800</v>
      </c>
      <c r="G193" s="23">
        <f t="shared" si="2"/>
        <v>0.13333333333333333</v>
      </c>
    </row>
    <row r="194" spans="1:7" ht="20.25" hidden="1" customHeight="1" x14ac:dyDescent="0.25">
      <c r="A194" s="29">
        <v>8466</v>
      </c>
      <c r="B194" s="34" t="s">
        <v>85</v>
      </c>
      <c r="C194" s="31" t="str">
        <f>VLOOKUP(B194,BASE!$A:$B,2,0)</f>
        <v>3831 ESQUINERO 416 MATE</v>
      </c>
      <c r="D194" s="35" t="str">
        <f>VLOOKUP(B194,BASE!$A:$D,3,0)</f>
        <v>MATE</v>
      </c>
      <c r="E194" s="32">
        <f>VLOOKUP(B194,BASE!$A:$E,4,0)</f>
        <v>416</v>
      </c>
      <c r="F194" s="32">
        <v>700</v>
      </c>
      <c r="G194" s="23">
        <f t="shared" si="2"/>
        <v>0.11666666666666667</v>
      </c>
    </row>
    <row r="195" spans="1:7" ht="20.25" hidden="1" customHeight="1" x14ac:dyDescent="0.25">
      <c r="A195" s="29">
        <v>8486</v>
      </c>
      <c r="B195" s="34" t="s">
        <v>303</v>
      </c>
      <c r="C195" s="31" t="str">
        <f>VLOOKUP(B195,BASE!$A:$B,2,0)</f>
        <v>ALFAJIA 413 NEGRA</v>
      </c>
      <c r="D195" s="35" t="str">
        <f>VLOOKUP(B195,BASE!$A:$D,3,0)</f>
        <v>NEGRO</v>
      </c>
      <c r="E195" s="32">
        <f>VLOOKUP(B195,BASE!$A:$E,4,0)</f>
        <v>413</v>
      </c>
      <c r="F195" s="32">
        <v>900</v>
      </c>
      <c r="G195" s="23">
        <f t="shared" si="2"/>
        <v>0.15</v>
      </c>
    </row>
    <row r="196" spans="1:7" ht="20.25" hidden="1" customHeight="1" x14ac:dyDescent="0.25">
      <c r="A196" s="29">
        <v>8494</v>
      </c>
      <c r="B196" s="34" t="s">
        <v>554</v>
      </c>
      <c r="C196" s="31" t="str">
        <f>VLOOKUP(B196,BASE!$A:$B,2,0)</f>
        <v>TUBULAR T-70 BLANCO</v>
      </c>
      <c r="D196" s="35" t="str">
        <f>VLOOKUP(B196,BASE!$A:$D,3,0)</f>
        <v>BLANCO</v>
      </c>
      <c r="E196" s="32" t="str">
        <f>VLOOKUP(B196,BASE!$A:$E,4,0)</f>
        <v>T-70</v>
      </c>
      <c r="F196" s="32">
        <v>4800</v>
      </c>
      <c r="G196" s="23">
        <f t="shared" si="2"/>
        <v>0.8</v>
      </c>
    </row>
    <row r="197" spans="1:7" ht="20.25" hidden="1" customHeight="1" x14ac:dyDescent="0.25">
      <c r="A197" s="29">
        <v>8519</v>
      </c>
      <c r="B197" s="34" t="s">
        <v>69</v>
      </c>
      <c r="C197" s="31" t="str">
        <f>VLOOKUP(B197,BASE!$A:$B,2,0)</f>
        <v>744 SILLAR 387 GRIS PLATA</v>
      </c>
      <c r="D197" s="35" t="str">
        <f>VLOOKUP(B197,BASE!$A:$D,3,0)</f>
        <v>GRIS PLATA</v>
      </c>
      <c r="E197" s="32">
        <f>VLOOKUP(B197,BASE!$A:$E,4,0)</f>
        <v>387</v>
      </c>
      <c r="F197" s="32">
        <v>1200</v>
      </c>
      <c r="G197" s="23">
        <f t="shared" ref="G197:G260" si="3">+F197/6000</f>
        <v>0.2</v>
      </c>
    </row>
    <row r="198" spans="1:7" ht="20.25" hidden="1" customHeight="1" x14ac:dyDescent="0.25">
      <c r="A198" s="29">
        <v>8538</v>
      </c>
      <c r="B198" s="34" t="s">
        <v>118</v>
      </c>
      <c r="C198" s="31" t="str">
        <f>VLOOKUP(B198,BASE!$A:$B,2,0)</f>
        <v>744 ENGANCHE 391 BLANCO</v>
      </c>
      <c r="D198" s="35" t="str">
        <f>VLOOKUP(B198,BASE!$A:$D,3,0)</f>
        <v>BLANCO</v>
      </c>
      <c r="E198" s="32">
        <f>VLOOKUP(B198,BASE!$A:$E,4,0)</f>
        <v>391</v>
      </c>
      <c r="F198" s="32">
        <v>2000</v>
      </c>
      <c r="G198" s="23">
        <f t="shared" si="3"/>
        <v>0.33333333333333331</v>
      </c>
    </row>
    <row r="199" spans="1:7" ht="20.25" hidden="1" customHeight="1" x14ac:dyDescent="0.25">
      <c r="A199" s="29">
        <v>8553</v>
      </c>
      <c r="B199" s="34" t="s">
        <v>31</v>
      </c>
      <c r="C199" s="31" t="str">
        <f>VLOOKUP(B199,BASE!$A:$B,2,0)</f>
        <v>744 HORIZONTAL SUPERIOR 389 GRIS PLATA</v>
      </c>
      <c r="D199" s="35" t="str">
        <f>VLOOKUP(B199,BASE!$A:$D,3,0)</f>
        <v>GRIS PLATA</v>
      </c>
      <c r="E199" s="32">
        <f>VLOOKUP(B199,BASE!$A:$E,4,0)</f>
        <v>389</v>
      </c>
      <c r="F199" s="32">
        <v>1600</v>
      </c>
      <c r="G199" s="23">
        <f t="shared" si="3"/>
        <v>0.26666666666666666</v>
      </c>
    </row>
    <row r="200" spans="1:7" ht="20.25" hidden="1" customHeight="1" x14ac:dyDescent="0.25">
      <c r="A200" s="29">
        <v>8561</v>
      </c>
      <c r="B200" s="34" t="s">
        <v>32</v>
      </c>
      <c r="C200" s="31" t="str">
        <f>VLOOKUP(B200,BASE!$A:$B,2,0)</f>
        <v>744 HORIZONTAL INFERIOR 390 GRIS PLATA</v>
      </c>
      <c r="D200" s="35" t="str">
        <f>VLOOKUP(B200,BASE!$A:$D,3,0)</f>
        <v>GRIS PLATA</v>
      </c>
      <c r="E200" s="32">
        <f>VLOOKUP(B200,BASE!$A:$E,4,0)</f>
        <v>390</v>
      </c>
      <c r="F200" s="32">
        <v>900</v>
      </c>
      <c r="G200" s="23">
        <f t="shared" si="3"/>
        <v>0.15</v>
      </c>
    </row>
    <row r="201" spans="1:7" ht="20.25" hidden="1" customHeight="1" x14ac:dyDescent="0.25">
      <c r="A201" s="29">
        <v>8564</v>
      </c>
      <c r="B201" s="34" t="s">
        <v>31</v>
      </c>
      <c r="C201" s="31" t="str">
        <f>VLOOKUP(B201,BASE!$A:$B,2,0)</f>
        <v>744 HORIZONTAL SUPERIOR 389 GRIS PLATA</v>
      </c>
      <c r="D201" s="35" t="str">
        <f>VLOOKUP(B201,BASE!$A:$D,3,0)</f>
        <v>GRIS PLATA</v>
      </c>
      <c r="E201" s="32">
        <f>VLOOKUP(B201,BASE!$A:$E,4,0)</f>
        <v>389</v>
      </c>
      <c r="F201" s="32">
        <v>900</v>
      </c>
      <c r="G201" s="23">
        <f t="shared" si="3"/>
        <v>0.15</v>
      </c>
    </row>
    <row r="202" spans="1:7" ht="20.25" hidden="1" customHeight="1" x14ac:dyDescent="0.25">
      <c r="A202" s="29">
        <v>8572</v>
      </c>
      <c r="B202" s="34" t="s">
        <v>45</v>
      </c>
      <c r="C202" s="31" t="str">
        <f>VLOOKUP(B202,BASE!$A:$B,2,0)</f>
        <v>7038 CABEZAL 700 NEGRO</v>
      </c>
      <c r="D202" s="35" t="str">
        <f>VLOOKUP(B202,BASE!$A:$D,3,0)</f>
        <v>NEGRO</v>
      </c>
      <c r="E202" s="32">
        <f>VLOOKUP(B202,BASE!$A:$E,4,0)</f>
        <v>700</v>
      </c>
      <c r="F202" s="32">
        <v>2700</v>
      </c>
      <c r="G202" s="23">
        <f t="shared" si="3"/>
        <v>0.45</v>
      </c>
    </row>
    <row r="203" spans="1:7" ht="20.25" hidden="1" customHeight="1" x14ac:dyDescent="0.25">
      <c r="A203" s="29">
        <v>8573</v>
      </c>
      <c r="B203" s="34" t="s">
        <v>416</v>
      </c>
      <c r="C203" s="31" t="str">
        <f>VLOOKUP(B203,BASE!$A:$B,2,0)</f>
        <v>7038 JAMBA 702 MATE</v>
      </c>
      <c r="D203" s="35" t="str">
        <f>VLOOKUP(B203,BASE!$A:$D,3,0)</f>
        <v>MATE</v>
      </c>
      <c r="E203" s="32">
        <f>VLOOKUP(B203,BASE!$A:$E,4,0)</f>
        <v>702</v>
      </c>
      <c r="F203" s="32">
        <v>2100</v>
      </c>
      <c r="G203" s="23">
        <f t="shared" si="3"/>
        <v>0.35</v>
      </c>
    </row>
    <row r="204" spans="1:7" ht="20.25" hidden="1" customHeight="1" x14ac:dyDescent="0.25">
      <c r="A204" s="29">
        <v>8586</v>
      </c>
      <c r="B204" s="34" t="s">
        <v>40</v>
      </c>
      <c r="C204" s="31" t="str">
        <f>VLOOKUP(B204,BASE!$A:$B,2,0)</f>
        <v>TUBULAR T-94 NEGRO</v>
      </c>
      <c r="D204" s="35" t="str">
        <f>VLOOKUP(B204,BASE!$A:$D,3,0)</f>
        <v>NEGRO</v>
      </c>
      <c r="E204" s="32" t="str">
        <f>VLOOKUP(B204,BASE!$A:$E,4,0)</f>
        <v>T-94</v>
      </c>
      <c r="F204" s="32">
        <v>2100</v>
      </c>
      <c r="G204" s="23">
        <f t="shared" si="3"/>
        <v>0.35</v>
      </c>
    </row>
    <row r="205" spans="1:7" ht="20.25" hidden="1" customHeight="1" x14ac:dyDescent="0.25">
      <c r="A205" s="29">
        <v>8587</v>
      </c>
      <c r="B205" s="34" t="s">
        <v>576</v>
      </c>
      <c r="C205" s="31" t="str">
        <f>VLOOKUP(B205,BASE!$A:$B,2,0)</f>
        <v>U57 MATE</v>
      </c>
      <c r="D205" s="35" t="str">
        <f>VLOOKUP(B205,BASE!$A:$D,3,0)</f>
        <v>MATE</v>
      </c>
      <c r="E205" s="32" t="str">
        <f>VLOOKUP(B205,BASE!$A:$E,4,0)</f>
        <v>U-57</v>
      </c>
      <c r="F205" s="32">
        <v>1700</v>
      </c>
      <c r="G205" s="23">
        <f t="shared" si="3"/>
        <v>0.28333333333333333</v>
      </c>
    </row>
    <row r="206" spans="1:7" ht="20.25" hidden="1" customHeight="1" x14ac:dyDescent="0.25">
      <c r="A206" s="29">
        <v>8626</v>
      </c>
      <c r="B206" s="34" t="s">
        <v>33</v>
      </c>
      <c r="C206" s="31" t="str">
        <f>VLOOKUP(B206,BASE!$A:$B,2,0)</f>
        <v>ALFAJIA S-332 MATE</v>
      </c>
      <c r="D206" s="35" t="str">
        <f>VLOOKUP(B206,BASE!$A:$D,3,0)</f>
        <v>MATE</v>
      </c>
      <c r="E206" s="32" t="str">
        <f>VLOOKUP(B206,BASE!$A:$E,4,0)</f>
        <v>S-332</v>
      </c>
      <c r="F206" s="32">
        <v>1000</v>
      </c>
      <c r="G206" s="23">
        <f t="shared" si="3"/>
        <v>0.16666666666666666</v>
      </c>
    </row>
    <row r="207" spans="1:7" ht="20.25" hidden="1" customHeight="1" x14ac:dyDescent="0.25">
      <c r="A207" s="29">
        <v>8628</v>
      </c>
      <c r="B207" s="34" t="s">
        <v>416</v>
      </c>
      <c r="C207" s="31" t="str">
        <f>VLOOKUP(B207,BASE!$A:$B,2,0)</f>
        <v>7038 JAMBA 702 MATE</v>
      </c>
      <c r="D207" s="35" t="str">
        <f>VLOOKUP(B207,BASE!$A:$D,3,0)</f>
        <v>MATE</v>
      </c>
      <c r="E207" s="32">
        <f>VLOOKUP(B207,BASE!$A:$E,4,0)</f>
        <v>702</v>
      </c>
      <c r="F207" s="32">
        <v>2600</v>
      </c>
      <c r="G207" s="23">
        <f t="shared" si="3"/>
        <v>0.43333333333333335</v>
      </c>
    </row>
    <row r="208" spans="1:7" ht="20.25" hidden="1" customHeight="1" x14ac:dyDescent="0.25">
      <c r="A208" s="29">
        <v>8644</v>
      </c>
      <c r="B208" s="34" t="s">
        <v>697</v>
      </c>
      <c r="C208" s="31" t="str">
        <f>VLOOKUP(B208,BASE!$A:$B,2,0)</f>
        <v>744 HORIZONTAL INFERIOR 390 NEGRO</v>
      </c>
      <c r="D208" s="35" t="str">
        <f>VLOOKUP(B208,BASE!$A:$D,3,0)</f>
        <v>NEGRO</v>
      </c>
      <c r="E208" s="32">
        <f>VLOOKUP(B208,BASE!$A:$E,4,0)</f>
        <v>390</v>
      </c>
      <c r="F208" s="32">
        <v>6000</v>
      </c>
      <c r="G208" s="23">
        <f t="shared" si="3"/>
        <v>1</v>
      </c>
    </row>
    <row r="209" spans="1:7" ht="20.25" hidden="1" customHeight="1" x14ac:dyDescent="0.25">
      <c r="A209" s="29">
        <v>8647</v>
      </c>
      <c r="B209" s="34" t="s">
        <v>411</v>
      </c>
      <c r="C209" s="31" t="str">
        <f>VLOOKUP(B209,BASE!$A:$B,2,0)</f>
        <v>744 HORIZONTAL SUPERIOR 389 NEGRO</v>
      </c>
      <c r="D209" s="35" t="str">
        <f>VLOOKUP(B209,BASE!$A:$D,3,0)</f>
        <v>NEGRO</v>
      </c>
      <c r="E209" s="32">
        <f>VLOOKUP(B209,BASE!$A:$E,4,0)</f>
        <v>389</v>
      </c>
      <c r="F209" s="32">
        <v>6000</v>
      </c>
      <c r="G209" s="23">
        <f t="shared" si="3"/>
        <v>1</v>
      </c>
    </row>
    <row r="210" spans="1:7" ht="20.25" hidden="1" customHeight="1" x14ac:dyDescent="0.25">
      <c r="A210" s="29">
        <v>8680</v>
      </c>
      <c r="B210" s="34" t="s">
        <v>27</v>
      </c>
      <c r="C210" s="31" t="str">
        <f>VLOOKUP(B210,BASE!$A:$B,2,0)</f>
        <v>U32 BLANCA</v>
      </c>
      <c r="D210" s="35" t="str">
        <f>VLOOKUP(B210,BASE!$A:$D,3,0)</f>
        <v>BLANCO</v>
      </c>
      <c r="E210" s="32" t="str">
        <f>VLOOKUP(B210,BASE!$A:$E,4,0)</f>
        <v>U-32</v>
      </c>
      <c r="F210" s="32">
        <v>6000</v>
      </c>
      <c r="G210" s="23">
        <f t="shared" si="3"/>
        <v>1</v>
      </c>
    </row>
    <row r="211" spans="1:7" ht="20.25" hidden="1" customHeight="1" x14ac:dyDescent="0.25">
      <c r="A211" s="29">
        <v>8701</v>
      </c>
      <c r="B211" s="34" t="s">
        <v>330</v>
      </c>
      <c r="C211" s="31" t="str">
        <f>VLOOKUP(B211,BASE!$A:$B,2,0)</f>
        <v>7038 CABEZAL 700 BLANCO</v>
      </c>
      <c r="D211" s="35" t="str">
        <f>VLOOKUP(B211,BASE!$A:$D,3,0)</f>
        <v>BLANCO</v>
      </c>
      <c r="E211" s="32">
        <f>VLOOKUP(B211,BASE!$A:$E,4,0)</f>
        <v>700</v>
      </c>
      <c r="F211" s="32">
        <v>2900</v>
      </c>
      <c r="G211" s="23">
        <f t="shared" si="3"/>
        <v>0.48333333333333334</v>
      </c>
    </row>
    <row r="212" spans="1:7" ht="20.25" hidden="1" customHeight="1" x14ac:dyDescent="0.25">
      <c r="A212" s="29">
        <v>8702</v>
      </c>
      <c r="B212" s="34" t="s">
        <v>481</v>
      </c>
      <c r="C212" s="31" t="str">
        <f>VLOOKUP(B212,BASE!$A:$B,2,0)</f>
        <v>7038 SILLAR 701 BLANCO</v>
      </c>
      <c r="D212" s="35" t="str">
        <f>VLOOKUP(B212,BASE!$A:$D,3,0)</f>
        <v>BLANCO</v>
      </c>
      <c r="E212" s="32">
        <f>VLOOKUP(B212,BASE!$A:$E,4,0)</f>
        <v>701</v>
      </c>
      <c r="F212" s="32">
        <v>2900</v>
      </c>
      <c r="G212" s="23">
        <f t="shared" si="3"/>
        <v>0.48333333333333334</v>
      </c>
    </row>
    <row r="213" spans="1:7" ht="20.25" hidden="1" customHeight="1" x14ac:dyDescent="0.25">
      <c r="A213" s="29">
        <v>8706</v>
      </c>
      <c r="B213" s="34" t="s">
        <v>576</v>
      </c>
      <c r="C213" s="31" t="str">
        <f>VLOOKUP(B213,BASE!$A:$B,2,0)</f>
        <v>U57 MATE</v>
      </c>
      <c r="D213" s="35" t="str">
        <f>VLOOKUP(B213,BASE!$A:$D,3,0)</f>
        <v>MATE</v>
      </c>
      <c r="E213" s="32" t="str">
        <f>VLOOKUP(B213,BASE!$A:$E,4,0)</f>
        <v>U-57</v>
      </c>
      <c r="F213" s="32">
        <v>1400</v>
      </c>
      <c r="G213" s="23">
        <f t="shared" si="3"/>
        <v>0.23333333333333334</v>
      </c>
    </row>
    <row r="214" spans="1:7" ht="20.25" hidden="1" customHeight="1" x14ac:dyDescent="0.25">
      <c r="A214" s="29">
        <v>8707</v>
      </c>
      <c r="B214" s="34" t="s">
        <v>576</v>
      </c>
      <c r="C214" s="31" t="str">
        <f>VLOOKUP(B214,BASE!$A:$B,2,0)</f>
        <v>U57 MATE</v>
      </c>
      <c r="D214" s="35" t="str">
        <f>VLOOKUP(B214,BASE!$A:$D,3,0)</f>
        <v>MATE</v>
      </c>
      <c r="E214" s="32" t="str">
        <f>VLOOKUP(B214,BASE!$A:$E,4,0)</f>
        <v>U-57</v>
      </c>
      <c r="F214" s="32">
        <v>3600</v>
      </c>
      <c r="G214" s="23">
        <f t="shared" si="3"/>
        <v>0.6</v>
      </c>
    </row>
    <row r="215" spans="1:7" ht="20.25" hidden="1" customHeight="1" x14ac:dyDescent="0.25">
      <c r="A215" s="29">
        <v>8709</v>
      </c>
      <c r="B215" s="34" t="s">
        <v>53</v>
      </c>
      <c r="C215" s="31" t="str">
        <f>VLOOKUP(B215,BASE!$A:$B,2,0)</f>
        <v>U57 NEGRO</v>
      </c>
      <c r="D215" s="35" t="str">
        <f>VLOOKUP(B215,BASE!$A:$D,3,0)</f>
        <v>NEGRO</v>
      </c>
      <c r="E215" s="32" t="str">
        <f>VLOOKUP(B215,BASE!$A:$E,4,0)</f>
        <v>U-57</v>
      </c>
      <c r="F215" s="32">
        <v>2000</v>
      </c>
      <c r="G215" s="23">
        <f t="shared" si="3"/>
        <v>0.33333333333333331</v>
      </c>
    </row>
    <row r="216" spans="1:7" ht="20.25" hidden="1" customHeight="1" x14ac:dyDescent="0.25">
      <c r="A216" s="29">
        <v>8729</v>
      </c>
      <c r="B216" s="34" t="s">
        <v>706</v>
      </c>
      <c r="C216" s="31" t="str">
        <f>VLOOKUP(B216,BASE!$A:$B,2,0)</f>
        <v>TUBULAR 1102 NEGRO</v>
      </c>
      <c r="D216" s="35" t="str">
        <f>VLOOKUP(B216,BASE!$A:$D,3,0)</f>
        <v>NEGRO</v>
      </c>
      <c r="E216" s="32">
        <f>VLOOKUP(B216,BASE!$A:$E,4,0)</f>
        <v>1102</v>
      </c>
      <c r="F216" s="32">
        <v>3400</v>
      </c>
      <c r="G216" s="23">
        <f t="shared" si="3"/>
        <v>0.56666666666666665</v>
      </c>
    </row>
    <row r="217" spans="1:7" ht="20.25" hidden="1" customHeight="1" x14ac:dyDescent="0.25">
      <c r="A217" s="29">
        <v>8731</v>
      </c>
      <c r="B217" s="34" t="s">
        <v>706</v>
      </c>
      <c r="C217" s="31" t="str">
        <f>VLOOKUP(B217,BASE!$A:$B,2,0)</f>
        <v>TUBULAR 1102 NEGRO</v>
      </c>
      <c r="D217" s="35" t="str">
        <f>VLOOKUP(B217,BASE!$A:$D,3,0)</f>
        <v>NEGRO</v>
      </c>
      <c r="E217" s="32">
        <f>VLOOKUP(B217,BASE!$A:$E,4,0)</f>
        <v>1102</v>
      </c>
      <c r="F217" s="32">
        <v>1600</v>
      </c>
      <c r="G217" s="23">
        <f t="shared" si="3"/>
        <v>0.26666666666666666</v>
      </c>
    </row>
    <row r="218" spans="1:7" ht="20.25" hidden="1" customHeight="1" x14ac:dyDescent="0.25">
      <c r="A218" s="29">
        <v>8771</v>
      </c>
      <c r="B218" s="34" t="s">
        <v>27</v>
      </c>
      <c r="C218" s="31" t="str">
        <f>VLOOKUP(B218,BASE!$A:$B,2,0)</f>
        <v>U32 BLANCA</v>
      </c>
      <c r="D218" s="35" t="str">
        <f>VLOOKUP(B218,BASE!$A:$D,3,0)</f>
        <v>BLANCO</v>
      </c>
      <c r="E218" s="32" t="str">
        <f>VLOOKUP(B218,BASE!$A:$E,4,0)</f>
        <v>U-32</v>
      </c>
      <c r="F218" s="32">
        <v>4000</v>
      </c>
      <c r="G218" s="23">
        <f t="shared" si="3"/>
        <v>0.66666666666666663</v>
      </c>
    </row>
    <row r="219" spans="1:7" ht="20.25" hidden="1" customHeight="1" x14ac:dyDescent="0.25">
      <c r="A219" s="29">
        <v>8828</v>
      </c>
      <c r="B219" s="30" t="s">
        <v>234</v>
      </c>
      <c r="C219" s="31" t="str">
        <f>VLOOKUP(B219,BASE!$A:$B,2,0)</f>
        <v>3831 NAVE 176 GRIS PLATA</v>
      </c>
      <c r="D219" s="35" t="str">
        <f>VLOOKUP(B219,BASE!$A:$D,3,0)</f>
        <v>GRIS PLATA</v>
      </c>
      <c r="E219" s="32">
        <f>VLOOKUP(B219,BASE!$A:$E,4,0)</f>
        <v>176</v>
      </c>
      <c r="F219" s="32">
        <v>4400</v>
      </c>
      <c r="G219" s="23">
        <f t="shared" si="3"/>
        <v>0.73333333333333328</v>
      </c>
    </row>
    <row r="220" spans="1:7" ht="20.25" hidden="1" customHeight="1" x14ac:dyDescent="0.25">
      <c r="A220" s="29">
        <v>8830</v>
      </c>
      <c r="B220" s="30" t="s">
        <v>30</v>
      </c>
      <c r="C220" s="31" t="str">
        <f>VLOOKUP(B220,BASE!$A:$B,2,0)</f>
        <v>FALSA RETICULA 511 MATE</v>
      </c>
      <c r="D220" s="35" t="str">
        <f>VLOOKUP(B220,BASE!$A:$D,3,0)</f>
        <v>MATE</v>
      </c>
      <c r="E220" s="32">
        <f>VLOOKUP(B220,BASE!$A:$E,4,0)</f>
        <v>511</v>
      </c>
      <c r="F220" s="32">
        <v>4400</v>
      </c>
      <c r="G220" s="23">
        <f t="shared" si="3"/>
        <v>0.73333333333333328</v>
      </c>
    </row>
    <row r="221" spans="1:7" ht="20.25" hidden="1" customHeight="1" x14ac:dyDescent="0.25">
      <c r="A221" s="29">
        <v>8837</v>
      </c>
      <c r="B221" s="30" t="s">
        <v>563</v>
      </c>
      <c r="C221" s="31" t="str">
        <f>VLOOKUP(B221,BASE!$A:$B,2,0)</f>
        <v>TUBULAR 1101 NEGRO</v>
      </c>
      <c r="D221" s="35" t="str">
        <f>VLOOKUP(B221,BASE!$A:$D,3,0)</f>
        <v>NEGRO</v>
      </c>
      <c r="E221" s="32">
        <f>VLOOKUP(B221,BASE!$A:$E,4,0)</f>
        <v>1101</v>
      </c>
      <c r="F221" s="32">
        <v>1800</v>
      </c>
      <c r="G221" s="23">
        <f t="shared" si="3"/>
        <v>0.3</v>
      </c>
    </row>
    <row r="222" spans="1:7" ht="20.25" hidden="1" customHeight="1" x14ac:dyDescent="0.25">
      <c r="A222" s="29">
        <v>8887</v>
      </c>
      <c r="B222" s="30" t="s">
        <v>175</v>
      </c>
      <c r="C222" s="31" t="str">
        <f>VLOOKUP(B222,BASE!$A:$B,2,0)</f>
        <v>3831 NAVE 176 MATE</v>
      </c>
      <c r="D222" s="35" t="str">
        <f>VLOOKUP(B222,BASE!$A:$D,3,0)</f>
        <v>MATE</v>
      </c>
      <c r="E222" s="32">
        <f>VLOOKUP(B222,BASE!$A:$E,4,0)</f>
        <v>176</v>
      </c>
      <c r="F222" s="32">
        <v>500</v>
      </c>
      <c r="G222" s="23">
        <f t="shared" si="3"/>
        <v>8.3333333333333329E-2</v>
      </c>
    </row>
    <row r="223" spans="1:7" ht="20.25" hidden="1" customHeight="1" x14ac:dyDescent="0.25">
      <c r="A223" s="29">
        <v>8917</v>
      </c>
      <c r="B223" s="30" t="s">
        <v>189</v>
      </c>
      <c r="C223" s="31" t="str">
        <f>VLOOKUP(B223,BASE!$A:$B,2,0)</f>
        <v>TUBULAR T-97 MATE</v>
      </c>
      <c r="D223" s="35" t="str">
        <f>VLOOKUP(B223,BASE!$A:$D,3,0)</f>
        <v>MATE</v>
      </c>
      <c r="E223" s="32" t="str">
        <f>VLOOKUP(B223,BASE!$A:$E,4,0)</f>
        <v>T-97</v>
      </c>
      <c r="F223" s="32">
        <v>1300</v>
      </c>
      <c r="G223" s="23">
        <f t="shared" si="3"/>
        <v>0.21666666666666667</v>
      </c>
    </row>
    <row r="224" spans="1:7" ht="20.25" hidden="1" customHeight="1" x14ac:dyDescent="0.25">
      <c r="A224" s="29">
        <v>8931</v>
      </c>
      <c r="B224" s="30" t="s">
        <v>342</v>
      </c>
      <c r="C224" s="31" t="str">
        <f>VLOOKUP(B224,BASE!$A:$B,2,0)</f>
        <v>CABEZAL CABINA S-319 NEGRO</v>
      </c>
      <c r="D224" s="35" t="str">
        <f>VLOOKUP(B224,BASE!$A:$D,3,0)</f>
        <v>NEGRO</v>
      </c>
      <c r="E224" s="32" t="str">
        <f>VLOOKUP(B224,BASE!$A:$E,4,0)</f>
        <v>S-319</v>
      </c>
      <c r="F224" s="32">
        <v>700</v>
      </c>
      <c r="G224" s="23">
        <f t="shared" si="3"/>
        <v>0.11666666666666667</v>
      </c>
    </row>
    <row r="225" spans="1:7" ht="20.25" hidden="1" customHeight="1" x14ac:dyDescent="0.25">
      <c r="A225" s="29">
        <v>8935</v>
      </c>
      <c r="B225" s="30" t="s">
        <v>340</v>
      </c>
      <c r="C225" s="31" t="str">
        <f>VLOOKUP(B225,BASE!$A:$B,2,0)</f>
        <v>8025 CABEZAL 706 NEGRO</v>
      </c>
      <c r="D225" s="35" t="str">
        <f>VLOOKUP(B225,BASE!$A:$D,3,0)</f>
        <v>NEGRO</v>
      </c>
      <c r="E225" s="32">
        <f>VLOOKUP(B225,BASE!$A:$E,4,0)</f>
        <v>706</v>
      </c>
      <c r="F225" s="32">
        <v>2600</v>
      </c>
      <c r="G225" s="23">
        <f t="shared" si="3"/>
        <v>0.43333333333333335</v>
      </c>
    </row>
    <row r="226" spans="1:7" ht="20.25" hidden="1" customHeight="1" x14ac:dyDescent="0.25">
      <c r="A226" s="29">
        <v>8936</v>
      </c>
      <c r="B226" s="30" t="s">
        <v>139</v>
      </c>
      <c r="C226" s="31" t="str">
        <f>VLOOKUP(B226,BASE!$A:$B,2,0)</f>
        <v>8025 SILLAR 707 NEGRO</v>
      </c>
      <c r="D226" s="35" t="str">
        <f>VLOOKUP(B226,BASE!$A:$D,3,0)</f>
        <v>NEGRO</v>
      </c>
      <c r="E226" s="32">
        <f>VLOOKUP(B226,BASE!$A:$E,4,0)</f>
        <v>707</v>
      </c>
      <c r="F226" s="32">
        <v>2600</v>
      </c>
      <c r="G226" s="23">
        <f t="shared" si="3"/>
        <v>0.43333333333333335</v>
      </c>
    </row>
    <row r="227" spans="1:7" ht="20.25" hidden="1" customHeight="1" x14ac:dyDescent="0.25">
      <c r="A227" s="29">
        <v>8946</v>
      </c>
      <c r="B227" s="30" t="s">
        <v>441</v>
      </c>
      <c r="C227" s="31" t="str">
        <f>VLOOKUP(B227,BASE!$A:$B,2,0)</f>
        <v>7038 JAMBA 702 NEGRO</v>
      </c>
      <c r="D227" s="35" t="str">
        <f>VLOOKUP(B227,BASE!$A:$D,3,0)</f>
        <v>NEGRO</v>
      </c>
      <c r="E227" s="32">
        <f>VLOOKUP(B227,BASE!$A:$E,4,0)</f>
        <v>702</v>
      </c>
      <c r="F227" s="32">
        <v>6000</v>
      </c>
      <c r="G227" s="23">
        <f t="shared" si="3"/>
        <v>1</v>
      </c>
    </row>
    <row r="228" spans="1:7" ht="20.25" hidden="1" customHeight="1" x14ac:dyDescent="0.25">
      <c r="A228" s="29">
        <v>8948</v>
      </c>
      <c r="B228" s="30" t="s">
        <v>706</v>
      </c>
      <c r="C228" s="31" t="str">
        <f>VLOOKUP(B228,BASE!$A:$B,2,0)</f>
        <v>TUBULAR 1102 NEGRO</v>
      </c>
      <c r="D228" s="35" t="str">
        <f>VLOOKUP(B228,BASE!$A:$D,3,0)</f>
        <v>NEGRO</v>
      </c>
      <c r="E228" s="32">
        <f>VLOOKUP(B228,BASE!$A:$E,4,0)</f>
        <v>1102</v>
      </c>
      <c r="F228" s="32">
        <v>6000</v>
      </c>
      <c r="G228" s="23">
        <f t="shared" si="3"/>
        <v>1</v>
      </c>
    </row>
    <row r="229" spans="1:7" ht="20.25" hidden="1" customHeight="1" x14ac:dyDescent="0.25">
      <c r="A229" s="29">
        <v>8985</v>
      </c>
      <c r="B229" s="30" t="s">
        <v>774</v>
      </c>
      <c r="C229" s="31" t="str">
        <f>VLOOKUP(B229,BASE!$A:$B,2,0)</f>
        <v>744 JAMBA 1858 TRES RIELES MATE</v>
      </c>
      <c r="D229" s="35" t="str">
        <f>VLOOKUP(B229,BASE!$A:$D,3,0)</f>
        <v>MATE</v>
      </c>
      <c r="E229" s="32">
        <f>VLOOKUP(B229,BASE!$A:$E,4,0)</f>
        <v>1858</v>
      </c>
      <c r="F229" s="32">
        <v>4800</v>
      </c>
      <c r="G229" s="23">
        <f t="shared" si="3"/>
        <v>0.8</v>
      </c>
    </row>
    <row r="230" spans="1:7" ht="20.25" hidden="1" customHeight="1" x14ac:dyDescent="0.25">
      <c r="A230" s="29">
        <v>8986</v>
      </c>
      <c r="B230" s="30" t="s">
        <v>95</v>
      </c>
      <c r="C230" s="31" t="str">
        <f>VLOOKUP(B230,BASE!$A:$B,2,0)</f>
        <v xml:space="preserve">PERFIL MOSQUITERO M-364 </v>
      </c>
      <c r="D230" s="35" t="str">
        <f>VLOOKUP(B230,BASE!$A:$D,3,0)</f>
        <v xml:space="preserve">CRUDO </v>
      </c>
      <c r="E230" s="32" t="str">
        <f>VLOOKUP(B230,BASE!$A:$E,4,0)</f>
        <v>M-364</v>
      </c>
      <c r="F230" s="32">
        <v>5100</v>
      </c>
      <c r="G230" s="23">
        <f t="shared" si="3"/>
        <v>0.85</v>
      </c>
    </row>
    <row r="231" spans="1:7" ht="20.25" hidden="1" customHeight="1" x14ac:dyDescent="0.25">
      <c r="A231" s="29">
        <v>8990</v>
      </c>
      <c r="B231" s="30" t="s">
        <v>518</v>
      </c>
      <c r="C231" s="31" t="str">
        <f>VLOOKUP(B231,BASE!$A:$B,2,0)</f>
        <v>7038 TRASLAPE 704 MATE</v>
      </c>
      <c r="D231" s="35" t="str">
        <f>VLOOKUP(B231,BASE!$A:$D,3,0)</f>
        <v>MATE</v>
      </c>
      <c r="E231" s="32">
        <f>VLOOKUP(B231,BASE!$A:$E,4,0)</f>
        <v>704</v>
      </c>
      <c r="F231" s="32">
        <v>3000</v>
      </c>
      <c r="G231" s="23">
        <f t="shared" si="3"/>
        <v>0.5</v>
      </c>
    </row>
    <row r="232" spans="1:7" ht="20.25" hidden="1" customHeight="1" x14ac:dyDescent="0.25">
      <c r="A232" s="29">
        <v>8992</v>
      </c>
      <c r="B232" s="30" t="s">
        <v>397</v>
      </c>
      <c r="C232" s="31" t="str">
        <f>VLOOKUP(B232,BASE!$A:$B,2,0)</f>
        <v>7038 HORIZONTAL 703 MATE</v>
      </c>
      <c r="D232" s="35" t="str">
        <f>VLOOKUP(B232,BASE!$A:$D,3,0)</f>
        <v>MATE</v>
      </c>
      <c r="E232" s="32">
        <f>VLOOKUP(B232,BASE!$A:$E,4,0)</f>
        <v>703</v>
      </c>
      <c r="F232" s="32">
        <v>2400</v>
      </c>
      <c r="G232" s="23">
        <f t="shared" si="3"/>
        <v>0.4</v>
      </c>
    </row>
    <row r="233" spans="1:7" ht="20.25" hidden="1" customHeight="1" x14ac:dyDescent="0.25">
      <c r="A233" s="29">
        <v>8993</v>
      </c>
      <c r="B233" s="30" t="s">
        <v>397</v>
      </c>
      <c r="C233" s="31" t="str">
        <f>VLOOKUP(B233,BASE!$A:$B,2,0)</f>
        <v>7038 HORIZONTAL 703 MATE</v>
      </c>
      <c r="D233" s="35" t="str">
        <f>VLOOKUP(B233,BASE!$A:$D,3,0)</f>
        <v>MATE</v>
      </c>
      <c r="E233" s="32">
        <f>VLOOKUP(B233,BASE!$A:$E,4,0)</f>
        <v>703</v>
      </c>
      <c r="F233" s="32">
        <v>2400</v>
      </c>
      <c r="G233" s="23">
        <f t="shared" si="3"/>
        <v>0.4</v>
      </c>
    </row>
    <row r="234" spans="1:7" ht="20.25" hidden="1" customHeight="1" x14ac:dyDescent="0.25">
      <c r="A234" s="29">
        <v>8995</v>
      </c>
      <c r="B234" s="30" t="s">
        <v>416</v>
      </c>
      <c r="C234" s="31" t="str">
        <f>VLOOKUP(B234,BASE!$A:$B,2,0)</f>
        <v>7038 JAMBA 702 MATE</v>
      </c>
      <c r="D234" s="35" t="str">
        <f>VLOOKUP(B234,BASE!$A:$D,3,0)</f>
        <v>MATE</v>
      </c>
      <c r="E234" s="32">
        <f>VLOOKUP(B234,BASE!$A:$E,4,0)</f>
        <v>702</v>
      </c>
      <c r="F234" s="32">
        <v>2800</v>
      </c>
      <c r="G234" s="23">
        <f t="shared" si="3"/>
        <v>0.46666666666666667</v>
      </c>
    </row>
    <row r="235" spans="1:7" ht="20.25" hidden="1" customHeight="1" x14ac:dyDescent="0.25">
      <c r="A235" s="29">
        <v>8996</v>
      </c>
      <c r="B235" s="30" t="s">
        <v>430</v>
      </c>
      <c r="C235" s="31" t="str">
        <f>VLOOKUP(B235,BASE!$A:$B,2,0)</f>
        <v>7038 JAMBA 702 BLANCO</v>
      </c>
      <c r="D235" s="35" t="str">
        <f>VLOOKUP(B235,BASE!$A:$D,3,0)</f>
        <v>BLANCO</v>
      </c>
      <c r="E235" s="32">
        <f>VLOOKUP(B235,BASE!$A:$E,4,0)</f>
        <v>702</v>
      </c>
      <c r="F235" s="32">
        <v>3000</v>
      </c>
      <c r="G235" s="23">
        <f t="shared" si="3"/>
        <v>0.5</v>
      </c>
    </row>
    <row r="236" spans="1:7" ht="20.25" hidden="1" customHeight="1" x14ac:dyDescent="0.25">
      <c r="A236" s="29">
        <v>9005</v>
      </c>
      <c r="B236" s="30" t="s">
        <v>558</v>
      </c>
      <c r="C236" s="31" t="str">
        <f>VLOOKUP(B236,BASE!$A:$B,2,0)</f>
        <v>TUBULAR T-95 BRONCE</v>
      </c>
      <c r="D236" s="35" t="str">
        <f>VLOOKUP(B236,BASE!$A:$D,3,0)</f>
        <v>BRONCE</v>
      </c>
      <c r="E236" s="32" t="str">
        <f>VLOOKUP(B236,BASE!$A:$E,4,0)</f>
        <v>T-95</v>
      </c>
      <c r="F236" s="32">
        <v>1900</v>
      </c>
      <c r="G236" s="23">
        <f t="shared" si="3"/>
        <v>0.31666666666666665</v>
      </c>
    </row>
    <row r="237" spans="1:7" ht="20.25" hidden="1" customHeight="1" x14ac:dyDescent="0.25">
      <c r="A237" s="29">
        <v>9006</v>
      </c>
      <c r="B237" s="30" t="s">
        <v>153</v>
      </c>
      <c r="C237" s="31" t="str">
        <f>VLOOKUP(B237,BASE!$A:$B,2,0)</f>
        <v>TUBULAR 1102 MATE</v>
      </c>
      <c r="D237" s="35" t="str">
        <f>VLOOKUP(B237,BASE!$A:$D,3,0)</f>
        <v>MATE</v>
      </c>
      <c r="E237" s="32">
        <f>VLOOKUP(B237,BASE!$A:$E,4,0)</f>
        <v>1102</v>
      </c>
      <c r="F237" s="32">
        <v>1500</v>
      </c>
      <c r="G237" s="23">
        <f t="shared" si="3"/>
        <v>0.25</v>
      </c>
    </row>
    <row r="238" spans="1:7" ht="20.25" hidden="1" customHeight="1" x14ac:dyDescent="0.25">
      <c r="A238" s="29">
        <v>9008</v>
      </c>
      <c r="B238" s="30" t="s">
        <v>342</v>
      </c>
      <c r="C238" s="31" t="str">
        <f>VLOOKUP(B238,BASE!$A:$B,2,0)</f>
        <v>CABEZAL CABINA S-319 NEGRO</v>
      </c>
      <c r="D238" s="35" t="str">
        <f>VLOOKUP(B238,BASE!$A:$D,3,0)</f>
        <v>NEGRO</v>
      </c>
      <c r="E238" s="32" t="str">
        <f>VLOOKUP(B238,BASE!$A:$E,4,0)</f>
        <v>S-319</v>
      </c>
      <c r="F238" s="32">
        <v>1200</v>
      </c>
      <c r="G238" s="23">
        <f t="shared" si="3"/>
        <v>0.2</v>
      </c>
    </row>
    <row r="239" spans="1:7" ht="20.25" hidden="1" customHeight="1" x14ac:dyDescent="0.25">
      <c r="A239" s="29">
        <v>9022</v>
      </c>
      <c r="B239" s="30" t="s">
        <v>9</v>
      </c>
      <c r="C239" s="31" t="str">
        <f>VLOOKUP(B239,BASE!$A:$B,2,0)</f>
        <v>PERFIL F 463 CRUDO</v>
      </c>
      <c r="D239" s="35" t="str">
        <f>VLOOKUP(B239,BASE!$A:$D,3,0)</f>
        <v xml:space="preserve">CRUDO </v>
      </c>
      <c r="E239" s="32" t="str">
        <f>VLOOKUP(B239,BASE!$A:$E,4,0)</f>
        <v>F-463</v>
      </c>
      <c r="F239" s="32">
        <v>1900</v>
      </c>
      <c r="G239" s="23">
        <f t="shared" si="3"/>
        <v>0.31666666666666665</v>
      </c>
    </row>
    <row r="240" spans="1:7" ht="20.25" hidden="1" customHeight="1" x14ac:dyDescent="0.25">
      <c r="A240" s="29">
        <v>9023</v>
      </c>
      <c r="B240" s="30" t="s">
        <v>218</v>
      </c>
      <c r="C240" s="31" t="str">
        <f>VLOOKUP(B240,BASE!$A:$B,2,0)</f>
        <v>744 ENGANCHE 391 CRUDO</v>
      </c>
      <c r="D240" s="35" t="str">
        <f>VLOOKUP(B240,BASE!$A:$D,3,0)</f>
        <v xml:space="preserve">CRUDO </v>
      </c>
      <c r="E240" s="32">
        <f>VLOOKUP(B240,BASE!$A:$E,4,0)</f>
        <v>391</v>
      </c>
      <c r="F240" s="32">
        <v>1900</v>
      </c>
      <c r="G240" s="23">
        <f t="shared" si="3"/>
        <v>0.31666666666666665</v>
      </c>
    </row>
    <row r="241" spans="1:7" ht="20.25" hidden="1" customHeight="1" x14ac:dyDescent="0.25">
      <c r="A241" s="29">
        <v>9024</v>
      </c>
      <c r="B241" s="30" t="s">
        <v>889</v>
      </c>
      <c r="C241" s="31" t="str">
        <f>VLOOKUP(B241,BASE!$A:$B,2,0)</f>
        <v>744 TRASLAPE 388 CRUDO</v>
      </c>
      <c r="D241" s="35" t="str">
        <f>VLOOKUP(B241,BASE!$A:$D,3,0)</f>
        <v xml:space="preserve">CRUDO </v>
      </c>
      <c r="E241" s="32">
        <f>VLOOKUP(B241,BASE!$A:$E,4,0)</f>
        <v>388</v>
      </c>
      <c r="F241" s="32">
        <v>1900</v>
      </c>
      <c r="G241" s="23">
        <f t="shared" si="3"/>
        <v>0.31666666666666665</v>
      </c>
    </row>
    <row r="242" spans="1:7" ht="20.25" hidden="1" customHeight="1" x14ac:dyDescent="0.25">
      <c r="A242" s="29">
        <v>9025</v>
      </c>
      <c r="B242" s="30" t="s">
        <v>847</v>
      </c>
      <c r="C242" s="31" t="str">
        <f>VLOOKUP(B242,BASE!$A:$B,2,0)</f>
        <v>744 HORIZONTAL SUPERIOR 389 CRUDO</v>
      </c>
      <c r="D242" s="35" t="str">
        <f>VLOOKUP(B242,BASE!$A:$D,3,0)</f>
        <v xml:space="preserve">CRUDO </v>
      </c>
      <c r="E242" s="32">
        <f>VLOOKUP(B242,BASE!$A:$E,4,0)</f>
        <v>389</v>
      </c>
      <c r="F242" s="32">
        <v>3100</v>
      </c>
      <c r="G242" s="23">
        <f t="shared" si="3"/>
        <v>0.51666666666666672</v>
      </c>
    </row>
    <row r="243" spans="1:7" ht="20.25" hidden="1" customHeight="1" x14ac:dyDescent="0.25">
      <c r="A243" s="29">
        <v>9026</v>
      </c>
      <c r="B243" s="30" t="s">
        <v>425</v>
      </c>
      <c r="C243" s="31" t="str">
        <f>VLOOKUP(B243,BASE!$A:$B,2,0)</f>
        <v>3831 JAMBA 174 CRUDO</v>
      </c>
      <c r="D243" s="35" t="str">
        <f>VLOOKUP(B243,BASE!$A:$D,3,0)</f>
        <v xml:space="preserve">CRUDO </v>
      </c>
      <c r="E243" s="32">
        <f>VLOOKUP(B243,BASE!$A:$E,4,0)</f>
        <v>174</v>
      </c>
      <c r="F243" s="32">
        <v>1500</v>
      </c>
      <c r="G243" s="23">
        <f t="shared" si="3"/>
        <v>0.25</v>
      </c>
    </row>
    <row r="244" spans="1:7" ht="20.25" hidden="1" customHeight="1" x14ac:dyDescent="0.25">
      <c r="A244" s="29">
        <v>9028</v>
      </c>
      <c r="B244" s="30" t="s">
        <v>739</v>
      </c>
      <c r="C244" s="31" t="str">
        <f>VLOOKUP(B244,BASE!$A:$B,2,0)</f>
        <v>744 JAMBA 393 CRUDO</v>
      </c>
      <c r="D244" s="35" t="str">
        <f>VLOOKUP(B244,BASE!$A:$D,3,0)</f>
        <v xml:space="preserve">CRUDO </v>
      </c>
      <c r="E244" s="32">
        <f>VLOOKUP(B244,BASE!$A:$E,4,0)</f>
        <v>393</v>
      </c>
      <c r="F244" s="32">
        <v>1700</v>
      </c>
      <c r="G244" s="23">
        <f t="shared" si="3"/>
        <v>0.28333333333333333</v>
      </c>
    </row>
    <row r="245" spans="1:7" ht="20.25" hidden="1" customHeight="1" x14ac:dyDescent="0.25">
      <c r="A245" s="29">
        <v>9029</v>
      </c>
      <c r="B245" s="30" t="s">
        <v>477</v>
      </c>
      <c r="C245" s="31" t="str">
        <f>VLOOKUP(B245,BASE!$A:$B,2,0)</f>
        <v>3831 SILLAR CABEZAL 173 CRUDO</v>
      </c>
      <c r="D245" s="35" t="str">
        <f>VLOOKUP(B245,BASE!$A:$D,3,0)</f>
        <v xml:space="preserve">CRUDO </v>
      </c>
      <c r="E245" s="32">
        <v>173</v>
      </c>
      <c r="F245" s="32">
        <v>2100</v>
      </c>
      <c r="G245" s="23">
        <f t="shared" si="3"/>
        <v>0.35</v>
      </c>
    </row>
    <row r="246" spans="1:7" ht="20.25" hidden="1" customHeight="1" x14ac:dyDescent="0.25">
      <c r="A246" s="29">
        <v>9030</v>
      </c>
      <c r="B246" s="30" t="s">
        <v>1009</v>
      </c>
      <c r="C246" s="31" t="str">
        <f>VLOOKUP(B246,BASE!$A:$B,2,0)</f>
        <v>PERSIANA 315 CRUDO</v>
      </c>
      <c r="D246" s="35" t="str">
        <f>VLOOKUP(B246,BASE!$A:$D,3,0)</f>
        <v xml:space="preserve">CRUDO </v>
      </c>
      <c r="E246" s="32">
        <f>VLOOKUP(B246,BASE!$A:$E,4,0)</f>
        <v>315</v>
      </c>
      <c r="F246" s="32">
        <v>1300</v>
      </c>
      <c r="G246" s="23">
        <f t="shared" si="3"/>
        <v>0.21666666666666667</v>
      </c>
    </row>
    <row r="247" spans="1:7" ht="20.25" hidden="1" customHeight="1" x14ac:dyDescent="0.25">
      <c r="A247" s="29">
        <v>9032</v>
      </c>
      <c r="B247" s="30" t="s">
        <v>255</v>
      </c>
      <c r="C247" s="31" t="str">
        <f>VLOOKUP(B247,BASE!$A:$B,2,0)</f>
        <v>TUBULAR T-94 CRUDO</v>
      </c>
      <c r="D247" s="35" t="str">
        <f>VLOOKUP(B247,BASE!$A:$D,3,0)</f>
        <v xml:space="preserve">CRUDO </v>
      </c>
      <c r="E247" s="32" t="str">
        <f>VLOOKUP(B247,BASE!$A:$E,4,0)</f>
        <v>T-94</v>
      </c>
      <c r="F247" s="32">
        <v>1000</v>
      </c>
      <c r="G247" s="23">
        <f t="shared" si="3"/>
        <v>0.16666666666666666</v>
      </c>
    </row>
    <row r="248" spans="1:7" ht="20.25" hidden="1" customHeight="1" x14ac:dyDescent="0.25">
      <c r="A248" s="29">
        <v>9041</v>
      </c>
      <c r="B248" s="30" t="s">
        <v>1009</v>
      </c>
      <c r="C248" s="31" t="str">
        <f>VLOOKUP(B248,BASE!$A:$B,2,0)</f>
        <v>PERSIANA 315 CRUDO</v>
      </c>
      <c r="D248" s="35" t="str">
        <f>VLOOKUP(B248,BASE!$A:$D,3,0)</f>
        <v xml:space="preserve">CRUDO </v>
      </c>
      <c r="E248" s="32">
        <f>VLOOKUP(B248,BASE!$A:$E,4,0)</f>
        <v>315</v>
      </c>
      <c r="F248" s="32">
        <v>6000</v>
      </c>
      <c r="G248" s="23">
        <f t="shared" si="3"/>
        <v>1</v>
      </c>
    </row>
    <row r="249" spans="1:7" ht="20.25" hidden="1" customHeight="1" x14ac:dyDescent="0.25">
      <c r="A249" s="29">
        <v>9051</v>
      </c>
      <c r="B249" s="30" t="s">
        <v>597</v>
      </c>
      <c r="C249" s="31" t="str">
        <f>VLOOKUP(B249,BASE!$A:$B,2,0)</f>
        <v>TABLILLA F-08 NEGRA</v>
      </c>
      <c r="D249" s="35" t="str">
        <f>VLOOKUP(B249,BASE!$A:$D,3,0)</f>
        <v>NEGRO</v>
      </c>
      <c r="E249" s="32" t="str">
        <f>VLOOKUP(B249,BASE!$A:$E,4,0)</f>
        <v>F-08</v>
      </c>
      <c r="F249" s="32">
        <v>3300</v>
      </c>
      <c r="G249" s="23">
        <f t="shared" si="3"/>
        <v>0.55000000000000004</v>
      </c>
    </row>
    <row r="250" spans="1:7" ht="20.25" hidden="1" customHeight="1" x14ac:dyDescent="0.25">
      <c r="A250" s="29">
        <v>9052</v>
      </c>
      <c r="B250" s="30" t="s">
        <v>773</v>
      </c>
      <c r="C250" s="31" t="str">
        <f>VLOOKUP(B250,BASE!$A:$B,2,0)</f>
        <v>744 SILLAR 1856 TRES RIELES MATE</v>
      </c>
      <c r="D250" s="35" t="str">
        <f>VLOOKUP(B250,BASE!$A:$D,3,0)</f>
        <v>MATE</v>
      </c>
      <c r="E250" s="32">
        <f>VLOOKUP(B250,BASE!$A:$E,4,0)</f>
        <v>1856</v>
      </c>
      <c r="F250" s="32">
        <v>4000</v>
      </c>
      <c r="G250" s="23">
        <f t="shared" si="3"/>
        <v>0.66666666666666663</v>
      </c>
    </row>
    <row r="251" spans="1:7" ht="20.25" hidden="1" customHeight="1" x14ac:dyDescent="0.25">
      <c r="A251" s="29">
        <v>9053</v>
      </c>
      <c r="B251" s="30" t="s">
        <v>772</v>
      </c>
      <c r="C251" s="31" t="str">
        <f>VLOOKUP(B251,BASE!$A:$B,2,0)</f>
        <v>744 CABEZAL 1857 TRES RIELES MATE</v>
      </c>
      <c r="D251" s="35" t="str">
        <f>VLOOKUP(B251,BASE!$A:$D,3,0)</f>
        <v>MATE</v>
      </c>
      <c r="E251" s="32">
        <f>VLOOKUP(B251,BASE!$A:$E,4,0)</f>
        <v>1857</v>
      </c>
      <c r="F251" s="32">
        <v>4000</v>
      </c>
      <c r="G251" s="23">
        <f t="shared" si="3"/>
        <v>0.66666666666666663</v>
      </c>
    </row>
    <row r="252" spans="1:7" ht="20.25" hidden="1" customHeight="1" x14ac:dyDescent="0.25">
      <c r="A252" s="29">
        <v>9055</v>
      </c>
      <c r="B252" s="30" t="s">
        <v>706</v>
      </c>
      <c r="C252" s="31" t="str">
        <f>VLOOKUP(B252,BASE!$A:$B,2,0)</f>
        <v>TUBULAR 1102 NEGRO</v>
      </c>
      <c r="D252" s="35" t="str">
        <f>VLOOKUP(B252,BASE!$A:$D,3,0)</f>
        <v>NEGRO</v>
      </c>
      <c r="E252" s="32">
        <f>VLOOKUP(B252,BASE!$A:$E,4,0)</f>
        <v>1102</v>
      </c>
      <c r="F252" s="32">
        <v>700</v>
      </c>
      <c r="G252" s="23">
        <f t="shared" si="3"/>
        <v>0.11666666666666667</v>
      </c>
    </row>
    <row r="253" spans="1:7" ht="20.25" hidden="1" customHeight="1" x14ac:dyDescent="0.25">
      <c r="A253" s="29">
        <v>9056</v>
      </c>
      <c r="B253" s="30" t="s">
        <v>706</v>
      </c>
      <c r="C253" s="31" t="str">
        <f>VLOOKUP(B253,BASE!$A:$B,2,0)</f>
        <v>TUBULAR 1102 NEGRO</v>
      </c>
      <c r="D253" s="35" t="str">
        <f>VLOOKUP(B253,BASE!$A:$D,3,0)</f>
        <v>NEGRO</v>
      </c>
      <c r="E253" s="32">
        <f>VLOOKUP(B253,BASE!$A:$E,4,0)</f>
        <v>1102</v>
      </c>
      <c r="F253" s="32">
        <v>700</v>
      </c>
      <c r="G253" s="23">
        <f t="shared" si="3"/>
        <v>0.11666666666666667</v>
      </c>
    </row>
    <row r="254" spans="1:7" ht="20.25" hidden="1" customHeight="1" x14ac:dyDescent="0.25">
      <c r="A254" s="29">
        <v>9057</v>
      </c>
      <c r="B254" s="30" t="s">
        <v>11</v>
      </c>
      <c r="C254" s="31" t="str">
        <f>VLOOKUP(B254,BASE!$A:$B,2,0)</f>
        <v>PERFIL F 463 NEGRO</v>
      </c>
      <c r="D254" s="35" t="str">
        <f>VLOOKUP(B254,BASE!$A:$D,3,0)</f>
        <v>NEGRO</v>
      </c>
      <c r="E254" s="32" t="str">
        <f>VLOOKUP(B254,BASE!$A:$E,4,0)</f>
        <v>F-463</v>
      </c>
      <c r="F254" s="32">
        <v>700</v>
      </c>
      <c r="G254" s="23">
        <f t="shared" si="3"/>
        <v>0.11666666666666667</v>
      </c>
    </row>
    <row r="255" spans="1:7" ht="20.25" hidden="1" customHeight="1" x14ac:dyDescent="0.25">
      <c r="A255" s="29">
        <v>9075</v>
      </c>
      <c r="B255" s="30" t="s">
        <v>313</v>
      </c>
      <c r="C255" s="31" t="str">
        <f>VLOOKUP(B255,BASE!$A:$B,2,0)</f>
        <v>ANGULO A-01 BLANCO (1/2 X 1/2)</v>
      </c>
      <c r="D255" s="35" t="str">
        <f>VLOOKUP(B255,BASE!$A:$D,3,0)</f>
        <v>BLANCO</v>
      </c>
      <c r="E255" s="32" t="str">
        <f>VLOOKUP(B255,BASE!$A:$E,4,0)</f>
        <v>A-01</v>
      </c>
      <c r="F255" s="32">
        <v>2100</v>
      </c>
      <c r="G255" s="23">
        <f t="shared" si="3"/>
        <v>0.35</v>
      </c>
    </row>
    <row r="256" spans="1:7" ht="20.25" hidden="1" customHeight="1" x14ac:dyDescent="0.25">
      <c r="A256" s="29">
        <v>9082</v>
      </c>
      <c r="B256" s="30" t="s">
        <v>27</v>
      </c>
      <c r="C256" s="31" t="str">
        <f>VLOOKUP(B256,BASE!$A:$B,2,0)</f>
        <v>U32 BLANCA</v>
      </c>
      <c r="D256" s="35" t="str">
        <f>VLOOKUP(B256,BASE!$A:$D,3,0)</f>
        <v>BLANCO</v>
      </c>
      <c r="E256" s="32" t="str">
        <f>VLOOKUP(B256,BASE!$A:$E,4,0)</f>
        <v>U-32</v>
      </c>
      <c r="F256" s="32">
        <v>1800</v>
      </c>
      <c r="G256" s="23">
        <f t="shared" si="3"/>
        <v>0.3</v>
      </c>
    </row>
    <row r="257" spans="1:7" ht="20.25" hidden="1" customHeight="1" x14ac:dyDescent="0.25">
      <c r="A257" s="29">
        <v>9092</v>
      </c>
      <c r="B257" s="30" t="s">
        <v>182</v>
      </c>
      <c r="C257" s="31" t="str">
        <f>VLOOKUP(B257,BASE!$A:$B,2,0)</f>
        <v>TUBULAR T-70 BRONCE</v>
      </c>
      <c r="D257" s="35" t="str">
        <f>VLOOKUP(B257,BASE!$A:$D,3,0)</f>
        <v>BRONCE</v>
      </c>
      <c r="E257" s="32" t="str">
        <f>VLOOKUP(B257,BASE!$A:$E,4,0)</f>
        <v>T-70</v>
      </c>
      <c r="F257" s="32">
        <v>4700</v>
      </c>
      <c r="G257" s="23">
        <f t="shared" si="3"/>
        <v>0.78333333333333333</v>
      </c>
    </row>
    <row r="258" spans="1:7" ht="20.25" hidden="1" customHeight="1" x14ac:dyDescent="0.25">
      <c r="A258" s="29">
        <v>9101</v>
      </c>
      <c r="B258" s="30" t="s">
        <v>384</v>
      </c>
      <c r="C258" s="31" t="str">
        <f>VLOOKUP(B258,BASE!$A:$B,2,0)</f>
        <v>3831 ESQUINERO 416 NEGRO</v>
      </c>
      <c r="D258" s="35" t="str">
        <f>VLOOKUP(B258,BASE!$A:$D,3,0)</f>
        <v>NEGRO</v>
      </c>
      <c r="E258" s="32">
        <f>VLOOKUP(B258,BASE!$A:$E,4,0)</f>
        <v>416</v>
      </c>
      <c r="F258" s="32">
        <v>3800</v>
      </c>
      <c r="G258" s="23">
        <f t="shared" si="3"/>
        <v>0.6333333333333333</v>
      </c>
    </row>
    <row r="259" spans="1:7" ht="20.25" hidden="1" customHeight="1" x14ac:dyDescent="0.25">
      <c r="A259" s="29">
        <v>9102</v>
      </c>
      <c r="B259" s="30" t="s">
        <v>410</v>
      </c>
      <c r="C259" s="31" t="str">
        <f>VLOOKUP(B259,BASE!$A:$B,2,0)</f>
        <v>8025 HORIZONTAL SUPERIOR 156 BRONCE</v>
      </c>
      <c r="D259" s="35" t="str">
        <f>VLOOKUP(B259,BASE!$A:$D,3,0)</f>
        <v>BRONCE</v>
      </c>
      <c r="E259" s="32">
        <f>VLOOKUP(B259,BASE!$A:$E,4,0)</f>
        <v>156</v>
      </c>
      <c r="F259" s="32">
        <v>3700</v>
      </c>
      <c r="G259" s="23">
        <f t="shared" si="3"/>
        <v>0.6166666666666667</v>
      </c>
    </row>
    <row r="260" spans="1:7" ht="20.25" hidden="1" customHeight="1" x14ac:dyDescent="0.25">
      <c r="A260" s="29">
        <v>9103</v>
      </c>
      <c r="B260" s="30" t="s">
        <v>394</v>
      </c>
      <c r="C260" s="31" t="str">
        <f>VLOOKUP(B260,BASE!$A:$B,2,0)</f>
        <v>8025 HORIZONTAL INFERIOR 157 BRONCE</v>
      </c>
      <c r="D260" s="35" t="str">
        <f>VLOOKUP(B260,BASE!$A:$D,3,0)</f>
        <v>BRONCE</v>
      </c>
      <c r="E260" s="32">
        <f>VLOOKUP(B260,BASE!$A:$E,4,0)</f>
        <v>157</v>
      </c>
      <c r="F260" s="32">
        <v>3700</v>
      </c>
      <c r="G260" s="23">
        <f t="shared" si="3"/>
        <v>0.6166666666666667</v>
      </c>
    </row>
    <row r="261" spans="1:7" ht="20.25" hidden="1" customHeight="1" x14ac:dyDescent="0.25">
      <c r="A261" s="29">
        <v>9108</v>
      </c>
      <c r="B261" s="30" t="s">
        <v>37</v>
      </c>
      <c r="C261" s="31" t="str">
        <f>VLOOKUP(B261,BASE!$A:$B,2,0)</f>
        <v>TUBULAR T-94 BRONCE</v>
      </c>
      <c r="D261" s="35" t="str">
        <f>VLOOKUP(B261,BASE!$A:$D,3,0)</f>
        <v>BRONCE</v>
      </c>
      <c r="E261" s="32" t="str">
        <f>VLOOKUP(B261,BASE!$A:$E,4,0)</f>
        <v>T-94</v>
      </c>
      <c r="F261" s="32">
        <v>3800</v>
      </c>
      <c r="G261" s="23">
        <f t="shared" ref="G261:G326" si="4">+F261/6000</f>
        <v>0.6333333333333333</v>
      </c>
    </row>
    <row r="262" spans="1:7" ht="20.25" hidden="1" customHeight="1" x14ac:dyDescent="0.25">
      <c r="A262" s="29">
        <v>9139</v>
      </c>
      <c r="B262" s="30" t="s">
        <v>132</v>
      </c>
      <c r="C262" s="31" t="str">
        <f>VLOOKUP(B262,BASE!$A:$B,2,0)</f>
        <v>7038 ADAPTADOR 840 NEGRO</v>
      </c>
      <c r="D262" s="35" t="str">
        <f>VLOOKUP(B262,BASE!$A:$D,3,0)</f>
        <v>NEGRO</v>
      </c>
      <c r="E262" s="32">
        <f>VLOOKUP(B262,BASE!$A:$E,4,0)</f>
        <v>840</v>
      </c>
      <c r="F262" s="32">
        <v>2600</v>
      </c>
      <c r="G262" s="23">
        <f t="shared" si="4"/>
        <v>0.43333333333333335</v>
      </c>
    </row>
    <row r="263" spans="1:7" ht="20.25" hidden="1" customHeight="1" x14ac:dyDescent="0.25">
      <c r="A263" s="29">
        <v>9142</v>
      </c>
      <c r="B263" s="30" t="s">
        <v>303</v>
      </c>
      <c r="C263" s="31" t="str">
        <f>VLOOKUP(B263,BASE!$A:$B,2,0)</f>
        <v>ALFAJIA 413 NEGRA</v>
      </c>
      <c r="D263" s="35" t="str">
        <f>VLOOKUP(B263,BASE!$A:$D,3,0)</f>
        <v>NEGRO</v>
      </c>
      <c r="E263" s="32">
        <f>VLOOKUP(B263,BASE!$A:$E,4,0)</f>
        <v>413</v>
      </c>
      <c r="F263" s="32">
        <v>3400</v>
      </c>
      <c r="G263" s="23">
        <f t="shared" si="4"/>
        <v>0.56666666666666665</v>
      </c>
    </row>
    <row r="264" spans="1:7" ht="20.25" hidden="1" customHeight="1" x14ac:dyDescent="0.25">
      <c r="A264" s="29">
        <v>9145</v>
      </c>
      <c r="B264" s="30" t="s">
        <v>493</v>
      </c>
      <c r="C264" s="31" t="str">
        <f>VLOOKUP(B264,BASE!$A:$B,2,0)</f>
        <v>8025 SILLAR 150 BRONCE</v>
      </c>
      <c r="D264" s="35" t="str">
        <f>VLOOKUP(B264,BASE!$A:$D,3,0)</f>
        <v>BRONCE</v>
      </c>
      <c r="E264" s="32">
        <f>VLOOKUP(B264,BASE!$A:$E,4,0)</f>
        <v>150</v>
      </c>
      <c r="F264" s="32">
        <v>2300</v>
      </c>
      <c r="G264" s="23">
        <f t="shared" si="4"/>
        <v>0.38333333333333336</v>
      </c>
    </row>
    <row r="265" spans="1:7" ht="20.25" hidden="1" customHeight="1" x14ac:dyDescent="0.25">
      <c r="A265" s="29">
        <v>9150</v>
      </c>
      <c r="B265" s="30" t="s">
        <v>372</v>
      </c>
      <c r="C265" s="31" t="str">
        <f>VLOOKUP(B265,BASE!$A:$B,2,0)</f>
        <v>8025 ENGANCHE 191 BRONCE</v>
      </c>
      <c r="D265" s="35" t="str">
        <f>VLOOKUP(B265,BASE!$A:$D,3,0)</f>
        <v>BRONCE</v>
      </c>
      <c r="E265" s="32">
        <f>VLOOKUP(B265,BASE!$A:$E,4,0)</f>
        <v>191</v>
      </c>
      <c r="F265" s="32">
        <v>1800</v>
      </c>
      <c r="G265" s="23">
        <f t="shared" si="4"/>
        <v>0.3</v>
      </c>
    </row>
    <row r="266" spans="1:7" ht="20.25" hidden="1" customHeight="1" x14ac:dyDescent="0.25">
      <c r="A266" s="29">
        <v>9154</v>
      </c>
      <c r="B266" s="30" t="s">
        <v>390</v>
      </c>
      <c r="C266" s="31" t="str">
        <f>VLOOKUP(B266,BASE!$A:$B,2,0)</f>
        <v>744 HORIZONTAL INFERIOR 390 BLANCO</v>
      </c>
      <c r="D266" s="35" t="str">
        <f>VLOOKUP(B266,BASE!$A:$D,3,0)</f>
        <v>BLANCO</v>
      </c>
      <c r="E266" s="32">
        <f>VLOOKUP(B266,BASE!$A:$E,4,0)</f>
        <v>390</v>
      </c>
      <c r="F266" s="32">
        <v>2000</v>
      </c>
      <c r="G266" s="23">
        <f t="shared" si="4"/>
        <v>0.33333333333333331</v>
      </c>
    </row>
    <row r="267" spans="1:7" ht="20.25" hidden="1" customHeight="1" x14ac:dyDescent="0.25">
      <c r="A267" s="29">
        <v>9155</v>
      </c>
      <c r="B267" s="30" t="s">
        <v>12</v>
      </c>
      <c r="C267" s="31" t="str">
        <f>VLOOKUP(B267,BASE!$A:$B,2,0)</f>
        <v>744 ADAPTADOR 403 MATE</v>
      </c>
      <c r="D267" s="35" t="str">
        <f>VLOOKUP(B267,BASE!$A:$D,3,0)</f>
        <v>MATE</v>
      </c>
      <c r="E267" s="32">
        <f>VLOOKUP(B267,BASE!$A:$E,4,0)</f>
        <v>403</v>
      </c>
      <c r="F267" s="32">
        <v>1900</v>
      </c>
      <c r="G267" s="23">
        <f t="shared" si="4"/>
        <v>0.31666666666666665</v>
      </c>
    </row>
    <row r="268" spans="1:7" ht="20.25" hidden="1" customHeight="1" x14ac:dyDescent="0.25">
      <c r="A268" s="29">
        <v>9157</v>
      </c>
      <c r="B268" s="30" t="s">
        <v>12</v>
      </c>
      <c r="C268" s="31" t="str">
        <f>VLOOKUP(B268,BASE!$A:$B,2,0)</f>
        <v>744 ADAPTADOR 403 MATE</v>
      </c>
      <c r="D268" s="35" t="str">
        <f>VLOOKUP(B268,BASE!$A:$D,3,0)</f>
        <v>MATE</v>
      </c>
      <c r="E268" s="32">
        <f>VLOOKUP(B268,BASE!$A:$E,4,0)</f>
        <v>403</v>
      </c>
      <c r="F268" s="32">
        <v>2000</v>
      </c>
      <c r="G268" s="23">
        <f t="shared" si="4"/>
        <v>0.33333333333333331</v>
      </c>
    </row>
    <row r="269" spans="1:7" ht="20.25" hidden="1" customHeight="1" x14ac:dyDescent="0.25">
      <c r="A269" s="29">
        <v>9158</v>
      </c>
      <c r="B269" s="30" t="s">
        <v>334</v>
      </c>
      <c r="C269" s="31" t="str">
        <f>VLOOKUP(B269,BASE!$A:$B,2,0)</f>
        <v>8025 CABEZAL 151 BRONCE</v>
      </c>
      <c r="D269" s="35" t="str">
        <f>VLOOKUP(B269,BASE!$A:$D,3,0)</f>
        <v>BRONCE</v>
      </c>
      <c r="E269" s="32">
        <f>VLOOKUP(B269,BASE!$A:$E,4,0)</f>
        <v>151</v>
      </c>
      <c r="F269" s="32">
        <v>1900</v>
      </c>
      <c r="G269" s="23">
        <f t="shared" si="4"/>
        <v>0.31666666666666665</v>
      </c>
    </row>
    <row r="270" spans="1:7" ht="20.25" hidden="1" customHeight="1" x14ac:dyDescent="0.25">
      <c r="A270" s="29">
        <v>9161</v>
      </c>
      <c r="B270" s="30" t="s">
        <v>20</v>
      </c>
      <c r="C270" s="31" t="str">
        <f>VLOOKUP(B270,BASE!$A:$B,2,0)</f>
        <v>ALFAJIA 413 MATE</v>
      </c>
      <c r="D270" s="35" t="str">
        <f>VLOOKUP(B270,BASE!$A:$D,3,0)</f>
        <v>MATE</v>
      </c>
      <c r="E270" s="32">
        <f>VLOOKUP(B270,BASE!$A:$E,4,0)</f>
        <v>413</v>
      </c>
      <c r="F270" s="32">
        <v>1700</v>
      </c>
      <c r="G270" s="23">
        <f t="shared" si="4"/>
        <v>0.28333333333333333</v>
      </c>
    </row>
    <row r="271" spans="1:7" ht="20.25" hidden="1" customHeight="1" x14ac:dyDescent="0.25">
      <c r="A271" s="29">
        <v>9164</v>
      </c>
      <c r="B271" s="30" t="s">
        <v>303</v>
      </c>
      <c r="C271" s="31" t="str">
        <f>VLOOKUP(B271,BASE!$A:$B,2,0)</f>
        <v>ALFAJIA 413 NEGRA</v>
      </c>
      <c r="D271" s="35" t="str">
        <f>VLOOKUP(B271,BASE!$A:$D,3,0)</f>
        <v>NEGRO</v>
      </c>
      <c r="E271" s="32">
        <f>VLOOKUP(B271,BASE!$A:$E,4,0)</f>
        <v>413</v>
      </c>
      <c r="F271" s="32">
        <v>2000</v>
      </c>
      <c r="G271" s="23">
        <f t="shared" si="4"/>
        <v>0.33333333333333331</v>
      </c>
    </row>
    <row r="272" spans="1:7" ht="20.25" hidden="1" customHeight="1" x14ac:dyDescent="0.25">
      <c r="A272" s="29">
        <v>9173</v>
      </c>
      <c r="B272" s="30" t="s">
        <v>536</v>
      </c>
      <c r="C272" s="31" t="str">
        <f>VLOOKUP(B272,BASE!$A:$B,2,0)</f>
        <v>8025 TRASLAPE 190 BRONCE</v>
      </c>
      <c r="D272" s="35" t="str">
        <f>VLOOKUP(B272,BASE!$A:$D,3,0)</f>
        <v>BRONCE</v>
      </c>
      <c r="E272" s="32">
        <f>VLOOKUP(B272,BASE!$A:$E,4,0)</f>
        <v>190</v>
      </c>
      <c r="F272" s="32">
        <v>1600</v>
      </c>
      <c r="G272" s="23">
        <f t="shared" si="4"/>
        <v>0.26666666666666666</v>
      </c>
    </row>
    <row r="273" spans="1:7" ht="20.25" hidden="1" customHeight="1" x14ac:dyDescent="0.25">
      <c r="A273" s="29">
        <v>9174</v>
      </c>
      <c r="B273" s="30" t="s">
        <v>86</v>
      </c>
      <c r="C273" s="31" t="str">
        <f>VLOOKUP(B273,BASE!$A:$B,2,0)</f>
        <v>3831 ADAPTADOR 175 BRONCE</v>
      </c>
      <c r="D273" s="35" t="str">
        <f>VLOOKUP(B273,BASE!$A:$D,3,0)</f>
        <v>BRONCE</v>
      </c>
      <c r="E273" s="32">
        <f>VLOOKUP(B273,BASE!$A:$E,4,0)</f>
        <v>175</v>
      </c>
      <c r="F273" s="32">
        <v>1600</v>
      </c>
      <c r="G273" s="23">
        <f t="shared" si="4"/>
        <v>0.26666666666666666</v>
      </c>
    </row>
    <row r="274" spans="1:7" ht="20.25" hidden="1" customHeight="1" x14ac:dyDescent="0.25">
      <c r="A274" s="29">
        <v>9175</v>
      </c>
      <c r="B274" s="30" t="s">
        <v>181</v>
      </c>
      <c r="C274" s="31" t="str">
        <f>VLOOKUP(B274,BASE!$A:$B,2,0)</f>
        <v>5020 HORIZONTAL 148 GRIS PLATA</v>
      </c>
      <c r="D274" s="35" t="str">
        <f>VLOOKUP(B274,BASE!$A:$D,3,0)</f>
        <v>GRIS PLATA</v>
      </c>
      <c r="E274" s="32">
        <f>VLOOKUP(B274,BASE!$A:$E,4,0)</f>
        <v>148</v>
      </c>
      <c r="F274" s="32">
        <v>1200</v>
      </c>
      <c r="G274" s="23">
        <f t="shared" si="4"/>
        <v>0.2</v>
      </c>
    </row>
    <row r="275" spans="1:7" ht="20.25" hidden="1" customHeight="1" x14ac:dyDescent="0.25">
      <c r="A275" s="29">
        <v>9176</v>
      </c>
      <c r="B275" s="30" t="s">
        <v>38</v>
      </c>
      <c r="C275" s="31" t="str">
        <f>VLOOKUP(B275,BASE!$A:$B,2,0)</f>
        <v>TUBULAR T-101 MATE</v>
      </c>
      <c r="D275" s="35" t="str">
        <f>VLOOKUP(B275,BASE!$A:$D,3,0)</f>
        <v>MATE</v>
      </c>
      <c r="E275" s="32" t="str">
        <f>VLOOKUP(B275,BASE!$A:$E,4,0)</f>
        <v>T-101</v>
      </c>
      <c r="F275" s="32">
        <v>1400</v>
      </c>
      <c r="G275" s="23">
        <f t="shared" si="4"/>
        <v>0.23333333333333334</v>
      </c>
    </row>
    <row r="276" spans="1:7" ht="20.25" hidden="1" customHeight="1" x14ac:dyDescent="0.25">
      <c r="A276" s="29">
        <v>9177</v>
      </c>
      <c r="B276" s="30" t="s">
        <v>256</v>
      </c>
      <c r="C276" s="31" t="str">
        <f>VLOOKUP(B276,BASE!$A:$B,2,0)</f>
        <v>TUBULAR T-101 CRUDO</v>
      </c>
      <c r="D276" s="35" t="str">
        <f>VLOOKUP(B276,BASE!$A:$D,3,0)</f>
        <v xml:space="preserve">CRUDO </v>
      </c>
      <c r="E276" s="32" t="str">
        <f>VLOOKUP(B276,BASE!$A:$E,4,0)</f>
        <v>T-101</v>
      </c>
      <c r="F276" s="32">
        <v>1500</v>
      </c>
      <c r="G276" s="23">
        <f t="shared" si="4"/>
        <v>0.25</v>
      </c>
    </row>
    <row r="277" spans="1:7" ht="20.25" hidden="1" customHeight="1" x14ac:dyDescent="0.25">
      <c r="A277" s="29">
        <v>9179</v>
      </c>
      <c r="B277" s="30" t="s">
        <v>58</v>
      </c>
      <c r="C277" s="31" t="str">
        <f>VLOOKUP(B277,BASE!$A:$B,2,0)</f>
        <v>TUBULAR T-70 NEGRO</v>
      </c>
      <c r="D277" s="35" t="str">
        <f>VLOOKUP(B277,BASE!$A:$D,3,0)</f>
        <v>NEGRO</v>
      </c>
      <c r="E277" s="32" t="str">
        <f>VLOOKUP(B277,BASE!$A:$E,4,0)</f>
        <v>T-70</v>
      </c>
      <c r="F277" s="32">
        <v>1100</v>
      </c>
      <c r="G277" s="23">
        <f t="shared" si="4"/>
        <v>0.18333333333333332</v>
      </c>
    </row>
    <row r="278" spans="1:7" ht="20.25" hidden="1" customHeight="1" x14ac:dyDescent="0.25">
      <c r="A278" s="29">
        <v>9186</v>
      </c>
      <c r="B278" s="30" t="s">
        <v>719</v>
      </c>
      <c r="C278" s="31" t="str">
        <f>VLOOKUP(B278,BASE!$A:$B,2,0)</f>
        <v>8025 ADAPTADOR 158 MATE</v>
      </c>
      <c r="D278" s="35" t="str">
        <f>VLOOKUP(B278,BASE!$A:$D,3,0)</f>
        <v>MATE</v>
      </c>
      <c r="E278" s="32">
        <f>VLOOKUP(B278,BASE!$A:$E,4,0)</f>
        <v>158</v>
      </c>
      <c r="F278" s="32">
        <v>1600</v>
      </c>
      <c r="G278" s="23">
        <f t="shared" si="4"/>
        <v>0.26666666666666666</v>
      </c>
    </row>
    <row r="279" spans="1:7" ht="20.25" hidden="1" customHeight="1" x14ac:dyDescent="0.25">
      <c r="A279" s="29">
        <v>9195</v>
      </c>
      <c r="B279" s="30" t="s">
        <v>774</v>
      </c>
      <c r="C279" s="31" t="str">
        <f>VLOOKUP(B279,BASE!$A:$B,2,0)</f>
        <v>744 JAMBA 1858 TRES RIELES MATE</v>
      </c>
      <c r="D279" s="48" t="s">
        <v>1041</v>
      </c>
      <c r="E279" s="32">
        <f>VLOOKUP(B279,BASE!$A:$E,4,0)</f>
        <v>1858</v>
      </c>
      <c r="F279" s="32">
        <v>1200</v>
      </c>
      <c r="G279" s="23">
        <f t="shared" si="4"/>
        <v>0.2</v>
      </c>
    </row>
    <row r="280" spans="1:7" ht="20.25" hidden="1" customHeight="1" x14ac:dyDescent="0.25">
      <c r="A280" s="29">
        <v>9198</v>
      </c>
      <c r="B280" s="30" t="s">
        <v>973</v>
      </c>
      <c r="C280" s="31" t="str">
        <f>VLOOKUP(B280,BASE!$A:$B,2,0)</f>
        <v>SILLAR CABINA S-201 NEGRO</v>
      </c>
      <c r="D280" s="35" t="str">
        <f>VLOOKUP(B280,BASE!$A:$D,3,0)</f>
        <v>NEGRO</v>
      </c>
      <c r="E280" s="32" t="str">
        <f>VLOOKUP(B280,BASE!$A:$E,4,0)</f>
        <v>S-201</v>
      </c>
      <c r="F280" s="32">
        <v>900</v>
      </c>
      <c r="G280" s="23">
        <f t="shared" si="4"/>
        <v>0.15</v>
      </c>
    </row>
    <row r="281" spans="1:7" ht="20.25" hidden="1" customHeight="1" x14ac:dyDescent="0.25">
      <c r="A281" s="29">
        <v>9200</v>
      </c>
      <c r="B281" s="30" t="s">
        <v>4</v>
      </c>
      <c r="C281" s="31" t="str">
        <f>VLOOKUP(B281,BASE!$A:$B,2,0)</f>
        <v>PERSIANA 315 GRIS PLATA</v>
      </c>
      <c r="D281" s="35" t="str">
        <f>VLOOKUP(B281,BASE!$A:$D,3,0)</f>
        <v>GRIS PLATA</v>
      </c>
      <c r="E281" s="32">
        <f>VLOOKUP(B281,BASE!$A:$E,4,0)</f>
        <v>315</v>
      </c>
      <c r="F281" s="32">
        <v>1000</v>
      </c>
      <c r="G281" s="23">
        <f t="shared" si="4"/>
        <v>0.16666666666666666</v>
      </c>
    </row>
    <row r="282" spans="1:7" ht="20.25" hidden="1" customHeight="1" x14ac:dyDescent="0.25">
      <c r="A282" s="29">
        <v>9203</v>
      </c>
      <c r="B282" s="30" t="s">
        <v>187</v>
      </c>
      <c r="C282" s="31" t="str">
        <f>VLOOKUP(B282,BASE!$A:$B,2,0)</f>
        <v>3831 JAMBA 174 NEGRO</v>
      </c>
      <c r="D282" s="35" t="str">
        <f>VLOOKUP(B282,BASE!$A:$D,3,0)</f>
        <v>NEGRO</v>
      </c>
      <c r="E282" s="32">
        <f>VLOOKUP(B282,BASE!$A:$E,4,0)</f>
        <v>174</v>
      </c>
      <c r="F282" s="32">
        <v>700</v>
      </c>
      <c r="G282" s="23">
        <f t="shared" si="4"/>
        <v>0.11666666666666667</v>
      </c>
    </row>
    <row r="283" spans="1:7" ht="20.25" hidden="1" customHeight="1" x14ac:dyDescent="0.25">
      <c r="A283" s="29">
        <v>9204</v>
      </c>
      <c r="B283" s="30" t="s">
        <v>17</v>
      </c>
      <c r="C283" s="31" t="str">
        <f>VLOOKUP(B283,BASE!$A:$B,2,0)</f>
        <v>3831 JAMBA 174 GRIS PLATA</v>
      </c>
      <c r="D283" s="35" t="str">
        <f>VLOOKUP(B283,BASE!$A:$D,3,0)</f>
        <v>GRIS PLATA</v>
      </c>
      <c r="E283" s="32">
        <f>VLOOKUP(B283,BASE!$A:$E,4,0)</f>
        <v>174</v>
      </c>
      <c r="F283" s="32">
        <v>600</v>
      </c>
      <c r="G283" s="23">
        <f t="shared" si="4"/>
        <v>0.1</v>
      </c>
    </row>
    <row r="284" spans="1:7" ht="20.25" hidden="1" customHeight="1" x14ac:dyDescent="0.25">
      <c r="A284" s="29">
        <v>9213</v>
      </c>
      <c r="B284" s="30" t="s">
        <v>463</v>
      </c>
      <c r="C284" s="31" t="str">
        <f>VLOOKUP(B284,BASE!$A:$B,2,0)</f>
        <v>3831 PISAVIDRIO 177 CRUDO</v>
      </c>
      <c r="D284" s="35" t="str">
        <f>VLOOKUP(B284,BASE!$A:$D,3,0)</f>
        <v xml:space="preserve">CRUDO </v>
      </c>
      <c r="E284" s="32">
        <f>VLOOKUP(B284,BASE!$A:$E,4,0)</f>
        <v>177</v>
      </c>
      <c r="F284" s="32">
        <v>6000</v>
      </c>
      <c r="G284" s="23">
        <f t="shared" si="4"/>
        <v>1</v>
      </c>
    </row>
    <row r="285" spans="1:7" ht="20.25" hidden="1" customHeight="1" x14ac:dyDescent="0.25">
      <c r="A285" s="29">
        <v>9246</v>
      </c>
      <c r="B285" s="30" t="s">
        <v>585</v>
      </c>
      <c r="C285" s="31" t="str">
        <f>VLOOKUP(B285,BASE!$A:$B,2,0)</f>
        <v>U68 GRIS PLATA</v>
      </c>
      <c r="D285" s="35" t="str">
        <f>VLOOKUP(B285,BASE!$A:$D,3,0)</f>
        <v>GRIS PLATA</v>
      </c>
      <c r="E285" s="32" t="str">
        <f>VLOOKUP(B285,BASE!$A:$E,4,0)</f>
        <v>U-68</v>
      </c>
      <c r="F285" s="32">
        <v>1900</v>
      </c>
      <c r="G285" s="23">
        <f t="shared" si="4"/>
        <v>0.31666666666666665</v>
      </c>
    </row>
    <row r="286" spans="1:7" ht="20.25" hidden="1" customHeight="1" x14ac:dyDescent="0.25">
      <c r="A286" s="29">
        <v>9255</v>
      </c>
      <c r="B286" s="30" t="s">
        <v>102</v>
      </c>
      <c r="C286" s="31" t="str">
        <f>VLOOKUP(B286,BASE!$A:$B,2,0)</f>
        <v>CABEZAL CABINA S-319 BRONCE</v>
      </c>
      <c r="D286" s="35" t="str">
        <f>VLOOKUP(B286,BASE!$A:$D,3,0)</f>
        <v>BRONCE</v>
      </c>
      <c r="E286" s="32" t="str">
        <f>VLOOKUP(B286,BASE!$A:$E,4,0)</f>
        <v>S-319</v>
      </c>
      <c r="F286" s="32">
        <v>3700</v>
      </c>
      <c r="G286" s="23">
        <f t="shared" si="4"/>
        <v>0.6166666666666667</v>
      </c>
    </row>
    <row r="287" spans="1:7" ht="20.25" hidden="1" customHeight="1" x14ac:dyDescent="0.25">
      <c r="A287" s="29">
        <v>9271</v>
      </c>
      <c r="B287" s="30" t="s">
        <v>117</v>
      </c>
      <c r="C287" s="31" t="str">
        <f>VLOOKUP(B287,BASE!$A:$B,2,0)</f>
        <v>744 TRASLAPE 388 BLANCO</v>
      </c>
      <c r="D287" s="35" t="str">
        <f>VLOOKUP(B287,BASE!$A:$D,3,0)</f>
        <v>BLANCO</v>
      </c>
      <c r="E287" s="32">
        <f>VLOOKUP(B287,BASE!$A:$E,4,0)</f>
        <v>388</v>
      </c>
      <c r="F287" s="32">
        <v>2400</v>
      </c>
      <c r="G287" s="23">
        <f t="shared" si="4"/>
        <v>0.4</v>
      </c>
    </row>
    <row r="288" spans="1:7" ht="20.25" hidden="1" customHeight="1" x14ac:dyDescent="0.25">
      <c r="A288" s="29">
        <v>9281</v>
      </c>
      <c r="B288" s="30" t="s">
        <v>469</v>
      </c>
      <c r="C288" s="31" t="str">
        <f>VLOOKUP(B288,BASE!$A:$B,2,0)</f>
        <v>RIEL DUCASSE 1764 MATE</v>
      </c>
      <c r="D288" s="35" t="str">
        <f>VLOOKUP(B288,BASE!$A:$D,3,0)</f>
        <v>MATE</v>
      </c>
      <c r="E288" s="32">
        <f>VLOOKUP(B288,BASE!$A:$E,4,0)</f>
        <v>1764</v>
      </c>
      <c r="F288" s="32">
        <v>1500</v>
      </c>
      <c r="G288" s="23">
        <f t="shared" si="4"/>
        <v>0.25</v>
      </c>
    </row>
    <row r="289" spans="1:7" ht="20.25" hidden="1" customHeight="1" x14ac:dyDescent="0.25">
      <c r="A289" s="29">
        <v>9286</v>
      </c>
      <c r="B289" s="30" t="s">
        <v>339</v>
      </c>
      <c r="C289" s="31" t="str">
        <f>VLOOKUP(B289,BASE!$A:$B,2,0)</f>
        <v>744 CABEZAL 392 NEGRO</v>
      </c>
      <c r="D289" s="35" t="str">
        <f>VLOOKUP(B289,BASE!$A:$D,3,0)</f>
        <v>NEGRO</v>
      </c>
      <c r="E289" s="32">
        <f>VLOOKUP(B289,BASE!$A:$E,4,0)</f>
        <v>392</v>
      </c>
      <c r="F289" s="32">
        <v>1000</v>
      </c>
      <c r="G289" s="23">
        <f t="shared" si="4"/>
        <v>0.16666666666666666</v>
      </c>
    </row>
    <row r="290" spans="1:7" ht="20.25" hidden="1" customHeight="1" x14ac:dyDescent="0.25">
      <c r="A290" s="29">
        <v>9287</v>
      </c>
      <c r="B290" s="30" t="s">
        <v>39</v>
      </c>
      <c r="C290" s="31" t="str">
        <f>VLOOKUP(B290,BASE!$A:$B,2,0)</f>
        <v>PERFIL MOSQUITERO M-364 MATE</v>
      </c>
      <c r="D290" s="35" t="str">
        <f>VLOOKUP(B290,BASE!$A:$D,3,0)</f>
        <v>MATE</v>
      </c>
      <c r="E290" s="32" t="str">
        <f>VLOOKUP(B290,BASE!$A:$E,4,0)</f>
        <v>M-364</v>
      </c>
      <c r="F290" s="32">
        <v>2000</v>
      </c>
      <c r="G290" s="23">
        <f t="shared" si="4"/>
        <v>0.33333333333333331</v>
      </c>
    </row>
    <row r="291" spans="1:7" ht="20.25" hidden="1" customHeight="1" x14ac:dyDescent="0.25">
      <c r="A291" s="29">
        <v>9295</v>
      </c>
      <c r="B291" s="30" t="s">
        <v>84</v>
      </c>
      <c r="C291" s="31" t="str">
        <f>VLOOKUP(B291,BASE!$A:$B,2,0)</f>
        <v>TUBULAR 1101 MATE</v>
      </c>
      <c r="D291" s="35" t="str">
        <f>VLOOKUP(B291,BASE!$A:$D,3,0)</f>
        <v>MATE</v>
      </c>
      <c r="E291" s="32">
        <f>VLOOKUP(B291,BASE!$A:$E,4,0)</f>
        <v>1101</v>
      </c>
      <c r="F291" s="32">
        <v>700</v>
      </c>
      <c r="G291" s="23">
        <f t="shared" si="4"/>
        <v>0.11666666666666667</v>
      </c>
    </row>
    <row r="292" spans="1:7" ht="20.25" hidden="1" customHeight="1" x14ac:dyDescent="0.25">
      <c r="A292" s="29">
        <v>9297</v>
      </c>
      <c r="B292" s="30" t="s">
        <v>40</v>
      </c>
      <c r="C292" s="31" t="str">
        <f>VLOOKUP(B292,BASE!$A:$B,2,0)</f>
        <v>TUBULAR T-94 NEGRO</v>
      </c>
      <c r="D292" s="35" t="str">
        <f>VLOOKUP(B292,BASE!$A:$D,3,0)</f>
        <v>NEGRO</v>
      </c>
      <c r="E292" s="32" t="str">
        <f>VLOOKUP(B292,BASE!$A:$E,4,0)</f>
        <v>T-94</v>
      </c>
      <c r="F292" s="32">
        <v>900</v>
      </c>
      <c r="G292" s="23">
        <f t="shared" si="4"/>
        <v>0.15</v>
      </c>
    </row>
    <row r="293" spans="1:7" ht="20.25" hidden="1" customHeight="1" x14ac:dyDescent="0.25">
      <c r="A293" s="29">
        <v>9298</v>
      </c>
      <c r="B293" s="30" t="s">
        <v>35</v>
      </c>
      <c r="C293" s="31" t="str">
        <f>VLOOKUP(B293,BASE!$A:$B,2,0)</f>
        <v>ALFAJIA S-332 BRONCE</v>
      </c>
      <c r="D293" s="35" t="str">
        <f>VLOOKUP(B293,BASE!$A:$D,3,0)</f>
        <v>BRONCE</v>
      </c>
      <c r="E293" s="32" t="str">
        <f>VLOOKUP(B293,BASE!$A:$E,4,0)</f>
        <v>S-332</v>
      </c>
      <c r="F293" s="32">
        <v>1000</v>
      </c>
      <c r="G293" s="23">
        <f t="shared" si="4"/>
        <v>0.16666666666666666</v>
      </c>
    </row>
    <row r="294" spans="1:7" ht="20.25" hidden="1" customHeight="1" x14ac:dyDescent="0.25">
      <c r="A294" s="29">
        <v>9302</v>
      </c>
      <c r="B294" s="30" t="s">
        <v>39</v>
      </c>
      <c r="C294" s="31" t="str">
        <f>VLOOKUP(B294,BASE!$A:$B,2,0)</f>
        <v>PERFIL MOSQUITERO M-364 MATE</v>
      </c>
      <c r="D294" s="35" t="str">
        <f>VLOOKUP(B294,BASE!$A:$D,3,0)</f>
        <v>MATE</v>
      </c>
      <c r="E294" s="32" t="str">
        <f>VLOOKUP(B294,BASE!$A:$E,4,0)</f>
        <v>M-364</v>
      </c>
      <c r="F294" s="32">
        <v>800</v>
      </c>
      <c r="G294" s="23">
        <f t="shared" si="4"/>
        <v>0.13333333333333333</v>
      </c>
    </row>
    <row r="295" spans="1:7" ht="20.25" hidden="1" customHeight="1" x14ac:dyDescent="0.25">
      <c r="A295" s="29">
        <v>9303</v>
      </c>
      <c r="B295" s="30" t="s">
        <v>43</v>
      </c>
      <c r="C295" s="31" t="str">
        <f>VLOOKUP(B295,BASE!$A:$B,2,0)</f>
        <v>744 JAMBA 393 MATE</v>
      </c>
      <c r="D295" s="35" t="str">
        <f>VLOOKUP(B295,BASE!$A:$D,3,0)</f>
        <v>MATE</v>
      </c>
      <c r="E295" s="32">
        <f>VLOOKUP(B295,BASE!$A:$E,4,0)</f>
        <v>393</v>
      </c>
      <c r="F295" s="32">
        <v>1000</v>
      </c>
      <c r="G295" s="23">
        <f t="shared" si="4"/>
        <v>0.16666666666666666</v>
      </c>
    </row>
    <row r="296" spans="1:7" ht="20.25" hidden="1" customHeight="1" x14ac:dyDescent="0.25">
      <c r="A296" s="29">
        <v>9305</v>
      </c>
      <c r="B296" s="30" t="s">
        <v>101</v>
      </c>
      <c r="C296" s="31" t="str">
        <f>VLOOKUP(B296,BASE!$A:$B,2,0)</f>
        <v>SILLAR CABINA S-201 BRONCE</v>
      </c>
      <c r="D296" s="35" t="str">
        <f>VLOOKUP(B296,BASE!$A:$D,3,0)</f>
        <v>BRONCE</v>
      </c>
      <c r="E296" s="32" t="str">
        <f>VLOOKUP(B296,BASE!$A:$E,4,0)</f>
        <v>S-201</v>
      </c>
      <c r="F296" s="32">
        <v>800</v>
      </c>
      <c r="G296" s="23">
        <f t="shared" si="4"/>
        <v>0.13333333333333333</v>
      </c>
    </row>
    <row r="297" spans="1:7" ht="20.25" hidden="1" customHeight="1" x14ac:dyDescent="0.25">
      <c r="A297" s="29">
        <v>9320</v>
      </c>
      <c r="B297" s="30" t="s">
        <v>125</v>
      </c>
      <c r="C297" s="31" t="str">
        <f>VLOOKUP(B297,BASE!$A:$B,2,0)</f>
        <v>3831 DIVISOR 292 NEGRO</v>
      </c>
      <c r="D297" s="35" t="str">
        <f>VLOOKUP(B297,BASE!$A:$D,3,0)</f>
        <v>NEGRO</v>
      </c>
      <c r="E297" s="32">
        <f>VLOOKUP(B297,BASE!$A:$E,4,0)</f>
        <v>292</v>
      </c>
      <c r="F297" s="32">
        <v>3600</v>
      </c>
      <c r="G297" s="23">
        <f t="shared" si="4"/>
        <v>0.6</v>
      </c>
    </row>
    <row r="298" spans="1:7" ht="20.25" hidden="1" customHeight="1" x14ac:dyDescent="0.25">
      <c r="A298" s="29">
        <v>9329</v>
      </c>
      <c r="B298" s="30" t="s">
        <v>188</v>
      </c>
      <c r="C298" s="31" t="str">
        <f>VLOOKUP(B298,BASE!$A:$B,2,0)</f>
        <v>3831 NAVE 176 NEGRO</v>
      </c>
      <c r="D298" s="35" t="str">
        <f>VLOOKUP(B298,BASE!$A:$D,3,0)</f>
        <v>NEGRO</v>
      </c>
      <c r="E298" s="32">
        <f>VLOOKUP(B298,BASE!$A:$E,4,0)</f>
        <v>176</v>
      </c>
      <c r="F298" s="32">
        <v>4100</v>
      </c>
      <c r="G298" s="23">
        <f t="shared" si="4"/>
        <v>0.68333333333333335</v>
      </c>
    </row>
    <row r="299" spans="1:7" ht="20.25" hidden="1" customHeight="1" x14ac:dyDescent="0.25">
      <c r="A299" s="29">
        <v>9331</v>
      </c>
      <c r="B299" s="30" t="s">
        <v>319</v>
      </c>
      <c r="C299" s="31" t="str">
        <f>VLOOKUP(B299,BASE!$A:$B,2,0)</f>
        <v>CABEZAL CABINA S-319 MATE</v>
      </c>
      <c r="D299" s="35" t="str">
        <f>VLOOKUP(B299,BASE!$A:$D,3,0)</f>
        <v>MATE</v>
      </c>
      <c r="E299" s="32" t="str">
        <f>VLOOKUP(B299,BASE!$A:$E,4,0)</f>
        <v>S-319</v>
      </c>
      <c r="F299" s="32">
        <v>3300</v>
      </c>
      <c r="G299" s="23">
        <f t="shared" si="4"/>
        <v>0.55000000000000004</v>
      </c>
    </row>
    <row r="300" spans="1:7" ht="20.25" hidden="1" customHeight="1" x14ac:dyDescent="0.25">
      <c r="A300" s="29">
        <v>9332</v>
      </c>
      <c r="B300" s="30" t="s">
        <v>727</v>
      </c>
      <c r="C300" s="31" t="str">
        <f>VLOOKUP(B300,BASE!$A:$B,2,0)</f>
        <v>RIEL OPTIGLASS DOBLE SL-011 NEGRO</v>
      </c>
      <c r="D300" s="35" t="str">
        <f>VLOOKUP(B300,BASE!$A:$D,3,0)</f>
        <v>NEGRO</v>
      </c>
      <c r="E300" s="32" t="str">
        <f>VLOOKUP(B300,BASE!$A:$E,4,0)</f>
        <v>SL-011</v>
      </c>
      <c r="F300" s="32">
        <v>2800</v>
      </c>
      <c r="G300" s="23">
        <f t="shared" si="4"/>
        <v>0.46666666666666667</v>
      </c>
    </row>
    <row r="301" spans="1:7" ht="20.25" hidden="1" customHeight="1" x14ac:dyDescent="0.25">
      <c r="A301" s="29">
        <v>9333</v>
      </c>
      <c r="B301" s="30" t="s">
        <v>134</v>
      </c>
      <c r="C301" s="31" t="str">
        <f>VLOOKUP(B301,BASE!$A:$B,2,0)</f>
        <v>RIEL OPTIGLASS DOBLE SL-011 MATE</v>
      </c>
      <c r="D301" s="35" t="str">
        <f>VLOOKUP(B301,BASE!$A:$D,3,0)</f>
        <v>MATE</v>
      </c>
      <c r="E301" s="32" t="str">
        <f>VLOOKUP(B301,BASE!$A:$E,4,0)</f>
        <v>SL-011</v>
      </c>
      <c r="F301" s="32">
        <v>3200</v>
      </c>
      <c r="G301" s="23">
        <f t="shared" si="4"/>
        <v>0.53333333333333333</v>
      </c>
    </row>
    <row r="302" spans="1:7" ht="20.25" hidden="1" customHeight="1" x14ac:dyDescent="0.25">
      <c r="A302" s="29">
        <v>9334</v>
      </c>
      <c r="B302" s="30" t="s">
        <v>565</v>
      </c>
      <c r="C302" s="31" t="str">
        <f>VLOOKUP(B302,BASE!$A:$B,2,0)</f>
        <v>TUBULAR T-101 NEGRO</v>
      </c>
      <c r="D302" s="35" t="str">
        <f>VLOOKUP(B302,BASE!$A:$D,3,0)</f>
        <v>NEGRO</v>
      </c>
      <c r="E302" s="32" t="str">
        <f>VLOOKUP(B302,BASE!$A:$E,4,0)</f>
        <v>T-101</v>
      </c>
      <c r="F302" s="32">
        <v>2800</v>
      </c>
      <c r="G302" s="23">
        <f t="shared" si="4"/>
        <v>0.46666666666666667</v>
      </c>
    </row>
    <row r="303" spans="1:7" ht="20.25" hidden="1" customHeight="1" x14ac:dyDescent="0.25">
      <c r="A303" s="29">
        <v>9337</v>
      </c>
      <c r="B303" s="30" t="s">
        <v>120</v>
      </c>
      <c r="C303" s="31" t="str">
        <f>VLOOKUP(B303,BASE!$A:$B,2,0)</f>
        <v>7038 TRASLAPE 704 NEGRO</v>
      </c>
      <c r="D303" s="35" t="str">
        <f>VLOOKUP(B303,BASE!$A:$D,3,0)</f>
        <v>NEGRO</v>
      </c>
      <c r="E303" s="32">
        <f>VLOOKUP(B303,BASE!$A:$E,4,0)</f>
        <v>704</v>
      </c>
      <c r="F303" s="32">
        <v>2200</v>
      </c>
      <c r="G303" s="23">
        <f t="shared" si="4"/>
        <v>0.36666666666666664</v>
      </c>
    </row>
    <row r="304" spans="1:7" ht="20.25" hidden="1" customHeight="1" x14ac:dyDescent="0.25">
      <c r="A304" s="29">
        <v>9338</v>
      </c>
      <c r="B304" s="30" t="s">
        <v>111</v>
      </c>
      <c r="C304" s="31" t="str">
        <f>VLOOKUP(B304,BASE!$A:$B,2,0)</f>
        <v>5020 HORIZONTAL 148 BRONCE</v>
      </c>
      <c r="D304" s="35" t="str">
        <f>VLOOKUP(B304,BASE!$A:$D,3,0)</f>
        <v>BRONCE</v>
      </c>
      <c r="E304" s="32">
        <f>VLOOKUP(B304,BASE!$A:$E,4,0)</f>
        <v>148</v>
      </c>
      <c r="F304" s="32">
        <v>3000</v>
      </c>
      <c r="G304" s="23">
        <f t="shared" si="4"/>
        <v>0.5</v>
      </c>
    </row>
    <row r="305" spans="1:7" ht="20.25" hidden="1" customHeight="1" x14ac:dyDescent="0.25">
      <c r="A305" s="29">
        <v>9340</v>
      </c>
      <c r="B305" s="30" t="s">
        <v>983</v>
      </c>
      <c r="C305" s="31" t="str">
        <f>VLOOKUP(B305,BASE!$A:$B,2,0)</f>
        <v>7038 CABEZAL TRES RIELES 1730 NEGRO</v>
      </c>
      <c r="D305" s="35" t="str">
        <f>VLOOKUP(B305,BASE!$A:$D,3,0)</f>
        <v>NEGRO</v>
      </c>
      <c r="E305" s="32">
        <f>VLOOKUP(B305,BASE!$A:$E,4,0)</f>
        <v>1730</v>
      </c>
      <c r="F305" s="32">
        <v>3600</v>
      </c>
      <c r="G305" s="23">
        <f t="shared" si="4"/>
        <v>0.6</v>
      </c>
    </row>
    <row r="306" spans="1:7" ht="20.25" hidden="1" customHeight="1" x14ac:dyDescent="0.25">
      <c r="A306" s="29">
        <v>9341</v>
      </c>
      <c r="B306" s="30" t="s">
        <v>982</v>
      </c>
      <c r="C306" s="31" t="str">
        <f>VLOOKUP(B306,BASE!$A:$B,2,0)</f>
        <v>7038 SILLAR TRES RIELES 2190 NEGRO</v>
      </c>
      <c r="D306" s="35" t="str">
        <f>VLOOKUP(B306,BASE!$A:$D,3,0)</f>
        <v>NEGRO</v>
      </c>
      <c r="E306" s="32">
        <f>VLOOKUP(B306,BASE!$A:$E,4,0)</f>
        <v>2190</v>
      </c>
      <c r="F306" s="32">
        <v>2600</v>
      </c>
      <c r="G306" s="23">
        <f t="shared" si="4"/>
        <v>0.43333333333333335</v>
      </c>
    </row>
    <row r="307" spans="1:7" ht="20.25" hidden="1" customHeight="1" x14ac:dyDescent="0.25">
      <c r="A307" s="29">
        <v>9349</v>
      </c>
      <c r="B307" s="30" t="s">
        <v>1046</v>
      </c>
      <c r="C307" s="31" t="str">
        <f>VLOOKUP(B307,BASE!$A:$B,2,0)</f>
        <v>744 ADAPTADOR 403 BRONCE</v>
      </c>
      <c r="D307" s="35" t="str">
        <f>VLOOKUP(B307,BASE!$A:$D,3,0)</f>
        <v>BRONCE</v>
      </c>
      <c r="E307" s="32">
        <f>VLOOKUP(B307,BASE!$A:$E,4,0)</f>
        <v>403</v>
      </c>
      <c r="F307" s="32">
        <v>4500</v>
      </c>
      <c r="G307" s="23">
        <f t="shared" si="4"/>
        <v>0.75</v>
      </c>
    </row>
    <row r="308" spans="1:7" ht="20.25" hidden="1" customHeight="1" x14ac:dyDescent="0.25">
      <c r="A308" s="29">
        <v>9352</v>
      </c>
      <c r="B308" s="30" t="s">
        <v>543</v>
      </c>
      <c r="C308" s="31" t="str">
        <f>VLOOKUP(B308,BASE!$A:$B,2,0)</f>
        <v>TUBULAR T-103 MATE</v>
      </c>
      <c r="D308" s="35" t="str">
        <f>VLOOKUP(B308,BASE!$A:$D,3,0)</f>
        <v>MATE</v>
      </c>
      <c r="E308" s="32">
        <f>VLOOKUP(B308,BASE!$A:$E,4,0)</f>
        <v>103</v>
      </c>
      <c r="F308" s="32">
        <v>1900</v>
      </c>
      <c r="G308" s="23">
        <f t="shared" si="4"/>
        <v>0.31666666666666665</v>
      </c>
    </row>
    <row r="309" spans="1:7" ht="20.25" hidden="1" customHeight="1" x14ac:dyDescent="0.25">
      <c r="A309" s="29">
        <v>9353</v>
      </c>
      <c r="B309" s="30" t="s">
        <v>543</v>
      </c>
      <c r="C309" s="31" t="str">
        <f>VLOOKUP(B309,BASE!$A:$B,2,0)</f>
        <v>TUBULAR T-103 MATE</v>
      </c>
      <c r="D309" s="35" t="str">
        <f>VLOOKUP(B309,BASE!$A:$D,3,0)</f>
        <v>MATE</v>
      </c>
      <c r="E309" s="32">
        <f>VLOOKUP(B309,BASE!$A:$E,4,0)</f>
        <v>103</v>
      </c>
      <c r="F309" s="32">
        <v>1900</v>
      </c>
      <c r="G309" s="23">
        <f t="shared" si="4"/>
        <v>0.31666666666666665</v>
      </c>
    </row>
    <row r="310" spans="1:7" ht="20.25" hidden="1" customHeight="1" x14ac:dyDescent="0.25">
      <c r="A310" s="29">
        <v>9363</v>
      </c>
      <c r="B310" s="30" t="s">
        <v>58</v>
      </c>
      <c r="C310" s="31" t="str">
        <f>VLOOKUP(B310,BASE!$A:$B,2,0)</f>
        <v>TUBULAR T-70 NEGRO</v>
      </c>
      <c r="D310" s="35" t="str">
        <f>VLOOKUP(B310,BASE!$A:$D,3,0)</f>
        <v>NEGRO</v>
      </c>
      <c r="E310" s="32" t="str">
        <f>VLOOKUP(B310,BASE!$A:$E,4,0)</f>
        <v>T-70</v>
      </c>
      <c r="F310" s="32">
        <v>1000</v>
      </c>
      <c r="G310" s="23">
        <f t="shared" si="4"/>
        <v>0.16666666666666666</v>
      </c>
    </row>
    <row r="311" spans="1:7" ht="20.25" hidden="1" customHeight="1" x14ac:dyDescent="0.25">
      <c r="A311" s="29">
        <v>9364</v>
      </c>
      <c r="B311" s="30" t="s">
        <v>154</v>
      </c>
      <c r="C311" s="31" t="str">
        <f>VLOOKUP(B311,BASE!$A:$B,2,0)</f>
        <v>CABEZAL CABINA S-319 GRIS PLATA</v>
      </c>
      <c r="D311" s="35" t="str">
        <f>VLOOKUP(B311,BASE!$A:$D,3,0)</f>
        <v>GRIS PLATA</v>
      </c>
      <c r="E311" s="32" t="str">
        <f>VLOOKUP(B311,BASE!$A:$E,4,0)</f>
        <v>S-319</v>
      </c>
      <c r="F311" s="32">
        <v>1200</v>
      </c>
      <c r="G311" s="23">
        <f t="shared" si="4"/>
        <v>0.2</v>
      </c>
    </row>
    <row r="312" spans="1:7" ht="20.25" hidden="1" customHeight="1" x14ac:dyDescent="0.25">
      <c r="A312" s="29">
        <v>9368</v>
      </c>
      <c r="B312" s="30" t="s">
        <v>109</v>
      </c>
      <c r="C312" s="31" t="str">
        <f>VLOOKUP(B312,BASE!$A:$B,2,0)</f>
        <v>5020 ENGANCHE 147 BRONCE</v>
      </c>
      <c r="D312" s="35" t="str">
        <f>VLOOKUP(B312,BASE!$A:$D,3,0)</f>
        <v>BRONCE</v>
      </c>
      <c r="E312" s="32">
        <f>VLOOKUP(B312,BASE!$A:$E,4,0)</f>
        <v>147</v>
      </c>
      <c r="F312" s="32">
        <v>1900</v>
      </c>
      <c r="G312" s="23">
        <f t="shared" si="4"/>
        <v>0.31666666666666665</v>
      </c>
    </row>
    <row r="313" spans="1:7" ht="20.25" hidden="1" customHeight="1" x14ac:dyDescent="0.25">
      <c r="A313" s="29">
        <v>9370</v>
      </c>
      <c r="B313" s="30" t="s">
        <v>112</v>
      </c>
      <c r="C313" s="31" t="str">
        <f>VLOOKUP(B313,BASE!$A:$B,2,0)</f>
        <v>5020 JAMBA 193 BRONCE</v>
      </c>
      <c r="D313" s="35" t="str">
        <f>VLOOKUP(B313,BASE!$A:$D,3,0)</f>
        <v>BRONCE</v>
      </c>
      <c r="E313" s="32">
        <f>VLOOKUP(B313,BASE!$A:$E,4,0)</f>
        <v>193</v>
      </c>
      <c r="F313" s="32">
        <v>1300</v>
      </c>
      <c r="G313" s="23">
        <f t="shared" si="4"/>
        <v>0.21666666666666667</v>
      </c>
    </row>
    <row r="314" spans="1:7" ht="20.25" hidden="1" customHeight="1" x14ac:dyDescent="0.25">
      <c r="A314" s="29">
        <v>9371</v>
      </c>
      <c r="B314" s="30" t="s">
        <v>66</v>
      </c>
      <c r="C314" s="31" t="str">
        <f>VLOOKUP(B314,BASE!$A:$B,2,0)</f>
        <v>744 JAMBA 393 BRONCE</v>
      </c>
      <c r="D314" s="35" t="str">
        <f>VLOOKUP(B314,BASE!$A:$D,3,0)</f>
        <v>BRONCE</v>
      </c>
      <c r="E314" s="32">
        <f>VLOOKUP(B314,BASE!$A:$E,4,0)</f>
        <v>393</v>
      </c>
      <c r="F314" s="32">
        <v>1800</v>
      </c>
      <c r="G314" s="23">
        <f t="shared" si="4"/>
        <v>0.3</v>
      </c>
    </row>
    <row r="315" spans="1:7" ht="20.25" hidden="1" customHeight="1" x14ac:dyDescent="0.25">
      <c r="A315" s="29">
        <v>9373</v>
      </c>
      <c r="B315" s="30" t="s">
        <v>515</v>
      </c>
      <c r="C315" s="31" t="str">
        <f>VLOOKUP(B315,BASE!$A:$B,2,0)</f>
        <v>5020 TRASLAPE 192 BRONCE</v>
      </c>
      <c r="D315" s="35" t="str">
        <f>VLOOKUP(B315,BASE!$A:$D,3,0)</f>
        <v>BRONCE</v>
      </c>
      <c r="E315" s="32">
        <f>VLOOKUP(B315,BASE!$A:$E,4,0)</f>
        <v>192</v>
      </c>
      <c r="F315" s="32">
        <v>2000</v>
      </c>
      <c r="G315" s="23">
        <f t="shared" si="4"/>
        <v>0.33333333333333331</v>
      </c>
    </row>
    <row r="316" spans="1:7" ht="20.25" hidden="1" customHeight="1" x14ac:dyDescent="0.25">
      <c r="A316" s="29">
        <v>9380</v>
      </c>
      <c r="B316" s="30" t="s">
        <v>15</v>
      </c>
      <c r="C316" s="31" t="str">
        <f>VLOOKUP(B316,BASE!$A:$B,2,0)</f>
        <v>TUBULAR T-95 NEGRO</v>
      </c>
      <c r="D316" s="35" t="str">
        <f>VLOOKUP(B316,BASE!$A:$D,3,0)</f>
        <v>NEGRO</v>
      </c>
      <c r="E316" s="32" t="str">
        <f>VLOOKUP(B316,BASE!$A:$E,4,0)</f>
        <v>T-95</v>
      </c>
      <c r="F316" s="32">
        <v>1500</v>
      </c>
      <c r="G316" s="23">
        <f t="shared" si="4"/>
        <v>0.25</v>
      </c>
    </row>
    <row r="317" spans="1:7" ht="20.25" hidden="1" customHeight="1" x14ac:dyDescent="0.25">
      <c r="A317" s="29">
        <v>9388</v>
      </c>
      <c r="B317" s="30" t="s">
        <v>78</v>
      </c>
      <c r="C317" s="31" t="str">
        <f>VLOOKUP(B317,BASE!$A:$B,2,0)</f>
        <v>3831 PISAVIDRIO 177 GRIS PLATA</v>
      </c>
      <c r="D317" s="35" t="str">
        <f>VLOOKUP(B317,BASE!$A:$D,3,0)</f>
        <v>GRIS PLATA</v>
      </c>
      <c r="E317" s="32">
        <f>VLOOKUP(B317,BASE!$A:$E,4,0)</f>
        <v>177</v>
      </c>
      <c r="F317" s="32">
        <v>1900</v>
      </c>
      <c r="G317" s="23">
        <f t="shared" si="4"/>
        <v>0.31666666666666665</v>
      </c>
    </row>
    <row r="318" spans="1:7" ht="20.25" hidden="1" customHeight="1" x14ac:dyDescent="0.25">
      <c r="A318" s="29">
        <v>9393</v>
      </c>
      <c r="B318" s="30" t="s">
        <v>336</v>
      </c>
      <c r="C318" s="31" t="str">
        <f>VLOOKUP(B318,BASE!$A:$B,2,0)</f>
        <v>744 CABEZAL 392 BRONCE</v>
      </c>
      <c r="D318" s="35" t="str">
        <f>VLOOKUP(B318,BASE!$A:$D,3,0)</f>
        <v>BRONCE</v>
      </c>
      <c r="E318" s="32">
        <f>VLOOKUP(B318,BASE!$A:$E,4,0)</f>
        <v>392</v>
      </c>
      <c r="F318" s="32">
        <v>1000</v>
      </c>
      <c r="G318" s="23">
        <f t="shared" si="4"/>
        <v>0.16666666666666666</v>
      </c>
    </row>
    <row r="319" spans="1:7" ht="20.25" hidden="1" customHeight="1" x14ac:dyDescent="0.25">
      <c r="A319" s="29">
        <v>9394</v>
      </c>
      <c r="B319" s="30" t="s">
        <v>336</v>
      </c>
      <c r="C319" s="31" t="str">
        <f>VLOOKUP(B319,BASE!$A:$B,2,0)</f>
        <v>744 CABEZAL 392 BRONCE</v>
      </c>
      <c r="D319" s="35" t="str">
        <f>VLOOKUP(B319,BASE!$A:$D,3,0)</f>
        <v>BRONCE</v>
      </c>
      <c r="E319" s="32">
        <f>VLOOKUP(B319,BASE!$A:$E,4,0)</f>
        <v>392</v>
      </c>
      <c r="F319" s="32">
        <v>800</v>
      </c>
      <c r="G319" s="23">
        <f t="shared" si="4"/>
        <v>0.13333333333333333</v>
      </c>
    </row>
    <row r="320" spans="1:7" ht="20.25" hidden="1" customHeight="1" x14ac:dyDescent="0.25">
      <c r="A320" s="29">
        <v>9395</v>
      </c>
      <c r="B320" s="30" t="s">
        <v>114</v>
      </c>
      <c r="C320" s="31" t="str">
        <f>VLOOKUP(B320,BASE!$A:$B,2,0)</f>
        <v>744 SILLAR 387 BRONCE</v>
      </c>
      <c r="D320" s="35" t="str">
        <f>VLOOKUP(B320,BASE!$A:$D,3,0)</f>
        <v>BRONCE</v>
      </c>
      <c r="E320" s="32">
        <f>VLOOKUP(B320,BASE!$A:$E,4,0)</f>
        <v>387</v>
      </c>
      <c r="F320" s="32">
        <v>900</v>
      </c>
      <c r="G320" s="23">
        <f t="shared" si="4"/>
        <v>0.15</v>
      </c>
    </row>
    <row r="321" spans="1:7" ht="20.25" hidden="1" customHeight="1" x14ac:dyDescent="0.25">
      <c r="A321" s="29">
        <v>9400</v>
      </c>
      <c r="B321" s="30" t="s">
        <v>188</v>
      </c>
      <c r="C321" s="31" t="str">
        <f>VLOOKUP(B321,BASE!$A:$B,2,0)</f>
        <v>3831 NAVE 176 NEGRO</v>
      </c>
      <c r="D321" s="35" t="str">
        <f>VLOOKUP(B321,BASE!$A:$D,3,0)</f>
        <v>NEGRO</v>
      </c>
      <c r="E321" s="32">
        <f>VLOOKUP(B321,BASE!$A:$E,4,0)</f>
        <v>176</v>
      </c>
      <c r="F321" s="32">
        <v>900</v>
      </c>
      <c r="G321" s="23">
        <f t="shared" si="4"/>
        <v>0.15</v>
      </c>
    </row>
    <row r="322" spans="1:7" ht="20.25" hidden="1" customHeight="1" x14ac:dyDescent="0.25">
      <c r="A322" s="29">
        <v>9401</v>
      </c>
      <c r="B322" s="30" t="s">
        <v>188</v>
      </c>
      <c r="C322" s="31" t="str">
        <f>VLOOKUP(B322,BASE!$A:$B,2,0)</f>
        <v>3831 NAVE 176 NEGRO</v>
      </c>
      <c r="D322" s="35" t="str">
        <f>VLOOKUP(B322,BASE!$A:$D,3,0)</f>
        <v>NEGRO</v>
      </c>
      <c r="E322" s="32">
        <f>VLOOKUP(B322,BASE!$A:$E,4,0)</f>
        <v>176</v>
      </c>
      <c r="F322" s="32">
        <v>900</v>
      </c>
      <c r="G322" s="23">
        <f t="shared" si="4"/>
        <v>0.15</v>
      </c>
    </row>
    <row r="323" spans="1:7" ht="20.25" hidden="1" customHeight="1" x14ac:dyDescent="0.25">
      <c r="A323" s="29">
        <v>9403</v>
      </c>
      <c r="B323" s="30" t="s">
        <v>188</v>
      </c>
      <c r="C323" s="31" t="str">
        <f>VLOOKUP(B323,BASE!$A:$B,2,0)</f>
        <v>3831 NAVE 176 NEGRO</v>
      </c>
      <c r="D323" s="35" t="str">
        <f>VLOOKUP(B323,BASE!$A:$D,3,0)</f>
        <v>NEGRO</v>
      </c>
      <c r="E323" s="32">
        <f>VLOOKUP(B323,BASE!$A:$E,4,0)</f>
        <v>176</v>
      </c>
      <c r="F323" s="32">
        <v>900</v>
      </c>
      <c r="G323" s="23">
        <f t="shared" si="4"/>
        <v>0.15</v>
      </c>
    </row>
    <row r="324" spans="1:7" ht="20.25" hidden="1" customHeight="1" x14ac:dyDescent="0.25">
      <c r="A324" s="29">
        <v>9404</v>
      </c>
      <c r="B324" s="30" t="s">
        <v>188</v>
      </c>
      <c r="C324" s="31" t="str">
        <f>VLOOKUP(B324,BASE!$A:$B,2,0)</f>
        <v>3831 NAVE 176 NEGRO</v>
      </c>
      <c r="D324" s="35" t="str">
        <f>VLOOKUP(B324,BASE!$A:$D,3,0)</f>
        <v>NEGRO</v>
      </c>
      <c r="E324" s="32">
        <f>VLOOKUP(B324,BASE!$A:$E,4,0)</f>
        <v>176</v>
      </c>
      <c r="F324" s="32">
        <v>900</v>
      </c>
      <c r="G324" s="23">
        <f t="shared" si="4"/>
        <v>0.15</v>
      </c>
    </row>
    <row r="325" spans="1:7" ht="20.25" hidden="1" customHeight="1" x14ac:dyDescent="0.25">
      <c r="A325" s="29">
        <v>9408</v>
      </c>
      <c r="B325" s="30" t="s">
        <v>151</v>
      </c>
      <c r="C325" s="31" t="str">
        <f>VLOOKUP(B325,BASE!$A:$B,2,0)</f>
        <v>ALFAJIA S-012 NEGRO</v>
      </c>
      <c r="D325" s="35" t="str">
        <f>VLOOKUP(B325,BASE!$A:$D,3,0)</f>
        <v>NEGRO</v>
      </c>
      <c r="E325" s="32" t="str">
        <f>VLOOKUP(B325,BASE!$A:$E,4,0)</f>
        <v>S-012</v>
      </c>
      <c r="F325" s="32">
        <v>900</v>
      </c>
      <c r="G325" s="23">
        <f t="shared" si="4"/>
        <v>0.15</v>
      </c>
    </row>
    <row r="326" spans="1:7" ht="20.25" hidden="1" customHeight="1" x14ac:dyDescent="0.25">
      <c r="A326" s="29">
        <v>9409</v>
      </c>
      <c r="B326" s="30" t="s">
        <v>1052</v>
      </c>
      <c r="C326" s="31" t="str">
        <f>VLOOKUP(B326,BASE!$A:$B,2,0)</f>
        <v>TUBULAR T-198 NEGRO</v>
      </c>
      <c r="D326" s="35" t="str">
        <f>VLOOKUP(B326,BASE!$A:$D,3,0)</f>
        <v>NEGRO</v>
      </c>
      <c r="E326" s="32" t="str">
        <f>VLOOKUP(B326,BASE!$A:$E,4,0)</f>
        <v>T-198</v>
      </c>
      <c r="F326" s="32">
        <v>900</v>
      </c>
      <c r="G326" s="23">
        <f t="shared" si="4"/>
        <v>0.15</v>
      </c>
    </row>
    <row r="327" spans="1:7" ht="20.25" customHeight="1" x14ac:dyDescent="0.25">
      <c r="A327" s="29">
        <v>9412</v>
      </c>
      <c r="B327" s="30" t="s">
        <v>71</v>
      </c>
      <c r="C327" s="31" t="str">
        <f>VLOOKUP(B327,BASE!$A:$B,2,0)</f>
        <v>744 TRASLAPE 388 NEGRO</v>
      </c>
      <c r="D327" s="35" t="str">
        <f>VLOOKUP(B327,BASE!$A:$D,3,0)</f>
        <v>NEGRO</v>
      </c>
      <c r="E327" s="32">
        <f>VLOOKUP(B327,BASE!$A:$E,4,0)</f>
        <v>388</v>
      </c>
      <c r="F327" s="32">
        <v>1100</v>
      </c>
      <c r="G327" s="23">
        <f t="shared" ref="G327:G390" si="5">+F327/6000</f>
        <v>0.18333333333333332</v>
      </c>
    </row>
    <row r="328" spans="1:7" ht="20.25" hidden="1" customHeight="1" x14ac:dyDescent="0.25">
      <c r="A328" s="29">
        <v>9421</v>
      </c>
      <c r="B328" s="30" t="s">
        <v>65</v>
      </c>
      <c r="C328" s="31" t="str">
        <f>VLOOKUP(B328,BASE!$A:$B,2,0)</f>
        <v>744 ENGANCHE 391 BRONCE</v>
      </c>
      <c r="D328" s="35" t="str">
        <f>VLOOKUP(B328,BASE!$A:$D,3,0)</f>
        <v>BRONCE</v>
      </c>
      <c r="E328" s="32">
        <f>VLOOKUP(B328,BASE!$A:$E,4,0)</f>
        <v>391</v>
      </c>
      <c r="F328" s="32">
        <v>900</v>
      </c>
      <c r="G328" s="23">
        <f t="shared" si="5"/>
        <v>0.15</v>
      </c>
    </row>
    <row r="329" spans="1:7" ht="20.25" hidden="1" customHeight="1" x14ac:dyDescent="0.25">
      <c r="A329" s="29">
        <v>9422</v>
      </c>
      <c r="B329" s="30" t="s">
        <v>24</v>
      </c>
      <c r="C329" s="31" t="str">
        <f>VLOOKUP(B329,BASE!$A:$B,2,0)</f>
        <v>SILLAR CABINA S-201 GRIS PLATA</v>
      </c>
      <c r="D329" s="35" t="str">
        <f>VLOOKUP(B329,BASE!$A:$D,3,0)</f>
        <v>GRIS PLATA</v>
      </c>
      <c r="E329" s="32" t="str">
        <f>VLOOKUP(B329,BASE!$A:$E,4,0)</f>
        <v>S-201</v>
      </c>
      <c r="F329" s="32">
        <v>800</v>
      </c>
      <c r="G329" s="23">
        <f t="shared" si="5"/>
        <v>0.13333333333333333</v>
      </c>
    </row>
    <row r="330" spans="1:7" ht="20.25" hidden="1" customHeight="1" x14ac:dyDescent="0.25">
      <c r="A330" s="29">
        <v>9425</v>
      </c>
      <c r="B330" s="30" t="s">
        <v>24</v>
      </c>
      <c r="C330" s="31" t="str">
        <f>VLOOKUP(B330,BASE!$A:$B,2,0)</f>
        <v>SILLAR CABINA S-201 GRIS PLATA</v>
      </c>
      <c r="D330" s="35" t="str">
        <f>VLOOKUP(B330,BASE!$A:$D,3,0)</f>
        <v>GRIS PLATA</v>
      </c>
      <c r="E330" s="32" t="str">
        <f>VLOOKUP(B330,BASE!$A:$E,4,0)</f>
        <v>S-201</v>
      </c>
      <c r="F330" s="32">
        <v>1100</v>
      </c>
      <c r="G330" s="23">
        <f t="shared" si="5"/>
        <v>0.18333333333333332</v>
      </c>
    </row>
    <row r="331" spans="1:7" ht="20.25" hidden="1" customHeight="1" x14ac:dyDescent="0.25">
      <c r="A331" s="29">
        <v>9427</v>
      </c>
      <c r="B331" s="30" t="s">
        <v>336</v>
      </c>
      <c r="C331" s="31" t="str">
        <f>VLOOKUP(B331,BASE!$A:$B,2,0)</f>
        <v>744 CABEZAL 392 BRONCE</v>
      </c>
      <c r="D331" s="35" t="str">
        <f>VLOOKUP(B331,BASE!$A:$D,3,0)</f>
        <v>BRONCE</v>
      </c>
      <c r="E331" s="32">
        <f>VLOOKUP(B331,BASE!$A:$E,4,0)</f>
        <v>392</v>
      </c>
      <c r="F331" s="32">
        <v>900</v>
      </c>
      <c r="G331" s="23">
        <f t="shared" si="5"/>
        <v>0.15</v>
      </c>
    </row>
    <row r="332" spans="1:7" ht="20.25" hidden="1" customHeight="1" x14ac:dyDescent="0.25">
      <c r="A332" s="29">
        <v>9429</v>
      </c>
      <c r="B332" s="30" t="s">
        <v>161</v>
      </c>
      <c r="C332" s="31" t="str">
        <f>VLOOKUP(B332,BASE!$A:$B,2,0)</f>
        <v>744 ENGANCHE 391 NEGRO</v>
      </c>
      <c r="D332" s="35" t="str">
        <f>VLOOKUP(B332,BASE!$A:$D,3,0)</f>
        <v>NEGRO</v>
      </c>
      <c r="E332" s="32">
        <f>VLOOKUP(B332,BASE!$A:$E,4,0)</f>
        <v>391</v>
      </c>
      <c r="F332" s="32">
        <v>1100</v>
      </c>
      <c r="G332" s="23">
        <f t="shared" si="5"/>
        <v>0.18333333333333332</v>
      </c>
    </row>
    <row r="333" spans="1:7" ht="20.25" hidden="1" customHeight="1" x14ac:dyDescent="0.25">
      <c r="A333" s="29">
        <v>9438</v>
      </c>
      <c r="B333" s="30" t="s">
        <v>95</v>
      </c>
      <c r="C333" s="31" t="str">
        <f>VLOOKUP(B333,BASE!$A:$B,2,0)</f>
        <v xml:space="preserve">PERFIL MOSQUITERO M-364 </v>
      </c>
      <c r="D333" s="35" t="str">
        <f>VLOOKUP(B333,BASE!$A:$D,3,0)</f>
        <v xml:space="preserve">CRUDO </v>
      </c>
      <c r="E333" s="32" t="str">
        <f>VLOOKUP(B333,BASE!$A:$E,4,0)</f>
        <v>M-364</v>
      </c>
      <c r="F333" s="32">
        <v>1200</v>
      </c>
      <c r="G333" s="23">
        <f t="shared" si="5"/>
        <v>0.2</v>
      </c>
    </row>
    <row r="334" spans="1:7" ht="20.25" hidden="1" customHeight="1" x14ac:dyDescent="0.25">
      <c r="A334" s="29">
        <v>9479</v>
      </c>
      <c r="B334" s="30" t="s">
        <v>113</v>
      </c>
      <c r="C334" s="31" t="str">
        <f>VLOOKUP(B334,BASE!$A:$B,2,0)</f>
        <v>744 HORIZONTAL SUPERIOR 389 MATE</v>
      </c>
      <c r="D334" s="35" t="str">
        <f>VLOOKUP(B334,BASE!$A:$D,3,0)</f>
        <v>MATE</v>
      </c>
      <c r="E334" s="32">
        <f>VLOOKUP(B334,BASE!$A:$E,4,0)</f>
        <v>389</v>
      </c>
      <c r="F334" s="32">
        <v>1100</v>
      </c>
      <c r="G334" s="23">
        <f t="shared" si="5"/>
        <v>0.18333333333333332</v>
      </c>
    </row>
    <row r="335" spans="1:7" ht="20.25" hidden="1" customHeight="1" x14ac:dyDescent="0.25">
      <c r="A335" s="29">
        <v>9495</v>
      </c>
      <c r="B335" s="30" t="s">
        <v>58</v>
      </c>
      <c r="C335" s="31" t="str">
        <f>VLOOKUP(B335,BASE!$A:$B,2,0)</f>
        <v>TUBULAR T-70 NEGRO</v>
      </c>
      <c r="D335" s="35" t="str">
        <f>VLOOKUP(B335,BASE!$A:$D,3,0)</f>
        <v>NEGRO</v>
      </c>
      <c r="E335" s="32" t="str">
        <f>VLOOKUP(B335,BASE!$A:$E,4,0)</f>
        <v>T-70</v>
      </c>
      <c r="F335" s="32">
        <v>1500</v>
      </c>
      <c r="G335" s="23">
        <f t="shared" si="5"/>
        <v>0.25</v>
      </c>
    </row>
    <row r="336" spans="1:7" ht="20.25" hidden="1" customHeight="1" x14ac:dyDescent="0.25">
      <c r="A336" s="29">
        <v>9503</v>
      </c>
      <c r="B336" s="30" t="s">
        <v>101</v>
      </c>
      <c r="C336" s="31" t="str">
        <f>VLOOKUP(B336,BASE!$A:$B,2,0)</f>
        <v>SILLAR CABINA S-201 BRONCE</v>
      </c>
      <c r="D336" s="35" t="str">
        <f>VLOOKUP(B336,BASE!$A:$D,3,0)</f>
        <v>BRONCE</v>
      </c>
      <c r="E336" s="32" t="str">
        <f>VLOOKUP(B336,BASE!$A:$E,4,0)</f>
        <v>S-201</v>
      </c>
      <c r="F336" s="32">
        <v>1900</v>
      </c>
      <c r="G336" s="23">
        <f t="shared" si="5"/>
        <v>0.31666666666666665</v>
      </c>
    </row>
    <row r="337" spans="1:7" ht="20.25" hidden="1" customHeight="1" x14ac:dyDescent="0.25">
      <c r="A337" s="29">
        <v>9517</v>
      </c>
      <c r="B337" s="30" t="s">
        <v>146</v>
      </c>
      <c r="C337" s="31" t="str">
        <f>VLOOKUP(B337,BASE!$A:$B,2,0)</f>
        <v>5020 TRASLAPE 192 NEGRO</v>
      </c>
      <c r="D337" s="35" t="str">
        <f>VLOOKUP(B337,BASE!$A:$D,3,0)</f>
        <v>NEGRO</v>
      </c>
      <c r="E337" s="32">
        <f>VLOOKUP(B337,BASE!$A:$E,4,0)</f>
        <v>192</v>
      </c>
      <c r="F337" s="32">
        <v>3100</v>
      </c>
      <c r="G337" s="23">
        <f t="shared" si="5"/>
        <v>0.51666666666666672</v>
      </c>
    </row>
    <row r="338" spans="1:7" ht="20.25" hidden="1" customHeight="1" x14ac:dyDescent="0.25">
      <c r="A338" s="29">
        <v>9519</v>
      </c>
      <c r="B338" s="30" t="s">
        <v>160</v>
      </c>
      <c r="C338" s="31" t="str">
        <f>VLOOKUP(B338,BASE!$A:$B,2,0)</f>
        <v>5020 SILLAR 194 NEGRO</v>
      </c>
      <c r="D338" s="35" t="str">
        <f>VLOOKUP(B338,BASE!$A:$D,3,0)</f>
        <v>NEGRO</v>
      </c>
      <c r="E338" s="32">
        <f>VLOOKUP(B338,BASE!$A:$E,4,0)</f>
        <v>194</v>
      </c>
      <c r="F338" s="32">
        <v>3800</v>
      </c>
      <c r="G338" s="23">
        <f t="shared" si="5"/>
        <v>0.6333333333333333</v>
      </c>
    </row>
    <row r="339" spans="1:7" ht="20.25" hidden="1" customHeight="1" x14ac:dyDescent="0.25">
      <c r="A339" s="29">
        <v>9529</v>
      </c>
      <c r="B339" s="30" t="s">
        <v>11</v>
      </c>
      <c r="C339" s="31" t="str">
        <f>VLOOKUP(B339,BASE!$A:$B,2,0)</f>
        <v>PERFIL F 463 NEGRO</v>
      </c>
      <c r="D339" s="35" t="str">
        <f>VLOOKUP(B339,BASE!$A:$D,3,0)</f>
        <v>NEGRO</v>
      </c>
      <c r="E339" s="32" t="str">
        <f>VLOOKUP(B339,BASE!$A:$E,4,0)</f>
        <v>F-463</v>
      </c>
      <c r="F339" s="32">
        <v>2300</v>
      </c>
      <c r="G339" s="23">
        <f t="shared" si="5"/>
        <v>0.38333333333333336</v>
      </c>
    </row>
    <row r="340" spans="1:7" ht="20.25" hidden="1" customHeight="1" x14ac:dyDescent="0.25">
      <c r="A340" s="29">
        <v>9532</v>
      </c>
      <c r="B340" s="30" t="s">
        <v>18</v>
      </c>
      <c r="C340" s="31" t="str">
        <f>VLOOKUP(B340,BASE!$A:$B,2,0)</f>
        <v>8025 CABEZAL 151 GRIS PLATA</v>
      </c>
      <c r="D340" s="35" t="str">
        <f>VLOOKUP(B340,BASE!$A:$D,3,0)</f>
        <v>GRIS PLATA</v>
      </c>
      <c r="E340" s="32">
        <f>VLOOKUP(B340,BASE!$A:$E,4,0)</f>
        <v>151</v>
      </c>
      <c r="F340" s="32">
        <v>1300</v>
      </c>
      <c r="G340" s="23">
        <f t="shared" si="5"/>
        <v>0.21666666666666667</v>
      </c>
    </row>
    <row r="341" spans="1:7" ht="20.25" hidden="1" customHeight="1" x14ac:dyDescent="0.25">
      <c r="A341" s="29">
        <v>9533</v>
      </c>
      <c r="B341" s="30" t="s">
        <v>475</v>
      </c>
      <c r="C341" s="31" t="str">
        <f>VLOOKUP(B341,BASE!$A:$B,2,0)</f>
        <v>8025 SILLAR 150 GRIS PLATA</v>
      </c>
      <c r="D341" s="35" t="str">
        <f>VLOOKUP(B341,BASE!$A:$D,3,0)</f>
        <v>GRIS PLATA</v>
      </c>
      <c r="E341" s="32">
        <f>VLOOKUP(B341,BASE!$A:$E,4,0)</f>
        <v>150</v>
      </c>
      <c r="F341" s="32">
        <v>1100</v>
      </c>
      <c r="G341" s="23">
        <f t="shared" si="5"/>
        <v>0.18333333333333332</v>
      </c>
    </row>
    <row r="342" spans="1:7" ht="20.25" hidden="1" customHeight="1" x14ac:dyDescent="0.25">
      <c r="A342" s="29">
        <v>9534</v>
      </c>
      <c r="B342" s="30" t="s">
        <v>421</v>
      </c>
      <c r="C342" s="31" t="str">
        <f>VLOOKUP(B342,BASE!$A:$B,2,0)</f>
        <v>8025 JAMBA 152 GRIS PLATA</v>
      </c>
      <c r="D342" s="35" t="str">
        <f>VLOOKUP(B342,BASE!$A:$D,3,0)</f>
        <v>GRIS PLATA</v>
      </c>
      <c r="E342" s="32">
        <f>VLOOKUP(B342,BASE!$A:$E,4,0)</f>
        <v>152</v>
      </c>
      <c r="F342" s="32">
        <v>1000</v>
      </c>
      <c r="G342" s="23">
        <f t="shared" si="5"/>
        <v>0.16666666666666666</v>
      </c>
    </row>
    <row r="343" spans="1:7" ht="20.25" hidden="1" customHeight="1" x14ac:dyDescent="0.25">
      <c r="A343" s="29">
        <v>9535</v>
      </c>
      <c r="B343" s="30" t="s">
        <v>526</v>
      </c>
      <c r="C343" s="31" t="str">
        <f>VLOOKUP(B343,BASE!$A:$B,2,0)</f>
        <v>8025 TRASLAPE 190 GRIS PLATA</v>
      </c>
      <c r="D343" s="35" t="str">
        <f>VLOOKUP(B343,BASE!$A:$D,3,0)</f>
        <v>GRIS PLATA</v>
      </c>
      <c r="E343" s="32">
        <f>VLOOKUP(B343,BASE!$A:$E,4,0)</f>
        <v>190</v>
      </c>
      <c r="F343" s="32">
        <v>1100</v>
      </c>
      <c r="G343" s="23">
        <f t="shared" si="5"/>
        <v>0.18333333333333332</v>
      </c>
    </row>
    <row r="344" spans="1:7" ht="20.25" hidden="1" customHeight="1" x14ac:dyDescent="0.25">
      <c r="A344" s="29">
        <v>9536</v>
      </c>
      <c r="B344" s="30" t="s">
        <v>526</v>
      </c>
      <c r="C344" s="31" t="str">
        <f>VLOOKUP(B344,BASE!$A:$B,2,0)</f>
        <v>8025 TRASLAPE 190 GRIS PLATA</v>
      </c>
      <c r="D344" s="35" t="str">
        <f>VLOOKUP(B344,BASE!$A:$D,3,0)</f>
        <v>GRIS PLATA</v>
      </c>
      <c r="E344" s="32">
        <f>VLOOKUP(B344,BASE!$A:$E,4,0)</f>
        <v>190</v>
      </c>
      <c r="F344" s="32">
        <v>800</v>
      </c>
      <c r="G344" s="23">
        <f t="shared" si="5"/>
        <v>0.13333333333333333</v>
      </c>
    </row>
    <row r="345" spans="1:7" ht="20.25" hidden="1" customHeight="1" x14ac:dyDescent="0.25">
      <c r="A345" s="29">
        <v>9537</v>
      </c>
      <c r="B345" s="30" t="s">
        <v>411</v>
      </c>
      <c r="C345" s="31" t="str">
        <f>VLOOKUP(B345,BASE!$A:$B,2,0)</f>
        <v>744 HORIZONTAL SUPERIOR 389 NEGRO</v>
      </c>
      <c r="D345" s="35" t="str">
        <f>VLOOKUP(B345,BASE!$A:$D,3,0)</f>
        <v>NEGRO</v>
      </c>
      <c r="E345" s="32">
        <f>VLOOKUP(B345,BASE!$A:$E,4,0)</f>
        <v>389</v>
      </c>
      <c r="F345" s="32">
        <v>1600</v>
      </c>
      <c r="G345" s="23">
        <f t="shared" si="5"/>
        <v>0.26666666666666666</v>
      </c>
    </row>
    <row r="346" spans="1:7" ht="20.25" hidden="1" customHeight="1" x14ac:dyDescent="0.25">
      <c r="A346" s="29">
        <v>9538</v>
      </c>
      <c r="B346" s="30" t="s">
        <v>440</v>
      </c>
      <c r="C346" s="31" t="str">
        <f>VLOOKUP(B346,BASE!$A:$B,2,0)</f>
        <v>744 JAMBA 393 NEGRO</v>
      </c>
      <c r="D346" s="35" t="str">
        <f>VLOOKUP(B346,BASE!$A:$D,3,0)</f>
        <v>NEGRO</v>
      </c>
      <c r="E346" s="32">
        <f>VLOOKUP(B346,BASE!$A:$E,4,0)</f>
        <v>393</v>
      </c>
      <c r="F346" s="32">
        <v>1600</v>
      </c>
      <c r="G346" s="23">
        <f t="shared" si="5"/>
        <v>0.26666666666666666</v>
      </c>
    </row>
    <row r="347" spans="1:7" ht="20.25" hidden="1" customHeight="1" x14ac:dyDescent="0.25">
      <c r="A347" s="29">
        <v>9539</v>
      </c>
      <c r="B347" s="30" t="s">
        <v>158</v>
      </c>
      <c r="C347" s="31" t="str">
        <f>VLOOKUP(B347,BASE!$A:$B,2,0)</f>
        <v>3831 ADAPTADOR 175 NEGRO</v>
      </c>
      <c r="D347" s="35" t="str">
        <f>VLOOKUP(B347,BASE!$A:$D,3,0)</f>
        <v>NEGRO</v>
      </c>
      <c r="E347" s="32">
        <f>VLOOKUP(B347,BASE!$A:$E,4,0)</f>
        <v>175</v>
      </c>
      <c r="F347" s="32">
        <v>1800</v>
      </c>
      <c r="G347" s="23">
        <f t="shared" si="5"/>
        <v>0.3</v>
      </c>
    </row>
    <row r="348" spans="1:7" ht="20.25" hidden="1" customHeight="1" x14ac:dyDescent="0.25">
      <c r="A348" s="29">
        <v>9544</v>
      </c>
      <c r="B348" s="30" t="s">
        <v>730</v>
      </c>
      <c r="C348" s="31" t="str">
        <f>VLOOKUP(B348,BASE!$A:$B,2,0)</f>
        <v>8025 ENGANCHE 191 GRIS PLATA</v>
      </c>
      <c r="D348" s="35" t="str">
        <f>VLOOKUP(B348,BASE!$A:$D,3,0)</f>
        <v>GRIS PLATA</v>
      </c>
      <c r="E348" s="32">
        <f>VLOOKUP(B348,BASE!$A:$E,4,0)</f>
        <v>191</v>
      </c>
      <c r="F348" s="32">
        <v>1800</v>
      </c>
      <c r="G348" s="23">
        <f t="shared" si="5"/>
        <v>0.3</v>
      </c>
    </row>
    <row r="349" spans="1:7" ht="20.25" hidden="1" customHeight="1" x14ac:dyDescent="0.25">
      <c r="A349" s="29">
        <v>9561</v>
      </c>
      <c r="B349" s="30" t="s">
        <v>179</v>
      </c>
      <c r="C349" s="31" t="str">
        <f>VLOOKUP(B349,BASE!$A:$B,2,0)</f>
        <v>TABLILLA F-08 MATE</v>
      </c>
      <c r="D349" s="35" t="str">
        <f>VLOOKUP(B349,BASE!$A:$D,3,0)</f>
        <v>MATE</v>
      </c>
      <c r="E349" s="32" t="str">
        <f>VLOOKUP(B349,BASE!$A:$E,4,0)</f>
        <v>F-08</v>
      </c>
      <c r="F349" s="32">
        <v>6000</v>
      </c>
      <c r="G349" s="23">
        <f t="shared" si="5"/>
        <v>1</v>
      </c>
    </row>
    <row r="350" spans="1:7" ht="20.25" hidden="1" customHeight="1" x14ac:dyDescent="0.25">
      <c r="A350" s="29">
        <v>9562</v>
      </c>
      <c r="B350" s="30" t="s">
        <v>47</v>
      </c>
      <c r="C350" s="31" t="str">
        <f>VLOOKUP(B350,BASE!$A:$B,2,0)</f>
        <v>8025 JAMBA 708 MATE</v>
      </c>
      <c r="D350" s="35" t="str">
        <f>VLOOKUP(B350,BASE!$A:$D,3,0)</f>
        <v>MATE</v>
      </c>
      <c r="E350" s="32">
        <f>VLOOKUP(B350,BASE!$A:$E,4,0)</f>
        <v>708</v>
      </c>
      <c r="F350" s="32">
        <v>6000</v>
      </c>
      <c r="G350" s="23">
        <f t="shared" si="5"/>
        <v>1</v>
      </c>
    </row>
    <row r="351" spans="1:7" ht="20.25" hidden="1" customHeight="1" x14ac:dyDescent="0.25">
      <c r="A351" s="29">
        <v>9587</v>
      </c>
      <c r="B351" s="30" t="s">
        <v>585</v>
      </c>
      <c r="C351" s="31" t="str">
        <f>VLOOKUP(B351,BASE!$A:$B,2,0)</f>
        <v>U68 GRIS PLATA</v>
      </c>
      <c r="D351" s="35" t="str">
        <f>VLOOKUP(B351,BASE!$A:$D,3,0)</f>
        <v>GRIS PLATA</v>
      </c>
      <c r="E351" s="32" t="str">
        <f>VLOOKUP(B351,BASE!$A:$E,4,0)</f>
        <v>U-68</v>
      </c>
      <c r="F351" s="32">
        <v>2600</v>
      </c>
      <c r="G351" s="23">
        <f t="shared" si="5"/>
        <v>0.43333333333333335</v>
      </c>
    </row>
    <row r="352" spans="1:7" ht="20.25" hidden="1" customHeight="1" x14ac:dyDescent="0.25">
      <c r="A352" s="29">
        <v>9589</v>
      </c>
      <c r="B352" s="30" t="s">
        <v>138</v>
      </c>
      <c r="C352" s="31" t="str">
        <f>VLOOKUP(B352,BASE!$A:$B,2,0)</f>
        <v>TAPALUZ PT02 NEGRO</v>
      </c>
      <c r="D352" s="35" t="str">
        <f>VLOOKUP(B352,BASE!$A:$D,3,0)</f>
        <v>NEGRO</v>
      </c>
      <c r="E352" s="32" t="str">
        <f>VLOOKUP(B352,BASE!$A:$E,4,0)</f>
        <v>PT-02</v>
      </c>
      <c r="F352" s="32">
        <v>2000</v>
      </c>
      <c r="G352" s="23">
        <f t="shared" si="5"/>
        <v>0.33333333333333331</v>
      </c>
    </row>
    <row r="353" spans="1:7" ht="20.25" hidden="1" customHeight="1" x14ac:dyDescent="0.25">
      <c r="A353" s="29">
        <v>9590</v>
      </c>
      <c r="B353" s="30" t="s">
        <v>138</v>
      </c>
      <c r="C353" s="31" t="str">
        <f>VLOOKUP(B353,BASE!$A:$B,2,0)</f>
        <v>TAPALUZ PT02 NEGRO</v>
      </c>
      <c r="D353" s="35" t="str">
        <f>VLOOKUP(B353,BASE!$A:$D,3,0)</f>
        <v>NEGRO</v>
      </c>
      <c r="E353" s="32" t="str">
        <f>VLOOKUP(B353,BASE!$A:$E,4,0)</f>
        <v>PT-02</v>
      </c>
      <c r="F353" s="32">
        <v>1900</v>
      </c>
      <c r="G353" s="23">
        <f t="shared" si="5"/>
        <v>0.31666666666666665</v>
      </c>
    </row>
    <row r="354" spans="1:7" ht="20.25" hidden="1" customHeight="1" x14ac:dyDescent="0.25">
      <c r="A354" s="29">
        <v>9591</v>
      </c>
      <c r="B354" s="30" t="s">
        <v>165</v>
      </c>
      <c r="C354" s="31" t="str">
        <f>VLOOKUP(B354,BASE!$A:$B,2,0)</f>
        <v>ANGULO A-01 NEGRO (1/2 X 1/2)</v>
      </c>
      <c r="D354" s="35" t="str">
        <f>VLOOKUP(B354,BASE!$A:$D,3,0)</f>
        <v>NEGRO</v>
      </c>
      <c r="E354" s="32" t="str">
        <f>VLOOKUP(B354,BASE!$A:$E,4,0)</f>
        <v>A-01</v>
      </c>
      <c r="F354" s="32">
        <v>1700</v>
      </c>
      <c r="G354" s="23">
        <f t="shared" si="5"/>
        <v>0.28333333333333333</v>
      </c>
    </row>
    <row r="355" spans="1:7" ht="20.25" hidden="1" customHeight="1" x14ac:dyDescent="0.25">
      <c r="A355" s="29">
        <v>9595</v>
      </c>
      <c r="B355" s="30" t="s">
        <v>555</v>
      </c>
      <c r="C355" s="31" t="str">
        <f>VLOOKUP(B355,BASE!$A:$B,2,0)</f>
        <v>TUBULAR T-244 BRONCE</v>
      </c>
      <c r="D355" s="35" t="str">
        <f>VLOOKUP(B355,BASE!$A:$D,3,0)</f>
        <v>BRONCE</v>
      </c>
      <c r="E355" s="32" t="str">
        <f>VLOOKUP(B355,BASE!$A:$E,4,0)</f>
        <v>T-244</v>
      </c>
      <c r="F355" s="32">
        <v>6000</v>
      </c>
      <c r="G355" s="23">
        <f t="shared" si="5"/>
        <v>1</v>
      </c>
    </row>
    <row r="356" spans="1:7" ht="20.25" hidden="1" customHeight="1" x14ac:dyDescent="0.25">
      <c r="A356" s="29">
        <v>9614</v>
      </c>
      <c r="B356" s="30" t="s">
        <v>165</v>
      </c>
      <c r="C356" s="31" t="str">
        <f>VLOOKUP(B356,BASE!$A:$B,2,0)</f>
        <v>ANGULO A-01 NEGRO (1/2 X 1/2)</v>
      </c>
      <c r="D356" s="35" t="str">
        <f>VLOOKUP(B356,BASE!$A:$D,3,0)</f>
        <v>NEGRO</v>
      </c>
      <c r="E356" s="32" t="str">
        <f>VLOOKUP(B356,BASE!$A:$E,4,0)</f>
        <v>A-01</v>
      </c>
      <c r="F356" s="32">
        <v>6000</v>
      </c>
      <c r="G356" s="23">
        <f t="shared" si="5"/>
        <v>1</v>
      </c>
    </row>
    <row r="357" spans="1:7" ht="20.25" hidden="1" customHeight="1" x14ac:dyDescent="0.25">
      <c r="A357" s="29">
        <v>9615</v>
      </c>
      <c r="B357" s="30" t="s">
        <v>1047</v>
      </c>
      <c r="C357" s="31" t="str">
        <f>VLOOKUP(B357,BASE!$A:$B,2,0)</f>
        <v>ANGULO A-09 NEGRO (1" X 1")</v>
      </c>
      <c r="D357" s="35" t="str">
        <f>VLOOKUP(B357,BASE!$A:$D,3,0)</f>
        <v>NEGRO</v>
      </c>
      <c r="E357" s="32" t="str">
        <f>VLOOKUP(B357,BASE!$A:$E,4,0)</f>
        <v>A-09</v>
      </c>
      <c r="F357" s="32">
        <v>6000</v>
      </c>
      <c r="G357" s="23">
        <f t="shared" si="5"/>
        <v>1</v>
      </c>
    </row>
    <row r="358" spans="1:7" ht="20.25" hidden="1" customHeight="1" x14ac:dyDescent="0.25">
      <c r="A358" s="29">
        <v>9626</v>
      </c>
      <c r="B358" s="30" t="s">
        <v>973</v>
      </c>
      <c r="C358" s="31" t="str">
        <f>VLOOKUP(B358,BASE!$A:$B,2,0)</f>
        <v>SILLAR CABINA S-201 NEGRO</v>
      </c>
      <c r="D358" s="35" t="str">
        <f>VLOOKUP(B358,BASE!$A:$D,3,0)</f>
        <v>NEGRO</v>
      </c>
      <c r="E358" s="32" t="str">
        <f>VLOOKUP(B358,BASE!$A:$E,4,0)</f>
        <v>S-201</v>
      </c>
      <c r="F358" s="32">
        <v>4700</v>
      </c>
      <c r="G358" s="23">
        <f t="shared" si="5"/>
        <v>0.78333333333333333</v>
      </c>
    </row>
    <row r="359" spans="1:7" ht="20.25" hidden="1" customHeight="1" x14ac:dyDescent="0.25">
      <c r="A359" s="29">
        <v>9627</v>
      </c>
      <c r="B359" s="30" t="s">
        <v>973</v>
      </c>
      <c r="C359" s="31" t="str">
        <f>VLOOKUP(B359,BASE!$A:$B,2,0)</f>
        <v>SILLAR CABINA S-201 NEGRO</v>
      </c>
      <c r="D359" s="35" t="str">
        <f>VLOOKUP(B359,BASE!$A:$D,3,0)</f>
        <v>NEGRO</v>
      </c>
      <c r="E359" s="32" t="str">
        <f>VLOOKUP(B359,BASE!$A:$E,4,0)</f>
        <v>S-201</v>
      </c>
      <c r="F359" s="32">
        <v>3100</v>
      </c>
      <c r="G359" s="23">
        <f t="shared" si="5"/>
        <v>0.51666666666666672</v>
      </c>
    </row>
    <row r="360" spans="1:7" ht="20.25" hidden="1" customHeight="1" x14ac:dyDescent="0.25">
      <c r="A360" s="29">
        <v>9628</v>
      </c>
      <c r="B360" s="30" t="s">
        <v>411</v>
      </c>
      <c r="C360" s="31" t="str">
        <f>VLOOKUP(B360,BASE!$A:$B,2,0)</f>
        <v>744 HORIZONTAL SUPERIOR 389 NEGRO</v>
      </c>
      <c r="D360" s="35" t="str">
        <f>VLOOKUP(B360,BASE!$A:$D,3,0)</f>
        <v>NEGRO</v>
      </c>
      <c r="E360" s="32">
        <f>VLOOKUP(B360,BASE!$A:$E,4,0)</f>
        <v>389</v>
      </c>
      <c r="F360" s="32">
        <v>3900</v>
      </c>
      <c r="G360" s="23">
        <f t="shared" si="5"/>
        <v>0.65</v>
      </c>
    </row>
    <row r="361" spans="1:7" ht="20.25" hidden="1" customHeight="1" x14ac:dyDescent="0.25">
      <c r="A361" s="29">
        <v>9629</v>
      </c>
      <c r="B361" s="30" t="s">
        <v>181</v>
      </c>
      <c r="C361" s="31" t="str">
        <f>VLOOKUP(B361,BASE!$A:$B,2,0)</f>
        <v>5020 HORIZONTAL 148 GRIS PLATA</v>
      </c>
      <c r="D361" s="35" t="str">
        <f>VLOOKUP(B361,BASE!$A:$D,3,0)</f>
        <v>GRIS PLATA</v>
      </c>
      <c r="E361" s="32">
        <f>VLOOKUP(B361,BASE!$A:$E,4,0)</f>
        <v>148</v>
      </c>
      <c r="F361" s="32">
        <v>4100</v>
      </c>
      <c r="G361" s="23">
        <f t="shared" si="5"/>
        <v>0.68333333333333335</v>
      </c>
    </row>
    <row r="362" spans="1:7" ht="20.25" hidden="1" customHeight="1" x14ac:dyDescent="0.25">
      <c r="A362" s="29">
        <v>9630</v>
      </c>
      <c r="B362" s="30" t="s">
        <v>76</v>
      </c>
      <c r="C362" s="31" t="str">
        <f>VLOOKUP(B362,BASE!$A:$B,2,0)</f>
        <v>5020 JAMBA 193 GRIS PLATA</v>
      </c>
      <c r="D362" s="35" t="str">
        <f>VLOOKUP(B362,BASE!$A:$D,3,0)</f>
        <v>GRIS PLATA</v>
      </c>
      <c r="E362" s="32">
        <f>VLOOKUP(B362,BASE!$A:$E,4,0)</f>
        <v>193</v>
      </c>
      <c r="F362" s="32">
        <v>3700</v>
      </c>
      <c r="G362" s="23">
        <f t="shared" si="5"/>
        <v>0.6166666666666667</v>
      </c>
    </row>
    <row r="363" spans="1:7" ht="20.25" hidden="1" customHeight="1" x14ac:dyDescent="0.25">
      <c r="A363" s="29">
        <v>9631</v>
      </c>
      <c r="B363" s="30" t="s">
        <v>77</v>
      </c>
      <c r="C363" s="31" t="str">
        <f>VLOOKUP(B363,BASE!$A:$B,2,0)</f>
        <v>5020 ENGANCHE 147 GRIS PLATA</v>
      </c>
      <c r="D363" s="35" t="str">
        <f>VLOOKUP(B363,BASE!$A:$D,3,0)</f>
        <v>GRIS PLATA</v>
      </c>
      <c r="E363" s="32">
        <f>VLOOKUP(B363,BASE!$A:$E,4,0)</f>
        <v>147</v>
      </c>
      <c r="F363" s="32">
        <v>3700</v>
      </c>
      <c r="G363" s="23">
        <f t="shared" si="5"/>
        <v>0.6166666666666667</v>
      </c>
    </row>
    <row r="364" spans="1:7" ht="20.25" hidden="1" customHeight="1" x14ac:dyDescent="0.25">
      <c r="A364" s="29">
        <v>9632</v>
      </c>
      <c r="B364" s="30" t="s">
        <v>523</v>
      </c>
      <c r="C364" s="31" t="str">
        <f>VLOOKUP(B364,BASE!$A:$B,2,0)</f>
        <v>5020 TRASLAPE 192 GRIS PLATA</v>
      </c>
      <c r="D364" s="35" t="str">
        <f>VLOOKUP(B364,BASE!$A:$D,3,0)</f>
        <v>GRIS PLATA</v>
      </c>
      <c r="E364" s="32">
        <f>VLOOKUP(B364,BASE!$A:$E,4,0)</f>
        <v>192</v>
      </c>
      <c r="F364" s="32">
        <v>3700</v>
      </c>
      <c r="G364" s="23">
        <f t="shared" si="5"/>
        <v>0.6166666666666667</v>
      </c>
    </row>
    <row r="365" spans="1:7" ht="20.25" hidden="1" customHeight="1" x14ac:dyDescent="0.25">
      <c r="A365" s="29">
        <v>9637</v>
      </c>
      <c r="B365" s="30" t="s">
        <v>440</v>
      </c>
      <c r="C365" s="31" t="str">
        <f>VLOOKUP(B365,BASE!$A:$B,2,0)</f>
        <v>744 JAMBA 393 NEGRO</v>
      </c>
      <c r="D365" s="35" t="str">
        <f>VLOOKUP(B365,BASE!$A:$D,3,0)</f>
        <v>NEGRO</v>
      </c>
      <c r="E365" s="32">
        <f>VLOOKUP(B365,BASE!$A:$E,4,0)</f>
        <v>393</v>
      </c>
      <c r="F365" s="32">
        <v>3600</v>
      </c>
      <c r="G365" s="23">
        <f t="shared" si="5"/>
        <v>0.6</v>
      </c>
    </row>
    <row r="366" spans="1:7" ht="20.25" hidden="1" customHeight="1" x14ac:dyDescent="0.25">
      <c r="A366" s="29">
        <v>9638</v>
      </c>
      <c r="B366" s="30" t="s">
        <v>34</v>
      </c>
      <c r="C366" s="31" t="str">
        <f>VLOOKUP(B366,BASE!$A:$B,2,0)</f>
        <v>TUBULAR T-244 NEGRO</v>
      </c>
      <c r="D366" s="35" t="str">
        <f>VLOOKUP(B366,BASE!$A:$D,3,0)</f>
        <v>NEGRO</v>
      </c>
      <c r="E366" s="32" t="str">
        <f>VLOOKUP(B366,BASE!$A:$E,4,0)</f>
        <v>T-244</v>
      </c>
      <c r="F366" s="32">
        <v>3800</v>
      </c>
      <c r="G366" s="23">
        <f t="shared" si="5"/>
        <v>0.6333333333333333</v>
      </c>
    </row>
    <row r="367" spans="1:7" ht="20.25" hidden="1" customHeight="1" x14ac:dyDescent="0.25">
      <c r="A367" s="29">
        <v>9639</v>
      </c>
      <c r="B367" s="30" t="s">
        <v>131</v>
      </c>
      <c r="C367" s="31" t="str">
        <f>VLOOKUP(B367,BASE!$A:$B,2,0)</f>
        <v>3831 PISAVIDRIO 177 BLANCO</v>
      </c>
      <c r="D367" s="35" t="str">
        <f>VLOOKUP(B367,BASE!$A:$D,3,0)</f>
        <v>BLANCO</v>
      </c>
      <c r="E367" s="32">
        <f>VLOOKUP(B367,BASE!$A:$E,4,0)</f>
        <v>177</v>
      </c>
      <c r="F367" s="32">
        <v>3500</v>
      </c>
      <c r="G367" s="23">
        <f t="shared" si="5"/>
        <v>0.58333333333333337</v>
      </c>
    </row>
    <row r="368" spans="1:7" ht="20.25" hidden="1" customHeight="1" x14ac:dyDescent="0.25">
      <c r="A368" s="29">
        <v>9640</v>
      </c>
      <c r="B368" s="30" t="s">
        <v>53</v>
      </c>
      <c r="C368" s="31" t="str">
        <f>VLOOKUP(B368,BASE!$A:$B,2,0)</f>
        <v>U57 NEGRO</v>
      </c>
      <c r="D368" s="35" t="str">
        <f>VLOOKUP(B368,BASE!$A:$D,3,0)</f>
        <v>NEGRO</v>
      </c>
      <c r="E368" s="32" t="str">
        <f>VLOOKUP(B368,BASE!$A:$E,4,0)</f>
        <v>U-57</v>
      </c>
      <c r="F368" s="32">
        <v>3700</v>
      </c>
      <c r="G368" s="23">
        <f t="shared" si="5"/>
        <v>0.6166666666666667</v>
      </c>
    </row>
    <row r="369" spans="1:7" ht="20.25" hidden="1" customHeight="1" x14ac:dyDescent="0.25">
      <c r="A369" s="29">
        <v>9644</v>
      </c>
      <c r="B369" s="30" t="s">
        <v>377</v>
      </c>
      <c r="C369" s="31" t="str">
        <f>VLOOKUP(B369,BASE!$A:$B,2,0)</f>
        <v>8025 ENGANCHE 191 NEGRO</v>
      </c>
      <c r="D369" s="35" t="str">
        <f>VLOOKUP(B369,BASE!$A:$D,3,0)</f>
        <v>NEGRO</v>
      </c>
      <c r="E369" s="32">
        <f>VLOOKUP(B369,BASE!$A:$E,4,0)</f>
        <v>191</v>
      </c>
      <c r="F369" s="32">
        <v>1900</v>
      </c>
      <c r="G369" s="23">
        <f t="shared" si="5"/>
        <v>0.31666666666666665</v>
      </c>
    </row>
    <row r="370" spans="1:7" ht="20.25" hidden="1" customHeight="1" x14ac:dyDescent="0.25">
      <c r="A370" s="29">
        <v>9645</v>
      </c>
      <c r="B370" s="30" t="s">
        <v>377</v>
      </c>
      <c r="C370" s="31" t="str">
        <f>VLOOKUP(B370,BASE!$A:$B,2,0)</f>
        <v>8025 ENGANCHE 191 NEGRO</v>
      </c>
      <c r="D370" s="35" t="str">
        <f>VLOOKUP(B370,BASE!$A:$D,3,0)</f>
        <v>NEGRO</v>
      </c>
      <c r="E370" s="32">
        <f>VLOOKUP(B370,BASE!$A:$E,4,0)</f>
        <v>191</v>
      </c>
      <c r="F370" s="32">
        <v>1900</v>
      </c>
      <c r="G370" s="23">
        <f t="shared" si="5"/>
        <v>0.31666666666666665</v>
      </c>
    </row>
    <row r="371" spans="1:7" ht="20.25" hidden="1" customHeight="1" x14ac:dyDescent="0.25">
      <c r="A371" s="29">
        <v>9647</v>
      </c>
      <c r="B371" s="30" t="s">
        <v>139</v>
      </c>
      <c r="C371" s="31" t="str">
        <f>VLOOKUP(B371,BASE!$A:$B,2,0)</f>
        <v>8025 SILLAR 707 NEGRO</v>
      </c>
      <c r="D371" s="35" t="str">
        <f>VLOOKUP(B371,BASE!$A:$D,3,0)</f>
        <v>NEGRO</v>
      </c>
      <c r="E371" s="32">
        <f>VLOOKUP(B371,BASE!$A:$E,4,0)</f>
        <v>707</v>
      </c>
      <c r="F371" s="32">
        <v>2300</v>
      </c>
      <c r="G371" s="23">
        <f t="shared" si="5"/>
        <v>0.38333333333333336</v>
      </c>
    </row>
    <row r="372" spans="1:7" ht="20.25" hidden="1" customHeight="1" x14ac:dyDescent="0.25">
      <c r="A372" s="29">
        <v>9648</v>
      </c>
      <c r="B372" s="30" t="s">
        <v>340</v>
      </c>
      <c r="C372" s="31" t="str">
        <f>VLOOKUP(B372,BASE!$A:$B,2,0)</f>
        <v>8025 CABEZAL 706 NEGRO</v>
      </c>
      <c r="D372" s="35" t="str">
        <f>VLOOKUP(B372,BASE!$A:$D,3,0)</f>
        <v>NEGRO</v>
      </c>
      <c r="E372" s="32">
        <f>VLOOKUP(B372,BASE!$A:$E,4,0)</f>
        <v>706</v>
      </c>
      <c r="F372" s="32">
        <v>2300</v>
      </c>
      <c r="G372" s="23">
        <f t="shared" si="5"/>
        <v>0.38333333333333336</v>
      </c>
    </row>
    <row r="373" spans="1:7" ht="20.25" hidden="1" customHeight="1" x14ac:dyDescent="0.25">
      <c r="A373" s="29">
        <v>9655</v>
      </c>
      <c r="B373" s="30" t="s">
        <v>58</v>
      </c>
      <c r="C373" s="31" t="str">
        <f>VLOOKUP(B373,BASE!$A:$B,2,0)</f>
        <v>TUBULAR T-70 NEGRO</v>
      </c>
      <c r="D373" s="35" t="str">
        <f>VLOOKUP(B373,BASE!$A:$D,3,0)</f>
        <v>NEGRO</v>
      </c>
      <c r="E373" s="32" t="str">
        <f>VLOOKUP(B373,BASE!$A:$E,4,0)</f>
        <v>T-70</v>
      </c>
      <c r="F373" s="32">
        <v>1800</v>
      </c>
      <c r="G373" s="23">
        <f t="shared" si="5"/>
        <v>0.3</v>
      </c>
    </row>
    <row r="374" spans="1:7" ht="20.25" hidden="1" customHeight="1" x14ac:dyDescent="0.25">
      <c r="A374" s="29">
        <v>9657</v>
      </c>
      <c r="B374" s="30" t="s">
        <v>58</v>
      </c>
      <c r="C374" s="31" t="str">
        <f>VLOOKUP(B374,BASE!$A:$B,2,0)</f>
        <v>TUBULAR T-70 NEGRO</v>
      </c>
      <c r="D374" s="35" t="str">
        <f>VLOOKUP(B374,BASE!$A:$D,3,0)</f>
        <v>NEGRO</v>
      </c>
      <c r="E374" s="32" t="str">
        <f>VLOOKUP(B374,BASE!$A:$E,4,0)</f>
        <v>T-70</v>
      </c>
      <c r="F374" s="32">
        <v>1500</v>
      </c>
      <c r="G374" s="23">
        <f t="shared" si="5"/>
        <v>0.25</v>
      </c>
    </row>
    <row r="375" spans="1:7" ht="20.25" hidden="1" customHeight="1" x14ac:dyDescent="0.25">
      <c r="A375" s="29">
        <v>9658</v>
      </c>
      <c r="B375" s="30" t="s">
        <v>706</v>
      </c>
      <c r="C375" s="31" t="str">
        <f>VLOOKUP(B375,BASE!$A:$B,2,0)</f>
        <v>TUBULAR 1102 NEGRO</v>
      </c>
      <c r="D375" s="35" t="str">
        <f>VLOOKUP(B375,BASE!$A:$D,3,0)</f>
        <v>NEGRO</v>
      </c>
      <c r="E375" s="32">
        <f>VLOOKUP(B375,BASE!$A:$E,4,0)</f>
        <v>1102</v>
      </c>
      <c r="F375" s="32">
        <v>2300</v>
      </c>
      <c r="G375" s="23">
        <f t="shared" si="5"/>
        <v>0.38333333333333336</v>
      </c>
    </row>
    <row r="376" spans="1:7" ht="20.25" hidden="1" customHeight="1" x14ac:dyDescent="0.25">
      <c r="A376" s="29">
        <v>9660</v>
      </c>
      <c r="B376" s="30" t="s">
        <v>134</v>
      </c>
      <c r="C376" s="31" t="str">
        <f>VLOOKUP(B376,BASE!$A:$B,2,0)</f>
        <v>RIEL OPTIGLASS DOBLE SL-011 MATE</v>
      </c>
      <c r="D376" s="35" t="str">
        <f>VLOOKUP(B376,BASE!$A:$D,3,0)</f>
        <v>MATE</v>
      </c>
      <c r="E376" s="32" t="str">
        <f>VLOOKUP(B376,BASE!$A:$E,4,0)</f>
        <v>SL-011</v>
      </c>
      <c r="F376" s="32">
        <v>2400</v>
      </c>
      <c r="G376" s="23">
        <f t="shared" si="5"/>
        <v>0.4</v>
      </c>
    </row>
    <row r="377" spans="1:7" ht="20.25" hidden="1" customHeight="1" x14ac:dyDescent="0.25">
      <c r="A377" s="29">
        <v>9661</v>
      </c>
      <c r="B377" s="30" t="s">
        <v>446</v>
      </c>
      <c r="C377" s="31" t="str">
        <f>VLOOKUP(B377,BASE!$A:$B,2,0)</f>
        <v>8025 JAMBA 708 NEGRO</v>
      </c>
      <c r="D377" s="35" t="str">
        <f>VLOOKUP(B377,BASE!$A:$D,3,0)</f>
        <v>NEGRO</v>
      </c>
      <c r="E377" s="32">
        <f>VLOOKUP(B377,BASE!$A:$E,4,0)</f>
        <v>708</v>
      </c>
      <c r="F377" s="32">
        <v>1800</v>
      </c>
      <c r="G377" s="23">
        <f t="shared" si="5"/>
        <v>0.3</v>
      </c>
    </row>
    <row r="378" spans="1:7" ht="20.25" hidden="1" customHeight="1" x14ac:dyDescent="0.25">
      <c r="A378" s="29">
        <v>9662</v>
      </c>
      <c r="B378" s="30" t="s">
        <v>75</v>
      </c>
      <c r="C378" s="31" t="str">
        <f>VLOOKUP(B378,BASE!$A:$B,2,0)</f>
        <v>5020 SILLAR 194 GRIS PLATA</v>
      </c>
      <c r="D378" s="35" t="str">
        <f>VLOOKUP(B378,BASE!$A:$D,3,0)</f>
        <v>GRIS PLATA</v>
      </c>
      <c r="E378" s="32">
        <f>VLOOKUP(B378,BASE!$A:$E,4,0)</f>
        <v>194</v>
      </c>
      <c r="F378" s="32">
        <v>2300</v>
      </c>
      <c r="G378" s="23">
        <f t="shared" si="5"/>
        <v>0.38333333333333336</v>
      </c>
    </row>
    <row r="379" spans="1:7" ht="20.25" hidden="1" customHeight="1" x14ac:dyDescent="0.25">
      <c r="A379" s="29">
        <v>9663</v>
      </c>
      <c r="B379" s="30" t="s">
        <v>28</v>
      </c>
      <c r="C379" s="31" t="str">
        <f>VLOOKUP(B379,BASE!$A:$B,2,0)</f>
        <v>5020 CABEZAL 144 GRIS PLATA</v>
      </c>
      <c r="D379" s="35" t="str">
        <f>VLOOKUP(B379,BASE!$A:$D,3,0)</f>
        <v>GRIS PLATA</v>
      </c>
      <c r="E379" s="32">
        <f>VLOOKUP(B379,BASE!$A:$E,4,0)</f>
        <v>144</v>
      </c>
      <c r="F379" s="32">
        <v>2300</v>
      </c>
      <c r="G379" s="23">
        <f t="shared" si="5"/>
        <v>0.38333333333333336</v>
      </c>
    </row>
    <row r="380" spans="1:7" ht="20.25" hidden="1" customHeight="1" x14ac:dyDescent="0.25">
      <c r="A380" s="29">
        <v>9665</v>
      </c>
      <c r="B380" s="30" t="s">
        <v>137</v>
      </c>
      <c r="C380" s="31" t="str">
        <f>VLOOKUP(B380,BASE!$A:$B,2,0)</f>
        <v>8025 TRASLAPE 190 NEGRO</v>
      </c>
      <c r="D380" s="35" t="str">
        <f>VLOOKUP(B380,BASE!$A:$D,3,0)</f>
        <v>NEGRO</v>
      </c>
      <c r="E380" s="32">
        <f>VLOOKUP(B380,BASE!$A:$E,4,0)</f>
        <v>190</v>
      </c>
      <c r="F380" s="32">
        <v>1900</v>
      </c>
      <c r="G380" s="23">
        <f t="shared" si="5"/>
        <v>0.31666666666666665</v>
      </c>
    </row>
    <row r="381" spans="1:7" ht="20.25" hidden="1" customHeight="1" x14ac:dyDescent="0.25">
      <c r="A381" s="29">
        <v>9667</v>
      </c>
      <c r="B381" s="30" t="s">
        <v>46</v>
      </c>
      <c r="C381" s="31" t="str">
        <f>VLOOKUP(B381,BASE!$A:$B,2,0)</f>
        <v>8025 ENGANCHE 191 MATE</v>
      </c>
      <c r="D381" s="35" t="str">
        <f>VLOOKUP(B381,BASE!$A:$D,3,0)</f>
        <v>MATE</v>
      </c>
      <c r="E381" s="32">
        <f>VLOOKUP(B381,BASE!$A:$E,4,0)</f>
        <v>191</v>
      </c>
      <c r="F381" s="32">
        <v>1500</v>
      </c>
      <c r="G381" s="23">
        <f t="shared" si="5"/>
        <v>0.25</v>
      </c>
    </row>
    <row r="382" spans="1:7" ht="20.25" hidden="1" customHeight="1" x14ac:dyDescent="0.25">
      <c r="A382" s="29">
        <v>9668</v>
      </c>
      <c r="B382" s="30" t="s">
        <v>11</v>
      </c>
      <c r="C382" s="31" t="str">
        <f>VLOOKUP(B382,BASE!$A:$B,2,0)</f>
        <v>PERFIL F 463 NEGRO</v>
      </c>
      <c r="D382" s="35" t="str">
        <f>VLOOKUP(B382,BASE!$A:$D,3,0)</f>
        <v>NEGRO</v>
      </c>
      <c r="E382" s="32" t="str">
        <f>VLOOKUP(B382,BASE!$A:$E,4,0)</f>
        <v>F-463</v>
      </c>
      <c r="F382" s="32">
        <v>2200</v>
      </c>
      <c r="G382" s="23">
        <f t="shared" si="5"/>
        <v>0.36666666666666664</v>
      </c>
    </row>
    <row r="383" spans="1:7" ht="20.25" hidden="1" customHeight="1" x14ac:dyDescent="0.25">
      <c r="A383" s="29">
        <v>9669</v>
      </c>
      <c r="B383" s="30" t="s">
        <v>11</v>
      </c>
      <c r="C383" s="31" t="str">
        <f>VLOOKUP(B383,BASE!$A:$B,2,0)</f>
        <v>PERFIL F 463 NEGRO</v>
      </c>
      <c r="D383" s="35" t="str">
        <f>VLOOKUP(B383,BASE!$A:$D,3,0)</f>
        <v>NEGRO</v>
      </c>
      <c r="E383" s="32" t="str">
        <f>VLOOKUP(B383,BASE!$A:$E,4,0)</f>
        <v>F-463</v>
      </c>
      <c r="F383" s="32">
        <v>1900</v>
      </c>
      <c r="G383" s="23">
        <f t="shared" si="5"/>
        <v>0.31666666666666665</v>
      </c>
    </row>
    <row r="384" spans="1:7" ht="20.25" hidden="1" customHeight="1" x14ac:dyDescent="0.25">
      <c r="A384" s="29">
        <v>9671</v>
      </c>
      <c r="B384" s="30" t="s">
        <v>11</v>
      </c>
      <c r="C384" s="31" t="str">
        <f>VLOOKUP(B384,BASE!$A:$B,2,0)</f>
        <v>PERFIL F 463 NEGRO</v>
      </c>
      <c r="D384" s="35" t="str">
        <f>VLOOKUP(B384,BASE!$A:$D,3,0)</f>
        <v>NEGRO</v>
      </c>
      <c r="E384" s="32" t="str">
        <f>VLOOKUP(B384,BASE!$A:$E,4,0)</f>
        <v>F-463</v>
      </c>
      <c r="F384" s="32">
        <v>1600</v>
      </c>
      <c r="G384" s="23">
        <f t="shared" si="5"/>
        <v>0.26666666666666666</v>
      </c>
    </row>
    <row r="385" spans="1:7" ht="20.25" hidden="1" customHeight="1" x14ac:dyDescent="0.25">
      <c r="A385" s="29">
        <v>9675</v>
      </c>
      <c r="B385" s="30" t="s">
        <v>135</v>
      </c>
      <c r="C385" s="31" t="str">
        <f>VLOOKUP(B385,BASE!$A:$B,2,0)</f>
        <v>RIEL OPTIGLASS SENCILLO SL-010 MATE</v>
      </c>
      <c r="D385" s="35" t="str">
        <f>VLOOKUP(B385,BASE!$A:$D,3,0)</f>
        <v>MATE</v>
      </c>
      <c r="E385" s="32" t="str">
        <f>VLOOKUP(B385,BASE!$A:$E,4,0)</f>
        <v>SL-010</v>
      </c>
      <c r="F385" s="32">
        <v>1700</v>
      </c>
      <c r="G385" s="23">
        <f t="shared" si="5"/>
        <v>0.28333333333333333</v>
      </c>
    </row>
    <row r="386" spans="1:7" ht="20.25" hidden="1" customHeight="1" x14ac:dyDescent="0.25">
      <c r="A386" s="29">
        <v>9676</v>
      </c>
      <c r="B386" s="30" t="s">
        <v>53</v>
      </c>
      <c r="C386" s="31" t="str">
        <f>VLOOKUP(B386,BASE!$A:$B,2,0)</f>
        <v>U57 NEGRO</v>
      </c>
      <c r="D386" s="35" t="str">
        <f>VLOOKUP(B386,BASE!$A:$D,3,0)</f>
        <v>NEGRO</v>
      </c>
      <c r="E386" s="32" t="str">
        <f>VLOOKUP(B386,BASE!$A:$E,4,0)</f>
        <v>U-57</v>
      </c>
      <c r="F386" s="32">
        <v>1800</v>
      </c>
      <c r="G386" s="23">
        <f t="shared" si="5"/>
        <v>0.3</v>
      </c>
    </row>
    <row r="387" spans="1:7" ht="20.25" hidden="1" customHeight="1" x14ac:dyDescent="0.25">
      <c r="A387" s="29">
        <v>9679</v>
      </c>
      <c r="B387" s="30" t="s">
        <v>425</v>
      </c>
      <c r="C387" s="31" t="str">
        <f>VLOOKUP(B387,BASE!$A:$B,2,0)</f>
        <v>3831 JAMBA 174 CRUDO</v>
      </c>
      <c r="D387" s="48" t="s">
        <v>1245</v>
      </c>
      <c r="E387" s="32">
        <f>VLOOKUP(B387,BASE!$A:$E,4,0)</f>
        <v>174</v>
      </c>
      <c r="F387" s="32">
        <v>1500</v>
      </c>
      <c r="G387" s="23">
        <f t="shared" si="5"/>
        <v>0.25</v>
      </c>
    </row>
    <row r="388" spans="1:7" ht="20.25" hidden="1" customHeight="1" x14ac:dyDescent="0.25">
      <c r="A388" s="29">
        <v>9684</v>
      </c>
      <c r="B388" s="30" t="s">
        <v>87</v>
      </c>
      <c r="C388" s="31" t="str">
        <f>VLOOKUP(B388,BASE!$A:$B,2,0)</f>
        <v>TUBULAR T-80 GRIS PLATA</v>
      </c>
      <c r="D388" s="35" t="str">
        <f>VLOOKUP(B388,BASE!$A:$D,3,0)</f>
        <v>GRIS PLATA</v>
      </c>
      <c r="E388" s="32" t="str">
        <f>VLOOKUP(B388,BASE!$A:$E,4,0)</f>
        <v>T-80</v>
      </c>
      <c r="F388" s="32">
        <v>1000</v>
      </c>
      <c r="G388" s="23">
        <f t="shared" si="5"/>
        <v>0.16666666666666666</v>
      </c>
    </row>
    <row r="389" spans="1:7" ht="20.25" hidden="1" customHeight="1" x14ac:dyDescent="0.25">
      <c r="A389" s="29">
        <v>9685</v>
      </c>
      <c r="B389" s="30" t="s">
        <v>563</v>
      </c>
      <c r="C389" s="31" t="str">
        <f>VLOOKUP(B389,BASE!$A:$B,2,0)</f>
        <v>TUBULAR 1101 NEGRO</v>
      </c>
      <c r="D389" s="35" t="str">
        <f>VLOOKUP(B389,BASE!$A:$D,3,0)</f>
        <v>NEGRO</v>
      </c>
      <c r="E389" s="32">
        <f>VLOOKUP(B389,BASE!$A:$E,4,0)</f>
        <v>1101</v>
      </c>
      <c r="F389" s="32">
        <v>800</v>
      </c>
      <c r="G389" s="23">
        <f t="shared" si="5"/>
        <v>0.13333333333333333</v>
      </c>
    </row>
    <row r="390" spans="1:7" ht="20.25" hidden="1" customHeight="1" x14ac:dyDescent="0.25">
      <c r="A390" s="29">
        <v>9686</v>
      </c>
      <c r="B390" s="30" t="s">
        <v>34</v>
      </c>
      <c r="C390" s="31" t="str">
        <f>VLOOKUP(B390,BASE!$A:$B,2,0)</f>
        <v>TUBULAR T-244 NEGRO</v>
      </c>
      <c r="D390" s="35" t="str">
        <f>VLOOKUP(B390,BASE!$A:$D,3,0)</f>
        <v>NEGRO</v>
      </c>
      <c r="E390" s="32" t="str">
        <f>VLOOKUP(B390,BASE!$A:$E,4,0)</f>
        <v>T-244</v>
      </c>
      <c r="F390" s="32">
        <v>800</v>
      </c>
      <c r="G390" s="23">
        <f t="shared" si="5"/>
        <v>0.13333333333333333</v>
      </c>
    </row>
    <row r="391" spans="1:7" ht="20.25" hidden="1" customHeight="1" x14ac:dyDescent="0.25">
      <c r="A391" s="29">
        <v>9687</v>
      </c>
      <c r="B391" s="30" t="s">
        <v>58</v>
      </c>
      <c r="C391" s="31" t="str">
        <f>VLOOKUP(B391,BASE!$A:$B,2,0)</f>
        <v>TUBULAR T-70 NEGRO</v>
      </c>
      <c r="D391" s="35" t="str">
        <f>VLOOKUP(B391,BASE!$A:$D,3,0)</f>
        <v>NEGRO</v>
      </c>
      <c r="E391" s="32" t="str">
        <f>VLOOKUP(B391,BASE!$A:$E,4,0)</f>
        <v>T-70</v>
      </c>
      <c r="F391" s="32">
        <v>600</v>
      </c>
      <c r="G391" s="23">
        <f t="shared" ref="G391:G454" si="6">+F391/6000</f>
        <v>0.1</v>
      </c>
    </row>
    <row r="392" spans="1:7" ht="20.25" hidden="1" customHeight="1" x14ac:dyDescent="0.25">
      <c r="A392" s="29">
        <v>9689</v>
      </c>
      <c r="B392" s="30" t="s">
        <v>696</v>
      </c>
      <c r="C392" s="31" t="str">
        <f>VLOOKUP(B392,BASE!$A:$B,2,0)</f>
        <v>8025 HORIZONTAL INFERIOR 157 NEGRO</v>
      </c>
      <c r="D392" s="35" t="str">
        <f>VLOOKUP(B392,BASE!$A:$D,3,0)</f>
        <v>NEGRO</v>
      </c>
      <c r="E392" s="32">
        <f>VLOOKUP(B392,BASE!$A:$E,4,0)</f>
        <v>157</v>
      </c>
      <c r="F392" s="32">
        <v>500</v>
      </c>
      <c r="G392" s="23">
        <f t="shared" si="6"/>
        <v>8.3333333333333329E-2</v>
      </c>
    </row>
    <row r="393" spans="1:7" ht="20.25" hidden="1" customHeight="1" x14ac:dyDescent="0.25">
      <c r="A393" s="29">
        <v>9690</v>
      </c>
      <c r="B393" s="30" t="s">
        <v>696</v>
      </c>
      <c r="C393" s="31" t="str">
        <f>VLOOKUP(B393,BASE!$A:$B,2,0)</f>
        <v>8025 HORIZONTAL INFERIOR 157 NEGRO</v>
      </c>
      <c r="D393" s="35" t="str">
        <f>VLOOKUP(B393,BASE!$A:$D,3,0)</f>
        <v>NEGRO</v>
      </c>
      <c r="E393" s="32">
        <f>VLOOKUP(B393,BASE!$A:$E,4,0)</f>
        <v>157</v>
      </c>
      <c r="F393" s="32">
        <v>700</v>
      </c>
      <c r="G393" s="23">
        <f t="shared" si="6"/>
        <v>0.11666666666666667</v>
      </c>
    </row>
    <row r="394" spans="1:7" ht="20.25" hidden="1" customHeight="1" x14ac:dyDescent="0.25">
      <c r="A394" s="29">
        <v>9691</v>
      </c>
      <c r="B394" s="30" t="s">
        <v>484</v>
      </c>
      <c r="C394" s="31" t="str">
        <f>VLOOKUP(B394,BASE!$A:$B,2,0)</f>
        <v>3831 SILLAR CABEZAL 173 BLANCO</v>
      </c>
      <c r="D394" s="35" t="str">
        <f>VLOOKUP(B394,BASE!$A:$D,3,0)</f>
        <v>BLANCO</v>
      </c>
      <c r="E394" s="32">
        <f>VLOOKUP(B394,BASE!$A:$E,4,0)</f>
        <v>173</v>
      </c>
      <c r="F394" s="32">
        <v>800</v>
      </c>
      <c r="G394" s="23">
        <f t="shared" si="6"/>
        <v>0.13333333333333333</v>
      </c>
    </row>
    <row r="395" spans="1:7" ht="20.25" hidden="1" customHeight="1" x14ac:dyDescent="0.25">
      <c r="A395" s="29">
        <v>9692</v>
      </c>
      <c r="B395" s="30" t="s">
        <v>484</v>
      </c>
      <c r="C395" s="31" t="str">
        <f>VLOOKUP(B395,BASE!$A:$B,2,0)</f>
        <v>3831 SILLAR CABEZAL 173 BLANCO</v>
      </c>
      <c r="D395" s="35" t="str">
        <f>VLOOKUP(B395,BASE!$A:$D,3,0)</f>
        <v>BLANCO</v>
      </c>
      <c r="E395" s="32">
        <f>VLOOKUP(B395,BASE!$A:$E,4,0)</f>
        <v>173</v>
      </c>
      <c r="F395" s="32">
        <v>800</v>
      </c>
      <c r="G395" s="23">
        <f t="shared" si="6"/>
        <v>0.13333333333333333</v>
      </c>
    </row>
    <row r="396" spans="1:7" ht="20.25" hidden="1" customHeight="1" x14ac:dyDescent="0.25">
      <c r="A396" s="29">
        <v>9693</v>
      </c>
      <c r="B396" s="30" t="s">
        <v>484</v>
      </c>
      <c r="C396" s="31" t="str">
        <f>VLOOKUP(B396,BASE!$A:$B,2,0)</f>
        <v>3831 SILLAR CABEZAL 173 BLANCO</v>
      </c>
      <c r="D396" s="35" t="str">
        <f>VLOOKUP(B396,BASE!$A:$D,3,0)</f>
        <v>BLANCO</v>
      </c>
      <c r="E396" s="32">
        <f>VLOOKUP(B396,BASE!$A:$E,4,0)</f>
        <v>173</v>
      </c>
      <c r="F396" s="32">
        <v>800</v>
      </c>
      <c r="G396" s="23">
        <f t="shared" si="6"/>
        <v>0.13333333333333333</v>
      </c>
    </row>
    <row r="397" spans="1:7" ht="20.25" hidden="1" customHeight="1" x14ac:dyDescent="0.25">
      <c r="A397" s="29">
        <v>9695</v>
      </c>
      <c r="B397" s="30" t="s">
        <v>158</v>
      </c>
      <c r="C397" s="31" t="str">
        <f>VLOOKUP(B397,BASE!$A:$B,2,0)</f>
        <v>3831 ADAPTADOR 175 NEGRO</v>
      </c>
      <c r="D397" s="35" t="str">
        <f>VLOOKUP(B397,BASE!$A:$D,3,0)</f>
        <v>NEGRO</v>
      </c>
      <c r="E397" s="32">
        <f>VLOOKUP(B397,BASE!$A:$E,4,0)</f>
        <v>175</v>
      </c>
      <c r="F397" s="32">
        <v>600</v>
      </c>
      <c r="G397" s="23">
        <f t="shared" si="6"/>
        <v>0.1</v>
      </c>
    </row>
    <row r="398" spans="1:7" ht="20.25" hidden="1" customHeight="1" x14ac:dyDescent="0.25">
      <c r="A398" s="29">
        <v>9697</v>
      </c>
      <c r="B398" s="30" t="s">
        <v>127</v>
      </c>
      <c r="C398" s="31" t="str">
        <f>VLOOKUP(B398,BASE!$A:$B,2,0)</f>
        <v>PERFIL F 463 MATE</v>
      </c>
      <c r="D398" s="35" t="str">
        <f>VLOOKUP(B398,BASE!$A:$D,3,0)</f>
        <v>MATE</v>
      </c>
      <c r="E398" s="32" t="str">
        <f>VLOOKUP(B398,BASE!$A:$E,4,0)</f>
        <v>F-463</v>
      </c>
      <c r="F398" s="32">
        <v>500</v>
      </c>
      <c r="G398" s="23">
        <f t="shared" si="6"/>
        <v>8.3333333333333329E-2</v>
      </c>
    </row>
    <row r="399" spans="1:7" ht="20.25" hidden="1" customHeight="1" x14ac:dyDescent="0.25">
      <c r="A399" s="29">
        <v>9698</v>
      </c>
      <c r="B399" s="30" t="s">
        <v>158</v>
      </c>
      <c r="C399" s="31" t="str">
        <f>VLOOKUP(B399,BASE!$A:$B,2,0)</f>
        <v>3831 ADAPTADOR 175 NEGRO</v>
      </c>
      <c r="D399" s="35" t="str">
        <f>VLOOKUP(B399,BASE!$A:$D,3,0)</f>
        <v>NEGRO</v>
      </c>
      <c r="E399" s="32">
        <f>VLOOKUP(B399,BASE!$A:$E,4,0)</f>
        <v>175</v>
      </c>
      <c r="F399" s="32">
        <v>500</v>
      </c>
      <c r="G399" s="23">
        <f t="shared" si="6"/>
        <v>8.3333333333333329E-2</v>
      </c>
    </row>
    <row r="400" spans="1:7" ht="20.25" hidden="1" customHeight="1" x14ac:dyDescent="0.25">
      <c r="A400" s="29">
        <v>9700</v>
      </c>
      <c r="B400" s="30" t="s">
        <v>105</v>
      </c>
      <c r="C400" s="31" t="str">
        <f>VLOOKUP(B400,BASE!$A:$B,2,0)</f>
        <v>3831 PISAVIDRIO 177 BRONCE</v>
      </c>
      <c r="D400" s="35" t="str">
        <f>VLOOKUP(B400,BASE!$A:$D,3,0)</f>
        <v>BRONCE</v>
      </c>
      <c r="E400" s="32">
        <f>VLOOKUP(B400,BASE!$A:$E,4,0)</f>
        <v>177</v>
      </c>
      <c r="F400" s="32">
        <v>600</v>
      </c>
      <c r="G400" s="23">
        <f t="shared" si="6"/>
        <v>0.1</v>
      </c>
    </row>
    <row r="401" spans="1:7" ht="20.25" hidden="1" customHeight="1" x14ac:dyDescent="0.25">
      <c r="A401" s="29">
        <v>9708</v>
      </c>
      <c r="B401" s="30" t="s">
        <v>80</v>
      </c>
      <c r="C401" s="31" t="str">
        <f>VLOOKUP(B401,BASE!$A:$B,2,0)</f>
        <v>ANGULO A-01 BRONCE (1/2*1/2)</v>
      </c>
      <c r="D401" s="35" t="str">
        <f>VLOOKUP(B401,BASE!$A:$D,3,0)</f>
        <v>BRONCE</v>
      </c>
      <c r="E401" s="32" t="str">
        <f>VLOOKUP(B401,BASE!$A:$E,4,0)</f>
        <v>A-01</v>
      </c>
      <c r="F401" s="32">
        <v>1400</v>
      </c>
      <c r="G401" s="23">
        <f t="shared" si="6"/>
        <v>0.23333333333333334</v>
      </c>
    </row>
    <row r="402" spans="1:7" ht="20.25" hidden="1" customHeight="1" x14ac:dyDescent="0.25">
      <c r="A402" s="29">
        <v>9710</v>
      </c>
      <c r="B402" s="30" t="s">
        <v>11</v>
      </c>
      <c r="C402" s="31" t="str">
        <f>VLOOKUP(B402,BASE!$A:$B,2,0)</f>
        <v>PERFIL F 463 NEGRO</v>
      </c>
      <c r="D402" s="35" t="str">
        <f>VLOOKUP(B402,BASE!$A:$D,3,0)</f>
        <v>NEGRO</v>
      </c>
      <c r="E402" s="32" t="str">
        <f>VLOOKUP(B402,BASE!$A:$E,4,0)</f>
        <v>F-463</v>
      </c>
      <c r="F402" s="32">
        <v>6000</v>
      </c>
      <c r="G402" s="23">
        <f t="shared" si="6"/>
        <v>1</v>
      </c>
    </row>
    <row r="403" spans="1:7" ht="20.25" hidden="1" customHeight="1" x14ac:dyDescent="0.25">
      <c r="A403" s="29">
        <v>9711</v>
      </c>
      <c r="B403" s="30" t="s">
        <v>11</v>
      </c>
      <c r="C403" s="31" t="str">
        <f>VLOOKUP(B403,BASE!$A:$B,2,0)</f>
        <v>PERFIL F 463 NEGRO</v>
      </c>
      <c r="D403" s="35" t="str">
        <f>VLOOKUP(B403,BASE!$A:$D,3,0)</f>
        <v>NEGRO</v>
      </c>
      <c r="E403" s="32" t="str">
        <f>VLOOKUP(B403,BASE!$A:$E,4,0)</f>
        <v>F-463</v>
      </c>
      <c r="F403" s="32">
        <v>6000</v>
      </c>
      <c r="G403" s="23">
        <f t="shared" si="6"/>
        <v>1</v>
      </c>
    </row>
    <row r="404" spans="1:7" ht="20.25" hidden="1" customHeight="1" x14ac:dyDescent="0.25">
      <c r="A404" s="29">
        <v>9712</v>
      </c>
      <c r="B404" s="30" t="s">
        <v>425</v>
      </c>
      <c r="C404" s="31" t="str">
        <f>VLOOKUP(B404,BASE!$A:$B,2,0)</f>
        <v>3831 JAMBA 174 CRUDO</v>
      </c>
      <c r="D404" s="48" t="s">
        <v>1245</v>
      </c>
      <c r="E404" s="32">
        <f>VLOOKUP(B404,BASE!$A:$E,4,0)</f>
        <v>174</v>
      </c>
      <c r="F404" s="32">
        <v>6000</v>
      </c>
      <c r="G404" s="23">
        <f t="shared" si="6"/>
        <v>1</v>
      </c>
    </row>
    <row r="405" spans="1:7" ht="20.25" hidden="1" customHeight="1" x14ac:dyDescent="0.25">
      <c r="A405" s="29">
        <v>9713</v>
      </c>
      <c r="B405" s="30" t="s">
        <v>425</v>
      </c>
      <c r="C405" s="31" t="str">
        <f>VLOOKUP(B405,BASE!$A:$B,2,0)</f>
        <v>3831 JAMBA 174 CRUDO</v>
      </c>
      <c r="D405" s="48" t="s">
        <v>1245</v>
      </c>
      <c r="E405" s="32">
        <f>VLOOKUP(B405,BASE!$A:$E,4,0)</f>
        <v>174</v>
      </c>
      <c r="F405" s="32">
        <v>6000</v>
      </c>
      <c r="G405" s="23">
        <f t="shared" si="6"/>
        <v>1</v>
      </c>
    </row>
    <row r="406" spans="1:7" ht="20.25" hidden="1" customHeight="1" x14ac:dyDescent="0.25">
      <c r="A406" s="29">
        <v>9714</v>
      </c>
      <c r="B406" s="30" t="s">
        <v>131</v>
      </c>
      <c r="C406" s="31" t="str">
        <f>VLOOKUP(B406,BASE!$A:$B,2,0)</f>
        <v>3831 PISAVIDRIO 177 BLANCO</v>
      </c>
      <c r="D406" s="35" t="str">
        <f>VLOOKUP(B406,BASE!$A:$D,3,0)</f>
        <v>BLANCO</v>
      </c>
      <c r="E406" s="32">
        <f>VLOOKUP(B406,BASE!$A:$E,4,0)</f>
        <v>177</v>
      </c>
      <c r="F406" s="32">
        <v>6000</v>
      </c>
      <c r="G406" s="23">
        <f t="shared" si="6"/>
        <v>1</v>
      </c>
    </row>
    <row r="407" spans="1:7" ht="20.25" hidden="1" customHeight="1" x14ac:dyDescent="0.25">
      <c r="A407" s="29">
        <v>9715</v>
      </c>
      <c r="B407" s="30" t="s">
        <v>131</v>
      </c>
      <c r="C407" s="31" t="str">
        <f>VLOOKUP(B407,BASE!$A:$B,2,0)</f>
        <v>3831 PISAVIDRIO 177 BLANCO</v>
      </c>
      <c r="D407" s="35" t="str">
        <f>VLOOKUP(B407,BASE!$A:$D,3,0)</f>
        <v>BLANCO</v>
      </c>
      <c r="E407" s="32">
        <f>VLOOKUP(B407,BASE!$A:$E,4,0)</f>
        <v>177</v>
      </c>
      <c r="F407" s="32">
        <v>6000</v>
      </c>
      <c r="G407" s="23">
        <f t="shared" si="6"/>
        <v>1</v>
      </c>
    </row>
    <row r="408" spans="1:7" ht="20.25" hidden="1" customHeight="1" x14ac:dyDescent="0.25">
      <c r="A408" s="29">
        <v>9716</v>
      </c>
      <c r="B408" s="30" t="s">
        <v>131</v>
      </c>
      <c r="C408" s="31" t="str">
        <f>VLOOKUP(B408,BASE!$A:$B,2,0)</f>
        <v>3831 PISAVIDRIO 177 BLANCO</v>
      </c>
      <c r="D408" s="35" t="str">
        <f>VLOOKUP(B408,BASE!$A:$D,3,0)</f>
        <v>BLANCO</v>
      </c>
      <c r="E408" s="32">
        <f>VLOOKUP(B408,BASE!$A:$E,4,0)</f>
        <v>177</v>
      </c>
      <c r="F408" s="32">
        <v>6000</v>
      </c>
      <c r="G408" s="23">
        <f t="shared" si="6"/>
        <v>1</v>
      </c>
    </row>
    <row r="409" spans="1:7" ht="20.25" hidden="1" customHeight="1" x14ac:dyDescent="0.25">
      <c r="A409" s="29">
        <v>9725</v>
      </c>
      <c r="B409" s="30" t="s">
        <v>639</v>
      </c>
      <c r="C409" s="31" t="str">
        <f>VLOOKUP(B409,BASE!$A:$B,2,0)</f>
        <v>FALSA RETICULA 511 NEGRA</v>
      </c>
      <c r="D409" s="35" t="str">
        <f>VLOOKUP(B409,BASE!$A:$D,3,0)</f>
        <v>NEGRO</v>
      </c>
      <c r="E409" s="32">
        <f>VLOOKUP(B409,BASE!$A:$E,4,0)</f>
        <v>511</v>
      </c>
      <c r="F409" s="32">
        <v>6000</v>
      </c>
      <c r="G409" s="23">
        <f t="shared" si="6"/>
        <v>1</v>
      </c>
    </row>
    <row r="410" spans="1:7" ht="20.25" hidden="1" customHeight="1" x14ac:dyDescent="0.25">
      <c r="A410" s="29">
        <v>9737</v>
      </c>
      <c r="B410" s="30" t="s">
        <v>570</v>
      </c>
      <c r="C410" s="31" t="str">
        <f>VLOOKUP(B410,BASE!$A:$B,2,0)</f>
        <v>U32 NEGRA</v>
      </c>
      <c r="D410" s="35" t="str">
        <f>VLOOKUP(B410,BASE!$A:$D,3,0)</f>
        <v>NEGRO</v>
      </c>
      <c r="E410" s="32" t="str">
        <f>VLOOKUP(B410,BASE!$A:$E,4,0)</f>
        <v>U-32</v>
      </c>
      <c r="F410" s="32">
        <v>3100</v>
      </c>
      <c r="G410" s="23">
        <f t="shared" si="6"/>
        <v>0.51666666666666672</v>
      </c>
    </row>
    <row r="411" spans="1:7" ht="20.25" hidden="1" customHeight="1" x14ac:dyDescent="0.25">
      <c r="A411" s="29">
        <v>9738</v>
      </c>
      <c r="B411" s="30" t="s">
        <v>45</v>
      </c>
      <c r="C411" s="31" t="str">
        <f>VLOOKUP(B411,BASE!$A:$B,2,0)</f>
        <v>7038 CABEZAL 700 NEGRO</v>
      </c>
      <c r="D411" s="35" t="str">
        <f>VLOOKUP(B411,BASE!$A:$D,3,0)</f>
        <v>NEGRO</v>
      </c>
      <c r="E411" s="32">
        <f>VLOOKUP(B411,BASE!$A:$E,4,0)</f>
        <v>700</v>
      </c>
      <c r="F411" s="32">
        <v>3100</v>
      </c>
      <c r="G411" s="23">
        <f t="shared" si="6"/>
        <v>0.51666666666666672</v>
      </c>
    </row>
    <row r="412" spans="1:7" ht="20.25" hidden="1" customHeight="1" x14ac:dyDescent="0.25">
      <c r="A412" s="29">
        <v>9739</v>
      </c>
      <c r="B412" s="30" t="s">
        <v>44</v>
      </c>
      <c r="C412" s="31" t="str">
        <f>VLOOKUP(B412,BASE!$A:$B,2,0)</f>
        <v>7038 SILLAR 701 NEGRO</v>
      </c>
      <c r="D412" s="35" t="str">
        <f>VLOOKUP(B412,BASE!$A:$D,3,0)</f>
        <v>NEGRO</v>
      </c>
      <c r="E412" s="32">
        <f>VLOOKUP(B412,BASE!$A:$E,4,0)</f>
        <v>701</v>
      </c>
      <c r="F412" s="32">
        <v>3100</v>
      </c>
      <c r="G412" s="23">
        <f t="shared" si="6"/>
        <v>0.51666666666666672</v>
      </c>
    </row>
    <row r="413" spans="1:7" ht="20.25" hidden="1" customHeight="1" x14ac:dyDescent="0.25">
      <c r="A413" s="29">
        <v>9740</v>
      </c>
      <c r="B413" s="30" t="s">
        <v>133</v>
      </c>
      <c r="C413" s="31" t="str">
        <f>VLOOKUP(B413,BASE!$A:$B,2,0)</f>
        <v>7038 ENGANCHE 705 NEGRO</v>
      </c>
      <c r="D413" s="35" t="str">
        <f>VLOOKUP(B413,BASE!$A:$D,3,0)</f>
        <v>NEGRO</v>
      </c>
      <c r="E413" s="32">
        <f>VLOOKUP(B413,BASE!$A:$E,4,0)</f>
        <v>705</v>
      </c>
      <c r="F413" s="32">
        <v>3600</v>
      </c>
      <c r="G413" s="23">
        <f t="shared" si="6"/>
        <v>0.6</v>
      </c>
    </row>
    <row r="414" spans="1:7" ht="20.25" hidden="1" customHeight="1" x14ac:dyDescent="0.25">
      <c r="A414" s="29">
        <v>9741</v>
      </c>
      <c r="B414" s="30" t="s">
        <v>50</v>
      </c>
      <c r="C414" s="31" t="str">
        <f>VLOOKUP(B414,BASE!$A:$B,2,0)</f>
        <v>7038 HORIZONTAL 703 NEGRO</v>
      </c>
      <c r="D414" s="35" t="str">
        <f>VLOOKUP(B414,BASE!$A:$D,3,0)</f>
        <v>NEGRO</v>
      </c>
      <c r="E414" s="32">
        <f>VLOOKUP(B414,BASE!$A:$E,4,0)</f>
        <v>703</v>
      </c>
      <c r="F414" s="32">
        <v>3300</v>
      </c>
      <c r="G414" s="23">
        <f t="shared" si="6"/>
        <v>0.55000000000000004</v>
      </c>
    </row>
    <row r="415" spans="1:7" ht="20.25" hidden="1" customHeight="1" x14ac:dyDescent="0.25">
      <c r="A415" s="29">
        <v>9743</v>
      </c>
      <c r="B415" s="30" t="s">
        <v>727</v>
      </c>
      <c r="C415" s="31" t="str">
        <f>VLOOKUP(B415,BASE!$A:$B,2,0)</f>
        <v>RIEL OPTIGLASS DOBLE SL-011 NEGRO</v>
      </c>
      <c r="D415" s="35" t="str">
        <f>VLOOKUP(B415,BASE!$A:$D,3,0)</f>
        <v>NEGRO</v>
      </c>
      <c r="E415" s="32" t="str">
        <f>VLOOKUP(B415,BASE!$A:$E,4,0)</f>
        <v>SL-011</v>
      </c>
      <c r="F415" s="32">
        <v>3700</v>
      </c>
      <c r="G415" s="23">
        <f t="shared" si="6"/>
        <v>0.6166666666666667</v>
      </c>
    </row>
    <row r="416" spans="1:7" ht="20.25" hidden="1" customHeight="1" x14ac:dyDescent="0.25">
      <c r="A416" s="29">
        <v>9744</v>
      </c>
      <c r="B416" s="30" t="s">
        <v>938</v>
      </c>
      <c r="C416" s="31" t="str">
        <f>VLOOKUP(B416,BASE!$A:$B,2,0)</f>
        <v>MARCO VENTANA K40 MATE</v>
      </c>
      <c r="D416" s="35" t="str">
        <f>VLOOKUP(B416,BASE!$A:$D,3,0)</f>
        <v>MATE</v>
      </c>
      <c r="E416" s="32">
        <f>VLOOKUP(B416,BASE!$A:$E,4,0)</f>
        <v>40</v>
      </c>
      <c r="F416" s="32">
        <v>4300</v>
      </c>
      <c r="G416" s="23">
        <f t="shared" si="6"/>
        <v>0.71666666666666667</v>
      </c>
    </row>
    <row r="417" spans="1:7" ht="20.25" hidden="1" customHeight="1" x14ac:dyDescent="0.25">
      <c r="A417" s="29">
        <v>9750</v>
      </c>
      <c r="B417" s="30" t="s">
        <v>377</v>
      </c>
      <c r="C417" s="31" t="str">
        <f>VLOOKUP(B417,BASE!$A:$B,2,0)</f>
        <v>8025 ENGANCHE 191 NEGRO</v>
      </c>
      <c r="D417" s="35" t="str">
        <f>VLOOKUP(B417,BASE!$A:$D,3,0)</f>
        <v>NEGRO</v>
      </c>
      <c r="E417" s="32">
        <f>VLOOKUP(B417,BASE!$A:$E,4,0)</f>
        <v>191</v>
      </c>
      <c r="F417" s="32">
        <v>1600</v>
      </c>
      <c r="G417" s="23">
        <f t="shared" si="6"/>
        <v>0.26666666666666666</v>
      </c>
    </row>
    <row r="418" spans="1:7" ht="20.25" hidden="1" customHeight="1" x14ac:dyDescent="0.25">
      <c r="A418" s="29">
        <v>9751</v>
      </c>
      <c r="B418" s="30" t="s">
        <v>377</v>
      </c>
      <c r="C418" s="31" t="str">
        <f>VLOOKUP(B418,BASE!$A:$B,2,0)</f>
        <v>8025 ENGANCHE 191 NEGRO</v>
      </c>
      <c r="D418" s="35" t="str">
        <f>VLOOKUP(B418,BASE!$A:$D,3,0)</f>
        <v>NEGRO</v>
      </c>
      <c r="E418" s="32">
        <f>VLOOKUP(B418,BASE!$A:$E,4,0)</f>
        <v>191</v>
      </c>
      <c r="F418" s="32">
        <v>1600</v>
      </c>
      <c r="G418" s="23">
        <f t="shared" si="6"/>
        <v>0.26666666666666666</v>
      </c>
    </row>
    <row r="419" spans="1:7" ht="20.25" hidden="1" customHeight="1" x14ac:dyDescent="0.25">
      <c r="A419" s="29">
        <v>9752</v>
      </c>
      <c r="B419" s="30" t="s">
        <v>137</v>
      </c>
      <c r="C419" s="31" t="str">
        <f>VLOOKUP(B419,BASE!$A:$B,2,0)</f>
        <v>8025 TRASLAPE 190 NEGRO</v>
      </c>
      <c r="D419" s="35" t="str">
        <f>VLOOKUP(B419,BASE!$A:$D,3,0)</f>
        <v>NEGRO</v>
      </c>
      <c r="E419" s="32">
        <f>VLOOKUP(B419,BASE!$A:$E,4,0)</f>
        <v>190</v>
      </c>
      <c r="F419" s="32">
        <v>1600</v>
      </c>
      <c r="G419" s="23">
        <f t="shared" si="6"/>
        <v>0.26666666666666666</v>
      </c>
    </row>
    <row r="420" spans="1:7" ht="20.25" hidden="1" customHeight="1" x14ac:dyDescent="0.25">
      <c r="A420" s="29">
        <v>9753</v>
      </c>
      <c r="B420" s="30" t="s">
        <v>137</v>
      </c>
      <c r="C420" s="31" t="str">
        <f>VLOOKUP(B420,BASE!$A:$B,2,0)</f>
        <v>8025 TRASLAPE 190 NEGRO</v>
      </c>
      <c r="D420" s="35" t="str">
        <f>VLOOKUP(B420,BASE!$A:$D,3,0)</f>
        <v>NEGRO</v>
      </c>
      <c r="E420" s="32">
        <f>VLOOKUP(B420,BASE!$A:$E,4,0)</f>
        <v>190</v>
      </c>
      <c r="F420" s="32">
        <v>1600</v>
      </c>
      <c r="G420" s="23">
        <f t="shared" si="6"/>
        <v>0.26666666666666666</v>
      </c>
    </row>
    <row r="421" spans="1:7" ht="20.25" hidden="1" customHeight="1" x14ac:dyDescent="0.25">
      <c r="A421" s="29">
        <v>9754</v>
      </c>
      <c r="B421" s="30" t="s">
        <v>128</v>
      </c>
      <c r="C421" s="31" t="str">
        <f>VLOOKUP(B421,BASE!$A:$B,2,0)</f>
        <v>8025 ADAPTADOR 158 NEGRO</v>
      </c>
      <c r="D421" s="35" t="str">
        <f>VLOOKUP(B421,BASE!$A:$D,3,0)</f>
        <v>NEGRO</v>
      </c>
      <c r="E421" s="32">
        <f>VLOOKUP(B421,BASE!$A:$E,4,0)</f>
        <v>158</v>
      </c>
      <c r="F421" s="32">
        <v>1800</v>
      </c>
      <c r="G421" s="23">
        <f t="shared" si="6"/>
        <v>0.3</v>
      </c>
    </row>
    <row r="422" spans="1:7" ht="20.25" hidden="1" customHeight="1" x14ac:dyDescent="0.25">
      <c r="A422" s="29">
        <v>9755</v>
      </c>
      <c r="B422" s="30" t="s">
        <v>58</v>
      </c>
      <c r="C422" s="31" t="str">
        <f>VLOOKUP(B422,BASE!$A:$B,2,0)</f>
        <v>TUBULAR T-70 NEGRO</v>
      </c>
      <c r="D422" s="35" t="str">
        <f>VLOOKUP(B422,BASE!$A:$D,3,0)</f>
        <v>NEGRO</v>
      </c>
      <c r="E422" s="32" t="str">
        <f>VLOOKUP(B422,BASE!$A:$E,4,0)</f>
        <v>T-70</v>
      </c>
      <c r="F422" s="32">
        <v>1500</v>
      </c>
      <c r="G422" s="23">
        <f t="shared" si="6"/>
        <v>0.25</v>
      </c>
    </row>
    <row r="423" spans="1:7" ht="20.25" hidden="1" customHeight="1" x14ac:dyDescent="0.25">
      <c r="A423" s="29">
        <v>9756</v>
      </c>
      <c r="B423" s="30" t="s">
        <v>58</v>
      </c>
      <c r="C423" s="31" t="str">
        <f>VLOOKUP(B423,BASE!$A:$B,2,0)</f>
        <v>TUBULAR T-70 NEGRO</v>
      </c>
      <c r="D423" s="35" t="str">
        <f>VLOOKUP(B423,BASE!$A:$D,3,0)</f>
        <v>NEGRO</v>
      </c>
      <c r="E423" s="32" t="str">
        <f>VLOOKUP(B423,BASE!$A:$E,4,0)</f>
        <v>T-70</v>
      </c>
      <c r="F423" s="32">
        <v>1500</v>
      </c>
      <c r="G423" s="23">
        <f t="shared" si="6"/>
        <v>0.25</v>
      </c>
    </row>
    <row r="424" spans="1:7" ht="20.25" hidden="1" customHeight="1" x14ac:dyDescent="0.25">
      <c r="A424" s="29">
        <v>9757</v>
      </c>
      <c r="B424" s="30" t="s">
        <v>125</v>
      </c>
      <c r="C424" s="31" t="str">
        <f>VLOOKUP(B424,BASE!$A:$B,2,0)</f>
        <v>3831 DIVISOR 292 NEGRO</v>
      </c>
      <c r="D424" s="35" t="str">
        <f>VLOOKUP(B424,BASE!$A:$D,3,0)</f>
        <v>NEGRO</v>
      </c>
      <c r="E424" s="32">
        <f>VLOOKUP(B424,BASE!$A:$E,4,0)</f>
        <v>292</v>
      </c>
      <c r="F424" s="32">
        <v>1900</v>
      </c>
      <c r="G424" s="23">
        <f t="shared" si="6"/>
        <v>0.31666666666666665</v>
      </c>
    </row>
    <row r="425" spans="1:7" ht="20.25" hidden="1" customHeight="1" x14ac:dyDescent="0.25">
      <c r="A425" s="29">
        <v>9758</v>
      </c>
      <c r="B425" s="30" t="s">
        <v>15</v>
      </c>
      <c r="C425" s="31" t="str">
        <f>VLOOKUP(B425,BASE!$A:$B,2,0)</f>
        <v>TUBULAR T-95 NEGRO</v>
      </c>
      <c r="D425" s="35" t="str">
        <f>VLOOKUP(B425,BASE!$A:$D,3,0)</f>
        <v>NEGRO</v>
      </c>
      <c r="E425" s="32" t="str">
        <f>VLOOKUP(B425,BASE!$A:$E,4,0)</f>
        <v>T-95</v>
      </c>
      <c r="F425" s="32">
        <v>1700</v>
      </c>
      <c r="G425" s="23">
        <f t="shared" si="6"/>
        <v>0.28333333333333333</v>
      </c>
    </row>
    <row r="426" spans="1:7" ht="20.25" hidden="1" customHeight="1" x14ac:dyDescent="0.25">
      <c r="A426" s="29">
        <v>9764</v>
      </c>
      <c r="B426" s="30" t="s">
        <v>576</v>
      </c>
      <c r="C426" s="31" t="str">
        <f>VLOOKUP(B426,BASE!$A:$B,2,0)</f>
        <v>U57 MATE</v>
      </c>
      <c r="D426" s="35" t="str">
        <f>VLOOKUP(B426,BASE!$A:$D,3,0)</f>
        <v>MATE</v>
      </c>
      <c r="E426" s="32" t="str">
        <f>VLOOKUP(B426,BASE!$A:$E,4,0)</f>
        <v>U-57</v>
      </c>
      <c r="F426" s="32">
        <v>1700</v>
      </c>
      <c r="G426" s="23">
        <f t="shared" si="6"/>
        <v>0.28333333333333333</v>
      </c>
    </row>
    <row r="427" spans="1:7" ht="20.25" hidden="1" customHeight="1" x14ac:dyDescent="0.25">
      <c r="A427" s="29">
        <v>9771</v>
      </c>
      <c r="B427" s="30" t="s">
        <v>560</v>
      </c>
      <c r="C427" s="31" t="str">
        <f>VLOOKUP(B427,BASE!$A:$B,2,0)</f>
        <v>TUBULAR T-97 BRONCE</v>
      </c>
      <c r="D427" s="35" t="str">
        <f>VLOOKUP(B427,BASE!$A:$D,3,0)</f>
        <v>BRONCE</v>
      </c>
      <c r="E427" s="32" t="str">
        <f>VLOOKUP(B427,BASE!$A:$E,4,0)</f>
        <v>T-97</v>
      </c>
      <c r="F427" s="32">
        <v>1200</v>
      </c>
      <c r="G427" s="23">
        <f t="shared" si="6"/>
        <v>0.2</v>
      </c>
    </row>
    <row r="428" spans="1:7" ht="20.25" hidden="1" customHeight="1" x14ac:dyDescent="0.25">
      <c r="A428" s="29">
        <v>9772</v>
      </c>
      <c r="B428" s="30" t="s">
        <v>20</v>
      </c>
      <c r="C428" s="31" t="str">
        <f>VLOOKUP(B428,BASE!$A:$B,2,0)</f>
        <v>ALFAJIA 413 MATE</v>
      </c>
      <c r="D428" s="35" t="str">
        <f>VLOOKUP(B428,BASE!$A:$D,3,0)</f>
        <v>MATE</v>
      </c>
      <c r="E428" s="32">
        <f>VLOOKUP(B428,BASE!$A:$E,4,0)</f>
        <v>413</v>
      </c>
      <c r="F428" s="32">
        <v>1100</v>
      </c>
      <c r="G428" s="23">
        <f t="shared" si="6"/>
        <v>0.18333333333333332</v>
      </c>
    </row>
    <row r="429" spans="1:7" ht="20.25" hidden="1" customHeight="1" x14ac:dyDescent="0.25">
      <c r="A429" s="29">
        <v>9773</v>
      </c>
      <c r="B429" s="30" t="s">
        <v>508</v>
      </c>
      <c r="C429" s="31" t="str">
        <f>VLOOKUP(B429,BASE!$A:$B,2,0)</f>
        <v>TAPALUZ PT08 MATE</v>
      </c>
      <c r="D429" s="35" t="str">
        <f>VLOOKUP(B429,BASE!$A:$D,3,0)</f>
        <v>MATE</v>
      </c>
      <c r="E429" s="32" t="str">
        <f>VLOOKUP(B429,BASE!$A:$E,4,0)</f>
        <v>PT-08</v>
      </c>
      <c r="F429" s="32">
        <v>1600</v>
      </c>
      <c r="G429" s="23">
        <f t="shared" si="6"/>
        <v>0.26666666666666666</v>
      </c>
    </row>
    <row r="430" spans="1:7" ht="20.25" hidden="1" customHeight="1" x14ac:dyDescent="0.25">
      <c r="A430" s="29">
        <v>9774</v>
      </c>
      <c r="B430" s="30" t="s">
        <v>34</v>
      </c>
      <c r="C430" s="31" t="str">
        <f>VLOOKUP(B430,BASE!$A:$B,2,0)</f>
        <v>TUBULAR T-244 NEGRO</v>
      </c>
      <c r="D430" s="35" t="str">
        <f>VLOOKUP(B430,BASE!$A:$D,3,0)</f>
        <v>NEGRO</v>
      </c>
      <c r="E430" s="32" t="str">
        <f>VLOOKUP(B430,BASE!$A:$E,4,0)</f>
        <v>T-244</v>
      </c>
      <c r="F430" s="32">
        <v>900</v>
      </c>
      <c r="G430" s="23">
        <f t="shared" si="6"/>
        <v>0.15</v>
      </c>
    </row>
    <row r="431" spans="1:7" ht="20.25" hidden="1" customHeight="1" x14ac:dyDescent="0.25">
      <c r="A431" s="29">
        <v>9775</v>
      </c>
      <c r="B431" s="30" t="s">
        <v>84</v>
      </c>
      <c r="C431" s="31" t="str">
        <f>VLOOKUP(B431,BASE!$A:$B,2,0)</f>
        <v>TUBULAR 1101 MATE</v>
      </c>
      <c r="D431" s="35" t="str">
        <f>VLOOKUP(B431,BASE!$A:$D,3,0)</f>
        <v>MATE</v>
      </c>
      <c r="E431" s="32">
        <f>VLOOKUP(B431,BASE!$A:$E,4,0)</f>
        <v>1101</v>
      </c>
      <c r="F431" s="32">
        <v>800</v>
      </c>
      <c r="G431" s="23">
        <f t="shared" si="6"/>
        <v>0.13333333333333333</v>
      </c>
    </row>
    <row r="432" spans="1:7" ht="20.25" hidden="1" customHeight="1" x14ac:dyDescent="0.25">
      <c r="A432" s="29">
        <v>9776</v>
      </c>
      <c r="B432" s="30" t="s">
        <v>84</v>
      </c>
      <c r="C432" s="31" t="str">
        <f>VLOOKUP(B432,BASE!$A:$B,2,0)</f>
        <v>TUBULAR 1101 MATE</v>
      </c>
      <c r="D432" s="35" t="str">
        <f>VLOOKUP(B432,BASE!$A:$D,3,0)</f>
        <v>MATE</v>
      </c>
      <c r="E432" s="32">
        <f>VLOOKUP(B432,BASE!$A:$E,4,0)</f>
        <v>1101</v>
      </c>
      <c r="F432" s="32">
        <v>800</v>
      </c>
      <c r="G432" s="23">
        <f t="shared" si="6"/>
        <v>0.13333333333333333</v>
      </c>
    </row>
    <row r="433" spans="1:7" ht="20.25" hidden="1" customHeight="1" x14ac:dyDescent="0.25">
      <c r="A433" s="29">
        <v>9777</v>
      </c>
      <c r="B433" s="30" t="s">
        <v>84</v>
      </c>
      <c r="C433" s="31" t="str">
        <f>VLOOKUP(B433,BASE!$A:$B,2,0)</f>
        <v>TUBULAR 1101 MATE</v>
      </c>
      <c r="D433" s="35" t="str">
        <f>VLOOKUP(B433,BASE!$A:$D,3,0)</f>
        <v>MATE</v>
      </c>
      <c r="E433" s="32">
        <f>VLOOKUP(B433,BASE!$A:$E,4,0)</f>
        <v>1101</v>
      </c>
      <c r="F433" s="32">
        <v>800</v>
      </c>
      <c r="G433" s="23">
        <f t="shared" si="6"/>
        <v>0.13333333333333333</v>
      </c>
    </row>
    <row r="434" spans="1:7" ht="20.25" hidden="1" customHeight="1" x14ac:dyDescent="0.25">
      <c r="A434" s="29">
        <v>9778</v>
      </c>
      <c r="B434" s="30" t="s">
        <v>123</v>
      </c>
      <c r="C434" s="31" t="str">
        <f>VLOOKUP(B434,BASE!$A:$B,2,0)</f>
        <v>3831 SILLAR CABEZAL 173 NEGRO</v>
      </c>
      <c r="D434" s="35" t="str">
        <f>VLOOKUP(B434,BASE!$A:$D,3,0)</f>
        <v>NEGRO</v>
      </c>
      <c r="E434" s="32">
        <f>VLOOKUP(B434,BASE!$A:$E,4,0)</f>
        <v>173</v>
      </c>
      <c r="F434" s="32">
        <v>700</v>
      </c>
      <c r="G434" s="23">
        <f t="shared" si="6"/>
        <v>0.11666666666666667</v>
      </c>
    </row>
    <row r="435" spans="1:7" ht="20.25" hidden="1" customHeight="1" x14ac:dyDescent="0.25">
      <c r="A435" s="29">
        <v>9780</v>
      </c>
      <c r="B435" s="30" t="s">
        <v>484</v>
      </c>
      <c r="C435" s="31" t="str">
        <f>VLOOKUP(B435,BASE!$A:$B,2,0)</f>
        <v>3831 SILLAR CABEZAL 173 BLANCO</v>
      </c>
      <c r="D435" s="35" t="str">
        <f>VLOOKUP(B435,BASE!$A:$D,3,0)</f>
        <v>BLANCO</v>
      </c>
      <c r="E435" s="32">
        <f>VLOOKUP(B435,BASE!$A:$E,4,0)</f>
        <v>173</v>
      </c>
      <c r="F435" s="32">
        <v>600</v>
      </c>
      <c r="G435" s="23">
        <f t="shared" si="6"/>
        <v>0.1</v>
      </c>
    </row>
    <row r="436" spans="1:7" ht="20.25" hidden="1" customHeight="1" x14ac:dyDescent="0.25">
      <c r="A436" s="29">
        <v>9781</v>
      </c>
      <c r="B436" s="30" t="s">
        <v>484</v>
      </c>
      <c r="C436" s="31" t="str">
        <f>VLOOKUP(B436,BASE!$A:$B,2,0)</f>
        <v>3831 SILLAR CABEZAL 173 BLANCO</v>
      </c>
      <c r="D436" s="35" t="str">
        <f>VLOOKUP(B436,BASE!$A:$D,3,0)</f>
        <v>BLANCO</v>
      </c>
      <c r="E436" s="32">
        <f>VLOOKUP(B436,BASE!$A:$E,4,0)</f>
        <v>173</v>
      </c>
      <c r="F436" s="32">
        <v>600</v>
      </c>
      <c r="G436" s="23">
        <f t="shared" si="6"/>
        <v>0.1</v>
      </c>
    </row>
    <row r="437" spans="1:7" ht="20.25" hidden="1" customHeight="1" x14ac:dyDescent="0.25">
      <c r="A437" s="29">
        <v>9782</v>
      </c>
      <c r="B437" s="30" t="s">
        <v>484</v>
      </c>
      <c r="C437" s="31" t="str">
        <f>VLOOKUP(B437,BASE!$A:$B,2,0)</f>
        <v>3831 SILLAR CABEZAL 173 BLANCO</v>
      </c>
      <c r="D437" s="35" t="str">
        <f>VLOOKUP(B437,BASE!$A:$D,3,0)</f>
        <v>BLANCO</v>
      </c>
      <c r="E437" s="32">
        <f>VLOOKUP(B437,BASE!$A:$E,4,0)</f>
        <v>173</v>
      </c>
      <c r="F437" s="32">
        <v>600</v>
      </c>
      <c r="G437" s="23">
        <f t="shared" si="6"/>
        <v>0.1</v>
      </c>
    </row>
    <row r="438" spans="1:7" ht="20.25" hidden="1" customHeight="1" x14ac:dyDescent="0.25">
      <c r="A438" s="29">
        <v>9783</v>
      </c>
      <c r="B438" s="30" t="s">
        <v>484</v>
      </c>
      <c r="C438" s="31" t="str">
        <f>VLOOKUP(B438,BASE!$A:$B,2,0)</f>
        <v>3831 SILLAR CABEZAL 173 BLANCO</v>
      </c>
      <c r="D438" s="35" t="str">
        <f>VLOOKUP(B438,BASE!$A:$D,3,0)</f>
        <v>BLANCO</v>
      </c>
      <c r="E438" s="32">
        <f>VLOOKUP(B438,BASE!$A:$E,4,0)</f>
        <v>173</v>
      </c>
      <c r="F438" s="32">
        <v>600</v>
      </c>
      <c r="G438" s="23">
        <f t="shared" si="6"/>
        <v>0.1</v>
      </c>
    </row>
    <row r="439" spans="1:7" ht="20.25" hidden="1" customHeight="1" x14ac:dyDescent="0.25">
      <c r="A439" s="29">
        <v>9784</v>
      </c>
      <c r="B439" s="30" t="s">
        <v>484</v>
      </c>
      <c r="C439" s="31" t="str">
        <f>VLOOKUP(B439,BASE!$A:$B,2,0)</f>
        <v>3831 SILLAR CABEZAL 173 BLANCO</v>
      </c>
      <c r="D439" s="35" t="str">
        <f>VLOOKUP(B439,BASE!$A:$D,3,0)</f>
        <v>BLANCO</v>
      </c>
      <c r="E439" s="32">
        <f>VLOOKUP(B439,BASE!$A:$E,4,0)</f>
        <v>173</v>
      </c>
      <c r="F439" s="32">
        <v>600</v>
      </c>
      <c r="G439" s="23">
        <f t="shared" si="6"/>
        <v>0.1</v>
      </c>
    </row>
    <row r="440" spans="1:7" ht="20.25" hidden="1" customHeight="1" x14ac:dyDescent="0.25">
      <c r="A440" s="29">
        <v>9785</v>
      </c>
      <c r="B440" s="30" t="s">
        <v>484</v>
      </c>
      <c r="C440" s="31" t="str">
        <f>VLOOKUP(B440,BASE!$A:$B,2,0)</f>
        <v>3831 SILLAR CABEZAL 173 BLANCO</v>
      </c>
      <c r="D440" s="35" t="str">
        <f>VLOOKUP(B440,BASE!$A:$D,3,0)</f>
        <v>BLANCO</v>
      </c>
      <c r="E440" s="32">
        <f>VLOOKUP(B440,BASE!$A:$E,4,0)</f>
        <v>173</v>
      </c>
      <c r="F440" s="32">
        <v>600</v>
      </c>
      <c r="G440" s="23">
        <f t="shared" si="6"/>
        <v>0.1</v>
      </c>
    </row>
    <row r="441" spans="1:7" ht="20.25" hidden="1" customHeight="1" x14ac:dyDescent="0.25">
      <c r="A441" s="29">
        <v>9786</v>
      </c>
      <c r="B441" s="30" t="s">
        <v>131</v>
      </c>
      <c r="C441" s="31" t="str">
        <f>VLOOKUP(B441,BASE!$A:$B,2,0)</f>
        <v>3831 PISAVIDRIO 177 BLANCO</v>
      </c>
      <c r="D441" s="35" t="str">
        <f>VLOOKUP(B441,BASE!$A:$D,3,0)</f>
        <v>BLANCO</v>
      </c>
      <c r="E441" s="32">
        <f>VLOOKUP(B441,BASE!$A:$E,4,0)</f>
        <v>177</v>
      </c>
      <c r="F441" s="32">
        <v>800</v>
      </c>
      <c r="G441" s="23">
        <f t="shared" si="6"/>
        <v>0.13333333333333333</v>
      </c>
    </row>
    <row r="442" spans="1:7" ht="20.25" hidden="1" customHeight="1" x14ac:dyDescent="0.25">
      <c r="A442" s="29">
        <v>9787</v>
      </c>
      <c r="B442" s="30" t="s">
        <v>131</v>
      </c>
      <c r="C442" s="31" t="str">
        <f>VLOOKUP(B442,BASE!$A:$B,2,0)</f>
        <v>3831 PISAVIDRIO 177 BLANCO</v>
      </c>
      <c r="D442" s="35" t="str">
        <f>VLOOKUP(B442,BASE!$A:$D,3,0)</f>
        <v>BLANCO</v>
      </c>
      <c r="E442" s="32">
        <f>VLOOKUP(B442,BASE!$A:$E,4,0)</f>
        <v>177</v>
      </c>
      <c r="F442" s="32">
        <v>800</v>
      </c>
      <c r="G442" s="23">
        <f t="shared" si="6"/>
        <v>0.13333333333333333</v>
      </c>
    </row>
    <row r="443" spans="1:7" ht="20.25" hidden="1" customHeight="1" x14ac:dyDescent="0.25">
      <c r="A443" s="29">
        <v>9788</v>
      </c>
      <c r="B443" s="30" t="s">
        <v>131</v>
      </c>
      <c r="C443" s="31" t="str">
        <f>VLOOKUP(B443,BASE!$A:$B,2,0)</f>
        <v>3831 PISAVIDRIO 177 BLANCO</v>
      </c>
      <c r="D443" s="35" t="str">
        <f>VLOOKUP(B443,BASE!$A:$D,3,0)</f>
        <v>BLANCO</v>
      </c>
      <c r="E443" s="32">
        <f>VLOOKUP(B443,BASE!$A:$E,4,0)</f>
        <v>177</v>
      </c>
      <c r="F443" s="32">
        <v>800</v>
      </c>
      <c r="G443" s="23">
        <f t="shared" si="6"/>
        <v>0.13333333333333333</v>
      </c>
    </row>
    <row r="444" spans="1:7" ht="20.25" hidden="1" customHeight="1" x14ac:dyDescent="0.25">
      <c r="A444" s="29">
        <v>9789</v>
      </c>
      <c r="B444" s="30" t="s">
        <v>131</v>
      </c>
      <c r="C444" s="31" t="str">
        <f>VLOOKUP(B444,BASE!$A:$B,2,0)</f>
        <v>3831 PISAVIDRIO 177 BLANCO</v>
      </c>
      <c r="D444" s="35" t="str">
        <f>VLOOKUP(B444,BASE!$A:$D,3,0)</f>
        <v>BLANCO</v>
      </c>
      <c r="E444" s="32">
        <f>VLOOKUP(B444,BASE!$A:$E,4,0)</f>
        <v>177</v>
      </c>
      <c r="F444" s="32">
        <v>800</v>
      </c>
      <c r="G444" s="23">
        <f t="shared" si="6"/>
        <v>0.13333333333333333</v>
      </c>
    </row>
    <row r="445" spans="1:7" ht="20.25" hidden="1" customHeight="1" x14ac:dyDescent="0.25">
      <c r="A445" s="29">
        <v>9790</v>
      </c>
      <c r="B445" s="30" t="s">
        <v>131</v>
      </c>
      <c r="C445" s="31" t="str">
        <f>VLOOKUP(B445,BASE!$A:$B,2,0)</f>
        <v>3831 PISAVIDRIO 177 BLANCO</v>
      </c>
      <c r="D445" s="35" t="str">
        <f>VLOOKUP(B445,BASE!$A:$D,3,0)</f>
        <v>BLANCO</v>
      </c>
      <c r="E445" s="32">
        <f>VLOOKUP(B445,BASE!$A:$E,4,0)</f>
        <v>177</v>
      </c>
      <c r="F445" s="32">
        <v>800</v>
      </c>
      <c r="G445" s="23">
        <f t="shared" si="6"/>
        <v>0.13333333333333333</v>
      </c>
    </row>
    <row r="446" spans="1:7" ht="20.25" hidden="1" customHeight="1" x14ac:dyDescent="0.25">
      <c r="A446" s="29">
        <v>9791</v>
      </c>
      <c r="B446" s="30" t="s">
        <v>131</v>
      </c>
      <c r="C446" s="31" t="str">
        <f>VLOOKUP(B446,BASE!$A:$B,2,0)</f>
        <v>3831 PISAVIDRIO 177 BLANCO</v>
      </c>
      <c r="D446" s="35" t="str">
        <f>VLOOKUP(B446,BASE!$A:$D,3,0)</f>
        <v>BLANCO</v>
      </c>
      <c r="E446" s="32">
        <f>VLOOKUP(B446,BASE!$A:$E,4,0)</f>
        <v>177</v>
      </c>
      <c r="F446" s="32">
        <v>800</v>
      </c>
      <c r="G446" s="23">
        <f t="shared" si="6"/>
        <v>0.13333333333333333</v>
      </c>
    </row>
    <row r="447" spans="1:7" ht="20.25" hidden="1" customHeight="1" x14ac:dyDescent="0.25">
      <c r="A447" s="29">
        <v>9792</v>
      </c>
      <c r="B447" s="30" t="s">
        <v>120</v>
      </c>
      <c r="C447" s="31" t="str">
        <f>VLOOKUP(B447,BASE!$A:$B,2,0)</f>
        <v>7038 TRASLAPE 704 NEGRO</v>
      </c>
      <c r="D447" s="35" t="str">
        <f>VLOOKUP(B447,BASE!$A:$D,3,0)</f>
        <v>NEGRO</v>
      </c>
      <c r="E447" s="32">
        <f>VLOOKUP(B447,BASE!$A:$E,4,0)</f>
        <v>704</v>
      </c>
      <c r="F447" s="32">
        <v>3800</v>
      </c>
      <c r="G447" s="23">
        <f t="shared" si="6"/>
        <v>0.6333333333333333</v>
      </c>
    </row>
    <row r="448" spans="1:7" ht="20.25" hidden="1" customHeight="1" x14ac:dyDescent="0.25">
      <c r="A448" s="29">
        <v>9797</v>
      </c>
      <c r="B448" s="30" t="s">
        <v>446</v>
      </c>
      <c r="C448" s="31" t="str">
        <f>VLOOKUP(B448,BASE!$A:$B,2,0)</f>
        <v>8025 JAMBA 708 NEGRO</v>
      </c>
      <c r="D448" s="35" t="str">
        <f>VLOOKUP(B448,BASE!$A:$D,3,0)</f>
        <v>NEGRO</v>
      </c>
      <c r="E448" s="32">
        <f>VLOOKUP(B448,BASE!$A:$E,4,0)</f>
        <v>708</v>
      </c>
      <c r="F448" s="32">
        <v>1900</v>
      </c>
      <c r="G448" s="23">
        <f t="shared" si="6"/>
        <v>0.31666666666666665</v>
      </c>
    </row>
    <row r="449" spans="1:7" ht="20.25" hidden="1" customHeight="1" x14ac:dyDescent="0.25">
      <c r="A449" s="29">
        <v>9798</v>
      </c>
      <c r="B449" s="30" t="s">
        <v>139</v>
      </c>
      <c r="C449" s="31" t="str">
        <f>VLOOKUP(B449,BASE!$A:$B,2,0)</f>
        <v>8025 SILLAR 707 NEGRO</v>
      </c>
      <c r="D449" s="35" t="str">
        <f>VLOOKUP(B449,BASE!$A:$D,3,0)</f>
        <v>NEGRO</v>
      </c>
      <c r="E449" s="32">
        <f>VLOOKUP(B449,BASE!$A:$E,4,0)</f>
        <v>707</v>
      </c>
      <c r="F449" s="32">
        <v>2100</v>
      </c>
      <c r="G449" s="23">
        <f t="shared" si="6"/>
        <v>0.35</v>
      </c>
    </row>
    <row r="450" spans="1:7" ht="20.25" hidden="1" customHeight="1" x14ac:dyDescent="0.25">
      <c r="A450" s="29">
        <v>9799</v>
      </c>
      <c r="B450" s="30" t="s">
        <v>340</v>
      </c>
      <c r="C450" s="31" t="str">
        <f>VLOOKUP(B450,BASE!$A:$B,2,0)</f>
        <v>8025 CABEZAL 706 NEGRO</v>
      </c>
      <c r="D450" s="35" t="str">
        <f>VLOOKUP(B450,BASE!$A:$D,3,0)</f>
        <v>NEGRO</v>
      </c>
      <c r="E450" s="32">
        <f>VLOOKUP(B450,BASE!$A:$E,4,0)</f>
        <v>706</v>
      </c>
      <c r="F450" s="32">
        <v>2100</v>
      </c>
      <c r="G450" s="23">
        <f t="shared" si="6"/>
        <v>0.35</v>
      </c>
    </row>
    <row r="451" spans="1:7" ht="20.25" hidden="1" customHeight="1" x14ac:dyDescent="0.25">
      <c r="A451" s="29">
        <v>9800</v>
      </c>
      <c r="B451" s="30" t="s">
        <v>340</v>
      </c>
      <c r="C451" s="31" t="str">
        <f>VLOOKUP(B451,BASE!$A:$B,2,0)</f>
        <v>8025 CABEZAL 706 NEGRO</v>
      </c>
      <c r="D451" s="35" t="str">
        <f>VLOOKUP(B451,BASE!$A:$D,3,0)</f>
        <v>NEGRO</v>
      </c>
      <c r="E451" s="32">
        <f>VLOOKUP(B451,BASE!$A:$E,4,0)</f>
        <v>706</v>
      </c>
      <c r="F451" s="32">
        <v>3000</v>
      </c>
      <c r="G451" s="23">
        <f t="shared" si="6"/>
        <v>0.5</v>
      </c>
    </row>
    <row r="452" spans="1:7" ht="20.25" hidden="1" customHeight="1" x14ac:dyDescent="0.25">
      <c r="A452" s="29">
        <v>9801</v>
      </c>
      <c r="B452" s="30" t="s">
        <v>377</v>
      </c>
      <c r="C452" s="31" t="str">
        <f>VLOOKUP(B452,BASE!$A:$B,2,0)</f>
        <v>8025 ENGANCHE 191 NEGRO</v>
      </c>
      <c r="D452" s="35" t="str">
        <f>VLOOKUP(B452,BASE!$A:$D,3,0)</f>
        <v>NEGRO</v>
      </c>
      <c r="E452" s="32">
        <f>VLOOKUP(B452,BASE!$A:$E,4,0)</f>
        <v>191</v>
      </c>
      <c r="F452" s="32">
        <v>1900</v>
      </c>
      <c r="G452" s="23">
        <f t="shared" si="6"/>
        <v>0.31666666666666665</v>
      </c>
    </row>
    <row r="453" spans="1:7" ht="20.25" hidden="1" customHeight="1" x14ac:dyDescent="0.25">
      <c r="A453" s="29">
        <v>9802</v>
      </c>
      <c r="B453" s="30" t="s">
        <v>377</v>
      </c>
      <c r="C453" s="31" t="str">
        <f>VLOOKUP(B453,BASE!$A:$B,2,0)</f>
        <v>8025 ENGANCHE 191 NEGRO</v>
      </c>
      <c r="D453" s="35" t="str">
        <f>VLOOKUP(B453,BASE!$A:$D,3,0)</f>
        <v>NEGRO</v>
      </c>
      <c r="E453" s="32">
        <f>VLOOKUP(B453,BASE!$A:$E,4,0)</f>
        <v>191</v>
      </c>
      <c r="F453" s="32">
        <v>1700</v>
      </c>
      <c r="G453" s="23">
        <f t="shared" si="6"/>
        <v>0.28333333333333333</v>
      </c>
    </row>
    <row r="454" spans="1:7" ht="20.25" hidden="1" customHeight="1" x14ac:dyDescent="0.25">
      <c r="A454" s="29">
        <v>9803</v>
      </c>
      <c r="B454" s="30" t="s">
        <v>377</v>
      </c>
      <c r="C454" s="31" t="str">
        <f>VLOOKUP(B454,BASE!$A:$B,2,0)</f>
        <v>8025 ENGANCHE 191 NEGRO</v>
      </c>
      <c r="D454" s="35" t="str">
        <f>VLOOKUP(B454,BASE!$A:$D,3,0)</f>
        <v>NEGRO</v>
      </c>
      <c r="E454" s="32">
        <f>VLOOKUP(B454,BASE!$A:$E,4,0)</f>
        <v>191</v>
      </c>
      <c r="F454" s="32">
        <v>1500</v>
      </c>
      <c r="G454" s="23">
        <f t="shared" si="6"/>
        <v>0.25</v>
      </c>
    </row>
    <row r="455" spans="1:7" ht="20.25" hidden="1" customHeight="1" x14ac:dyDescent="0.25">
      <c r="A455" s="29">
        <v>9804</v>
      </c>
      <c r="B455" s="30" t="s">
        <v>377</v>
      </c>
      <c r="C455" s="31" t="str">
        <f>VLOOKUP(B455,BASE!$A:$B,2,0)</f>
        <v>8025 ENGANCHE 191 NEGRO</v>
      </c>
      <c r="D455" s="35" t="str">
        <f>VLOOKUP(B455,BASE!$A:$D,3,0)</f>
        <v>NEGRO</v>
      </c>
      <c r="E455" s="32">
        <f>VLOOKUP(B455,BASE!$A:$E,4,0)</f>
        <v>191</v>
      </c>
      <c r="F455" s="32">
        <v>1500</v>
      </c>
      <c r="G455" s="23">
        <f t="shared" ref="G455:G488" si="7">+F455/6000</f>
        <v>0.25</v>
      </c>
    </row>
    <row r="456" spans="1:7" ht="20.25" hidden="1" customHeight="1" x14ac:dyDescent="0.25">
      <c r="A456" s="29">
        <v>9805</v>
      </c>
      <c r="B456" s="30" t="s">
        <v>377</v>
      </c>
      <c r="C456" s="31" t="str">
        <f>VLOOKUP(B456,BASE!$A:$B,2,0)</f>
        <v>8025 ENGANCHE 191 NEGRO</v>
      </c>
      <c r="D456" s="35" t="str">
        <f>VLOOKUP(B456,BASE!$A:$D,3,0)</f>
        <v>NEGRO</v>
      </c>
      <c r="E456" s="32">
        <f>VLOOKUP(B456,BASE!$A:$E,4,0)</f>
        <v>191</v>
      </c>
      <c r="F456" s="32">
        <v>1500</v>
      </c>
      <c r="G456" s="23">
        <f t="shared" si="7"/>
        <v>0.25</v>
      </c>
    </row>
    <row r="457" spans="1:7" ht="20.25" hidden="1" customHeight="1" x14ac:dyDescent="0.25">
      <c r="A457" s="29">
        <v>9806</v>
      </c>
      <c r="B457" s="30" t="s">
        <v>377</v>
      </c>
      <c r="C457" s="31" t="str">
        <f>VLOOKUP(B457,BASE!$A:$B,2,0)</f>
        <v>8025 ENGANCHE 191 NEGRO</v>
      </c>
      <c r="D457" s="35" t="str">
        <f>VLOOKUP(B457,BASE!$A:$D,3,0)</f>
        <v>NEGRO</v>
      </c>
      <c r="E457" s="32">
        <f>VLOOKUP(B457,BASE!$A:$E,4,0)</f>
        <v>191</v>
      </c>
      <c r="F457" s="32">
        <v>1500</v>
      </c>
      <c r="G457" s="23">
        <f t="shared" si="7"/>
        <v>0.25</v>
      </c>
    </row>
    <row r="458" spans="1:7" ht="20.25" hidden="1" customHeight="1" x14ac:dyDescent="0.25">
      <c r="A458" s="29">
        <v>9807</v>
      </c>
      <c r="B458" s="30" t="s">
        <v>137</v>
      </c>
      <c r="C458" s="31" t="str">
        <f>VLOOKUP(B458,BASE!$A:$B,2,0)</f>
        <v>8025 TRASLAPE 190 NEGRO</v>
      </c>
      <c r="D458" s="35" t="str">
        <f>VLOOKUP(B458,BASE!$A:$D,3,0)</f>
        <v>NEGRO</v>
      </c>
      <c r="E458" s="32">
        <f>VLOOKUP(B458,BASE!$A:$E,4,0)</f>
        <v>190</v>
      </c>
      <c r="F458" s="32">
        <v>1900</v>
      </c>
      <c r="G458" s="23">
        <f t="shared" si="7"/>
        <v>0.31666666666666665</v>
      </c>
    </row>
    <row r="459" spans="1:7" ht="20.25" hidden="1" customHeight="1" x14ac:dyDescent="0.25">
      <c r="A459" s="29">
        <v>9808</v>
      </c>
      <c r="B459" s="30" t="s">
        <v>137</v>
      </c>
      <c r="C459" s="31" t="str">
        <f>VLOOKUP(B459,BASE!$A:$B,2,0)</f>
        <v>8025 TRASLAPE 190 NEGRO</v>
      </c>
      <c r="D459" s="35" t="str">
        <f>VLOOKUP(B459,BASE!$A:$D,3,0)</f>
        <v>NEGRO</v>
      </c>
      <c r="E459" s="32">
        <f>VLOOKUP(B459,BASE!$A:$E,4,0)</f>
        <v>190</v>
      </c>
      <c r="F459" s="32">
        <v>1500</v>
      </c>
      <c r="G459" s="23">
        <f t="shared" si="7"/>
        <v>0.25</v>
      </c>
    </row>
    <row r="460" spans="1:7" ht="20.25" hidden="1" customHeight="1" x14ac:dyDescent="0.25">
      <c r="A460" s="29">
        <v>9809</v>
      </c>
      <c r="B460" s="30" t="s">
        <v>137</v>
      </c>
      <c r="C460" s="31" t="str">
        <f>VLOOKUP(B460,BASE!$A:$B,2,0)</f>
        <v>8025 TRASLAPE 190 NEGRO</v>
      </c>
      <c r="D460" s="35" t="str">
        <f>VLOOKUP(B460,BASE!$A:$D,3,0)</f>
        <v>NEGRO</v>
      </c>
      <c r="E460" s="32">
        <f>VLOOKUP(B460,BASE!$A:$E,4,0)</f>
        <v>190</v>
      </c>
      <c r="F460" s="32">
        <v>1500</v>
      </c>
      <c r="G460" s="23">
        <f t="shared" si="7"/>
        <v>0.25</v>
      </c>
    </row>
    <row r="461" spans="1:7" ht="20.25" hidden="1" customHeight="1" x14ac:dyDescent="0.25">
      <c r="A461" s="29">
        <v>9810</v>
      </c>
      <c r="B461" s="30" t="s">
        <v>137</v>
      </c>
      <c r="C461" s="31" t="str">
        <f>VLOOKUP(B461,BASE!$A:$B,2,0)</f>
        <v>8025 TRASLAPE 190 NEGRO</v>
      </c>
      <c r="D461" s="35" t="str">
        <f>VLOOKUP(B461,BASE!$A:$D,3,0)</f>
        <v>NEGRO</v>
      </c>
      <c r="E461" s="32">
        <f>VLOOKUP(B461,BASE!$A:$E,4,0)</f>
        <v>190</v>
      </c>
      <c r="F461" s="32">
        <v>1500</v>
      </c>
      <c r="G461" s="23">
        <f t="shared" si="7"/>
        <v>0.25</v>
      </c>
    </row>
    <row r="462" spans="1:7" ht="20.25" hidden="1" customHeight="1" x14ac:dyDescent="0.25">
      <c r="A462" s="29">
        <v>9811</v>
      </c>
      <c r="B462" s="30" t="s">
        <v>444</v>
      </c>
      <c r="C462" s="31" t="str">
        <f>VLOOKUP(B462,BASE!$A:$B,2,0)</f>
        <v>8025 JAMBA 152 NEGRO</v>
      </c>
      <c r="D462" s="35" t="str">
        <f>VLOOKUP(B462,BASE!$A:$D,3,0)</f>
        <v>NEGRO</v>
      </c>
      <c r="E462" s="32">
        <f>VLOOKUP(B462,BASE!$A:$E,4,0)</f>
        <v>152</v>
      </c>
      <c r="F462" s="32">
        <v>1500</v>
      </c>
      <c r="G462" s="23">
        <f t="shared" si="7"/>
        <v>0.25</v>
      </c>
    </row>
    <row r="463" spans="1:7" ht="20.25" hidden="1" customHeight="1" x14ac:dyDescent="0.25">
      <c r="A463" s="29">
        <v>9812</v>
      </c>
      <c r="B463" s="30" t="s">
        <v>444</v>
      </c>
      <c r="C463" s="31" t="str">
        <f>VLOOKUP(B463,BASE!$A:$B,2,0)</f>
        <v>8025 JAMBA 152 NEGRO</v>
      </c>
      <c r="D463" s="35" t="str">
        <f>VLOOKUP(B463,BASE!$A:$D,3,0)</f>
        <v>NEGRO</v>
      </c>
      <c r="E463" s="32">
        <f>VLOOKUP(B463,BASE!$A:$E,4,0)</f>
        <v>152</v>
      </c>
      <c r="F463" s="32">
        <v>1500</v>
      </c>
      <c r="G463" s="23">
        <f t="shared" si="7"/>
        <v>0.25</v>
      </c>
    </row>
    <row r="464" spans="1:7" ht="20.25" hidden="1" customHeight="1" x14ac:dyDescent="0.25">
      <c r="A464" s="29">
        <v>9813</v>
      </c>
      <c r="B464" s="30" t="s">
        <v>444</v>
      </c>
      <c r="C464" s="31" t="str">
        <f>VLOOKUP(B464,BASE!$A:$B,2,0)</f>
        <v>8025 JAMBA 152 NEGRO</v>
      </c>
      <c r="D464" s="35" t="str">
        <f>VLOOKUP(B464,BASE!$A:$D,3,0)</f>
        <v>NEGRO</v>
      </c>
      <c r="E464" s="32">
        <f>VLOOKUP(B464,BASE!$A:$E,4,0)</f>
        <v>152</v>
      </c>
      <c r="F464" s="32">
        <v>1500</v>
      </c>
      <c r="G464" s="23">
        <f t="shared" si="7"/>
        <v>0.25</v>
      </c>
    </row>
    <row r="465" spans="1:7" ht="20.25" hidden="1" customHeight="1" x14ac:dyDescent="0.25">
      <c r="A465" s="29">
        <v>9816</v>
      </c>
      <c r="B465" s="30" t="s">
        <v>50</v>
      </c>
      <c r="C465" s="31" t="str">
        <f>VLOOKUP(B465,BASE!$A:$B,2,0)</f>
        <v>7038 HORIZONTAL 703 NEGRO</v>
      </c>
      <c r="D465" s="35" t="str">
        <f>VLOOKUP(B465,BASE!$A:$D,3,0)</f>
        <v>NEGRO</v>
      </c>
      <c r="E465" s="32">
        <f>VLOOKUP(B465,BASE!$A:$E,4,0)</f>
        <v>703</v>
      </c>
      <c r="F465" s="32">
        <v>900</v>
      </c>
      <c r="G465" s="23">
        <f t="shared" si="7"/>
        <v>0.15</v>
      </c>
    </row>
    <row r="466" spans="1:7" ht="20.25" hidden="1" customHeight="1" x14ac:dyDescent="0.25">
      <c r="A466" s="29">
        <v>9822</v>
      </c>
      <c r="B466" s="30" t="s">
        <v>185</v>
      </c>
      <c r="C466" s="31" t="str">
        <f>VLOOKUP(B466,BASE!$A:$B,2,0)</f>
        <v>PERSIANA 315 NEGRO</v>
      </c>
      <c r="D466" s="35" t="str">
        <f>VLOOKUP(B466,BASE!$A:$D,3,0)</f>
        <v>NEGRO</v>
      </c>
      <c r="E466" s="32">
        <f>VLOOKUP(B466,BASE!$A:$E,4,0)</f>
        <v>315</v>
      </c>
      <c r="F466" s="32">
        <v>2100</v>
      </c>
      <c r="G466" s="23">
        <f t="shared" si="7"/>
        <v>0.35</v>
      </c>
    </row>
    <row r="467" spans="1:7" ht="20.25" hidden="1" customHeight="1" x14ac:dyDescent="0.25">
      <c r="A467" s="29">
        <v>9825</v>
      </c>
      <c r="B467" s="30" t="s">
        <v>563</v>
      </c>
      <c r="C467" s="31" t="str">
        <f>VLOOKUP(B467,BASE!$A:$B,2,0)</f>
        <v>TUBULAR 1101 NEGRO</v>
      </c>
      <c r="D467" s="35" t="str">
        <f>VLOOKUP(B467,BASE!$A:$D,3,0)</f>
        <v>NEGRO</v>
      </c>
      <c r="E467" s="32">
        <f>VLOOKUP(B467,BASE!$A:$E,4,0)</f>
        <v>1101</v>
      </c>
      <c r="F467" s="32">
        <v>1500</v>
      </c>
      <c r="G467" s="23">
        <f t="shared" si="7"/>
        <v>0.25</v>
      </c>
    </row>
    <row r="468" spans="1:7" ht="20.25" hidden="1" customHeight="1" x14ac:dyDescent="0.25">
      <c r="A468" s="29">
        <v>9826</v>
      </c>
      <c r="B468" s="30" t="s">
        <v>137</v>
      </c>
      <c r="C468" s="31" t="str">
        <f>VLOOKUP(B468,BASE!$A:$B,2,0)</f>
        <v>8025 TRASLAPE 190 NEGRO</v>
      </c>
      <c r="D468" s="35" t="str">
        <f>VLOOKUP(B468,BASE!$A:$D,3,0)</f>
        <v>NEGRO</v>
      </c>
      <c r="E468" s="32">
        <f>VLOOKUP(B468,BASE!$A:$E,4,0)</f>
        <v>190</v>
      </c>
      <c r="F468" s="32">
        <v>1500</v>
      </c>
      <c r="G468" s="23">
        <f t="shared" si="7"/>
        <v>0.25</v>
      </c>
    </row>
    <row r="469" spans="1:7" ht="20.25" hidden="1" customHeight="1" x14ac:dyDescent="0.25">
      <c r="A469" s="29">
        <v>9827</v>
      </c>
      <c r="B469" s="30" t="s">
        <v>377</v>
      </c>
      <c r="C469" s="31" t="str">
        <f>VLOOKUP(B469,BASE!$A:$B,2,0)</f>
        <v>8025 ENGANCHE 191 NEGRO</v>
      </c>
      <c r="D469" s="35" t="str">
        <f>VLOOKUP(B469,BASE!$A:$D,3,0)</f>
        <v>NEGRO</v>
      </c>
      <c r="E469" s="32">
        <f>VLOOKUP(B469,BASE!$A:$E,4,0)</f>
        <v>191</v>
      </c>
      <c r="F469" s="32">
        <v>1500</v>
      </c>
      <c r="G469" s="23">
        <f t="shared" si="7"/>
        <v>0.25</v>
      </c>
    </row>
    <row r="470" spans="1:7" ht="20.25" hidden="1" customHeight="1" x14ac:dyDescent="0.25">
      <c r="A470" s="29">
        <v>9828</v>
      </c>
      <c r="B470" s="30" t="s">
        <v>563</v>
      </c>
      <c r="C470" s="31" t="str">
        <f>VLOOKUP(B470,BASE!$A:$B,2,0)</f>
        <v>TUBULAR 1101 NEGRO</v>
      </c>
      <c r="D470" s="35" t="str">
        <f>VLOOKUP(B470,BASE!$A:$D,3,0)</f>
        <v>NEGRO</v>
      </c>
      <c r="E470" s="32">
        <f>VLOOKUP(B470,BASE!$A:$E,4,0)</f>
        <v>1101</v>
      </c>
      <c r="F470" s="32">
        <v>1900</v>
      </c>
      <c r="G470" s="23">
        <f t="shared" si="7"/>
        <v>0.31666666666666665</v>
      </c>
    </row>
    <row r="471" spans="1:7" ht="20.25" hidden="1" customHeight="1" x14ac:dyDescent="0.25">
      <c r="A471" s="29">
        <v>9833</v>
      </c>
      <c r="B471" s="30" t="s">
        <v>629</v>
      </c>
      <c r="C471" s="31" t="str">
        <f>VLOOKUP(B471,BASE!$A:$B,2,0)</f>
        <v>PERSIANA 315 MATE</v>
      </c>
      <c r="D471" s="35" t="str">
        <f>VLOOKUP(B471,BASE!$A:$D,3,0)</f>
        <v>MATE</v>
      </c>
      <c r="E471" s="32">
        <f>VLOOKUP(B471,BASE!$A:$E,4,0)</f>
        <v>315</v>
      </c>
      <c r="F471" s="32">
        <v>6000</v>
      </c>
      <c r="G471" s="23">
        <f t="shared" si="7"/>
        <v>1</v>
      </c>
    </row>
    <row r="472" spans="1:7" ht="20.25" hidden="1" customHeight="1" x14ac:dyDescent="0.25">
      <c r="A472" s="29">
        <v>9834</v>
      </c>
      <c r="B472" s="30" t="s">
        <v>629</v>
      </c>
      <c r="C472" s="31" t="str">
        <f>VLOOKUP(B472,BASE!$A:$B,2,0)</f>
        <v>PERSIANA 315 MATE</v>
      </c>
      <c r="D472" s="35" t="str">
        <f>VLOOKUP(B472,BASE!$A:$D,3,0)</f>
        <v>MATE</v>
      </c>
      <c r="E472" s="32">
        <f>VLOOKUP(B472,BASE!$A:$E,4,0)</f>
        <v>315</v>
      </c>
      <c r="F472" s="32">
        <v>6000</v>
      </c>
      <c r="G472" s="23">
        <f t="shared" si="7"/>
        <v>1</v>
      </c>
    </row>
    <row r="473" spans="1:7" ht="20.25" hidden="1" customHeight="1" x14ac:dyDescent="0.25">
      <c r="A473" s="29">
        <v>9835</v>
      </c>
      <c r="B473" s="30" t="s">
        <v>629</v>
      </c>
      <c r="C473" s="31" t="str">
        <f>VLOOKUP(B473,BASE!$A:$B,2,0)</f>
        <v>PERSIANA 315 MATE</v>
      </c>
      <c r="D473" s="35" t="str">
        <f>VLOOKUP(B473,BASE!$A:$D,3,0)</f>
        <v>MATE</v>
      </c>
      <c r="E473" s="32">
        <f>VLOOKUP(B473,BASE!$A:$E,4,0)</f>
        <v>315</v>
      </c>
      <c r="F473" s="32">
        <v>6000</v>
      </c>
      <c r="G473" s="23">
        <f t="shared" si="7"/>
        <v>1</v>
      </c>
    </row>
    <row r="474" spans="1:7" ht="20.25" hidden="1" customHeight="1" x14ac:dyDescent="0.25">
      <c r="A474" s="29">
        <v>9841</v>
      </c>
      <c r="B474" s="30" t="s">
        <v>131</v>
      </c>
      <c r="C474" s="31" t="str">
        <f>VLOOKUP(B474,BASE!$A:$B,2,0)</f>
        <v>3831 PISAVIDRIO 177 BLANCO</v>
      </c>
      <c r="D474" s="35" t="str">
        <f>VLOOKUP(B474,BASE!$A:$D,3,0)</f>
        <v>BLANCO</v>
      </c>
      <c r="E474" s="32">
        <f>VLOOKUP(B474,BASE!$A:$E,4,0)</f>
        <v>177</v>
      </c>
      <c r="F474" s="32">
        <v>6000</v>
      </c>
      <c r="G474" s="23">
        <f t="shared" si="7"/>
        <v>1</v>
      </c>
    </row>
    <row r="475" spans="1:7" ht="20.25" hidden="1" customHeight="1" x14ac:dyDescent="0.25">
      <c r="A475" s="29">
        <v>9842</v>
      </c>
      <c r="B475" s="30" t="s">
        <v>484</v>
      </c>
      <c r="C475" s="31" t="str">
        <f>VLOOKUP(B475,BASE!$A:$B,2,0)</f>
        <v>3831 SILLAR CABEZAL 173 BLANCO</v>
      </c>
      <c r="D475" s="35" t="str">
        <f>VLOOKUP(B475,BASE!$A:$D,3,0)</f>
        <v>BLANCO</v>
      </c>
      <c r="E475" s="32">
        <f>VLOOKUP(B475,BASE!$A:$E,4,0)</f>
        <v>173</v>
      </c>
      <c r="F475" s="32">
        <v>6000</v>
      </c>
      <c r="G475" s="23">
        <f t="shared" si="7"/>
        <v>1</v>
      </c>
    </row>
    <row r="476" spans="1:7" ht="20.25" hidden="1" customHeight="1" x14ac:dyDescent="0.25">
      <c r="A476" s="29">
        <v>9847</v>
      </c>
      <c r="B476" s="30" t="s">
        <v>105</v>
      </c>
      <c r="C476" s="31" t="str">
        <f>VLOOKUP(B476,BASE!$A:$B,2,0)</f>
        <v>3831 PISAVIDRIO 177 BRONCE</v>
      </c>
      <c r="D476" s="35" t="str">
        <f>VLOOKUP(B476,BASE!$A:$D,3,0)</f>
        <v>BRONCE</v>
      </c>
      <c r="E476" s="32">
        <f>VLOOKUP(B476,BASE!$A:$E,4,0)</f>
        <v>177</v>
      </c>
      <c r="F476" s="32">
        <v>6000</v>
      </c>
      <c r="G476" s="23">
        <f t="shared" si="7"/>
        <v>1</v>
      </c>
    </row>
    <row r="477" spans="1:7" ht="20.25" hidden="1" customHeight="1" x14ac:dyDescent="0.25">
      <c r="A477" s="29">
        <v>9851</v>
      </c>
      <c r="B477" s="30" t="s">
        <v>105</v>
      </c>
      <c r="C477" s="31" t="str">
        <f>VLOOKUP(B477,BASE!$A:$B,2,0)</f>
        <v>3831 PISAVIDRIO 177 BRONCE</v>
      </c>
      <c r="D477" s="35" t="str">
        <f>VLOOKUP(B477,BASE!$A:$D,3,0)</f>
        <v>BRONCE</v>
      </c>
      <c r="E477" s="32">
        <f>VLOOKUP(B477,BASE!$A:$E,4,0)</f>
        <v>177</v>
      </c>
      <c r="F477" s="32">
        <v>6000</v>
      </c>
      <c r="G477" s="23">
        <f t="shared" si="7"/>
        <v>1</v>
      </c>
    </row>
    <row r="478" spans="1:7" ht="20.25" hidden="1" customHeight="1" x14ac:dyDescent="0.25">
      <c r="A478" s="29">
        <v>9853</v>
      </c>
      <c r="B478" s="30" t="s">
        <v>86</v>
      </c>
      <c r="C478" s="31" t="str">
        <f>VLOOKUP(B478,BASE!$A:$B,2,0)</f>
        <v>3831 ADAPTADOR 175 BRONCE</v>
      </c>
      <c r="D478" s="35" t="str">
        <f>VLOOKUP(B478,BASE!$A:$D,3,0)</f>
        <v>BRONCE</v>
      </c>
      <c r="E478" s="32">
        <f>VLOOKUP(B478,BASE!$A:$E,4,0)</f>
        <v>175</v>
      </c>
      <c r="F478" s="32">
        <v>6000</v>
      </c>
      <c r="G478" s="23">
        <f t="shared" si="7"/>
        <v>1</v>
      </c>
    </row>
    <row r="479" spans="1:7" ht="20.25" hidden="1" customHeight="1" x14ac:dyDescent="0.25">
      <c r="A479" s="29">
        <v>9854</v>
      </c>
      <c r="B479" s="30" t="s">
        <v>86</v>
      </c>
      <c r="C479" s="31" t="str">
        <f>VLOOKUP(B479,BASE!$A:$B,2,0)</f>
        <v>3831 ADAPTADOR 175 BRONCE</v>
      </c>
      <c r="D479" s="35" t="str">
        <f>VLOOKUP(B479,BASE!$A:$D,3,0)</f>
        <v>BRONCE</v>
      </c>
      <c r="E479" s="32">
        <f>VLOOKUP(B479,BASE!$A:$E,4,0)</f>
        <v>175</v>
      </c>
      <c r="F479" s="32">
        <v>6000</v>
      </c>
      <c r="G479" s="23">
        <f t="shared" si="7"/>
        <v>1</v>
      </c>
    </row>
    <row r="480" spans="1:7" ht="20.25" hidden="1" customHeight="1" x14ac:dyDescent="0.25">
      <c r="A480" s="29">
        <v>9855</v>
      </c>
      <c r="B480" s="30" t="s">
        <v>86</v>
      </c>
      <c r="C480" s="31" t="str">
        <f>VLOOKUP(B480,BASE!$A:$B,2,0)</f>
        <v>3831 ADAPTADOR 175 BRONCE</v>
      </c>
      <c r="D480" s="35" t="str">
        <f>VLOOKUP(B480,BASE!$A:$D,3,0)</f>
        <v>BRONCE</v>
      </c>
      <c r="E480" s="32">
        <f>VLOOKUP(B480,BASE!$A:$E,4,0)</f>
        <v>175</v>
      </c>
      <c r="F480" s="32">
        <v>6000</v>
      </c>
      <c r="G480" s="23">
        <f t="shared" si="7"/>
        <v>1</v>
      </c>
    </row>
    <row r="481" spans="1:7" ht="20.25" hidden="1" customHeight="1" x14ac:dyDescent="0.25">
      <c r="A481" s="29">
        <v>9856</v>
      </c>
      <c r="B481" s="30" t="s">
        <v>86</v>
      </c>
      <c r="C481" s="31" t="str">
        <f>VLOOKUP(B481,BASE!$A:$B,2,0)</f>
        <v>3831 ADAPTADOR 175 BRONCE</v>
      </c>
      <c r="D481" s="35" t="str">
        <f>VLOOKUP(B481,BASE!$A:$D,3,0)</f>
        <v>BRONCE</v>
      </c>
      <c r="E481" s="32">
        <f>VLOOKUP(B481,BASE!$A:$E,4,0)</f>
        <v>175</v>
      </c>
      <c r="F481" s="32">
        <v>6000</v>
      </c>
      <c r="G481" s="23">
        <f t="shared" si="7"/>
        <v>1</v>
      </c>
    </row>
    <row r="482" spans="1:7" ht="20.25" hidden="1" customHeight="1" x14ac:dyDescent="0.25">
      <c r="A482" s="29">
        <v>9858</v>
      </c>
      <c r="B482" s="30" t="s">
        <v>867</v>
      </c>
      <c r="C482" s="31" t="str">
        <f>VLOOKUP(B482,BASE!$A:$B,2,0)</f>
        <v>PERSIANA 315 BRONCE</v>
      </c>
      <c r="D482" s="35" t="str">
        <f>VLOOKUP(B482,BASE!$A:$D,3,0)</f>
        <v>BRONCE</v>
      </c>
      <c r="E482" s="32">
        <f>VLOOKUP(B482,BASE!$A:$E,4,0)</f>
        <v>315</v>
      </c>
      <c r="F482" s="32">
        <v>6000</v>
      </c>
      <c r="G482" s="23">
        <f t="shared" si="7"/>
        <v>1</v>
      </c>
    </row>
    <row r="483" spans="1:7" ht="20.25" hidden="1" customHeight="1" x14ac:dyDescent="0.25">
      <c r="A483" s="29">
        <v>9860</v>
      </c>
      <c r="B483" s="30" t="s">
        <v>867</v>
      </c>
      <c r="C483" s="31" t="str">
        <f>VLOOKUP(B483,BASE!$A:$B,2,0)</f>
        <v>PERSIANA 315 BRONCE</v>
      </c>
      <c r="D483" s="35" t="str">
        <f>VLOOKUP(B483,BASE!$A:$D,3,0)</f>
        <v>BRONCE</v>
      </c>
      <c r="E483" s="32">
        <f>VLOOKUP(B483,BASE!$A:$E,4,0)</f>
        <v>315</v>
      </c>
      <c r="F483" s="32">
        <v>6000</v>
      </c>
      <c r="G483" s="23">
        <f t="shared" si="7"/>
        <v>1</v>
      </c>
    </row>
    <row r="484" spans="1:7" ht="20.25" hidden="1" customHeight="1" x14ac:dyDescent="0.25">
      <c r="A484" s="29">
        <v>9865</v>
      </c>
      <c r="B484" s="30" t="s">
        <v>555</v>
      </c>
      <c r="C484" s="31" t="str">
        <f>VLOOKUP(B484,BASE!$A:$B,2,0)</f>
        <v>TUBULAR T-244 BRONCE</v>
      </c>
      <c r="D484" s="35" t="str">
        <f>VLOOKUP(B484,BASE!$A:$D,3,0)</f>
        <v>BRONCE</v>
      </c>
      <c r="E484" s="32" t="str">
        <f>VLOOKUP(B484,BASE!$A:$E,4,0)</f>
        <v>T-244</v>
      </c>
      <c r="F484" s="32">
        <v>6000</v>
      </c>
      <c r="G484" s="23">
        <f t="shared" si="7"/>
        <v>1</v>
      </c>
    </row>
    <row r="485" spans="1:7" ht="20.25" hidden="1" customHeight="1" x14ac:dyDescent="0.25">
      <c r="A485" s="29">
        <v>9924</v>
      </c>
      <c r="B485" s="30" t="s">
        <v>599</v>
      </c>
      <c r="C485" s="31" t="str">
        <f>VLOOKUP(B485,BASE!$A:$B,2,0)</f>
        <v>TUBULAR T-76 CRUDO</v>
      </c>
      <c r="D485" s="35" t="str">
        <f>VLOOKUP(B485,BASE!$A:$D,3,0)</f>
        <v xml:space="preserve">CRUDO </v>
      </c>
      <c r="E485" s="32" t="str">
        <f>VLOOKUP(B485,BASE!$A:$E,4,0)</f>
        <v>T-76</v>
      </c>
      <c r="F485" s="32">
        <v>6000</v>
      </c>
      <c r="G485" s="23">
        <f t="shared" si="7"/>
        <v>1</v>
      </c>
    </row>
    <row r="486" spans="1:7" ht="20.25" hidden="1" customHeight="1" x14ac:dyDescent="0.25">
      <c r="A486" s="29">
        <v>9928</v>
      </c>
      <c r="B486" s="30" t="s">
        <v>413</v>
      </c>
      <c r="C486" s="31" t="str">
        <f>VLOOKUP(B486,BASE!$A:$B,2,0)</f>
        <v>8025 HORIZONTAL SUPERIOR 156 MATE</v>
      </c>
      <c r="D486" s="35" t="str">
        <f>VLOOKUP(B486,BASE!$A:$D,3,0)</f>
        <v>MATE</v>
      </c>
      <c r="E486" s="32">
        <f>VLOOKUP(B486,BASE!$A:$E,4,0)</f>
        <v>156</v>
      </c>
      <c r="F486" s="32">
        <v>6000</v>
      </c>
      <c r="G486" s="23">
        <f t="shared" si="7"/>
        <v>1</v>
      </c>
    </row>
    <row r="487" spans="1:7" ht="20.25" hidden="1" customHeight="1" x14ac:dyDescent="0.25">
      <c r="A487" s="29">
        <v>9940</v>
      </c>
      <c r="B487" s="30" t="s">
        <v>695</v>
      </c>
      <c r="C487" s="31" t="str">
        <f>VLOOKUP(B487,BASE!$A:$B,2,0)</f>
        <v>8025 HORIZONTAL INFERIOR 157 MATE</v>
      </c>
      <c r="D487" s="35" t="str">
        <f>VLOOKUP(B487,BASE!$A:$D,3,0)</f>
        <v>MATE</v>
      </c>
      <c r="E487" s="32">
        <f>VLOOKUP(B487,BASE!$A:$E,4,0)</f>
        <v>157</v>
      </c>
      <c r="F487" s="32">
        <v>6000</v>
      </c>
      <c r="G487" s="23">
        <f t="shared" si="7"/>
        <v>1</v>
      </c>
    </row>
    <row r="488" spans="1:7" ht="20.25" hidden="1" customHeight="1" x14ac:dyDescent="0.25">
      <c r="A488" s="29">
        <v>9945</v>
      </c>
      <c r="B488" s="30" t="s">
        <v>444</v>
      </c>
      <c r="C488" s="31" t="str">
        <f>VLOOKUP(B488,BASE!$A:$B,2,0)</f>
        <v>8025 JAMBA 152 NEGRO</v>
      </c>
      <c r="D488" s="35" t="str">
        <f>VLOOKUP(B488,BASE!$A:$D,3,0)</f>
        <v>NEGRO</v>
      </c>
      <c r="E488" s="32">
        <f>VLOOKUP(B488,BASE!$A:$E,4,0)</f>
        <v>152</v>
      </c>
      <c r="F488" s="32">
        <v>3000</v>
      </c>
      <c r="G488" s="23">
        <f t="shared" si="7"/>
        <v>0.5</v>
      </c>
    </row>
    <row r="489" spans="1:7" ht="20.25" hidden="1" customHeight="1" x14ac:dyDescent="0.25">
      <c r="A489" s="29">
        <v>9969</v>
      </c>
      <c r="B489" s="30" t="s">
        <v>164</v>
      </c>
      <c r="C489" s="31" t="str">
        <f>VLOOKUP(B489,BASE!$A:$B,2,0)</f>
        <v>TUBULAR T-244 MATE</v>
      </c>
      <c r="D489" s="35" t="str">
        <f>VLOOKUP(B489,BASE!$A:$D,3,0)</f>
        <v>MATE</v>
      </c>
      <c r="E489" s="32" t="str">
        <f>VLOOKUP(B489,BASE!$A:$E,4,0)</f>
        <v>T-244</v>
      </c>
      <c r="F489" s="32">
        <v>1600</v>
      </c>
      <c r="G489" s="23"/>
    </row>
    <row r="490" spans="1:7" ht="20.25" hidden="1" customHeight="1" x14ac:dyDescent="0.25">
      <c r="A490" s="29">
        <v>9970</v>
      </c>
      <c r="B490" s="30" t="s">
        <v>164</v>
      </c>
      <c r="C490" s="31" t="str">
        <f>VLOOKUP(B490,BASE!$A:$B,2,0)</f>
        <v>TUBULAR T-244 MATE</v>
      </c>
      <c r="D490" s="35" t="str">
        <f>VLOOKUP(B490,BASE!$A:$D,3,0)</f>
        <v>MATE</v>
      </c>
      <c r="E490" s="32" t="str">
        <f>VLOOKUP(B490,BASE!$A:$E,4,0)</f>
        <v>T-244</v>
      </c>
      <c r="F490" s="32">
        <v>1600</v>
      </c>
      <c r="G490" s="23">
        <f t="shared" ref="G490:G553" si="8">+F490/6000</f>
        <v>0.26666666666666666</v>
      </c>
    </row>
    <row r="491" spans="1:7" ht="20.25" hidden="1" customHeight="1" x14ac:dyDescent="0.25">
      <c r="A491" s="29">
        <v>9971</v>
      </c>
      <c r="B491" s="30" t="s">
        <v>164</v>
      </c>
      <c r="C491" s="31" t="str">
        <f>VLOOKUP(B491,BASE!$A:$B,2,0)</f>
        <v>TUBULAR T-244 MATE</v>
      </c>
      <c r="D491" s="35" t="str">
        <f>VLOOKUP(B491,BASE!$A:$D,3,0)</f>
        <v>MATE</v>
      </c>
      <c r="E491" s="32" t="str">
        <f>VLOOKUP(B491,BASE!$A:$E,4,0)</f>
        <v>T-244</v>
      </c>
      <c r="F491" s="32">
        <v>1600</v>
      </c>
      <c r="G491" s="23">
        <f t="shared" si="8"/>
        <v>0.26666666666666666</v>
      </c>
    </row>
    <row r="492" spans="1:7" ht="20.25" hidden="1" customHeight="1" x14ac:dyDescent="0.25">
      <c r="A492" s="29">
        <v>9972</v>
      </c>
      <c r="B492" s="30" t="s">
        <v>469</v>
      </c>
      <c r="C492" s="31" t="str">
        <f>VLOOKUP(B492,BASE!$A:$B,2,0)</f>
        <v>RIEL DUCASSE 1764 MATE</v>
      </c>
      <c r="D492" s="35" t="str">
        <f>VLOOKUP(B492,BASE!$A:$D,3,0)</f>
        <v>MATE</v>
      </c>
      <c r="E492" s="32">
        <f>VLOOKUP(B492,BASE!$A:$E,4,0)</f>
        <v>1764</v>
      </c>
      <c r="F492" s="32">
        <v>1800</v>
      </c>
      <c r="G492" s="23">
        <f t="shared" si="8"/>
        <v>0.3</v>
      </c>
    </row>
    <row r="493" spans="1:7" ht="20.25" hidden="1" customHeight="1" x14ac:dyDescent="0.25">
      <c r="A493" s="29">
        <v>9973</v>
      </c>
      <c r="B493" s="30" t="s">
        <v>84</v>
      </c>
      <c r="C493" s="31" t="str">
        <f>VLOOKUP(B493,BASE!$A:$B,2,0)</f>
        <v>TUBULAR 1101 MATE</v>
      </c>
      <c r="D493" s="35" t="str">
        <f>VLOOKUP(B493,BASE!$A:$D,3,0)</f>
        <v>MATE</v>
      </c>
      <c r="E493" s="32">
        <f>VLOOKUP(B493,BASE!$A:$E,4,0)</f>
        <v>1101</v>
      </c>
      <c r="F493" s="32">
        <v>1200</v>
      </c>
      <c r="G493" s="23">
        <f t="shared" si="8"/>
        <v>0.2</v>
      </c>
    </row>
    <row r="494" spans="1:7" ht="20.25" hidden="1" customHeight="1" x14ac:dyDescent="0.25">
      <c r="A494" s="29">
        <v>9974</v>
      </c>
      <c r="B494" s="30" t="s">
        <v>84</v>
      </c>
      <c r="C494" s="31" t="str">
        <f>VLOOKUP(B494,BASE!$A:$B,2,0)</f>
        <v>TUBULAR 1101 MATE</v>
      </c>
      <c r="D494" s="35" t="str">
        <f>VLOOKUP(B494,BASE!$A:$D,3,0)</f>
        <v>MATE</v>
      </c>
      <c r="E494" s="32">
        <f>VLOOKUP(B494,BASE!$A:$E,4,0)</f>
        <v>1101</v>
      </c>
      <c r="F494" s="32">
        <v>1400</v>
      </c>
      <c r="G494" s="23">
        <f t="shared" si="8"/>
        <v>0.23333333333333334</v>
      </c>
    </row>
    <row r="495" spans="1:7" ht="20.25" hidden="1" customHeight="1" x14ac:dyDescent="0.25">
      <c r="A495" s="29">
        <v>9975</v>
      </c>
      <c r="B495" s="30" t="s">
        <v>84</v>
      </c>
      <c r="C495" s="31" t="str">
        <f>VLOOKUP(B495,BASE!$A:$B,2,0)</f>
        <v>TUBULAR 1101 MATE</v>
      </c>
      <c r="D495" s="35" t="str">
        <f>VLOOKUP(B495,BASE!$A:$D,3,0)</f>
        <v>MATE</v>
      </c>
      <c r="E495" s="32">
        <f>VLOOKUP(B495,BASE!$A:$E,4,0)</f>
        <v>1101</v>
      </c>
      <c r="F495" s="32">
        <v>1300</v>
      </c>
      <c r="G495" s="23">
        <f t="shared" si="8"/>
        <v>0.21666666666666667</v>
      </c>
    </row>
    <row r="496" spans="1:7" ht="20.25" hidden="1" customHeight="1" x14ac:dyDescent="0.25">
      <c r="A496" s="29">
        <v>9976</v>
      </c>
      <c r="B496" s="30" t="s">
        <v>84</v>
      </c>
      <c r="C496" s="31" t="str">
        <f>VLOOKUP(B496,BASE!$A:$B,2,0)</f>
        <v>TUBULAR 1101 MATE</v>
      </c>
      <c r="D496" s="35" t="str">
        <f>VLOOKUP(B496,BASE!$A:$D,3,0)</f>
        <v>MATE</v>
      </c>
      <c r="E496" s="32">
        <f>VLOOKUP(B496,BASE!$A:$E,4,0)</f>
        <v>1101</v>
      </c>
      <c r="F496" s="32">
        <v>2100</v>
      </c>
      <c r="G496" s="23">
        <f t="shared" si="8"/>
        <v>0.35</v>
      </c>
    </row>
    <row r="497" spans="1:7" ht="20.25" hidden="1" customHeight="1" x14ac:dyDescent="0.25">
      <c r="A497" s="29">
        <v>9977</v>
      </c>
      <c r="B497" s="30" t="s">
        <v>84</v>
      </c>
      <c r="C497" s="31" t="str">
        <f>VLOOKUP(B497,BASE!$A:$B,2,0)</f>
        <v>TUBULAR 1101 MATE</v>
      </c>
      <c r="D497" s="35" t="str">
        <f>VLOOKUP(B497,BASE!$A:$D,3,0)</f>
        <v>MATE</v>
      </c>
      <c r="E497" s="32">
        <f>VLOOKUP(B497,BASE!$A:$E,4,0)</f>
        <v>1101</v>
      </c>
      <c r="F497" s="32">
        <v>1400</v>
      </c>
      <c r="G497" s="23">
        <f t="shared" si="8"/>
        <v>0.23333333333333334</v>
      </c>
    </row>
    <row r="498" spans="1:7" ht="20.25" hidden="1" customHeight="1" x14ac:dyDescent="0.25">
      <c r="A498" s="29">
        <v>9979</v>
      </c>
      <c r="B498" s="30" t="s">
        <v>607</v>
      </c>
      <c r="C498" s="31" t="str">
        <f>VLOOKUP(B498,BASE!$A:$B,2,0)</f>
        <v>8025 SILLAR 150 MATE</v>
      </c>
      <c r="D498" s="35" t="str">
        <f>VLOOKUP(B498,BASE!$A:$D,3,0)</f>
        <v>MATE</v>
      </c>
      <c r="E498" s="32">
        <f>VLOOKUP(B498,BASE!$A:$E,4,0)</f>
        <v>150</v>
      </c>
      <c r="F498" s="32">
        <v>1900</v>
      </c>
      <c r="G498" s="23">
        <f t="shared" si="8"/>
        <v>0.31666666666666665</v>
      </c>
    </row>
    <row r="499" spans="1:7" ht="20.25" hidden="1" customHeight="1" x14ac:dyDescent="0.25">
      <c r="A499" s="29">
        <v>9980</v>
      </c>
      <c r="B499" s="30" t="s">
        <v>345</v>
      </c>
      <c r="C499" s="31" t="str">
        <f>VLOOKUP(B499,BASE!$A:$B,2,0)</f>
        <v>8025 CABEZAL 151 MATE</v>
      </c>
      <c r="D499" s="35" t="str">
        <f>VLOOKUP(B499,BASE!$A:$D,3,0)</f>
        <v>MATE</v>
      </c>
      <c r="E499" s="32">
        <f>VLOOKUP(B499,BASE!$A:$E,4,0)</f>
        <v>151</v>
      </c>
      <c r="F499" s="32">
        <v>2000</v>
      </c>
      <c r="G499" s="23">
        <f t="shared" si="8"/>
        <v>0.33333333333333331</v>
      </c>
    </row>
    <row r="500" spans="1:7" ht="20.25" hidden="1" customHeight="1" x14ac:dyDescent="0.25">
      <c r="A500" s="29">
        <v>9981</v>
      </c>
      <c r="B500" s="30" t="s">
        <v>122</v>
      </c>
      <c r="C500" s="31" t="str">
        <f>VLOOKUP(B500,BASE!$A:$B,2,0)</f>
        <v>5020 CABEZAL 144 MATE</v>
      </c>
      <c r="D500" s="35" t="str">
        <f>VLOOKUP(B500,BASE!$A:$D,3,0)</f>
        <v>MATE</v>
      </c>
      <c r="E500" s="32">
        <f>VLOOKUP(B500,BASE!$A:$E,4,0)</f>
        <v>144</v>
      </c>
      <c r="F500" s="32">
        <v>2000</v>
      </c>
      <c r="G500" s="23">
        <f t="shared" si="8"/>
        <v>0.33333333333333331</v>
      </c>
    </row>
    <row r="501" spans="1:7" ht="20.25" hidden="1" customHeight="1" x14ac:dyDescent="0.25">
      <c r="A501" s="29">
        <v>9984</v>
      </c>
      <c r="B501" s="30" t="s">
        <v>124</v>
      </c>
      <c r="C501" s="31" t="str">
        <f>VLOOKUP(B501,BASE!$A:$B,2,0)</f>
        <v>3831 SILLAR CABEZAL 173 MATE</v>
      </c>
      <c r="D501" s="35" t="str">
        <f>VLOOKUP(B501,BASE!$A:$D,3,0)</f>
        <v>MATE</v>
      </c>
      <c r="E501" s="32">
        <f>VLOOKUP(B501,BASE!$A:$E,4,0)</f>
        <v>173</v>
      </c>
      <c r="F501" s="32">
        <v>4200</v>
      </c>
      <c r="G501" s="23">
        <f t="shared" si="8"/>
        <v>0.7</v>
      </c>
    </row>
    <row r="502" spans="1:7" ht="20.25" hidden="1" customHeight="1" x14ac:dyDescent="0.25">
      <c r="A502" s="29">
        <v>9985</v>
      </c>
      <c r="B502" s="30" t="s">
        <v>82</v>
      </c>
      <c r="C502" s="31" t="str">
        <f>VLOOKUP(B502,BASE!$A:$B,2,0)</f>
        <v>TUBULAR T-95 MATE</v>
      </c>
      <c r="D502" s="35" t="str">
        <f>VLOOKUP(B502,BASE!$A:$D,3,0)</f>
        <v>MATE</v>
      </c>
      <c r="E502" s="32" t="str">
        <f>VLOOKUP(B502,BASE!$A:$E,4,0)</f>
        <v>T-95</v>
      </c>
      <c r="F502" s="32">
        <v>1300</v>
      </c>
      <c r="G502" s="23">
        <f t="shared" si="8"/>
        <v>0.21666666666666667</v>
      </c>
    </row>
    <row r="503" spans="1:7" ht="20.25" hidden="1" customHeight="1" x14ac:dyDescent="0.25">
      <c r="A503" s="29">
        <v>9988</v>
      </c>
      <c r="B503" s="30" t="s">
        <v>252</v>
      </c>
      <c r="C503" s="31" t="str">
        <f>VLOOKUP(B503,BASE!$A:$B,2,0)</f>
        <v>TUBULAR T-244 BLANCO</v>
      </c>
      <c r="D503" s="35" t="str">
        <f>VLOOKUP(B503,BASE!$A:$D,3,0)</f>
        <v>BLANCO</v>
      </c>
      <c r="E503" s="32" t="str">
        <f>VLOOKUP(B503,BASE!$A:$E,4,0)</f>
        <v>T-244</v>
      </c>
      <c r="F503" s="32">
        <v>2900</v>
      </c>
      <c r="G503" s="23">
        <f t="shared" si="8"/>
        <v>0.48333333333333334</v>
      </c>
    </row>
    <row r="504" spans="1:7" ht="20.25" hidden="1" customHeight="1" x14ac:dyDescent="0.25">
      <c r="A504" s="29">
        <v>9991</v>
      </c>
      <c r="B504" s="30" t="s">
        <v>167</v>
      </c>
      <c r="C504" s="31" t="str">
        <f>VLOOKUP(B504,BASE!$A:$B,2,0)</f>
        <v>3831 JAMBA 174 MATE</v>
      </c>
      <c r="D504" s="35" t="str">
        <f>VLOOKUP(B504,BASE!$A:$D,3,0)</f>
        <v>MATE</v>
      </c>
      <c r="E504" s="32">
        <f>VLOOKUP(B504,BASE!$A:$E,4,0)</f>
        <v>174</v>
      </c>
      <c r="F504" s="32">
        <v>4100</v>
      </c>
      <c r="G504" s="23">
        <f t="shared" si="8"/>
        <v>0.68333333333333335</v>
      </c>
    </row>
    <row r="505" spans="1:7" ht="20.25" hidden="1" customHeight="1" x14ac:dyDescent="0.25">
      <c r="A505" s="29">
        <v>9993</v>
      </c>
      <c r="B505" s="30" t="s">
        <v>12</v>
      </c>
      <c r="C505" s="31" t="str">
        <f>VLOOKUP(B505,BASE!$A:$B,2,0)</f>
        <v>744 ADAPTADOR 403 MATE</v>
      </c>
      <c r="D505" s="35" t="str">
        <f>VLOOKUP(B505,BASE!$A:$D,3,0)</f>
        <v>MATE</v>
      </c>
      <c r="E505" s="32">
        <f>VLOOKUP(B505,BASE!$A:$E,4,0)</f>
        <v>403</v>
      </c>
      <c r="F505" s="32">
        <v>2100</v>
      </c>
      <c r="G505" s="23">
        <f t="shared" si="8"/>
        <v>0.35</v>
      </c>
    </row>
    <row r="506" spans="1:7" ht="20.25" hidden="1" customHeight="1" x14ac:dyDescent="0.25">
      <c r="A506" s="29">
        <v>9995</v>
      </c>
      <c r="B506" s="30" t="s">
        <v>175</v>
      </c>
      <c r="C506" s="31" t="str">
        <f>VLOOKUP(B506,BASE!$A:$B,2,0)</f>
        <v>3831 NAVE 176 MATE</v>
      </c>
      <c r="D506" s="35" t="str">
        <f>VLOOKUP(B506,BASE!$A:$D,3,0)</f>
        <v>MATE</v>
      </c>
      <c r="E506" s="32">
        <f>VLOOKUP(B506,BASE!$A:$E,4,0)</f>
        <v>176</v>
      </c>
      <c r="F506" s="32">
        <v>3100</v>
      </c>
      <c r="G506" s="23">
        <f t="shared" si="8"/>
        <v>0.51666666666666672</v>
      </c>
    </row>
    <row r="507" spans="1:7" ht="20.25" hidden="1" customHeight="1" x14ac:dyDescent="0.25">
      <c r="A507" s="29">
        <v>9996</v>
      </c>
      <c r="B507" s="30" t="s">
        <v>449</v>
      </c>
      <c r="C507" s="31" t="str">
        <f>VLOOKUP(B507,BASE!$A:$B,2,0)</f>
        <v>8025 JAMBA 152 MATE</v>
      </c>
      <c r="D507" s="35" t="str">
        <f>VLOOKUP(B507,BASE!$A:$D,3,0)</f>
        <v>MATE</v>
      </c>
      <c r="E507" s="32">
        <f>VLOOKUP(B507,BASE!$A:$E,4,0)</f>
        <v>152</v>
      </c>
      <c r="F507" s="32">
        <v>1800</v>
      </c>
      <c r="G507" s="23">
        <f t="shared" si="8"/>
        <v>0.3</v>
      </c>
    </row>
    <row r="508" spans="1:7" ht="20.25" hidden="1" customHeight="1" x14ac:dyDescent="0.25">
      <c r="A508" s="29">
        <v>9997</v>
      </c>
      <c r="B508" s="30" t="s">
        <v>449</v>
      </c>
      <c r="C508" s="31" t="str">
        <f>VLOOKUP(B508,BASE!$A:$B,2,0)</f>
        <v>8025 JAMBA 152 MATE</v>
      </c>
      <c r="D508" s="35" t="str">
        <f>VLOOKUP(B508,BASE!$A:$D,3,0)</f>
        <v>MATE</v>
      </c>
      <c r="E508" s="32">
        <f>VLOOKUP(B508,BASE!$A:$E,4,0)</f>
        <v>152</v>
      </c>
      <c r="F508" s="32">
        <v>1800</v>
      </c>
      <c r="G508" s="23">
        <f t="shared" si="8"/>
        <v>0.3</v>
      </c>
    </row>
    <row r="509" spans="1:7" ht="20.25" hidden="1" customHeight="1" x14ac:dyDescent="0.25">
      <c r="A509" s="29">
        <v>9998</v>
      </c>
      <c r="B509" s="30" t="s">
        <v>449</v>
      </c>
      <c r="C509" s="31" t="str">
        <f>VLOOKUP(B509,BASE!$A:$B,2,0)</f>
        <v>8025 JAMBA 152 MATE</v>
      </c>
      <c r="D509" s="35" t="str">
        <f>VLOOKUP(B509,BASE!$A:$D,3,0)</f>
        <v>MATE</v>
      </c>
      <c r="E509" s="32">
        <f>VLOOKUP(B509,BASE!$A:$E,4,0)</f>
        <v>152</v>
      </c>
      <c r="F509" s="32">
        <v>1800</v>
      </c>
      <c r="G509" s="23">
        <f t="shared" si="8"/>
        <v>0.3</v>
      </c>
    </row>
    <row r="510" spans="1:7" ht="20.25" hidden="1" customHeight="1" x14ac:dyDescent="0.25">
      <c r="A510" s="29">
        <v>9999</v>
      </c>
      <c r="B510" s="30" t="s">
        <v>134</v>
      </c>
      <c r="C510" s="31" t="str">
        <f>VLOOKUP(B510,BASE!$A:$B,2,0)</f>
        <v>RIEL OPTIGLASS DOBLE SL-011 MATE</v>
      </c>
      <c r="D510" s="35" t="str">
        <f>VLOOKUP(B510,BASE!$A:$D,3,0)</f>
        <v>MATE</v>
      </c>
      <c r="E510" s="32" t="str">
        <f>VLOOKUP(B510,BASE!$A:$E,4,0)</f>
        <v>SL-011</v>
      </c>
      <c r="F510" s="32">
        <v>2600</v>
      </c>
      <c r="G510" s="23">
        <f t="shared" si="8"/>
        <v>0.43333333333333335</v>
      </c>
    </row>
    <row r="511" spans="1:7" ht="20.25" hidden="1" customHeight="1" x14ac:dyDescent="0.25">
      <c r="A511" s="29">
        <v>10000</v>
      </c>
      <c r="B511" s="30" t="s">
        <v>21</v>
      </c>
      <c r="C511" s="31" t="str">
        <f>VLOOKUP(B511,BASE!$A:$B,2,0)</f>
        <v>ALFAJIA S-012 MATE</v>
      </c>
      <c r="D511" s="35" t="str">
        <f>VLOOKUP(B511,BASE!$A:$D,3,0)</f>
        <v>MATE</v>
      </c>
      <c r="E511" s="32" t="str">
        <f>VLOOKUP(B511,BASE!$A:$E,4,0)</f>
        <v>S-012</v>
      </c>
      <c r="F511" s="32">
        <v>1700</v>
      </c>
      <c r="G511" s="23">
        <f t="shared" si="8"/>
        <v>0.28333333333333333</v>
      </c>
    </row>
    <row r="512" spans="1:7" ht="20.25" hidden="1" customHeight="1" x14ac:dyDescent="0.25">
      <c r="A512" s="29">
        <v>10002</v>
      </c>
      <c r="B512" s="30" t="s">
        <v>390</v>
      </c>
      <c r="C512" s="31" t="str">
        <f>VLOOKUP(B512,BASE!$A:$B,2,0)</f>
        <v>744 HORIZONTAL INFERIOR 390 BLANCO</v>
      </c>
      <c r="D512" s="35" t="str">
        <f>VLOOKUP(B512,BASE!$A:$D,3,0)</f>
        <v>BLANCO</v>
      </c>
      <c r="E512" s="32">
        <f>VLOOKUP(B512,BASE!$A:$E,4,0)</f>
        <v>390</v>
      </c>
      <c r="F512" s="32">
        <v>2300</v>
      </c>
      <c r="G512" s="23">
        <f t="shared" si="8"/>
        <v>0.38333333333333336</v>
      </c>
    </row>
    <row r="513" spans="1:7" ht="20.25" hidden="1" customHeight="1" x14ac:dyDescent="0.25">
      <c r="A513" s="29">
        <v>10003</v>
      </c>
      <c r="B513" s="30" t="s">
        <v>406</v>
      </c>
      <c r="C513" s="31" t="str">
        <f>VLOOKUP(B513,BASE!$A:$B,2,0)</f>
        <v>744 HORIZONTAL SUPERIOR 389 BLANCO</v>
      </c>
      <c r="D513" s="35" t="str">
        <f>VLOOKUP(B513,BASE!$A:$D,3,0)</f>
        <v>BLANCO</v>
      </c>
      <c r="E513" s="32">
        <f>VLOOKUP(B513,BASE!$A:$E,4,0)</f>
        <v>389</v>
      </c>
      <c r="F513" s="32">
        <v>2300</v>
      </c>
      <c r="G513" s="23">
        <f t="shared" si="8"/>
        <v>0.38333333333333336</v>
      </c>
    </row>
    <row r="514" spans="1:7" ht="20.25" hidden="1" customHeight="1" x14ac:dyDescent="0.25">
      <c r="A514" s="29">
        <v>10004</v>
      </c>
      <c r="B514" s="30" t="s">
        <v>727</v>
      </c>
      <c r="C514" s="31" t="str">
        <f>VLOOKUP(B514,BASE!$A:$B,2,0)</f>
        <v>RIEL OPTIGLASS DOBLE SL-011 NEGRO</v>
      </c>
      <c r="D514" s="35" t="str">
        <f>VLOOKUP(B514,BASE!$A:$D,3,0)</f>
        <v>NEGRO</v>
      </c>
      <c r="E514" s="32" t="str">
        <f>VLOOKUP(B514,BASE!$A:$E,4,0)</f>
        <v>SL-011</v>
      </c>
      <c r="F514" s="32">
        <v>3000</v>
      </c>
      <c r="G514" s="23">
        <f t="shared" si="8"/>
        <v>0.5</v>
      </c>
    </row>
    <row r="515" spans="1:7" ht="20.25" hidden="1" customHeight="1" x14ac:dyDescent="0.25">
      <c r="A515" s="29">
        <v>10006</v>
      </c>
      <c r="B515" s="30" t="s">
        <v>449</v>
      </c>
      <c r="C515" s="31" t="str">
        <f>VLOOKUP(B515,BASE!$A:$B,2,0)</f>
        <v>8025 JAMBA 152 MATE</v>
      </c>
      <c r="D515" s="35" t="str">
        <f>VLOOKUP(B515,BASE!$A:$D,3,0)</f>
        <v>MATE</v>
      </c>
      <c r="E515" s="32">
        <f>VLOOKUP(B515,BASE!$A:$E,4,0)</f>
        <v>152</v>
      </c>
      <c r="F515" s="32">
        <v>1800</v>
      </c>
      <c r="G515" s="23">
        <f t="shared" si="8"/>
        <v>0.3</v>
      </c>
    </row>
    <row r="516" spans="1:7" ht="20.25" hidden="1" customHeight="1" x14ac:dyDescent="0.25">
      <c r="A516" s="29">
        <v>10007</v>
      </c>
      <c r="B516" s="30" t="s">
        <v>449</v>
      </c>
      <c r="C516" s="31" t="str">
        <f>VLOOKUP(B516,BASE!$A:$B,2,0)</f>
        <v>8025 JAMBA 152 MATE</v>
      </c>
      <c r="D516" s="35" t="str">
        <f>VLOOKUP(B516,BASE!$A:$D,3,0)</f>
        <v>MATE</v>
      </c>
      <c r="E516" s="32">
        <f>VLOOKUP(B516,BASE!$A:$E,4,0)</f>
        <v>152</v>
      </c>
      <c r="F516" s="32">
        <v>1800</v>
      </c>
      <c r="G516" s="23">
        <f t="shared" si="8"/>
        <v>0.3</v>
      </c>
    </row>
    <row r="517" spans="1:7" ht="20.25" hidden="1" customHeight="1" x14ac:dyDescent="0.25">
      <c r="A517" s="29">
        <v>10009</v>
      </c>
      <c r="B517" s="30" t="s">
        <v>482</v>
      </c>
      <c r="C517" s="31" t="str">
        <f>VLOOKUP(B517,BASE!$A:$B,2,0)</f>
        <v>744 SILLAR 387 BLANCO</v>
      </c>
      <c r="D517" s="35" t="str">
        <f>VLOOKUP(B517,BASE!$A:$D,3,0)</f>
        <v>BLANCO</v>
      </c>
      <c r="E517" s="32">
        <f>VLOOKUP(B517,BASE!$A:$E,4,0)</f>
        <v>387</v>
      </c>
      <c r="F517" s="32">
        <v>2300</v>
      </c>
      <c r="G517" s="23">
        <f t="shared" si="8"/>
        <v>0.38333333333333336</v>
      </c>
    </row>
    <row r="518" spans="1:7" ht="20.25" hidden="1" customHeight="1" x14ac:dyDescent="0.25">
      <c r="A518" s="29">
        <v>10010</v>
      </c>
      <c r="B518" s="30" t="s">
        <v>328</v>
      </c>
      <c r="C518" s="31" t="str">
        <f>VLOOKUP(B518,BASE!$A:$B,2,0)</f>
        <v>744 CABEZAL 392 BLANCO</v>
      </c>
      <c r="D518" s="35" t="str">
        <f>VLOOKUP(B518,BASE!$A:$D,3,0)</f>
        <v>BLANCO</v>
      </c>
      <c r="E518" s="32">
        <f>VLOOKUP(B518,BASE!$A:$E,4,0)</f>
        <v>392</v>
      </c>
      <c r="F518" s="32">
        <v>2300</v>
      </c>
      <c r="G518" s="23">
        <f t="shared" si="8"/>
        <v>0.38333333333333336</v>
      </c>
    </row>
    <row r="519" spans="1:7" ht="20.25" hidden="1" customHeight="1" x14ac:dyDescent="0.25">
      <c r="A519" s="29">
        <v>10011</v>
      </c>
      <c r="B519" s="30" t="s">
        <v>127</v>
      </c>
      <c r="C519" s="31" t="str">
        <f>VLOOKUP(B519,BASE!$A:$B,2,0)</f>
        <v>PERFIL F 463 MATE</v>
      </c>
      <c r="D519" s="35" t="str">
        <f>VLOOKUP(B519,BASE!$A:$D,3,0)</f>
        <v>MATE</v>
      </c>
      <c r="E519" s="32" t="str">
        <f>VLOOKUP(B519,BASE!$A:$E,4,0)</f>
        <v>F-463</v>
      </c>
      <c r="F519" s="32">
        <v>2500</v>
      </c>
      <c r="G519" s="23">
        <f t="shared" si="8"/>
        <v>0.41666666666666669</v>
      </c>
    </row>
    <row r="520" spans="1:7" ht="20.25" hidden="1" customHeight="1" x14ac:dyDescent="0.25">
      <c r="A520" s="29">
        <v>10012</v>
      </c>
      <c r="B520" s="30" t="s">
        <v>129</v>
      </c>
      <c r="C520" s="31" t="str">
        <f>VLOOKUP(B520,BASE!$A:$B,2,0)</f>
        <v>3831 DIVISOR 292 MATE</v>
      </c>
      <c r="D520" s="35" t="str">
        <f>VLOOKUP(B520,BASE!$A:$D,3,0)</f>
        <v>MATE</v>
      </c>
      <c r="E520" s="32">
        <f>VLOOKUP(B520,BASE!$A:$E,4,0)</f>
        <v>292</v>
      </c>
      <c r="F520" s="32">
        <v>1300</v>
      </c>
      <c r="G520" s="23">
        <f t="shared" si="8"/>
        <v>0.21666666666666667</v>
      </c>
    </row>
    <row r="521" spans="1:7" ht="20.25" hidden="1" customHeight="1" x14ac:dyDescent="0.25">
      <c r="A521" s="29">
        <v>10013</v>
      </c>
      <c r="B521" s="30" t="s">
        <v>34</v>
      </c>
      <c r="C521" s="31" t="str">
        <f>VLOOKUP(B521,BASE!$A:$B,2,0)</f>
        <v>TUBULAR T-244 NEGRO</v>
      </c>
      <c r="D521" s="35" t="str">
        <f>VLOOKUP(B521,BASE!$A:$D,3,0)</f>
        <v>NEGRO</v>
      </c>
      <c r="E521" s="32" t="str">
        <f>VLOOKUP(B521,BASE!$A:$E,4,0)</f>
        <v>T-244</v>
      </c>
      <c r="F521" s="32">
        <v>1800</v>
      </c>
      <c r="G521" s="23">
        <f t="shared" si="8"/>
        <v>0.3</v>
      </c>
    </row>
    <row r="522" spans="1:7" ht="20.25" hidden="1" customHeight="1" x14ac:dyDescent="0.25">
      <c r="A522" s="29">
        <v>10014</v>
      </c>
      <c r="B522" s="30" t="s">
        <v>34</v>
      </c>
      <c r="C522" s="31" t="str">
        <f>VLOOKUP(B522,BASE!$A:$B,2,0)</f>
        <v>TUBULAR T-244 NEGRO</v>
      </c>
      <c r="D522" s="35" t="str">
        <f>VLOOKUP(B522,BASE!$A:$D,3,0)</f>
        <v>NEGRO</v>
      </c>
      <c r="E522" s="32" t="str">
        <f>VLOOKUP(B522,BASE!$A:$E,4,0)</f>
        <v>T-244</v>
      </c>
      <c r="F522" s="32">
        <v>1800</v>
      </c>
      <c r="G522" s="23">
        <f t="shared" si="8"/>
        <v>0.3</v>
      </c>
    </row>
    <row r="523" spans="1:7" ht="20.25" hidden="1" customHeight="1" x14ac:dyDescent="0.25">
      <c r="A523" s="29">
        <v>10015</v>
      </c>
      <c r="B523" s="30" t="s">
        <v>34</v>
      </c>
      <c r="C523" s="31" t="str">
        <f>VLOOKUP(B523,BASE!$A:$B,2,0)</f>
        <v>TUBULAR T-244 NEGRO</v>
      </c>
      <c r="D523" s="35" t="str">
        <f>VLOOKUP(B523,BASE!$A:$D,3,0)</f>
        <v>NEGRO</v>
      </c>
      <c r="E523" s="32" t="str">
        <f>VLOOKUP(B523,BASE!$A:$E,4,0)</f>
        <v>T-244</v>
      </c>
      <c r="F523" s="32">
        <v>1400</v>
      </c>
      <c r="G523" s="23">
        <f t="shared" si="8"/>
        <v>0.23333333333333334</v>
      </c>
    </row>
    <row r="524" spans="1:7" ht="20.25" hidden="1" customHeight="1" x14ac:dyDescent="0.25">
      <c r="A524" s="29">
        <v>10018</v>
      </c>
      <c r="B524" s="30" t="s">
        <v>105</v>
      </c>
      <c r="C524" s="31" t="str">
        <f>VLOOKUP(B524,BASE!$A:$B,2,0)</f>
        <v>3831 PISAVIDRIO 177 BRONCE</v>
      </c>
      <c r="D524" s="35" t="str">
        <f>VLOOKUP(B524,BASE!$A:$D,3,0)</f>
        <v>BRONCE</v>
      </c>
      <c r="E524" s="32">
        <f>VLOOKUP(B524,BASE!$A:$E,4,0)</f>
        <v>177</v>
      </c>
      <c r="F524" s="32">
        <v>1400</v>
      </c>
      <c r="G524" s="23">
        <f t="shared" si="8"/>
        <v>0.23333333333333334</v>
      </c>
    </row>
    <row r="525" spans="1:7" ht="20.25" hidden="1" customHeight="1" x14ac:dyDescent="0.25">
      <c r="A525" s="29">
        <v>10019</v>
      </c>
      <c r="B525" s="30" t="s">
        <v>867</v>
      </c>
      <c r="C525" s="31" t="str">
        <f>VLOOKUP(B525,BASE!$A:$B,2,0)</f>
        <v>PERSIANA 315 BRONCE</v>
      </c>
      <c r="D525" s="35" t="str">
        <f>VLOOKUP(B525,BASE!$A:$D,3,0)</f>
        <v>BRONCE</v>
      </c>
      <c r="E525" s="32">
        <f>VLOOKUP(B525,BASE!$A:$E,4,0)</f>
        <v>315</v>
      </c>
      <c r="F525" s="32">
        <v>3900</v>
      </c>
      <c r="G525" s="23">
        <f t="shared" si="8"/>
        <v>0.65</v>
      </c>
    </row>
    <row r="526" spans="1:7" ht="20.25" hidden="1" customHeight="1" x14ac:dyDescent="0.25">
      <c r="A526" s="29">
        <v>10020</v>
      </c>
      <c r="B526" s="30" t="s">
        <v>164</v>
      </c>
      <c r="C526" s="31" t="str">
        <f>VLOOKUP(B526,BASE!$A:$B,2,0)</f>
        <v>TUBULAR T-244 MATE</v>
      </c>
      <c r="D526" s="35" t="str">
        <f>VLOOKUP(B526,BASE!$A:$D,3,0)</f>
        <v>MATE</v>
      </c>
      <c r="E526" s="32" t="str">
        <f>VLOOKUP(B526,BASE!$A:$E,4,0)</f>
        <v>T-244</v>
      </c>
      <c r="F526" s="32">
        <v>700</v>
      </c>
      <c r="G526" s="23">
        <f t="shared" si="8"/>
        <v>0.11666666666666667</v>
      </c>
    </row>
    <row r="527" spans="1:7" ht="20.25" hidden="1" customHeight="1" x14ac:dyDescent="0.25">
      <c r="A527" s="29">
        <v>10021</v>
      </c>
      <c r="B527" s="30" t="s">
        <v>164</v>
      </c>
      <c r="C527" s="31" t="str">
        <f>VLOOKUP(B527,BASE!$A:$B,2,0)</f>
        <v>TUBULAR T-244 MATE</v>
      </c>
      <c r="D527" s="35" t="str">
        <f>VLOOKUP(B527,BASE!$A:$D,3,0)</f>
        <v>MATE</v>
      </c>
      <c r="E527" s="32" t="str">
        <f>VLOOKUP(B527,BASE!$A:$E,4,0)</f>
        <v>T-244</v>
      </c>
      <c r="F527" s="32">
        <v>700</v>
      </c>
      <c r="G527" s="23">
        <f t="shared" si="8"/>
        <v>0.11666666666666667</v>
      </c>
    </row>
    <row r="528" spans="1:7" ht="20.25" hidden="1" customHeight="1" x14ac:dyDescent="0.25">
      <c r="A528" s="29">
        <v>10023</v>
      </c>
      <c r="B528" s="30" t="s">
        <v>84</v>
      </c>
      <c r="C528" s="31" t="str">
        <f>VLOOKUP(B528,BASE!$A:$B,2,0)</f>
        <v>TUBULAR 1101 MATE</v>
      </c>
      <c r="D528" s="35" t="str">
        <f>VLOOKUP(B528,BASE!$A:$D,3,0)</f>
        <v>MATE</v>
      </c>
      <c r="E528" s="32">
        <f>VLOOKUP(B528,BASE!$A:$E,4,0)</f>
        <v>1101</v>
      </c>
      <c r="F528" s="32">
        <v>900</v>
      </c>
      <c r="G528" s="23">
        <f t="shared" si="8"/>
        <v>0.15</v>
      </c>
    </row>
    <row r="529" spans="1:7" ht="20.25" hidden="1" customHeight="1" x14ac:dyDescent="0.25">
      <c r="A529" s="29">
        <v>10027</v>
      </c>
      <c r="B529" s="30" t="s">
        <v>167</v>
      </c>
      <c r="C529" s="31" t="str">
        <f>VLOOKUP(B529,BASE!$A:$B,2,0)</f>
        <v>3831 JAMBA 174 MATE</v>
      </c>
      <c r="D529" s="35" t="str">
        <f>VLOOKUP(B529,BASE!$A:$D,3,0)</f>
        <v>MATE</v>
      </c>
      <c r="E529" s="32">
        <f>VLOOKUP(B529,BASE!$A:$E,4,0)</f>
        <v>174</v>
      </c>
      <c r="F529" s="32">
        <v>600</v>
      </c>
      <c r="G529" s="23">
        <f t="shared" si="8"/>
        <v>0.1</v>
      </c>
    </row>
    <row r="530" spans="1:7" ht="20.25" hidden="1" customHeight="1" x14ac:dyDescent="0.25">
      <c r="A530" s="29">
        <v>10028</v>
      </c>
      <c r="B530" s="30" t="s">
        <v>129</v>
      </c>
      <c r="C530" s="31" t="str">
        <f>VLOOKUP(B530,BASE!$A:$B,2,0)</f>
        <v>3831 DIVISOR 292 MATE</v>
      </c>
      <c r="D530" s="35" t="str">
        <f>VLOOKUP(B530,BASE!$A:$D,3,0)</f>
        <v>MATE</v>
      </c>
      <c r="E530" s="32">
        <f>VLOOKUP(B530,BASE!$A:$E,4,0)</f>
        <v>292</v>
      </c>
      <c r="F530" s="32">
        <v>500</v>
      </c>
      <c r="G530" s="23">
        <f t="shared" si="8"/>
        <v>8.3333333333333329E-2</v>
      </c>
    </row>
    <row r="531" spans="1:7" ht="20.25" hidden="1" customHeight="1" x14ac:dyDescent="0.25">
      <c r="A531" s="29">
        <v>10029</v>
      </c>
      <c r="B531" s="30" t="s">
        <v>121</v>
      </c>
      <c r="C531" s="31" t="str">
        <f>VLOOKUP(B531,BASE!$A:$B,2,0)</f>
        <v>744 HORIZONTAL INFERIOR 390 MATE</v>
      </c>
      <c r="D531" s="35" t="str">
        <f>VLOOKUP(B531,BASE!$A:$D,3,0)</f>
        <v>MATE</v>
      </c>
      <c r="E531" s="32">
        <f>VLOOKUP(B531,BASE!$A:$E,4,0)</f>
        <v>390</v>
      </c>
      <c r="F531" s="32">
        <v>700</v>
      </c>
      <c r="G531" s="23">
        <f t="shared" si="8"/>
        <v>0.11666666666666667</v>
      </c>
    </row>
    <row r="532" spans="1:7" ht="20.25" hidden="1" customHeight="1" x14ac:dyDescent="0.25">
      <c r="A532" s="29">
        <v>10033</v>
      </c>
      <c r="B532" s="30" t="s">
        <v>167</v>
      </c>
      <c r="C532" s="31" t="str">
        <f>VLOOKUP(B532,BASE!$A:$B,2,0)</f>
        <v>3831 JAMBA 174 MATE</v>
      </c>
      <c r="D532" s="35" t="str">
        <f>VLOOKUP(B532,BASE!$A:$D,3,0)</f>
        <v>MATE</v>
      </c>
      <c r="E532" s="32">
        <f>VLOOKUP(B532,BASE!$A:$E,4,0)</f>
        <v>174</v>
      </c>
      <c r="F532" s="32">
        <v>600</v>
      </c>
      <c r="G532" s="23">
        <f t="shared" si="8"/>
        <v>0.1</v>
      </c>
    </row>
    <row r="533" spans="1:7" ht="20.25" hidden="1" customHeight="1" x14ac:dyDescent="0.25">
      <c r="A533" s="29">
        <v>10036</v>
      </c>
      <c r="B533" s="30" t="s">
        <v>252</v>
      </c>
      <c r="C533" s="31" t="str">
        <f>VLOOKUP(B533,BASE!$A:$B,2,0)</f>
        <v>TUBULAR T-244 BLANCO</v>
      </c>
      <c r="D533" s="35" t="str">
        <f>VLOOKUP(B533,BASE!$A:$D,3,0)</f>
        <v>BLANCO</v>
      </c>
      <c r="E533" s="32" t="str">
        <f>VLOOKUP(B533,BASE!$A:$E,4,0)</f>
        <v>T-244</v>
      </c>
      <c r="F533" s="32">
        <v>1000</v>
      </c>
      <c r="G533" s="23">
        <f t="shared" si="8"/>
        <v>0.16666666666666666</v>
      </c>
    </row>
    <row r="534" spans="1:7" ht="20.25" hidden="1" customHeight="1" x14ac:dyDescent="0.25">
      <c r="A534" s="29">
        <v>10037</v>
      </c>
      <c r="B534" s="30" t="s">
        <v>598</v>
      </c>
      <c r="C534" s="31" t="str">
        <f>VLOOKUP(B534,BASE!$A:$B,2,0)</f>
        <v>8025 JAMBA 152 BLANCO</v>
      </c>
      <c r="D534" s="35" t="str">
        <f>VLOOKUP(B534,BASE!$A:$D,3,0)</f>
        <v>BLANCO</v>
      </c>
      <c r="E534" s="32">
        <f>VLOOKUP(B534,BASE!$A:$E,4,0)</f>
        <v>152</v>
      </c>
      <c r="F534" s="32">
        <v>1000</v>
      </c>
      <c r="G534" s="23">
        <f t="shared" si="8"/>
        <v>0.16666666666666666</v>
      </c>
    </row>
    <row r="535" spans="1:7" ht="20.25" hidden="1" customHeight="1" x14ac:dyDescent="0.25">
      <c r="A535" s="29">
        <v>10038</v>
      </c>
      <c r="B535" s="30" t="s">
        <v>598</v>
      </c>
      <c r="C535" s="31" t="str">
        <f>VLOOKUP(B535,BASE!$A:$B,2,0)</f>
        <v>8025 JAMBA 152 BLANCO</v>
      </c>
      <c r="D535" s="35" t="str">
        <f>VLOOKUP(B535,BASE!$A:$D,3,0)</f>
        <v>BLANCO</v>
      </c>
      <c r="E535" s="32">
        <f>VLOOKUP(B535,BASE!$A:$E,4,0)</f>
        <v>152</v>
      </c>
      <c r="F535" s="32">
        <v>1000</v>
      </c>
      <c r="G535" s="23">
        <f t="shared" si="8"/>
        <v>0.16666666666666666</v>
      </c>
    </row>
    <row r="536" spans="1:7" ht="20.25" hidden="1" customHeight="1" x14ac:dyDescent="0.25">
      <c r="A536" s="29">
        <v>10039</v>
      </c>
      <c r="B536" s="30" t="s">
        <v>667</v>
      </c>
      <c r="C536" s="31" t="str">
        <f>VLOOKUP(B536,BASE!$A:$B,2,0)</f>
        <v>8025 SILLAR 150 BLANCO</v>
      </c>
      <c r="D536" s="35" t="str">
        <f>VLOOKUP(B536,BASE!$A:$D,3,0)</f>
        <v>BLANCO</v>
      </c>
      <c r="E536" s="32">
        <f>VLOOKUP(B536,BASE!$A:$E,4,0)</f>
        <v>150</v>
      </c>
      <c r="F536" s="32">
        <v>1100</v>
      </c>
      <c r="G536" s="23">
        <f t="shared" si="8"/>
        <v>0.18333333333333332</v>
      </c>
    </row>
    <row r="537" spans="1:7" ht="20.25" hidden="1" customHeight="1" x14ac:dyDescent="0.25">
      <c r="A537" s="29">
        <v>10040</v>
      </c>
      <c r="B537" s="30" t="s">
        <v>532</v>
      </c>
      <c r="C537" s="31" t="str">
        <f>VLOOKUP(B537,BASE!$A:$B,2,0)</f>
        <v>8025 TRASLAPE 190 BLANCO</v>
      </c>
      <c r="D537" s="35" t="str">
        <f>VLOOKUP(B537,BASE!$A:$D,3,0)</f>
        <v>BLANCO</v>
      </c>
      <c r="E537" s="32">
        <f>VLOOKUP(B537,BASE!$A:$E,4,0)</f>
        <v>190</v>
      </c>
      <c r="F537" s="32">
        <v>1100</v>
      </c>
      <c r="G537" s="23">
        <f t="shared" si="8"/>
        <v>0.18333333333333332</v>
      </c>
    </row>
    <row r="538" spans="1:7" ht="20.25" hidden="1" customHeight="1" x14ac:dyDescent="0.25">
      <c r="A538" s="29">
        <v>10041</v>
      </c>
      <c r="B538" s="30" t="s">
        <v>532</v>
      </c>
      <c r="C538" s="31" t="str">
        <f>VLOOKUP(B538,BASE!$A:$B,2,0)</f>
        <v>8025 TRASLAPE 190 BLANCO</v>
      </c>
      <c r="D538" s="35" t="str">
        <f>VLOOKUP(B538,BASE!$A:$D,3,0)</f>
        <v>BLANCO</v>
      </c>
      <c r="E538" s="32">
        <f>VLOOKUP(B538,BASE!$A:$E,4,0)</f>
        <v>190</v>
      </c>
      <c r="F538" s="32">
        <v>1100</v>
      </c>
      <c r="G538" s="23">
        <f t="shared" si="8"/>
        <v>0.18333333333333332</v>
      </c>
    </row>
    <row r="539" spans="1:7" ht="20.25" hidden="1" customHeight="1" x14ac:dyDescent="0.25">
      <c r="A539" s="29">
        <v>10042</v>
      </c>
      <c r="B539" s="30" t="s">
        <v>220</v>
      </c>
      <c r="C539" s="31" t="str">
        <f>VLOOKUP(B539,BASE!$A:$B,2,0)</f>
        <v>8025 ENGANCHE 191 BLANCO</v>
      </c>
      <c r="D539" s="35" t="str">
        <f>VLOOKUP(B539,BASE!$A:$D,3,0)</f>
        <v>BLANCO</v>
      </c>
      <c r="E539" s="32">
        <f>VLOOKUP(B539,BASE!$A:$E,4,0)</f>
        <v>191</v>
      </c>
      <c r="F539" s="32">
        <v>1100</v>
      </c>
      <c r="G539" s="23">
        <f t="shared" si="8"/>
        <v>0.18333333333333332</v>
      </c>
    </row>
    <row r="540" spans="1:7" ht="20.25" hidden="1" customHeight="1" x14ac:dyDescent="0.25">
      <c r="A540" s="29">
        <v>10043</v>
      </c>
      <c r="B540" s="30" t="s">
        <v>118</v>
      </c>
      <c r="C540" s="31" t="str">
        <f>VLOOKUP(B540,BASE!$A:$B,2,0)</f>
        <v>744 ENGANCHE 391 BLANCO</v>
      </c>
      <c r="D540" s="35" t="str">
        <f>VLOOKUP(B540,BASE!$A:$D,3,0)</f>
        <v>BLANCO</v>
      </c>
      <c r="E540" s="32">
        <f>VLOOKUP(B540,BASE!$A:$E,4,0)</f>
        <v>391</v>
      </c>
      <c r="F540" s="32">
        <v>1000</v>
      </c>
      <c r="G540" s="23">
        <f t="shared" si="8"/>
        <v>0.16666666666666666</v>
      </c>
    </row>
    <row r="541" spans="1:7" ht="20.25" hidden="1" customHeight="1" x14ac:dyDescent="0.25">
      <c r="A541" s="29">
        <v>10044</v>
      </c>
      <c r="B541" s="30" t="s">
        <v>21</v>
      </c>
      <c r="C541" s="31" t="str">
        <f>VLOOKUP(B541,BASE!$A:$B,2,0)</f>
        <v>ALFAJIA S-012 MATE</v>
      </c>
      <c r="D541" s="35" t="str">
        <f>VLOOKUP(B541,BASE!$A:$D,3,0)</f>
        <v>MATE</v>
      </c>
      <c r="E541" s="32" t="str">
        <f>VLOOKUP(B541,BASE!$A:$E,4,0)</f>
        <v>S-012</v>
      </c>
      <c r="F541" s="32">
        <v>700</v>
      </c>
      <c r="G541" s="23">
        <f t="shared" si="8"/>
        <v>0.11666666666666667</v>
      </c>
    </row>
    <row r="542" spans="1:7" ht="20.25" hidden="1" customHeight="1" x14ac:dyDescent="0.25">
      <c r="A542" s="29">
        <v>10046</v>
      </c>
      <c r="B542" s="30" t="s">
        <v>26</v>
      </c>
      <c r="C542" s="31" t="str">
        <f>VLOOKUP(B542,BASE!$A:$B,2,0)</f>
        <v>744 SILLAR 387 MATE</v>
      </c>
      <c r="D542" s="35" t="str">
        <f>VLOOKUP(B542,BASE!$A:$D,3,0)</f>
        <v>MATE</v>
      </c>
      <c r="E542" s="32">
        <f>VLOOKUP(B542,BASE!$A:$E,4,0)</f>
        <v>387</v>
      </c>
      <c r="F542" s="32">
        <v>800</v>
      </c>
      <c r="G542" s="23">
        <f t="shared" si="8"/>
        <v>0.13333333333333333</v>
      </c>
    </row>
    <row r="543" spans="1:7" ht="20.25" hidden="1" customHeight="1" x14ac:dyDescent="0.25">
      <c r="A543" s="29">
        <v>10047</v>
      </c>
      <c r="B543" s="30" t="s">
        <v>694</v>
      </c>
      <c r="C543" s="31" t="str">
        <f>VLOOKUP(B543,BASE!$A:$B,2,0)</f>
        <v>744 CABEZAL 392 MATE</v>
      </c>
      <c r="D543" s="35" t="str">
        <f>VLOOKUP(B543,BASE!$A:$D,3,0)</f>
        <v>MATE</v>
      </c>
      <c r="E543" s="32">
        <f>VLOOKUP(B543,BASE!$A:$E,4,0)</f>
        <v>392</v>
      </c>
      <c r="F543" s="32">
        <v>800</v>
      </c>
      <c r="G543" s="23">
        <f t="shared" si="8"/>
        <v>0.13333333333333333</v>
      </c>
    </row>
    <row r="544" spans="1:7" ht="20.25" hidden="1" customHeight="1" x14ac:dyDescent="0.25">
      <c r="A544" s="29">
        <v>10048</v>
      </c>
      <c r="B544" s="30" t="s">
        <v>694</v>
      </c>
      <c r="C544" s="31" t="str">
        <f>VLOOKUP(B544,BASE!$A:$B,2,0)</f>
        <v>744 CABEZAL 392 MATE</v>
      </c>
      <c r="D544" s="35" t="str">
        <f>VLOOKUP(B544,BASE!$A:$D,3,0)</f>
        <v>MATE</v>
      </c>
      <c r="E544" s="32">
        <f>VLOOKUP(B544,BASE!$A:$E,4,0)</f>
        <v>392</v>
      </c>
      <c r="F544" s="32">
        <v>1000</v>
      </c>
      <c r="G544" s="23">
        <f t="shared" si="8"/>
        <v>0.16666666666666666</v>
      </c>
    </row>
    <row r="545" spans="1:7" ht="20.25" hidden="1" customHeight="1" x14ac:dyDescent="0.25">
      <c r="A545" s="29">
        <v>10050</v>
      </c>
      <c r="B545" s="30" t="s">
        <v>21</v>
      </c>
      <c r="C545" s="31" t="str">
        <f>VLOOKUP(B545,BASE!$A:$B,2,0)</f>
        <v>ALFAJIA S-012 MATE</v>
      </c>
      <c r="D545" s="35" t="str">
        <f>VLOOKUP(B545,BASE!$A:$D,3,0)</f>
        <v>MATE</v>
      </c>
      <c r="E545" s="32" t="str">
        <f>VLOOKUP(B545,BASE!$A:$E,4,0)</f>
        <v>S-012</v>
      </c>
      <c r="F545" s="32">
        <v>800</v>
      </c>
      <c r="G545" s="23">
        <f t="shared" si="8"/>
        <v>0.13333333333333333</v>
      </c>
    </row>
    <row r="546" spans="1:7" ht="20.25" hidden="1" customHeight="1" x14ac:dyDescent="0.25">
      <c r="A546" s="29">
        <v>10052</v>
      </c>
      <c r="B546" s="30" t="s">
        <v>113</v>
      </c>
      <c r="C546" s="31" t="str">
        <f>VLOOKUP(B546,BASE!$A:$B,2,0)</f>
        <v>744 HORIZONTAL SUPERIOR 389 MATE</v>
      </c>
      <c r="D546" s="35" t="str">
        <f>VLOOKUP(B546,BASE!$A:$D,3,0)</f>
        <v>MATE</v>
      </c>
      <c r="E546" s="32">
        <f>VLOOKUP(B546,BASE!$A:$E,4,0)</f>
        <v>389</v>
      </c>
      <c r="F546" s="32">
        <v>500</v>
      </c>
      <c r="G546" s="23">
        <f t="shared" si="8"/>
        <v>8.3333333333333329E-2</v>
      </c>
    </row>
    <row r="547" spans="1:7" ht="20.25" hidden="1" customHeight="1" x14ac:dyDescent="0.25">
      <c r="A547" s="29">
        <v>10055</v>
      </c>
      <c r="B547" s="30" t="s">
        <v>119</v>
      </c>
      <c r="C547" s="31" t="str">
        <f>VLOOKUP(B547,BASE!$A:$B,2,0)</f>
        <v>744 ENGANCHE 391 MATE</v>
      </c>
      <c r="D547" s="35" t="str">
        <f>VLOOKUP(B547,BASE!$A:$D,3,0)</f>
        <v>MATE</v>
      </c>
      <c r="E547" s="32">
        <f>VLOOKUP(B547,BASE!$A:$E,4,0)</f>
        <v>391</v>
      </c>
      <c r="F547" s="32">
        <v>900</v>
      </c>
      <c r="G547" s="23">
        <f t="shared" si="8"/>
        <v>0.15</v>
      </c>
    </row>
    <row r="548" spans="1:7" ht="20.25" hidden="1" customHeight="1" x14ac:dyDescent="0.25">
      <c r="A548" s="29">
        <v>10056</v>
      </c>
      <c r="B548" s="30" t="s">
        <v>124</v>
      </c>
      <c r="C548" s="31" t="str">
        <f>VLOOKUP(B548,BASE!$A:$B,2,0)</f>
        <v>3831 SILLAR CABEZAL 173 MATE</v>
      </c>
      <c r="D548" s="35" t="str">
        <f>VLOOKUP(B548,BASE!$A:$D,3,0)</f>
        <v>MATE</v>
      </c>
      <c r="E548" s="32">
        <f>VLOOKUP(B548,BASE!$A:$E,4,0)</f>
        <v>173</v>
      </c>
      <c r="F548" s="32">
        <v>600</v>
      </c>
      <c r="G548" s="23">
        <f t="shared" si="8"/>
        <v>0.1</v>
      </c>
    </row>
    <row r="549" spans="1:7" ht="20.25" hidden="1" customHeight="1" x14ac:dyDescent="0.25">
      <c r="A549" s="29">
        <v>10060</v>
      </c>
      <c r="B549" s="30" t="s">
        <v>377</v>
      </c>
      <c r="C549" s="31" t="str">
        <f>VLOOKUP(B549,BASE!$A:$B,2,0)</f>
        <v>8025 ENGANCHE 191 NEGRO</v>
      </c>
      <c r="D549" s="35" t="str">
        <f>VLOOKUP(B549,BASE!$A:$D,3,0)</f>
        <v>NEGRO</v>
      </c>
      <c r="E549" s="32">
        <f>VLOOKUP(B549,BASE!$A:$E,4,0)</f>
        <v>191</v>
      </c>
      <c r="F549" s="32">
        <v>800</v>
      </c>
      <c r="G549" s="23">
        <f t="shared" si="8"/>
        <v>0.13333333333333333</v>
      </c>
    </row>
    <row r="550" spans="1:7" ht="20.25" hidden="1" customHeight="1" x14ac:dyDescent="0.25">
      <c r="A550" s="29">
        <v>10061</v>
      </c>
      <c r="B550" s="30" t="s">
        <v>188</v>
      </c>
      <c r="C550" s="31" t="str">
        <f>VLOOKUP(B550,BASE!$A:$B,2,0)</f>
        <v>3831 NAVE 176 NEGRO</v>
      </c>
      <c r="D550" s="35" t="str">
        <f>VLOOKUP(B550,BASE!$A:$D,3,0)</f>
        <v>NEGRO</v>
      </c>
      <c r="E550" s="32">
        <f>VLOOKUP(B550,BASE!$A:$E,4,0)</f>
        <v>176</v>
      </c>
      <c r="F550" s="32">
        <v>700</v>
      </c>
      <c r="G550" s="23">
        <f t="shared" si="8"/>
        <v>0.11666666666666667</v>
      </c>
    </row>
    <row r="551" spans="1:7" ht="20.25" hidden="1" customHeight="1" x14ac:dyDescent="0.25">
      <c r="A551" s="29">
        <v>10062</v>
      </c>
      <c r="B551" s="30" t="s">
        <v>158</v>
      </c>
      <c r="C551" s="31" t="str">
        <f>VLOOKUP(B551,BASE!$A:$B,2,0)</f>
        <v>3831 ADAPTADOR 175 NEGRO</v>
      </c>
      <c r="D551" s="35" t="str">
        <f>VLOOKUP(B551,BASE!$A:$D,3,0)</f>
        <v>NEGRO</v>
      </c>
      <c r="E551" s="32">
        <f>VLOOKUP(B551,BASE!$A:$E,4,0)</f>
        <v>175</v>
      </c>
      <c r="F551" s="32">
        <v>600</v>
      </c>
      <c r="G551" s="23">
        <f t="shared" si="8"/>
        <v>0.1</v>
      </c>
    </row>
    <row r="552" spans="1:7" ht="20.25" hidden="1" customHeight="1" x14ac:dyDescent="0.25">
      <c r="A552" s="29">
        <v>10063</v>
      </c>
      <c r="B552" s="30" t="s">
        <v>187</v>
      </c>
      <c r="C552" s="31" t="str">
        <f>VLOOKUP(B552,BASE!$A:$B,2,0)</f>
        <v>3831 JAMBA 174 NEGRO</v>
      </c>
      <c r="D552" s="35" t="str">
        <f>VLOOKUP(B552,BASE!$A:$D,3,0)</f>
        <v>NEGRO</v>
      </c>
      <c r="E552" s="32">
        <f>VLOOKUP(B552,BASE!$A:$E,4,0)</f>
        <v>174</v>
      </c>
      <c r="F552" s="32">
        <v>900</v>
      </c>
      <c r="G552" s="23">
        <f t="shared" si="8"/>
        <v>0.15</v>
      </c>
    </row>
    <row r="553" spans="1:7" ht="20.25" hidden="1" customHeight="1" x14ac:dyDescent="0.25">
      <c r="A553" s="29">
        <v>10064</v>
      </c>
      <c r="B553" s="30" t="s">
        <v>116</v>
      </c>
      <c r="C553" s="31" t="str">
        <f>VLOOKUP(B553,BASE!$A:$B,2,0)</f>
        <v>744 JAMBA 393 BLANCO</v>
      </c>
      <c r="D553" s="35" t="str">
        <f>VLOOKUP(B553,BASE!$A:$D,3,0)</f>
        <v>BLANCO</v>
      </c>
      <c r="E553" s="32">
        <f>VLOOKUP(B553,BASE!$A:$E,4,0)</f>
        <v>393</v>
      </c>
      <c r="F553" s="32">
        <v>800</v>
      </c>
      <c r="G553" s="23">
        <f t="shared" si="8"/>
        <v>0.13333333333333333</v>
      </c>
    </row>
    <row r="554" spans="1:7" ht="20.25" hidden="1" customHeight="1" x14ac:dyDescent="0.25">
      <c r="A554" s="29">
        <v>10065</v>
      </c>
      <c r="B554" s="30" t="s">
        <v>117</v>
      </c>
      <c r="C554" s="31" t="str">
        <f>VLOOKUP(B554,BASE!$A:$B,2,0)</f>
        <v>744 TRASLAPE 388 BLANCO</v>
      </c>
      <c r="D554" s="35" t="str">
        <f>VLOOKUP(B554,BASE!$A:$D,3,0)</f>
        <v>BLANCO</v>
      </c>
      <c r="E554" s="32">
        <f>VLOOKUP(B554,BASE!$A:$E,4,0)</f>
        <v>388</v>
      </c>
      <c r="F554" s="32">
        <v>900</v>
      </c>
      <c r="G554" s="23">
        <f t="shared" ref="G554:G617" si="9">+F554/6000</f>
        <v>0.15</v>
      </c>
    </row>
    <row r="555" spans="1:7" ht="20.25" hidden="1" customHeight="1" x14ac:dyDescent="0.25">
      <c r="A555" s="29">
        <v>10066</v>
      </c>
      <c r="B555" s="30" t="s">
        <v>118</v>
      </c>
      <c r="C555" s="31" t="str">
        <f>VLOOKUP(B555,BASE!$A:$B,2,0)</f>
        <v>744 ENGANCHE 391 BLANCO</v>
      </c>
      <c r="D555" s="35" t="str">
        <f>VLOOKUP(B555,BASE!$A:$D,3,0)</f>
        <v>BLANCO</v>
      </c>
      <c r="E555" s="32">
        <f>VLOOKUP(B555,BASE!$A:$E,4,0)</f>
        <v>391</v>
      </c>
      <c r="F555" s="32">
        <v>900</v>
      </c>
      <c r="G555" s="23">
        <f t="shared" si="9"/>
        <v>0.15</v>
      </c>
    </row>
    <row r="556" spans="1:7" ht="20.25" hidden="1" customHeight="1" x14ac:dyDescent="0.25">
      <c r="A556" s="29">
        <v>10070</v>
      </c>
      <c r="B556" s="30" t="s">
        <v>142</v>
      </c>
      <c r="C556" s="31" t="str">
        <f>VLOOKUP(B556,BASE!$A:$B,2,0)</f>
        <v>5020 ENGANCHE 147 MATE</v>
      </c>
      <c r="D556" s="35" t="str">
        <f>VLOOKUP(B556,BASE!$A:$D,3,0)</f>
        <v>MATE</v>
      </c>
      <c r="E556" s="32">
        <f>VLOOKUP(B556,BASE!$A:$E,4,0)</f>
        <v>147</v>
      </c>
      <c r="F556" s="32">
        <v>600</v>
      </c>
      <c r="G556" s="23">
        <f t="shared" si="9"/>
        <v>0.1</v>
      </c>
    </row>
    <row r="557" spans="1:7" ht="20.25" hidden="1" customHeight="1" x14ac:dyDescent="0.25">
      <c r="A557" s="29">
        <v>10071</v>
      </c>
      <c r="B557" s="30" t="s">
        <v>124</v>
      </c>
      <c r="C557" s="31" t="str">
        <f>VLOOKUP(B557,BASE!$A:$B,2,0)</f>
        <v>3831 SILLAR CABEZAL 173 MATE</v>
      </c>
      <c r="D557" s="35" t="str">
        <f>VLOOKUP(B557,BASE!$A:$D,3,0)</f>
        <v>MATE</v>
      </c>
      <c r="E557" s="32">
        <f>VLOOKUP(B557,BASE!$A:$E,4,0)</f>
        <v>173</v>
      </c>
      <c r="F557" s="32">
        <v>700</v>
      </c>
      <c r="G557" s="23">
        <f t="shared" si="9"/>
        <v>0.11666666666666667</v>
      </c>
    </row>
    <row r="558" spans="1:7" ht="20.25" hidden="1" customHeight="1" x14ac:dyDescent="0.25">
      <c r="A558" s="29">
        <v>10072</v>
      </c>
      <c r="B558" s="30" t="s">
        <v>124</v>
      </c>
      <c r="C558" s="31" t="str">
        <f>VLOOKUP(B558,BASE!$A:$B,2,0)</f>
        <v>3831 SILLAR CABEZAL 173 MATE</v>
      </c>
      <c r="D558" s="35" t="str">
        <f>VLOOKUP(B558,BASE!$A:$D,3,0)</f>
        <v>MATE</v>
      </c>
      <c r="E558" s="32">
        <f>VLOOKUP(B558,BASE!$A:$E,4,0)</f>
        <v>173</v>
      </c>
      <c r="F558" s="32">
        <v>500</v>
      </c>
      <c r="G558" s="23">
        <f t="shared" si="9"/>
        <v>8.3333333333333329E-2</v>
      </c>
    </row>
    <row r="559" spans="1:7" ht="20.25" hidden="1" customHeight="1" x14ac:dyDescent="0.25">
      <c r="A559" s="29">
        <v>10073</v>
      </c>
      <c r="B559" s="30" t="s">
        <v>629</v>
      </c>
      <c r="C559" s="31" t="str">
        <f>VLOOKUP(B559,BASE!$A:$B,2,0)</f>
        <v>PERSIANA 315 MATE</v>
      </c>
      <c r="D559" s="35" t="str">
        <f>VLOOKUP(B559,BASE!$A:$D,3,0)</f>
        <v>MATE</v>
      </c>
      <c r="E559" s="32">
        <f>VLOOKUP(B559,BASE!$A:$E,4,0)</f>
        <v>315</v>
      </c>
      <c r="F559" s="32">
        <v>500</v>
      </c>
      <c r="G559" s="23">
        <f t="shared" si="9"/>
        <v>8.3333333333333329E-2</v>
      </c>
    </row>
    <row r="560" spans="1:7" ht="20.25" hidden="1" customHeight="1" x14ac:dyDescent="0.25">
      <c r="A560" s="29">
        <v>10074</v>
      </c>
      <c r="B560" s="30" t="s">
        <v>141</v>
      </c>
      <c r="C560" s="31" t="str">
        <f>VLOOKUP(B560,BASE!$A:$B,2,0)</f>
        <v>5020 TRASLAPE 192 MATE</v>
      </c>
      <c r="D560" s="35" t="str">
        <f>VLOOKUP(B560,BASE!$A:$D,3,0)</f>
        <v>MATE</v>
      </c>
      <c r="E560" s="32">
        <f>VLOOKUP(B560,BASE!$A:$E,4,0)</f>
        <v>192</v>
      </c>
      <c r="F560" s="32">
        <v>5000</v>
      </c>
      <c r="G560" s="23">
        <f t="shared" si="9"/>
        <v>0.83333333333333337</v>
      </c>
    </row>
    <row r="561" spans="1:7" ht="20.25" hidden="1" customHeight="1" x14ac:dyDescent="0.25">
      <c r="A561" s="29">
        <v>10075</v>
      </c>
      <c r="B561" s="30" t="s">
        <v>169</v>
      </c>
      <c r="C561" s="31" t="str">
        <f>VLOOKUP(B561,BASE!$A:$B,2,0)</f>
        <v>5020 JAMBA 193 MATE</v>
      </c>
      <c r="D561" s="35" t="str">
        <f>VLOOKUP(B561,BASE!$A:$D,3,0)</f>
        <v>MATE</v>
      </c>
      <c r="E561" s="32">
        <f>VLOOKUP(B561,BASE!$A:$E,4,0)</f>
        <v>193</v>
      </c>
      <c r="F561" s="32">
        <v>5000</v>
      </c>
      <c r="G561" s="23">
        <f t="shared" si="9"/>
        <v>0.83333333333333337</v>
      </c>
    </row>
    <row r="562" spans="1:7" ht="20.25" hidden="1" customHeight="1" x14ac:dyDescent="0.25">
      <c r="A562" s="29">
        <v>10076</v>
      </c>
      <c r="B562" s="30" t="s">
        <v>142</v>
      </c>
      <c r="C562" s="31" t="str">
        <f>VLOOKUP(B562,BASE!$A:$B,2,0)</f>
        <v>5020 ENGANCHE 147 MATE</v>
      </c>
      <c r="D562" s="35" t="str">
        <f>VLOOKUP(B562,BASE!$A:$D,3,0)</f>
        <v>MATE</v>
      </c>
      <c r="E562" s="32">
        <f>VLOOKUP(B562,BASE!$A:$E,4,0)</f>
        <v>147</v>
      </c>
      <c r="F562" s="32">
        <v>5000</v>
      </c>
      <c r="G562" s="23">
        <f t="shared" si="9"/>
        <v>0.83333333333333337</v>
      </c>
    </row>
    <row r="563" spans="1:7" ht="20.25" hidden="1" customHeight="1" x14ac:dyDescent="0.25">
      <c r="A563" s="29">
        <v>10077</v>
      </c>
      <c r="B563" s="30" t="s">
        <v>461</v>
      </c>
      <c r="C563" s="31" t="str">
        <f>VLOOKUP(B563,BASE!$A:$B,2,0)</f>
        <v>PISAVIDRIO CURVO 635 MATE</v>
      </c>
      <c r="D563" s="35" t="str">
        <f>VLOOKUP(B563,BASE!$A:$D,3,0)</f>
        <v>MATE</v>
      </c>
      <c r="E563" s="32">
        <f>VLOOKUP(B563,BASE!$A:$E,4,0)</f>
        <v>635</v>
      </c>
      <c r="F563" s="32">
        <v>5200</v>
      </c>
      <c r="G563" s="23">
        <f t="shared" si="9"/>
        <v>0.8666666666666667</v>
      </c>
    </row>
    <row r="564" spans="1:7" ht="20.25" hidden="1" customHeight="1" x14ac:dyDescent="0.25">
      <c r="A564" s="29">
        <v>10078</v>
      </c>
      <c r="B564" s="30" t="s">
        <v>677</v>
      </c>
      <c r="C564" s="31" t="str">
        <f>VLOOKUP(B564,BASE!$A:$B,2,0)</f>
        <v>ANGULO IRREGULAR A-46 BLANCO</v>
      </c>
      <c r="D564" s="35" t="str">
        <f>VLOOKUP(B564,BASE!$A:$D,3,0)</f>
        <v>BLANCO</v>
      </c>
      <c r="E564" s="32" t="str">
        <f>VLOOKUP(B564,BASE!$A:$E,4,0)</f>
        <v>A-46</v>
      </c>
      <c r="F564" s="32">
        <v>20070</v>
      </c>
      <c r="G564" s="23">
        <f t="shared" si="9"/>
        <v>3.3450000000000002</v>
      </c>
    </row>
    <row r="565" spans="1:7" ht="20.25" hidden="1" customHeight="1" x14ac:dyDescent="0.25">
      <c r="A565" s="29">
        <v>10082</v>
      </c>
      <c r="B565" s="30" t="s">
        <v>174</v>
      </c>
      <c r="C565" s="31" t="str">
        <f>VLOOKUP(B565,BASE!$A:$B,2,0)</f>
        <v>3831 PISAVIDRIO 177 MATE</v>
      </c>
      <c r="D565" s="35" t="str">
        <f>VLOOKUP(B565,BASE!$A:$D,3,0)</f>
        <v>MATE</v>
      </c>
      <c r="E565" s="32">
        <f>VLOOKUP(B565,BASE!$A:$E,4,0)</f>
        <v>177</v>
      </c>
      <c r="F565" s="32">
        <v>6000</v>
      </c>
      <c r="G565" s="23">
        <f t="shared" si="9"/>
        <v>1</v>
      </c>
    </row>
    <row r="566" spans="1:7" ht="20.25" hidden="1" customHeight="1" x14ac:dyDescent="0.25">
      <c r="A566" s="29">
        <v>10085</v>
      </c>
      <c r="B566" s="30" t="s">
        <v>96</v>
      </c>
      <c r="C566" s="31" t="str">
        <f>VLOOKUP(B566,BASE!$A:$B,2,0)</f>
        <v>TAPALUZ PT02 MATE</v>
      </c>
      <c r="D566" s="35" t="str">
        <f>VLOOKUP(B566,BASE!$A:$D,3,0)</f>
        <v>MATE</v>
      </c>
      <c r="E566" s="32" t="str">
        <f>VLOOKUP(B566,BASE!$A:$E,4,0)</f>
        <v>PT-02</v>
      </c>
      <c r="F566" s="32">
        <v>6000</v>
      </c>
      <c r="G566" s="23">
        <f t="shared" si="9"/>
        <v>1</v>
      </c>
    </row>
    <row r="567" spans="1:7" ht="20.25" hidden="1" customHeight="1" x14ac:dyDescent="0.25">
      <c r="A567" s="29">
        <v>10086</v>
      </c>
      <c r="B567" s="30" t="s">
        <v>127</v>
      </c>
      <c r="C567" s="31" t="str">
        <f>VLOOKUP(B567,BASE!$A:$B,2,0)</f>
        <v>PERFIL F 463 MATE</v>
      </c>
      <c r="D567" s="35" t="str">
        <f>VLOOKUP(B567,BASE!$A:$D,3,0)</f>
        <v>MATE</v>
      </c>
      <c r="E567" s="32" t="str">
        <f>VLOOKUP(B567,BASE!$A:$E,4,0)</f>
        <v>F-463</v>
      </c>
      <c r="F567" s="32">
        <v>6000</v>
      </c>
      <c r="G567" s="23">
        <f t="shared" si="9"/>
        <v>1</v>
      </c>
    </row>
    <row r="568" spans="1:7" ht="20.25" hidden="1" customHeight="1" x14ac:dyDescent="0.25">
      <c r="A568" s="29">
        <v>10089</v>
      </c>
      <c r="B568" s="30" t="s">
        <v>584</v>
      </c>
      <c r="C568" s="31" t="str">
        <f>VLOOKUP(B568,BASE!$A:$B,2,0)</f>
        <v>U68 MATE</v>
      </c>
      <c r="D568" s="35" t="str">
        <f>VLOOKUP(B568,BASE!$A:$D,3,0)</f>
        <v>MATE</v>
      </c>
      <c r="E568" s="32" t="str">
        <f>VLOOKUP(B568,BASE!$A:$E,4,0)</f>
        <v>U-68</v>
      </c>
      <c r="F568" s="32">
        <v>6000</v>
      </c>
      <c r="G568" s="23">
        <f t="shared" si="9"/>
        <v>1</v>
      </c>
    </row>
    <row r="569" spans="1:7" ht="20.25" hidden="1" customHeight="1" x14ac:dyDescent="0.25">
      <c r="A569" s="29">
        <v>10093</v>
      </c>
      <c r="B569" s="30" t="s">
        <v>167</v>
      </c>
      <c r="C569" s="31" t="str">
        <f>VLOOKUP(B569,BASE!$A:$B,2,0)</f>
        <v>3831 JAMBA 174 MATE</v>
      </c>
      <c r="D569" s="35" t="str">
        <f>VLOOKUP(B569,BASE!$A:$D,3,0)</f>
        <v>MATE</v>
      </c>
      <c r="E569" s="32">
        <f>VLOOKUP(B569,BASE!$A:$E,4,0)</f>
        <v>174</v>
      </c>
      <c r="F569" s="32">
        <v>6000</v>
      </c>
      <c r="G569" s="23">
        <f t="shared" si="9"/>
        <v>1</v>
      </c>
    </row>
    <row r="570" spans="1:7" ht="20.25" hidden="1" customHeight="1" x14ac:dyDescent="0.25">
      <c r="A570" s="29">
        <v>10098</v>
      </c>
      <c r="B570" s="30" t="s">
        <v>46</v>
      </c>
      <c r="C570" s="31" t="str">
        <f>VLOOKUP(B570,BASE!$A:$B,2,0)</f>
        <v>8025 ENGANCHE 191 MATE</v>
      </c>
      <c r="D570" s="35" t="str">
        <f>VLOOKUP(B570,BASE!$A:$D,3,0)</f>
        <v>MATE</v>
      </c>
      <c r="E570" s="32">
        <f>VLOOKUP(B570,BASE!$A:$E,4,0)</f>
        <v>191</v>
      </c>
      <c r="F570" s="32">
        <v>6000</v>
      </c>
      <c r="G570" s="23">
        <f t="shared" si="9"/>
        <v>1</v>
      </c>
    </row>
    <row r="571" spans="1:7" ht="20.25" hidden="1" customHeight="1" x14ac:dyDescent="0.25">
      <c r="A571" s="29">
        <v>10099</v>
      </c>
      <c r="B571" s="30" t="s">
        <v>540</v>
      </c>
      <c r="C571" s="31" t="str">
        <f>VLOOKUP(B571,BASE!$A:$B,2,0)</f>
        <v>8025 TRASLAPE 190 MATE</v>
      </c>
      <c r="D571" s="35" t="str">
        <f>VLOOKUP(B571,BASE!$A:$D,3,0)</f>
        <v>MATE</v>
      </c>
      <c r="E571" s="32">
        <f>VLOOKUP(B571,BASE!$A:$E,4,0)</f>
        <v>190</v>
      </c>
      <c r="F571" s="32">
        <v>6000</v>
      </c>
      <c r="G571" s="23">
        <f t="shared" si="9"/>
        <v>1</v>
      </c>
    </row>
    <row r="572" spans="1:7" ht="20.25" hidden="1" customHeight="1" x14ac:dyDescent="0.25">
      <c r="A572" s="29">
        <v>10102</v>
      </c>
      <c r="B572" s="30" t="s">
        <v>449</v>
      </c>
      <c r="C572" s="31" t="str">
        <f>VLOOKUP(B572,BASE!$A:$B,2,0)</f>
        <v>8025 JAMBA 152 MATE</v>
      </c>
      <c r="D572" s="35" t="str">
        <f>VLOOKUP(B572,BASE!$A:$D,3,0)</f>
        <v>MATE</v>
      </c>
      <c r="E572" s="32">
        <f>VLOOKUP(B572,BASE!$A:$E,4,0)</f>
        <v>152</v>
      </c>
      <c r="F572" s="32">
        <v>6000</v>
      </c>
      <c r="G572" s="23">
        <f t="shared" si="9"/>
        <v>1</v>
      </c>
    </row>
    <row r="573" spans="1:7" ht="20.25" hidden="1" customHeight="1" x14ac:dyDescent="0.25">
      <c r="A573" s="29">
        <v>10114</v>
      </c>
      <c r="B573" s="30" t="s">
        <v>44</v>
      </c>
      <c r="C573" s="31" t="str">
        <f>VLOOKUP(B573,BASE!$A:$B,2,0)</f>
        <v>7038 SILLAR 701 NEGRO</v>
      </c>
      <c r="D573" s="35" t="str">
        <f>VLOOKUP(B573,BASE!$A:$D,3,0)</f>
        <v>NEGRO</v>
      </c>
      <c r="E573" s="32">
        <f>VLOOKUP(B573,BASE!$A:$E,4,0)</f>
        <v>701</v>
      </c>
      <c r="F573" s="32">
        <v>6000</v>
      </c>
      <c r="G573" s="23">
        <f t="shared" si="9"/>
        <v>1</v>
      </c>
    </row>
    <row r="574" spans="1:7" ht="20.25" hidden="1" customHeight="1" x14ac:dyDescent="0.25">
      <c r="A574" s="29">
        <v>10115</v>
      </c>
      <c r="B574" s="30" t="s">
        <v>168</v>
      </c>
      <c r="C574" s="31" t="str">
        <f>VLOOKUP(B574,BASE!$A:$B,2,0)</f>
        <v>3831 PISAVIDRIO 177 NEGRO</v>
      </c>
      <c r="D574" s="35" t="str">
        <f>VLOOKUP(B574,BASE!$A:$D,3,0)</f>
        <v>NEGRO</v>
      </c>
      <c r="E574" s="32">
        <f>VLOOKUP(B574,BASE!$A:$E,4,0)</f>
        <v>177</v>
      </c>
      <c r="F574" s="32">
        <v>6000</v>
      </c>
      <c r="G574" s="23">
        <f t="shared" si="9"/>
        <v>1</v>
      </c>
    </row>
    <row r="575" spans="1:7" ht="20.25" hidden="1" customHeight="1" x14ac:dyDescent="0.25">
      <c r="A575" s="29">
        <v>10119</v>
      </c>
      <c r="B575" s="30" t="s">
        <v>149</v>
      </c>
      <c r="C575" s="31" t="str">
        <f>VLOOKUP(B575,BASE!$A:$B,2,0)</f>
        <v>5020 HORIZONTAL 148 MATE</v>
      </c>
      <c r="D575" s="35" t="str">
        <f>VLOOKUP(B575,BASE!$A:$D,3,0)</f>
        <v>MATE</v>
      </c>
      <c r="E575" s="32">
        <f>VLOOKUP(B575,BASE!$A:$E,4,0)</f>
        <v>148</v>
      </c>
      <c r="F575" s="32">
        <v>700</v>
      </c>
      <c r="G575" s="23">
        <f t="shared" si="9"/>
        <v>0.11666666666666667</v>
      </c>
    </row>
    <row r="576" spans="1:7" ht="20.25" hidden="1" customHeight="1" x14ac:dyDescent="0.25">
      <c r="A576" s="29">
        <v>10122</v>
      </c>
      <c r="B576" s="30" t="s">
        <v>174</v>
      </c>
      <c r="C576" s="31" t="str">
        <f>VLOOKUP(B576,BASE!$A:$B,2,0)</f>
        <v>3831 PISAVIDRIO 177 MATE</v>
      </c>
      <c r="D576" s="35" t="str">
        <f>VLOOKUP(B576,BASE!$A:$D,3,0)</f>
        <v>MATE</v>
      </c>
      <c r="E576" s="32">
        <f>VLOOKUP(B576,BASE!$A:$E,4,0)</f>
        <v>177</v>
      </c>
      <c r="F576" s="32">
        <v>700</v>
      </c>
      <c r="G576" s="23">
        <f t="shared" si="9"/>
        <v>0.11666666666666667</v>
      </c>
    </row>
    <row r="577" spans="1:7" ht="20.25" hidden="1" customHeight="1" x14ac:dyDescent="0.25">
      <c r="A577" s="29">
        <v>10123</v>
      </c>
      <c r="B577" s="30" t="s">
        <v>174</v>
      </c>
      <c r="C577" s="31" t="str">
        <f>VLOOKUP(B577,BASE!$A:$B,2,0)</f>
        <v>3831 PISAVIDRIO 177 MATE</v>
      </c>
      <c r="D577" s="35" t="str">
        <f>VLOOKUP(B577,BASE!$A:$D,3,0)</f>
        <v>MATE</v>
      </c>
      <c r="E577" s="32">
        <f>VLOOKUP(B577,BASE!$A:$E,4,0)</f>
        <v>177</v>
      </c>
      <c r="F577" s="32">
        <v>600</v>
      </c>
      <c r="G577" s="23">
        <f t="shared" si="9"/>
        <v>0.1</v>
      </c>
    </row>
    <row r="578" spans="1:7" ht="20.25" hidden="1" customHeight="1" x14ac:dyDescent="0.25">
      <c r="A578" s="29">
        <v>10126</v>
      </c>
      <c r="B578" s="30" t="s">
        <v>7</v>
      </c>
      <c r="C578" s="31" t="str">
        <f>VLOOKUP(B578,BASE!$A:$B,2,0)</f>
        <v>TUBULAR T-198 CRUDO</v>
      </c>
      <c r="D578" s="35" t="str">
        <f>VLOOKUP(B578,BASE!$A:$D,3,0)</f>
        <v xml:space="preserve">CRUDO </v>
      </c>
      <c r="E578" s="32" t="str">
        <f>VLOOKUP(B578,BASE!$A:$E,4,0)</f>
        <v>T-198</v>
      </c>
      <c r="F578" s="32">
        <v>4300</v>
      </c>
      <c r="G578" s="23">
        <f t="shared" si="9"/>
        <v>0.71666666666666667</v>
      </c>
    </row>
    <row r="579" spans="1:7" ht="20.25" hidden="1" customHeight="1" x14ac:dyDescent="0.25">
      <c r="A579" s="29">
        <v>10127</v>
      </c>
      <c r="B579" s="30" t="s">
        <v>174</v>
      </c>
      <c r="C579" s="31" t="str">
        <f>VLOOKUP(B579,BASE!$A:$B,2,0)</f>
        <v>3831 PISAVIDRIO 177 MATE</v>
      </c>
      <c r="D579" s="35" t="str">
        <f>VLOOKUP(B579,BASE!$A:$D,3,0)</f>
        <v>MATE</v>
      </c>
      <c r="E579" s="32">
        <f>VLOOKUP(B579,BASE!$A:$E,4,0)</f>
        <v>177</v>
      </c>
      <c r="F579" s="32">
        <v>3700</v>
      </c>
      <c r="G579" s="23">
        <f t="shared" si="9"/>
        <v>0.6166666666666667</v>
      </c>
    </row>
    <row r="580" spans="1:7" ht="20.25" hidden="1" customHeight="1" x14ac:dyDescent="0.25">
      <c r="A580" s="29">
        <v>10132</v>
      </c>
      <c r="B580" s="30" t="s">
        <v>461</v>
      </c>
      <c r="C580" s="31" t="str">
        <f>VLOOKUP(B580,BASE!$A:$B,2,0)</f>
        <v>PISAVIDRIO CURVO 635 MATE</v>
      </c>
      <c r="D580" s="35" t="str">
        <f>VLOOKUP(B580,BASE!$A:$D,3,0)</f>
        <v>MATE</v>
      </c>
      <c r="E580" s="32">
        <f>VLOOKUP(B580,BASE!$A:$E,4,0)</f>
        <v>635</v>
      </c>
      <c r="F580" s="32">
        <v>6000</v>
      </c>
      <c r="G580" s="23">
        <f t="shared" si="9"/>
        <v>1</v>
      </c>
    </row>
    <row r="581" spans="1:7" ht="20.25" hidden="1" customHeight="1" x14ac:dyDescent="0.25">
      <c r="A581" s="29">
        <v>10135</v>
      </c>
      <c r="B581" s="30" t="s">
        <v>179</v>
      </c>
      <c r="C581" s="31" t="str">
        <f>VLOOKUP(B581,BASE!$A:$B,2,0)</f>
        <v>TABLILLA F-08 MATE</v>
      </c>
      <c r="D581" s="35" t="str">
        <f>VLOOKUP(B581,BASE!$A:$D,3,0)</f>
        <v>MATE</v>
      </c>
      <c r="E581" s="32" t="str">
        <f>VLOOKUP(B581,BASE!$A:$E,4,0)</f>
        <v>F-08</v>
      </c>
      <c r="F581" s="32">
        <v>6000</v>
      </c>
      <c r="G581" s="23">
        <f t="shared" si="9"/>
        <v>1</v>
      </c>
    </row>
    <row r="582" spans="1:7" ht="20.25" hidden="1" customHeight="1" x14ac:dyDescent="0.25">
      <c r="A582" s="29">
        <v>10137</v>
      </c>
      <c r="B582" s="30" t="s">
        <v>172</v>
      </c>
      <c r="C582" s="31" t="str">
        <f>VLOOKUP(B582,BASE!$A:$B,2,0)</f>
        <v>TUBULAR T-94 MATE</v>
      </c>
      <c r="D582" s="35" t="str">
        <f>VLOOKUP(B582,BASE!$A:$D,3,0)</f>
        <v>MATE</v>
      </c>
      <c r="E582" s="32" t="str">
        <f>VLOOKUP(B582,BASE!$A:$E,4,0)</f>
        <v>T-94</v>
      </c>
      <c r="F582" s="32">
        <v>4800</v>
      </c>
      <c r="G582" s="23">
        <f t="shared" si="9"/>
        <v>0.8</v>
      </c>
    </row>
    <row r="583" spans="1:7" ht="20.25" hidden="1" customHeight="1" x14ac:dyDescent="0.25">
      <c r="A583" s="29">
        <v>10138</v>
      </c>
      <c r="B583" s="30" t="s">
        <v>607</v>
      </c>
      <c r="C583" s="31" t="str">
        <f>VLOOKUP(B583,BASE!$A:$B,2,0)</f>
        <v>8025 SILLAR 150 MATE</v>
      </c>
      <c r="D583" s="35" t="str">
        <f>VLOOKUP(B583,BASE!$A:$D,3,0)</f>
        <v>MATE</v>
      </c>
      <c r="E583" s="32">
        <f>VLOOKUP(B583,BASE!$A:$E,4,0)</f>
        <v>150</v>
      </c>
      <c r="F583" s="32">
        <v>4800</v>
      </c>
      <c r="G583" s="23">
        <f t="shared" si="9"/>
        <v>0.8</v>
      </c>
    </row>
    <row r="584" spans="1:7" ht="20.25" hidden="1" customHeight="1" x14ac:dyDescent="0.25">
      <c r="A584" s="29">
        <v>10139</v>
      </c>
      <c r="B584" s="30" t="s">
        <v>345</v>
      </c>
      <c r="C584" s="31" t="str">
        <f>VLOOKUP(B584,BASE!$A:$B,2,0)</f>
        <v>8025 CABEZAL 151 MATE</v>
      </c>
      <c r="D584" s="35" t="str">
        <f>VLOOKUP(B584,BASE!$A:$D,3,0)</f>
        <v>MATE</v>
      </c>
      <c r="E584" s="32">
        <f>VLOOKUP(B584,BASE!$A:$E,4,0)</f>
        <v>151</v>
      </c>
      <c r="F584" s="32">
        <v>4800</v>
      </c>
      <c r="G584" s="23">
        <f t="shared" si="9"/>
        <v>0.8</v>
      </c>
    </row>
    <row r="585" spans="1:7" ht="20.25" hidden="1" customHeight="1" x14ac:dyDescent="0.25">
      <c r="A585" s="29">
        <v>10140</v>
      </c>
      <c r="B585" s="30" t="s">
        <v>738</v>
      </c>
      <c r="C585" s="31" t="str">
        <f>VLOOKUP(B585,BASE!$A:$B,2,0)</f>
        <v>RIEL DUCASSE 1764 NEGRO</v>
      </c>
      <c r="D585" s="35" t="str">
        <f>VLOOKUP(B585,BASE!$A:$D,3,0)</f>
        <v>NEGRO</v>
      </c>
      <c r="E585" s="32">
        <f>VLOOKUP(B585,BASE!$A:$E,4,0)</f>
        <v>1764</v>
      </c>
      <c r="F585" s="32">
        <v>3800</v>
      </c>
      <c r="G585" s="23">
        <f t="shared" si="9"/>
        <v>0.6333333333333333</v>
      </c>
    </row>
    <row r="586" spans="1:7" ht="20.25" hidden="1" customHeight="1" x14ac:dyDescent="0.25">
      <c r="A586" s="29">
        <v>10142</v>
      </c>
      <c r="B586" s="30" t="s">
        <v>137</v>
      </c>
      <c r="C586" s="31" t="str">
        <f>VLOOKUP(B586,BASE!$A:$B,2,0)</f>
        <v>8025 TRASLAPE 190 NEGRO</v>
      </c>
      <c r="D586" s="35" t="str">
        <f>VLOOKUP(B586,BASE!$A:$D,3,0)</f>
        <v>NEGRO</v>
      </c>
      <c r="E586" s="32">
        <f>VLOOKUP(B586,BASE!$A:$E,4,0)</f>
        <v>190</v>
      </c>
      <c r="F586" s="32">
        <v>3700</v>
      </c>
      <c r="G586" s="23">
        <f t="shared" si="9"/>
        <v>0.6166666666666667</v>
      </c>
    </row>
    <row r="587" spans="1:7" ht="20.25" hidden="1" customHeight="1" x14ac:dyDescent="0.25">
      <c r="A587" s="29">
        <v>10144</v>
      </c>
      <c r="B587" s="30" t="s">
        <v>515</v>
      </c>
      <c r="C587" s="31" t="str">
        <f>VLOOKUP(B587,BASE!$A:$B,2,0)</f>
        <v>5020 TRASLAPE 192 BRONCE</v>
      </c>
      <c r="D587" s="35" t="str">
        <f>VLOOKUP(B587,BASE!$A:$D,3,0)</f>
        <v>BRONCE</v>
      </c>
      <c r="E587" s="32">
        <f>VLOOKUP(B587,BASE!$A:$E,4,0)</f>
        <v>192</v>
      </c>
      <c r="F587" s="32">
        <v>3200</v>
      </c>
      <c r="G587" s="23">
        <f t="shared" si="9"/>
        <v>0.53333333333333333</v>
      </c>
    </row>
    <row r="588" spans="1:7" ht="20.25" hidden="1" customHeight="1" x14ac:dyDescent="0.25">
      <c r="A588" s="29">
        <v>10146</v>
      </c>
      <c r="B588" s="30" t="s">
        <v>1228</v>
      </c>
      <c r="C588" s="31" t="str">
        <f>VLOOKUP(B588,BASE!$A:$B,2,0)</f>
        <v xml:space="preserve">PLATINA 1" P-18 NEGRO </v>
      </c>
      <c r="D588" s="35" t="str">
        <f>VLOOKUP(B588,BASE!$A:$D,3,0)</f>
        <v>NEGRO</v>
      </c>
      <c r="E588" s="32" t="str">
        <f>VLOOKUP(B588,BASE!$A:$E,4,0)</f>
        <v>P-18</v>
      </c>
      <c r="F588" s="32">
        <v>4200</v>
      </c>
      <c r="G588" s="23">
        <f t="shared" si="9"/>
        <v>0.7</v>
      </c>
    </row>
    <row r="589" spans="1:7" ht="20.25" hidden="1" customHeight="1" x14ac:dyDescent="0.25">
      <c r="A589" s="29">
        <v>10147</v>
      </c>
      <c r="B589" s="30" t="s">
        <v>319</v>
      </c>
      <c r="C589" s="31" t="str">
        <f>VLOOKUP(B589,BASE!$A:$B,2,0)</f>
        <v>CABEZAL CABINA S-319 MATE</v>
      </c>
      <c r="D589" s="35" t="str">
        <f>VLOOKUP(B589,BASE!$A:$D,3,0)</f>
        <v>MATE</v>
      </c>
      <c r="E589" s="32" t="str">
        <f>VLOOKUP(B589,BASE!$A:$E,4,0)</f>
        <v>S-319</v>
      </c>
      <c r="F589" s="32">
        <v>2600</v>
      </c>
      <c r="G589" s="23">
        <f t="shared" si="9"/>
        <v>0.43333333333333335</v>
      </c>
    </row>
    <row r="590" spans="1:7" ht="20.25" hidden="1" customHeight="1" x14ac:dyDescent="0.25">
      <c r="A590" s="29">
        <v>10149</v>
      </c>
      <c r="B590" s="30" t="s">
        <v>58</v>
      </c>
      <c r="C590" s="31" t="str">
        <f>VLOOKUP(B590,BASE!$A:$B,2,0)</f>
        <v>TUBULAR T-70 NEGRO</v>
      </c>
      <c r="D590" s="35" t="str">
        <f>VLOOKUP(B590,BASE!$A:$D,3,0)</f>
        <v>NEGRO</v>
      </c>
      <c r="E590" s="32" t="str">
        <f>VLOOKUP(B590,BASE!$A:$E,4,0)</f>
        <v>T-70</v>
      </c>
      <c r="F590" s="32">
        <v>2200</v>
      </c>
      <c r="G590" s="23">
        <f t="shared" si="9"/>
        <v>0.36666666666666664</v>
      </c>
    </row>
    <row r="591" spans="1:7" ht="20.25" hidden="1" customHeight="1" x14ac:dyDescent="0.25">
      <c r="A591" s="29">
        <v>10150</v>
      </c>
      <c r="B591" s="30" t="s">
        <v>108</v>
      </c>
      <c r="C591" s="31" t="str">
        <f>VLOOKUP(B591,BASE!$A:$B,2,0)</f>
        <v>5020 CABEZAL 144 BRONCE</v>
      </c>
      <c r="D591" s="35" t="str">
        <f>VLOOKUP(B591,BASE!$A:$D,3,0)</f>
        <v>BRONCE</v>
      </c>
      <c r="E591" s="32">
        <f>VLOOKUP(B591,BASE!$A:$E,4,0)</f>
        <v>144</v>
      </c>
      <c r="F591" s="32">
        <v>2500</v>
      </c>
      <c r="G591" s="23">
        <f t="shared" si="9"/>
        <v>0.41666666666666669</v>
      </c>
    </row>
    <row r="592" spans="1:7" ht="20.25" hidden="1" customHeight="1" x14ac:dyDescent="0.25">
      <c r="A592" s="29">
        <v>10151</v>
      </c>
      <c r="B592" s="30" t="s">
        <v>112</v>
      </c>
      <c r="C592" s="31" t="str">
        <f>VLOOKUP(B592,BASE!$A:$B,2,0)</f>
        <v>5020 JAMBA 193 BRONCE</v>
      </c>
      <c r="D592" s="35" t="str">
        <f>VLOOKUP(B592,BASE!$A:$D,3,0)</f>
        <v>BRONCE</v>
      </c>
      <c r="E592" s="32">
        <f>VLOOKUP(B592,BASE!$A:$E,4,0)</f>
        <v>193</v>
      </c>
      <c r="F592" s="32">
        <v>2500</v>
      </c>
      <c r="G592" s="23">
        <f t="shared" si="9"/>
        <v>0.41666666666666669</v>
      </c>
    </row>
    <row r="593" spans="1:7" ht="20.25" hidden="1" customHeight="1" x14ac:dyDescent="0.25">
      <c r="A593" s="29">
        <v>10152</v>
      </c>
      <c r="B593" s="30" t="s">
        <v>489</v>
      </c>
      <c r="C593" s="31" t="str">
        <f>VLOOKUP(B593,BASE!$A:$B,2,0)</f>
        <v>5020 SILLAR 194 BRONCE</v>
      </c>
      <c r="D593" s="35" t="str">
        <f>VLOOKUP(B593,BASE!$A:$D,3,0)</f>
        <v>BRONCE</v>
      </c>
      <c r="E593" s="32">
        <f>VLOOKUP(B593,BASE!$A:$E,4,0)</f>
        <v>194</v>
      </c>
      <c r="F593" s="32">
        <v>2100</v>
      </c>
      <c r="G593" s="23">
        <f t="shared" si="9"/>
        <v>0.35</v>
      </c>
    </row>
    <row r="594" spans="1:7" ht="20.25" hidden="1" customHeight="1" x14ac:dyDescent="0.25">
      <c r="A594" s="29">
        <v>10153</v>
      </c>
      <c r="B594" s="30" t="s">
        <v>169</v>
      </c>
      <c r="C594" s="31" t="str">
        <f>VLOOKUP(B594,BASE!$A:$B,2,0)</f>
        <v>5020 JAMBA 193 MATE</v>
      </c>
      <c r="D594" s="35" t="str">
        <f>VLOOKUP(B594,BASE!$A:$D,3,0)</f>
        <v>MATE</v>
      </c>
      <c r="E594" s="32">
        <f>VLOOKUP(B594,BASE!$A:$E,4,0)</f>
        <v>193</v>
      </c>
      <c r="F594" s="32">
        <v>1400</v>
      </c>
      <c r="G594" s="23">
        <f t="shared" si="9"/>
        <v>0.23333333333333334</v>
      </c>
    </row>
    <row r="595" spans="1:7" ht="20.25" hidden="1" customHeight="1" x14ac:dyDescent="0.25">
      <c r="A595" s="29">
        <v>10154</v>
      </c>
      <c r="B595" s="30" t="s">
        <v>540</v>
      </c>
      <c r="C595" s="31" t="str">
        <f>VLOOKUP(B595,BASE!$A:$B,2,0)</f>
        <v>8025 TRASLAPE 190 MATE</v>
      </c>
      <c r="D595" s="35" t="str">
        <f>VLOOKUP(B595,BASE!$A:$D,3,0)</f>
        <v>MATE</v>
      </c>
      <c r="E595" s="32">
        <f>VLOOKUP(B595,BASE!$A:$E,4,0)</f>
        <v>190</v>
      </c>
      <c r="F595" s="32">
        <v>2000</v>
      </c>
      <c r="G595" s="23">
        <f t="shared" si="9"/>
        <v>0.33333333333333331</v>
      </c>
    </row>
    <row r="596" spans="1:7" ht="20.25" hidden="1" customHeight="1" x14ac:dyDescent="0.25">
      <c r="A596" s="29">
        <v>10155</v>
      </c>
      <c r="B596" s="30" t="s">
        <v>540</v>
      </c>
      <c r="C596" s="31" t="str">
        <f>VLOOKUP(B596,BASE!$A:$B,2,0)</f>
        <v>8025 TRASLAPE 190 MATE</v>
      </c>
      <c r="D596" s="35" t="str">
        <f>VLOOKUP(B596,BASE!$A:$D,3,0)</f>
        <v>MATE</v>
      </c>
      <c r="E596" s="32">
        <f>VLOOKUP(B596,BASE!$A:$E,4,0)</f>
        <v>190</v>
      </c>
      <c r="F596" s="32">
        <v>2000</v>
      </c>
      <c r="G596" s="23">
        <f t="shared" si="9"/>
        <v>0.33333333333333331</v>
      </c>
    </row>
    <row r="597" spans="1:7" ht="20.25" hidden="1" customHeight="1" x14ac:dyDescent="0.25">
      <c r="A597" s="29">
        <v>10156</v>
      </c>
      <c r="B597" s="30" t="s">
        <v>540</v>
      </c>
      <c r="C597" s="31" t="str">
        <f>VLOOKUP(B597,BASE!$A:$B,2,0)</f>
        <v>8025 TRASLAPE 190 MATE</v>
      </c>
      <c r="D597" s="35" t="str">
        <f>VLOOKUP(B597,BASE!$A:$D,3,0)</f>
        <v>MATE</v>
      </c>
      <c r="E597" s="32">
        <f>VLOOKUP(B597,BASE!$A:$E,4,0)</f>
        <v>190</v>
      </c>
      <c r="F597" s="32">
        <v>1800</v>
      </c>
      <c r="G597" s="23">
        <f t="shared" si="9"/>
        <v>0.3</v>
      </c>
    </row>
    <row r="598" spans="1:7" ht="20.25" hidden="1" customHeight="1" x14ac:dyDescent="0.25">
      <c r="A598" s="29">
        <v>10157</v>
      </c>
      <c r="B598" s="30" t="s">
        <v>152</v>
      </c>
      <c r="C598" s="31" t="str">
        <f>VLOOKUP(B598,BASE!$A:$B,2,0)</f>
        <v>ZOCALO 10CMS S-351 NEGRO</v>
      </c>
      <c r="D598" s="35" t="str">
        <f>VLOOKUP(B598,BASE!$A:$D,3,0)</f>
        <v>NEGRO</v>
      </c>
      <c r="E598" s="32" t="str">
        <f>VLOOKUP(B598,BASE!$A:$E,4,0)</f>
        <v>S-351</v>
      </c>
      <c r="F598" s="32">
        <v>2200</v>
      </c>
      <c r="G598" s="23">
        <f t="shared" si="9"/>
        <v>0.36666666666666664</v>
      </c>
    </row>
    <row r="599" spans="1:7" ht="20.25" hidden="1" customHeight="1" x14ac:dyDescent="0.25">
      <c r="A599" s="29">
        <v>10158</v>
      </c>
      <c r="B599" s="30" t="s">
        <v>40</v>
      </c>
      <c r="C599" s="31" t="str">
        <f>VLOOKUP(B599,BASE!$A:$B,2,0)</f>
        <v>TUBULAR T-94 NEGRO</v>
      </c>
      <c r="D599" s="35" t="str">
        <f>VLOOKUP(B599,BASE!$A:$D,3,0)</f>
        <v>NEGRO</v>
      </c>
      <c r="E599" s="32" t="str">
        <f>VLOOKUP(B599,BASE!$A:$E,4,0)</f>
        <v>T-94</v>
      </c>
      <c r="F599" s="32">
        <v>2100</v>
      </c>
      <c r="G599" s="23">
        <f t="shared" si="9"/>
        <v>0.35</v>
      </c>
    </row>
    <row r="600" spans="1:7" ht="20.25" hidden="1" customHeight="1" x14ac:dyDescent="0.25">
      <c r="A600" s="29">
        <v>10159</v>
      </c>
      <c r="B600" s="30" t="s">
        <v>187</v>
      </c>
      <c r="C600" s="31" t="str">
        <f>VLOOKUP(B600,BASE!$A:$B,2,0)</f>
        <v>3831 JAMBA 174 NEGRO</v>
      </c>
      <c r="D600" s="35" t="str">
        <f>VLOOKUP(B600,BASE!$A:$D,3,0)</f>
        <v>NEGRO</v>
      </c>
      <c r="E600" s="32">
        <f>VLOOKUP(B600,BASE!$A:$E,4,0)</f>
        <v>174</v>
      </c>
      <c r="F600" s="32">
        <v>1700</v>
      </c>
      <c r="G600" s="23">
        <f t="shared" si="9"/>
        <v>0.28333333333333333</v>
      </c>
    </row>
    <row r="601" spans="1:7" ht="20.25" hidden="1" customHeight="1" x14ac:dyDescent="0.25">
      <c r="A601" s="29">
        <v>10161</v>
      </c>
      <c r="B601" s="30" t="s">
        <v>40</v>
      </c>
      <c r="C601" s="31" t="str">
        <f>VLOOKUP(B601,BASE!$A:$B,2,0)</f>
        <v>TUBULAR T-94 NEGRO</v>
      </c>
      <c r="D601" s="35" t="str">
        <f>VLOOKUP(B601,BASE!$A:$D,3,0)</f>
        <v>NEGRO</v>
      </c>
      <c r="E601" s="32" t="str">
        <f>VLOOKUP(B601,BASE!$A:$E,4,0)</f>
        <v>T-94</v>
      </c>
      <c r="F601" s="32">
        <v>1700</v>
      </c>
      <c r="G601" s="23">
        <f t="shared" si="9"/>
        <v>0.28333333333333333</v>
      </c>
    </row>
    <row r="602" spans="1:7" ht="20.25" hidden="1" customHeight="1" x14ac:dyDescent="0.25">
      <c r="A602" s="29">
        <v>10162</v>
      </c>
      <c r="B602" s="30" t="s">
        <v>34</v>
      </c>
      <c r="C602" s="31" t="str">
        <f>VLOOKUP(B602,BASE!$A:$B,2,0)</f>
        <v>TUBULAR T-244 NEGRO</v>
      </c>
      <c r="D602" s="35" t="str">
        <f>VLOOKUP(B602,BASE!$A:$D,3,0)</f>
        <v>NEGRO</v>
      </c>
      <c r="E602" s="32" t="str">
        <f>VLOOKUP(B602,BASE!$A:$E,4,0)</f>
        <v>T-244</v>
      </c>
      <c r="F602" s="32">
        <v>1200</v>
      </c>
      <c r="G602" s="23">
        <f t="shared" si="9"/>
        <v>0.2</v>
      </c>
    </row>
    <row r="603" spans="1:7" ht="20.25" hidden="1" customHeight="1" x14ac:dyDescent="0.25">
      <c r="A603" s="29">
        <v>10165</v>
      </c>
      <c r="B603" s="30" t="s">
        <v>58</v>
      </c>
      <c r="C603" s="31" t="str">
        <f>VLOOKUP(B603,BASE!$A:$B,2,0)</f>
        <v>TUBULAR T-70 NEGRO</v>
      </c>
      <c r="D603" s="35" t="str">
        <f>VLOOKUP(B603,BASE!$A:$D,3,0)</f>
        <v>NEGRO</v>
      </c>
      <c r="E603" s="32" t="str">
        <f>VLOOKUP(B603,BASE!$A:$E,4,0)</f>
        <v>T-70</v>
      </c>
      <c r="F603" s="32">
        <v>800</v>
      </c>
      <c r="G603" s="23">
        <f t="shared" si="9"/>
        <v>0.13333333333333333</v>
      </c>
    </row>
    <row r="604" spans="1:7" ht="20.25" hidden="1" customHeight="1" x14ac:dyDescent="0.25">
      <c r="A604" s="29">
        <v>10166</v>
      </c>
      <c r="B604" s="30" t="s">
        <v>58</v>
      </c>
      <c r="C604" s="31" t="str">
        <f>VLOOKUP(B604,BASE!$A:$B,2,0)</f>
        <v>TUBULAR T-70 NEGRO</v>
      </c>
      <c r="D604" s="35" t="str">
        <f>VLOOKUP(B604,BASE!$A:$D,3,0)</f>
        <v>NEGRO</v>
      </c>
      <c r="E604" s="32" t="str">
        <f>VLOOKUP(B604,BASE!$A:$E,4,0)</f>
        <v>T-70</v>
      </c>
      <c r="F604" s="32">
        <v>800</v>
      </c>
      <c r="G604" s="23">
        <f t="shared" si="9"/>
        <v>0.13333333333333333</v>
      </c>
    </row>
    <row r="605" spans="1:7" ht="20.25" hidden="1" customHeight="1" x14ac:dyDescent="0.25">
      <c r="A605" s="29">
        <v>10167</v>
      </c>
      <c r="B605" s="30" t="s">
        <v>58</v>
      </c>
      <c r="C605" s="31" t="str">
        <f>VLOOKUP(B605,BASE!$A:$B,2,0)</f>
        <v>TUBULAR T-70 NEGRO</v>
      </c>
      <c r="D605" s="35" t="str">
        <f>VLOOKUP(B605,BASE!$A:$D,3,0)</f>
        <v>NEGRO</v>
      </c>
      <c r="E605" s="32" t="str">
        <f>VLOOKUP(B605,BASE!$A:$E,4,0)</f>
        <v>T-70</v>
      </c>
      <c r="F605" s="32">
        <v>800</v>
      </c>
      <c r="G605" s="23">
        <f t="shared" si="9"/>
        <v>0.13333333333333333</v>
      </c>
    </row>
    <row r="606" spans="1:7" ht="20.25" hidden="1" customHeight="1" x14ac:dyDescent="0.25">
      <c r="A606" s="29">
        <v>10168</v>
      </c>
      <c r="B606" s="30" t="s">
        <v>58</v>
      </c>
      <c r="C606" s="31" t="str">
        <f>VLOOKUP(B606,BASE!$A:$B,2,0)</f>
        <v>TUBULAR T-70 NEGRO</v>
      </c>
      <c r="D606" s="35" t="str">
        <f>VLOOKUP(B606,BASE!$A:$D,3,0)</f>
        <v>NEGRO</v>
      </c>
      <c r="E606" s="32" t="str">
        <f>VLOOKUP(B606,BASE!$A:$E,4,0)</f>
        <v>T-70</v>
      </c>
      <c r="F606" s="32">
        <v>700</v>
      </c>
      <c r="G606" s="23">
        <f t="shared" si="9"/>
        <v>0.11666666666666667</v>
      </c>
    </row>
    <row r="607" spans="1:7" ht="20.25" hidden="1" customHeight="1" x14ac:dyDescent="0.25">
      <c r="A607" s="29">
        <v>10169</v>
      </c>
      <c r="B607" s="30" t="s">
        <v>58</v>
      </c>
      <c r="C607" s="31" t="str">
        <f>VLOOKUP(B607,BASE!$A:$B,2,0)</f>
        <v>TUBULAR T-70 NEGRO</v>
      </c>
      <c r="D607" s="35" t="str">
        <f>VLOOKUP(B607,BASE!$A:$D,3,0)</f>
        <v>NEGRO</v>
      </c>
      <c r="E607" s="32" t="str">
        <f>VLOOKUP(B607,BASE!$A:$E,4,0)</f>
        <v>T-70</v>
      </c>
      <c r="F607" s="32">
        <v>600</v>
      </c>
      <c r="G607" s="23">
        <f t="shared" si="9"/>
        <v>0.1</v>
      </c>
    </row>
    <row r="608" spans="1:7" ht="20.25" hidden="1" customHeight="1" x14ac:dyDescent="0.25">
      <c r="A608" s="29">
        <v>10170</v>
      </c>
      <c r="B608" s="30" t="s">
        <v>84</v>
      </c>
      <c r="C608" s="31" t="str">
        <f>VLOOKUP(B608,BASE!$A:$B,2,0)</f>
        <v>TUBULAR 1101 MATE</v>
      </c>
      <c r="D608" s="35" t="str">
        <f>VLOOKUP(B608,BASE!$A:$D,3,0)</f>
        <v>MATE</v>
      </c>
      <c r="E608" s="32">
        <f>VLOOKUP(B608,BASE!$A:$E,4,0)</f>
        <v>1101</v>
      </c>
      <c r="F608" s="32">
        <v>700</v>
      </c>
      <c r="G608" s="23">
        <f t="shared" si="9"/>
        <v>0.11666666666666667</v>
      </c>
    </row>
    <row r="609" spans="1:7" ht="20.25" hidden="1" customHeight="1" x14ac:dyDescent="0.25">
      <c r="A609" s="29">
        <v>10171</v>
      </c>
      <c r="B609" s="30" t="s">
        <v>174</v>
      </c>
      <c r="C609" s="31" t="str">
        <f>VLOOKUP(B609,BASE!$A:$B,2,0)</f>
        <v>3831 PISAVIDRIO 177 MATE</v>
      </c>
      <c r="D609" s="35" t="str">
        <f>VLOOKUP(B609,BASE!$A:$D,3,0)</f>
        <v>MATE</v>
      </c>
      <c r="E609" s="32">
        <f>VLOOKUP(B609,BASE!$A:$E,4,0)</f>
        <v>177</v>
      </c>
      <c r="F609" s="32">
        <v>1100</v>
      </c>
      <c r="G609" s="23">
        <f t="shared" si="9"/>
        <v>0.18333333333333332</v>
      </c>
    </row>
    <row r="610" spans="1:7" ht="20.25" hidden="1" customHeight="1" x14ac:dyDescent="0.25">
      <c r="A610" s="29">
        <v>10173</v>
      </c>
      <c r="B610" s="30" t="s">
        <v>168</v>
      </c>
      <c r="C610" s="31" t="str">
        <f>VLOOKUP(B610,BASE!$A:$B,2,0)</f>
        <v>3831 PISAVIDRIO 177 NEGRO</v>
      </c>
      <c r="D610" s="35" t="str">
        <f>VLOOKUP(B610,BASE!$A:$D,3,0)</f>
        <v>NEGRO</v>
      </c>
      <c r="E610" s="32">
        <f>VLOOKUP(B610,BASE!$A:$E,4,0)</f>
        <v>177</v>
      </c>
      <c r="F610" s="32">
        <v>800</v>
      </c>
      <c r="G610" s="23">
        <f t="shared" si="9"/>
        <v>0.13333333333333333</v>
      </c>
    </row>
    <row r="611" spans="1:7" ht="20.25" hidden="1" customHeight="1" x14ac:dyDescent="0.25">
      <c r="A611" s="29">
        <v>10174</v>
      </c>
      <c r="B611" s="30" t="s">
        <v>144</v>
      </c>
      <c r="C611" s="31" t="str">
        <f>VLOOKUP(B611,BASE!$A:$B,2,0)</f>
        <v>5020 HORIZONTAL 148 NEGRO</v>
      </c>
      <c r="D611" s="35" t="str">
        <f>VLOOKUP(B611,BASE!$A:$D,3,0)</f>
        <v>NEGRO</v>
      </c>
      <c r="E611" s="32">
        <f>VLOOKUP(B611,BASE!$A:$E,4,0)</f>
        <v>148</v>
      </c>
      <c r="F611" s="32">
        <v>800</v>
      </c>
      <c r="G611" s="23">
        <f t="shared" si="9"/>
        <v>0.13333333333333333</v>
      </c>
    </row>
    <row r="612" spans="1:7" ht="20.25" hidden="1" customHeight="1" x14ac:dyDescent="0.25">
      <c r="A612" s="29">
        <v>10175</v>
      </c>
      <c r="B612" s="30" t="s">
        <v>111</v>
      </c>
      <c r="C612" s="31" t="str">
        <f>VLOOKUP(B612,BASE!$A:$B,2,0)</f>
        <v>5020 HORIZONTAL 148 BRONCE</v>
      </c>
      <c r="D612" s="35" t="str">
        <f>VLOOKUP(B612,BASE!$A:$D,3,0)</f>
        <v>BRONCE</v>
      </c>
      <c r="E612" s="32">
        <f>VLOOKUP(B612,BASE!$A:$E,4,0)</f>
        <v>148</v>
      </c>
      <c r="F612" s="32">
        <v>700</v>
      </c>
      <c r="G612" s="23">
        <f t="shared" si="9"/>
        <v>0.11666666666666667</v>
      </c>
    </row>
    <row r="613" spans="1:7" ht="20.25" hidden="1" customHeight="1" x14ac:dyDescent="0.25">
      <c r="A613" s="29">
        <v>10176</v>
      </c>
      <c r="B613" s="30" t="s">
        <v>119</v>
      </c>
      <c r="C613" s="31" t="str">
        <f>VLOOKUP(B613,BASE!$A:$B,2,0)</f>
        <v>744 ENGANCHE 391 MATE</v>
      </c>
      <c r="D613" s="35" t="str">
        <f>VLOOKUP(B613,BASE!$A:$D,3,0)</f>
        <v>MATE</v>
      </c>
      <c r="E613" s="32">
        <f>VLOOKUP(B613,BASE!$A:$E,4,0)</f>
        <v>391</v>
      </c>
      <c r="F613" s="32">
        <v>700</v>
      </c>
      <c r="G613" s="23">
        <f t="shared" si="9"/>
        <v>0.11666666666666667</v>
      </c>
    </row>
    <row r="614" spans="1:7" ht="20.25" hidden="1" customHeight="1" x14ac:dyDescent="0.25">
      <c r="A614" s="29">
        <v>10177</v>
      </c>
      <c r="B614" s="30" t="s">
        <v>119</v>
      </c>
      <c r="C614" s="31" t="str">
        <f>VLOOKUP(B614,BASE!$A:$B,2,0)</f>
        <v>744 ENGANCHE 391 MATE</v>
      </c>
      <c r="D614" s="35" t="str">
        <f>VLOOKUP(B614,BASE!$A:$D,3,0)</f>
        <v>MATE</v>
      </c>
      <c r="E614" s="32">
        <f>VLOOKUP(B614,BASE!$A:$E,4,0)</f>
        <v>391</v>
      </c>
      <c r="F614" s="32">
        <v>900</v>
      </c>
      <c r="G614" s="23">
        <f t="shared" si="9"/>
        <v>0.15</v>
      </c>
    </row>
    <row r="615" spans="1:7" ht="20.25" hidden="1" customHeight="1" x14ac:dyDescent="0.25">
      <c r="A615" s="29">
        <v>10178</v>
      </c>
      <c r="B615" s="30" t="s">
        <v>110</v>
      </c>
      <c r="C615" s="31" t="str">
        <f>VLOOKUP(B615,BASE!$A:$B,2,0)</f>
        <v>744 TRASLAPE 388 MATE</v>
      </c>
      <c r="D615" s="35" t="str">
        <f>VLOOKUP(B615,BASE!$A:$D,3,0)</f>
        <v>MATE</v>
      </c>
      <c r="E615" s="32">
        <f>VLOOKUP(B615,BASE!$A:$E,4,0)</f>
        <v>388</v>
      </c>
      <c r="F615" s="32">
        <v>700</v>
      </c>
      <c r="G615" s="23">
        <f t="shared" si="9"/>
        <v>0.11666666666666667</v>
      </c>
    </row>
    <row r="616" spans="1:7" ht="20.25" hidden="1" customHeight="1" x14ac:dyDescent="0.25">
      <c r="A616" s="29">
        <v>10179</v>
      </c>
      <c r="B616" s="30" t="s">
        <v>41</v>
      </c>
      <c r="C616" s="31" t="str">
        <f>VLOOKUP(B616,BASE!$A:$B,2,0)</f>
        <v>TUBULAR T-70 MATE</v>
      </c>
      <c r="D616" s="35" t="str">
        <f>VLOOKUP(B616,BASE!$A:$D,3,0)</f>
        <v>MATE</v>
      </c>
      <c r="E616" s="32" t="str">
        <f>VLOOKUP(B616,BASE!$A:$E,4,0)</f>
        <v>T-70</v>
      </c>
      <c r="F616" s="32">
        <v>1000</v>
      </c>
      <c r="G616" s="23">
        <f t="shared" si="9"/>
        <v>0.16666666666666666</v>
      </c>
    </row>
    <row r="617" spans="1:7" ht="20.25" hidden="1" customHeight="1" x14ac:dyDescent="0.25">
      <c r="A617" s="29">
        <v>10180</v>
      </c>
      <c r="B617" s="30" t="s">
        <v>41</v>
      </c>
      <c r="C617" s="31" t="str">
        <f>VLOOKUP(B617,BASE!$A:$B,2,0)</f>
        <v>TUBULAR T-70 MATE</v>
      </c>
      <c r="D617" s="35" t="str">
        <f>VLOOKUP(B617,BASE!$A:$D,3,0)</f>
        <v>MATE</v>
      </c>
      <c r="E617" s="32" t="str">
        <f>VLOOKUP(B617,BASE!$A:$E,4,0)</f>
        <v>T-70</v>
      </c>
      <c r="F617" s="32">
        <v>1100</v>
      </c>
      <c r="G617" s="23">
        <f t="shared" si="9"/>
        <v>0.18333333333333332</v>
      </c>
    </row>
    <row r="618" spans="1:7" ht="20.25" hidden="1" customHeight="1" x14ac:dyDescent="0.25">
      <c r="A618" s="29">
        <v>10181</v>
      </c>
      <c r="B618" s="30" t="s">
        <v>124</v>
      </c>
      <c r="C618" s="31" t="str">
        <f>VLOOKUP(B618,BASE!$A:$B,2,0)</f>
        <v>3831 SILLAR CABEZAL 173 MATE</v>
      </c>
      <c r="D618" s="35" t="str">
        <f>VLOOKUP(B618,BASE!$A:$D,3,0)</f>
        <v>MATE</v>
      </c>
      <c r="E618" s="32">
        <f>VLOOKUP(B618,BASE!$A:$E,4,0)</f>
        <v>173</v>
      </c>
      <c r="F618" s="32">
        <v>1100</v>
      </c>
      <c r="G618" s="23">
        <f t="shared" ref="G618:G681" si="10">+F618/6000</f>
        <v>0.18333333333333332</v>
      </c>
    </row>
    <row r="619" spans="1:7" ht="20.25" hidden="1" customHeight="1" x14ac:dyDescent="0.25">
      <c r="A619" s="29">
        <v>10182</v>
      </c>
      <c r="B619" s="30" t="s">
        <v>124</v>
      </c>
      <c r="C619" s="31" t="str">
        <f>VLOOKUP(B619,BASE!$A:$B,2,0)</f>
        <v>3831 SILLAR CABEZAL 173 MATE</v>
      </c>
      <c r="D619" s="35" t="str">
        <f>VLOOKUP(B619,BASE!$A:$D,3,0)</f>
        <v>MATE</v>
      </c>
      <c r="E619" s="32">
        <f>VLOOKUP(B619,BASE!$A:$E,4,0)</f>
        <v>173</v>
      </c>
      <c r="F619" s="32">
        <v>1100</v>
      </c>
      <c r="G619" s="23">
        <f t="shared" si="10"/>
        <v>0.18333333333333332</v>
      </c>
    </row>
    <row r="620" spans="1:7" ht="20.25" hidden="1" customHeight="1" x14ac:dyDescent="0.25">
      <c r="A620" s="29">
        <v>10183</v>
      </c>
      <c r="B620" s="30" t="s">
        <v>167</v>
      </c>
      <c r="C620" s="31" t="str">
        <f>VLOOKUP(B620,BASE!$A:$B,2,0)</f>
        <v>3831 JAMBA 174 MATE</v>
      </c>
      <c r="D620" s="35" t="str">
        <f>VLOOKUP(B620,BASE!$A:$D,3,0)</f>
        <v>MATE</v>
      </c>
      <c r="E620" s="32">
        <f>VLOOKUP(B620,BASE!$A:$E,4,0)</f>
        <v>174</v>
      </c>
      <c r="F620" s="32">
        <v>1200</v>
      </c>
      <c r="G620" s="23">
        <f t="shared" si="10"/>
        <v>0.2</v>
      </c>
    </row>
    <row r="621" spans="1:7" ht="20.25" hidden="1" customHeight="1" x14ac:dyDescent="0.25">
      <c r="A621" s="29">
        <v>10184</v>
      </c>
      <c r="B621" s="30" t="s">
        <v>694</v>
      </c>
      <c r="C621" s="31" t="str">
        <f>VLOOKUP(B621,BASE!$A:$B,2,0)</f>
        <v>744 CABEZAL 392 MATE</v>
      </c>
      <c r="D621" s="35" t="str">
        <f>VLOOKUP(B621,BASE!$A:$D,3,0)</f>
        <v>MATE</v>
      </c>
      <c r="E621" s="32">
        <f>VLOOKUP(B621,BASE!$A:$E,4,0)</f>
        <v>392</v>
      </c>
      <c r="F621" s="32">
        <v>1300</v>
      </c>
      <c r="G621" s="23">
        <f t="shared" si="10"/>
        <v>0.21666666666666667</v>
      </c>
    </row>
    <row r="622" spans="1:7" ht="20.25" hidden="1" customHeight="1" x14ac:dyDescent="0.25">
      <c r="A622" s="29">
        <v>10185</v>
      </c>
      <c r="B622" s="30" t="s">
        <v>129</v>
      </c>
      <c r="C622" s="31" t="str">
        <f>VLOOKUP(B622,BASE!$A:$B,2,0)</f>
        <v>3831 DIVISOR 292 MATE</v>
      </c>
      <c r="D622" s="35" t="str">
        <f>VLOOKUP(B622,BASE!$A:$D,3,0)</f>
        <v>MATE</v>
      </c>
      <c r="E622" s="32">
        <f>VLOOKUP(B622,BASE!$A:$E,4,0)</f>
        <v>292</v>
      </c>
      <c r="F622" s="32">
        <v>1500</v>
      </c>
      <c r="G622" s="23">
        <f t="shared" si="10"/>
        <v>0.25</v>
      </c>
    </row>
    <row r="623" spans="1:7" ht="20.25" hidden="1" customHeight="1" x14ac:dyDescent="0.25">
      <c r="A623" s="29">
        <v>10187</v>
      </c>
      <c r="B623" s="30" t="s">
        <v>16</v>
      </c>
      <c r="C623" s="31" t="str">
        <f>VLOOKUP(B623,BASE!$A:$B,2,0)</f>
        <v>ZOCALO 10CMS S-351 MATE</v>
      </c>
      <c r="D623" s="35" t="str">
        <f>VLOOKUP(B623,BASE!$A:$D,3,0)</f>
        <v>MATE</v>
      </c>
      <c r="E623" s="32" t="str">
        <f>VLOOKUP(B623,BASE!$A:$E,4,0)</f>
        <v>S-351</v>
      </c>
      <c r="F623" s="32">
        <v>1400</v>
      </c>
      <c r="G623" s="23">
        <f t="shared" si="10"/>
        <v>0.23333333333333334</v>
      </c>
    </row>
    <row r="624" spans="1:7" ht="20.25" hidden="1" customHeight="1" x14ac:dyDescent="0.25">
      <c r="A624" s="29">
        <v>10188</v>
      </c>
      <c r="B624" s="30" t="s">
        <v>603</v>
      </c>
      <c r="C624" s="31" t="str">
        <f>VLOOKUP(B624,BASE!$A:$B,2,0)</f>
        <v>ALFAJIA 1123 MATE</v>
      </c>
      <c r="D624" s="35" t="str">
        <f>VLOOKUP(B624,BASE!$A:$D,3,0)</f>
        <v>MATE</v>
      </c>
      <c r="E624" s="32">
        <f>VLOOKUP(B624,BASE!$A:$E,4,0)</f>
        <v>1123</v>
      </c>
      <c r="F624" s="32">
        <v>1300</v>
      </c>
      <c r="G624" s="23">
        <f t="shared" si="10"/>
        <v>0.21666666666666667</v>
      </c>
    </row>
    <row r="625" spans="1:7" ht="20.25" hidden="1" customHeight="1" x14ac:dyDescent="0.25">
      <c r="A625" s="29">
        <v>10189</v>
      </c>
      <c r="B625" s="30" t="s">
        <v>584</v>
      </c>
      <c r="C625" s="31" t="str">
        <f>VLOOKUP(B625,BASE!$A:$B,2,0)</f>
        <v>U68 MATE</v>
      </c>
      <c r="D625" s="35" t="str">
        <f>VLOOKUP(B625,BASE!$A:$D,3,0)</f>
        <v>MATE</v>
      </c>
      <c r="E625" s="32" t="str">
        <f>VLOOKUP(B625,BASE!$A:$E,4,0)</f>
        <v>U-68</v>
      </c>
      <c r="F625" s="32">
        <v>1900</v>
      </c>
      <c r="G625" s="23">
        <f t="shared" si="10"/>
        <v>0.31666666666666665</v>
      </c>
    </row>
    <row r="626" spans="1:7" ht="20.25" hidden="1" customHeight="1" x14ac:dyDescent="0.25">
      <c r="A626" s="29">
        <v>10190</v>
      </c>
      <c r="B626" s="30" t="s">
        <v>764</v>
      </c>
      <c r="C626" s="31" t="str">
        <f>VLOOKUP(B626,BASE!$A:$B,2,0)</f>
        <v>RIEL OPTIGLASS SENCILLO SL-010 NEGRO</v>
      </c>
      <c r="D626" s="35" t="str">
        <f>VLOOKUP(B626,BASE!$A:$D,3,0)</f>
        <v>NEGRO</v>
      </c>
      <c r="E626" s="32" t="str">
        <f>VLOOKUP(B626,BASE!$A:$E,4,0)</f>
        <v>SL-010</v>
      </c>
      <c r="F626" s="32">
        <v>1900</v>
      </c>
      <c r="G626" s="23">
        <f t="shared" si="10"/>
        <v>0.31666666666666665</v>
      </c>
    </row>
    <row r="627" spans="1:7" ht="20.25" hidden="1" customHeight="1" x14ac:dyDescent="0.25">
      <c r="A627" s="29">
        <v>10191</v>
      </c>
      <c r="B627" s="30" t="s">
        <v>145</v>
      </c>
      <c r="C627" s="31" t="str">
        <f>VLOOKUP(B627,BASE!$A:$B,2,0)</f>
        <v>5020 JAMBA 193 NEGRO</v>
      </c>
      <c r="D627" s="35" t="str">
        <f>VLOOKUP(B627,BASE!$A:$D,3,0)</f>
        <v>NEGRO</v>
      </c>
      <c r="E627" s="32">
        <f>VLOOKUP(B627,BASE!$A:$E,4,0)</f>
        <v>193</v>
      </c>
      <c r="F627" s="32">
        <v>2100</v>
      </c>
      <c r="G627" s="23">
        <f t="shared" si="10"/>
        <v>0.35</v>
      </c>
    </row>
    <row r="628" spans="1:7" ht="20.25" hidden="1" customHeight="1" x14ac:dyDescent="0.25">
      <c r="A628" s="29">
        <v>10192</v>
      </c>
      <c r="B628" s="30" t="s">
        <v>147</v>
      </c>
      <c r="C628" s="31" t="str">
        <f>VLOOKUP(B628,BASE!$A:$B,2,0)</f>
        <v>5020 ENGANCHE 147 NEGRO</v>
      </c>
      <c r="D628" s="35" t="str">
        <f>VLOOKUP(B628,BASE!$A:$D,3,0)</f>
        <v>NEGRO</v>
      </c>
      <c r="E628" s="32">
        <f>VLOOKUP(B628,BASE!$A:$E,4,0)</f>
        <v>147</v>
      </c>
      <c r="F628" s="32">
        <v>1200</v>
      </c>
      <c r="G628" s="23">
        <f t="shared" si="10"/>
        <v>0.2</v>
      </c>
    </row>
    <row r="629" spans="1:7" ht="20.25" hidden="1" customHeight="1" x14ac:dyDescent="0.25">
      <c r="A629" s="29">
        <v>10193</v>
      </c>
      <c r="B629" s="30" t="s">
        <v>158</v>
      </c>
      <c r="C629" s="31" t="str">
        <f>VLOOKUP(B629,BASE!$A:$B,2,0)</f>
        <v>3831 ADAPTADOR 175 NEGRO</v>
      </c>
      <c r="D629" s="35" t="str">
        <f>VLOOKUP(B629,BASE!$A:$D,3,0)</f>
        <v>NEGRO</v>
      </c>
      <c r="E629" s="32">
        <f>VLOOKUP(B629,BASE!$A:$E,4,0)</f>
        <v>175</v>
      </c>
      <c r="F629" s="32">
        <v>800</v>
      </c>
      <c r="G629" s="23">
        <f t="shared" si="10"/>
        <v>0.13333333333333333</v>
      </c>
    </row>
    <row r="630" spans="1:7" ht="20.25" hidden="1" customHeight="1" x14ac:dyDescent="0.25">
      <c r="A630" s="29">
        <v>10194</v>
      </c>
      <c r="B630" s="30" t="s">
        <v>158</v>
      </c>
      <c r="C630" s="31" t="str">
        <f>VLOOKUP(B630,BASE!$A:$B,2,0)</f>
        <v>3831 ADAPTADOR 175 NEGRO</v>
      </c>
      <c r="D630" s="35" t="str">
        <f>VLOOKUP(B630,BASE!$A:$D,3,0)</f>
        <v>NEGRO</v>
      </c>
      <c r="E630" s="32">
        <f>VLOOKUP(B630,BASE!$A:$E,4,0)</f>
        <v>175</v>
      </c>
      <c r="F630" s="32">
        <v>800</v>
      </c>
      <c r="G630" s="23">
        <f t="shared" si="10"/>
        <v>0.13333333333333333</v>
      </c>
    </row>
    <row r="631" spans="1:7" ht="20.25" hidden="1" customHeight="1" x14ac:dyDescent="0.25">
      <c r="A631" s="29">
        <v>10195</v>
      </c>
      <c r="B631" s="30" t="s">
        <v>123</v>
      </c>
      <c r="C631" s="31" t="str">
        <f>VLOOKUP(B631,BASE!$A:$B,2,0)</f>
        <v>3831 SILLAR CABEZAL 173 NEGRO</v>
      </c>
      <c r="D631" s="35" t="str">
        <f>VLOOKUP(B631,BASE!$A:$D,3,0)</f>
        <v>NEGRO</v>
      </c>
      <c r="E631" s="32">
        <f>VLOOKUP(B631,BASE!$A:$E,4,0)</f>
        <v>173</v>
      </c>
      <c r="F631" s="32">
        <v>800</v>
      </c>
      <c r="G631" s="23">
        <f t="shared" si="10"/>
        <v>0.13333333333333333</v>
      </c>
    </row>
    <row r="632" spans="1:7" ht="20.25" hidden="1" customHeight="1" x14ac:dyDescent="0.25">
      <c r="A632" s="29">
        <v>10196</v>
      </c>
      <c r="B632" s="30" t="s">
        <v>41</v>
      </c>
      <c r="C632" s="31" t="str">
        <f>VLOOKUP(B632,BASE!$A:$B,2,0)</f>
        <v>TUBULAR T-70 MATE</v>
      </c>
      <c r="D632" s="35" t="str">
        <f>VLOOKUP(B632,BASE!$A:$D,3,0)</f>
        <v>MATE</v>
      </c>
      <c r="E632" s="32" t="str">
        <f>VLOOKUP(B632,BASE!$A:$E,4,0)</f>
        <v>T-70</v>
      </c>
      <c r="F632" s="32">
        <v>3700</v>
      </c>
      <c r="G632" s="23">
        <f t="shared" si="10"/>
        <v>0.6166666666666667</v>
      </c>
    </row>
    <row r="633" spans="1:7" ht="20.25" hidden="1" customHeight="1" x14ac:dyDescent="0.25">
      <c r="A633" s="29">
        <v>10197</v>
      </c>
      <c r="B633" s="30" t="s">
        <v>469</v>
      </c>
      <c r="C633" s="31" t="str">
        <f>VLOOKUP(B633,BASE!$A:$B,2,0)</f>
        <v>RIEL DUCASSE 1764 MATE</v>
      </c>
      <c r="D633" s="35" t="str">
        <f>VLOOKUP(B633,BASE!$A:$D,3,0)</f>
        <v>MATE</v>
      </c>
      <c r="E633" s="32">
        <f>VLOOKUP(B633,BASE!$A:$E,4,0)</f>
        <v>1764</v>
      </c>
      <c r="F633" s="32">
        <v>3600</v>
      </c>
      <c r="G633" s="23">
        <f t="shared" si="10"/>
        <v>0.6</v>
      </c>
    </row>
    <row r="634" spans="1:7" ht="20.25" hidden="1" customHeight="1" x14ac:dyDescent="0.25">
      <c r="A634" s="29">
        <v>10198</v>
      </c>
      <c r="B634" s="30" t="s">
        <v>158</v>
      </c>
      <c r="C634" s="31" t="str">
        <f>VLOOKUP(B634,BASE!$A:$B,2,0)</f>
        <v>3831 ADAPTADOR 175 NEGRO</v>
      </c>
      <c r="D634" s="35" t="str">
        <f>VLOOKUP(B634,BASE!$A:$D,3,0)</f>
        <v>NEGRO</v>
      </c>
      <c r="E634" s="32">
        <f>VLOOKUP(B634,BASE!$A:$E,4,0)</f>
        <v>175</v>
      </c>
      <c r="F634" s="32">
        <v>3900</v>
      </c>
      <c r="G634" s="23">
        <f t="shared" si="10"/>
        <v>0.65</v>
      </c>
    </row>
    <row r="635" spans="1:7" ht="20.25" hidden="1" customHeight="1" x14ac:dyDescent="0.25">
      <c r="A635" s="29">
        <v>10199</v>
      </c>
      <c r="B635" s="30" t="s">
        <v>174</v>
      </c>
      <c r="C635" s="31" t="str">
        <f>VLOOKUP(B635,BASE!$A:$B,2,0)</f>
        <v>3831 PISAVIDRIO 177 MATE</v>
      </c>
      <c r="D635" s="35" t="str">
        <f>VLOOKUP(B635,BASE!$A:$D,3,0)</f>
        <v>MATE</v>
      </c>
      <c r="E635" s="32">
        <f>VLOOKUP(B635,BASE!$A:$E,4,0)</f>
        <v>177</v>
      </c>
      <c r="F635" s="32">
        <v>4500</v>
      </c>
      <c r="G635" s="23">
        <f t="shared" si="10"/>
        <v>0.75</v>
      </c>
    </row>
    <row r="636" spans="1:7" ht="20.25" hidden="1" customHeight="1" x14ac:dyDescent="0.25">
      <c r="A636" s="29">
        <v>10200</v>
      </c>
      <c r="B636" s="30" t="s">
        <v>72</v>
      </c>
      <c r="C636" s="31" t="str">
        <f>VLOOKUP(B636,BASE!$A:$B,2,0)</f>
        <v>ANGULO IRREGULAR A-46 MATE</v>
      </c>
      <c r="D636" s="35" t="str">
        <f>VLOOKUP(B636,BASE!$A:$D,3,0)</f>
        <v>MATE</v>
      </c>
      <c r="E636" s="32" t="str">
        <f>VLOOKUP(B636,BASE!$A:$E,4,0)</f>
        <v>A-46</v>
      </c>
      <c r="F636" s="32">
        <v>3500</v>
      </c>
      <c r="G636" s="23">
        <f t="shared" si="10"/>
        <v>0.58333333333333337</v>
      </c>
    </row>
    <row r="637" spans="1:7" ht="20.25" hidden="1" customHeight="1" x14ac:dyDescent="0.25">
      <c r="A637" s="29">
        <v>10201</v>
      </c>
      <c r="B637" s="30" t="s">
        <v>91</v>
      </c>
      <c r="C637" s="31" t="str">
        <f>VLOOKUP(B637,BASE!$A:$B,2,0)</f>
        <v>SILLAR CABINA S-201 MATE</v>
      </c>
      <c r="D637" s="35" t="str">
        <f>VLOOKUP(B637,BASE!$A:$D,3,0)</f>
        <v>MATE</v>
      </c>
      <c r="E637" s="32" t="str">
        <f>VLOOKUP(B637,BASE!$A:$E,4,0)</f>
        <v>S-201</v>
      </c>
      <c r="F637" s="32">
        <v>2900</v>
      </c>
      <c r="G637" s="23">
        <f t="shared" si="10"/>
        <v>0.48333333333333334</v>
      </c>
    </row>
    <row r="638" spans="1:7" ht="20.25" hidden="1" customHeight="1" x14ac:dyDescent="0.25">
      <c r="A638" s="29">
        <v>10202</v>
      </c>
      <c r="B638" s="30" t="s">
        <v>599</v>
      </c>
      <c r="C638" s="31" t="str">
        <f>VLOOKUP(B638,BASE!$A:$B,2,0)</f>
        <v>TUBULAR T-76 CRUDO</v>
      </c>
      <c r="D638" s="35" t="str">
        <f>VLOOKUP(B638,BASE!$A:$D,3,0)</f>
        <v xml:space="preserve">CRUDO </v>
      </c>
      <c r="E638" s="32" t="str">
        <f>VLOOKUP(B638,BASE!$A:$E,4,0)</f>
        <v>T-76</v>
      </c>
      <c r="F638" s="32">
        <v>5200</v>
      </c>
      <c r="G638" s="23">
        <f t="shared" si="10"/>
        <v>0.8666666666666667</v>
      </c>
    </row>
    <row r="639" spans="1:7" ht="20.25" hidden="1" customHeight="1" x14ac:dyDescent="0.25">
      <c r="A639" s="29">
        <v>10203</v>
      </c>
      <c r="B639" s="30" t="s">
        <v>159</v>
      </c>
      <c r="C639" s="31" t="str">
        <f>VLOOKUP(B639,BASE!$A:$B,2,0)</f>
        <v>5020 CABEZAL 144 NEGRO</v>
      </c>
      <c r="D639" s="35" t="str">
        <f>VLOOKUP(B639,BASE!$A:$D,3,0)</f>
        <v>NEGRO</v>
      </c>
      <c r="E639" s="32">
        <f>VLOOKUP(B639,BASE!$A:$E,4,0)</f>
        <v>144</v>
      </c>
      <c r="F639" s="32">
        <v>3100</v>
      </c>
      <c r="G639" s="23">
        <f t="shared" si="10"/>
        <v>0.51666666666666672</v>
      </c>
    </row>
    <row r="640" spans="1:7" ht="20.25" hidden="1" customHeight="1" x14ac:dyDescent="0.25">
      <c r="A640" s="29">
        <v>10204</v>
      </c>
      <c r="B640" s="30" t="s">
        <v>570</v>
      </c>
      <c r="C640" s="31" t="str">
        <f>VLOOKUP(B640,BASE!$A:$B,2,0)</f>
        <v>U32 NEGRA</v>
      </c>
      <c r="D640" s="35" t="str">
        <f>VLOOKUP(B640,BASE!$A:$D,3,0)</f>
        <v>NEGRO</v>
      </c>
      <c r="E640" s="32" t="str">
        <f>VLOOKUP(B640,BASE!$A:$E,4,0)</f>
        <v>U-32</v>
      </c>
      <c r="F640" s="32">
        <v>4100</v>
      </c>
      <c r="G640" s="23">
        <f t="shared" si="10"/>
        <v>0.68333333333333335</v>
      </c>
    </row>
    <row r="641" spans="1:7" ht="20.25" hidden="1" customHeight="1" x14ac:dyDescent="0.25">
      <c r="A641" s="29">
        <v>10205</v>
      </c>
      <c r="B641" s="30" t="s">
        <v>176</v>
      </c>
      <c r="C641" s="31" t="str">
        <f>VLOOKUP(B641,BASE!$A:$B,2,0)</f>
        <v>ANGULO IRREGULAR A-46 BRONCE</v>
      </c>
      <c r="D641" s="35" t="str">
        <f>VLOOKUP(B641,BASE!$A:$D,3,0)</f>
        <v>BRONCE</v>
      </c>
      <c r="E641" s="32" t="str">
        <f>VLOOKUP(B641,BASE!$A:$E,4,0)</f>
        <v>A-46</v>
      </c>
      <c r="F641" s="32">
        <v>3100</v>
      </c>
      <c r="G641" s="23">
        <f t="shared" si="10"/>
        <v>0.51666666666666672</v>
      </c>
    </row>
    <row r="642" spans="1:7" ht="20.25" hidden="1" customHeight="1" x14ac:dyDescent="0.25">
      <c r="A642" s="29">
        <v>10206</v>
      </c>
      <c r="B642" s="30" t="s">
        <v>164</v>
      </c>
      <c r="C642" s="31" t="str">
        <f>VLOOKUP(B642,BASE!$A:$B,2,0)</f>
        <v>TUBULAR T-244 MATE</v>
      </c>
      <c r="D642" s="35" t="str">
        <f>VLOOKUP(B642,BASE!$A:$D,3,0)</f>
        <v>MATE</v>
      </c>
      <c r="E642" s="32" t="str">
        <f>VLOOKUP(B642,BASE!$A:$E,4,0)</f>
        <v>T-244</v>
      </c>
      <c r="F642" s="32">
        <v>3100</v>
      </c>
      <c r="G642" s="23">
        <f t="shared" si="10"/>
        <v>0.51666666666666672</v>
      </c>
    </row>
    <row r="643" spans="1:7" ht="20.25" hidden="1" customHeight="1" x14ac:dyDescent="0.25">
      <c r="A643" s="29">
        <v>10207</v>
      </c>
      <c r="B643" s="30" t="s">
        <v>179</v>
      </c>
      <c r="C643" s="31" t="str">
        <f>VLOOKUP(B643,BASE!$A:$B,2,0)</f>
        <v>TABLILLA F-08 MATE</v>
      </c>
      <c r="D643" s="35" t="str">
        <f>VLOOKUP(B643,BASE!$A:$D,3,0)</f>
        <v>MATE</v>
      </c>
      <c r="E643" s="32" t="str">
        <f>VLOOKUP(B643,BASE!$A:$E,4,0)</f>
        <v>F-08</v>
      </c>
      <c r="F643" s="32">
        <v>5200</v>
      </c>
      <c r="G643" s="23">
        <f t="shared" si="10"/>
        <v>0.8666666666666667</v>
      </c>
    </row>
    <row r="644" spans="1:7" ht="20.25" hidden="1" customHeight="1" x14ac:dyDescent="0.25">
      <c r="A644" s="29">
        <v>10208</v>
      </c>
      <c r="B644" s="30" t="s">
        <v>91</v>
      </c>
      <c r="C644" s="31" t="str">
        <f>VLOOKUP(B644,BASE!$A:$B,2,0)</f>
        <v>SILLAR CABINA S-201 MATE</v>
      </c>
      <c r="D644" s="35" t="str">
        <f>VLOOKUP(B644,BASE!$A:$D,3,0)</f>
        <v>MATE</v>
      </c>
      <c r="E644" s="32" t="str">
        <f>VLOOKUP(B644,BASE!$A:$E,4,0)</f>
        <v>S-201</v>
      </c>
      <c r="F644" s="32">
        <v>6000</v>
      </c>
      <c r="G644" s="23">
        <f t="shared" si="10"/>
        <v>1</v>
      </c>
    </row>
    <row r="645" spans="1:7" ht="20.25" hidden="1" customHeight="1" x14ac:dyDescent="0.25">
      <c r="A645" s="29">
        <v>10209</v>
      </c>
      <c r="B645" s="30" t="s">
        <v>115</v>
      </c>
      <c r="C645" s="31" t="str">
        <f>VLOOKUP(B645,BASE!$A:$B,2,0)</f>
        <v>3831 ADAPTADOR 175 MATE</v>
      </c>
      <c r="D645" s="35" t="str">
        <f>VLOOKUP(B645,BASE!$A:$D,3,0)</f>
        <v>MATE</v>
      </c>
      <c r="E645" s="32">
        <f>VLOOKUP(B645,BASE!$A:$E,4,0)</f>
        <v>175</v>
      </c>
      <c r="F645" s="32">
        <v>6000</v>
      </c>
      <c r="G645" s="23">
        <f t="shared" si="10"/>
        <v>1</v>
      </c>
    </row>
    <row r="646" spans="1:7" ht="20.25" hidden="1" customHeight="1" x14ac:dyDescent="0.25">
      <c r="A646" s="29">
        <v>10210</v>
      </c>
      <c r="B646" s="30" t="s">
        <v>72</v>
      </c>
      <c r="C646" s="31" t="str">
        <f>VLOOKUP(B646,BASE!$A:$B,2,0)</f>
        <v>ANGULO IRREGULAR A-46 MATE</v>
      </c>
      <c r="D646" s="35" t="str">
        <f>VLOOKUP(B646,BASE!$A:$D,3,0)</f>
        <v>MATE</v>
      </c>
      <c r="E646" s="32" t="str">
        <f>VLOOKUP(B646,BASE!$A:$E,4,0)</f>
        <v>A-46</v>
      </c>
      <c r="F646" s="32">
        <v>6000</v>
      </c>
      <c r="G646" s="23">
        <f t="shared" si="10"/>
        <v>1</v>
      </c>
    </row>
    <row r="647" spans="1:7" ht="20.25" hidden="1" customHeight="1" x14ac:dyDescent="0.25">
      <c r="A647" s="29">
        <v>10211</v>
      </c>
      <c r="B647" s="30" t="s">
        <v>72</v>
      </c>
      <c r="C647" s="31" t="str">
        <f>VLOOKUP(B647,BASE!$A:$B,2,0)</f>
        <v>ANGULO IRREGULAR A-46 MATE</v>
      </c>
      <c r="D647" s="35" t="str">
        <f>VLOOKUP(B647,BASE!$A:$D,3,0)</f>
        <v>MATE</v>
      </c>
      <c r="E647" s="32" t="str">
        <f>VLOOKUP(B647,BASE!$A:$E,4,0)</f>
        <v>A-46</v>
      </c>
      <c r="F647" s="32">
        <v>6000</v>
      </c>
      <c r="G647" s="23">
        <f t="shared" si="10"/>
        <v>1</v>
      </c>
    </row>
    <row r="648" spans="1:7" ht="20.25" hidden="1" customHeight="1" x14ac:dyDescent="0.25">
      <c r="A648" s="29">
        <v>10212</v>
      </c>
      <c r="B648" s="30" t="s">
        <v>72</v>
      </c>
      <c r="C648" s="31" t="str">
        <f>VLOOKUP(B648,BASE!$A:$B,2,0)</f>
        <v>ANGULO IRREGULAR A-46 MATE</v>
      </c>
      <c r="D648" s="35" t="str">
        <f>VLOOKUP(B648,BASE!$A:$D,3,0)</f>
        <v>MATE</v>
      </c>
      <c r="E648" s="32" t="str">
        <f>VLOOKUP(B648,BASE!$A:$E,4,0)</f>
        <v>A-46</v>
      </c>
      <c r="F648" s="32">
        <v>6000</v>
      </c>
      <c r="G648" s="23">
        <f t="shared" si="10"/>
        <v>1</v>
      </c>
    </row>
    <row r="649" spans="1:7" ht="20.25" hidden="1" customHeight="1" x14ac:dyDescent="0.25">
      <c r="A649" s="29">
        <v>10213</v>
      </c>
      <c r="B649" s="30" t="s">
        <v>584</v>
      </c>
      <c r="C649" s="31" t="str">
        <f>VLOOKUP(B649,BASE!$A:$B,2,0)</f>
        <v>U68 MATE</v>
      </c>
      <c r="D649" s="35" t="str">
        <f>VLOOKUP(B649,BASE!$A:$D,3,0)</f>
        <v>MATE</v>
      </c>
      <c r="E649" s="32" t="str">
        <f>VLOOKUP(B649,BASE!$A:$E,4,0)</f>
        <v>U-68</v>
      </c>
      <c r="F649" s="32">
        <v>6000</v>
      </c>
      <c r="G649" s="23">
        <f t="shared" si="10"/>
        <v>1</v>
      </c>
    </row>
    <row r="650" spans="1:7" ht="20.25" hidden="1" customHeight="1" x14ac:dyDescent="0.25">
      <c r="A650" s="29">
        <v>10214</v>
      </c>
      <c r="B650" s="30" t="s">
        <v>584</v>
      </c>
      <c r="C650" s="31" t="str">
        <f>VLOOKUP(B650,BASE!$A:$B,2,0)</f>
        <v>U68 MATE</v>
      </c>
      <c r="D650" s="35" t="str">
        <f>VLOOKUP(B650,BASE!$A:$D,3,0)</f>
        <v>MATE</v>
      </c>
      <c r="E650" s="32" t="str">
        <f>VLOOKUP(B650,BASE!$A:$E,4,0)</f>
        <v>U-68</v>
      </c>
      <c r="F650" s="32">
        <v>6000</v>
      </c>
      <c r="G650" s="23">
        <f t="shared" si="10"/>
        <v>1</v>
      </c>
    </row>
    <row r="651" spans="1:7" ht="20.25" hidden="1" customHeight="1" x14ac:dyDescent="0.25">
      <c r="A651" s="29">
        <v>10215</v>
      </c>
      <c r="B651" s="30" t="s">
        <v>584</v>
      </c>
      <c r="C651" s="31" t="str">
        <f>VLOOKUP(B651,BASE!$A:$B,2,0)</f>
        <v>U68 MATE</v>
      </c>
      <c r="D651" s="35" t="str">
        <f>VLOOKUP(B651,BASE!$A:$D,3,0)</f>
        <v>MATE</v>
      </c>
      <c r="E651" s="32" t="str">
        <f>VLOOKUP(B651,BASE!$A:$E,4,0)</f>
        <v>U-68</v>
      </c>
      <c r="F651" s="32">
        <v>6000</v>
      </c>
      <c r="G651" s="23">
        <f t="shared" si="10"/>
        <v>1</v>
      </c>
    </row>
    <row r="652" spans="1:7" ht="20.25" hidden="1" customHeight="1" x14ac:dyDescent="0.25">
      <c r="A652" s="29">
        <v>10216</v>
      </c>
      <c r="B652" s="30" t="s">
        <v>155</v>
      </c>
      <c r="C652" s="31" t="str">
        <f>VLOOKUP(B652,BASE!$A:$B,2,0)</f>
        <v>U32 MATE</v>
      </c>
      <c r="D652" s="35" t="str">
        <f>VLOOKUP(B652,BASE!$A:$D,3,0)</f>
        <v>MATE</v>
      </c>
      <c r="E652" s="32" t="str">
        <f>VLOOKUP(B652,BASE!$A:$E,4,0)</f>
        <v>U-32</v>
      </c>
      <c r="F652" s="32">
        <v>6000</v>
      </c>
      <c r="G652" s="23">
        <f t="shared" si="10"/>
        <v>1</v>
      </c>
    </row>
    <row r="653" spans="1:7" ht="20.25" hidden="1" customHeight="1" x14ac:dyDescent="0.25">
      <c r="A653" s="29">
        <v>10217</v>
      </c>
      <c r="B653" s="30" t="s">
        <v>155</v>
      </c>
      <c r="C653" s="31" t="str">
        <f>VLOOKUP(B653,BASE!$A:$B,2,0)</f>
        <v>U32 MATE</v>
      </c>
      <c r="D653" s="35" t="str">
        <f>VLOOKUP(B653,BASE!$A:$D,3,0)</f>
        <v>MATE</v>
      </c>
      <c r="E653" s="32" t="str">
        <f>VLOOKUP(B653,BASE!$A:$E,4,0)</f>
        <v>U-32</v>
      </c>
      <c r="F653" s="32">
        <v>6000</v>
      </c>
      <c r="G653" s="23">
        <f t="shared" si="10"/>
        <v>1</v>
      </c>
    </row>
    <row r="654" spans="1:7" ht="20.25" hidden="1" customHeight="1" x14ac:dyDescent="0.25">
      <c r="A654" s="29">
        <v>10218</v>
      </c>
      <c r="B654" s="30" t="s">
        <v>155</v>
      </c>
      <c r="C654" s="31" t="str">
        <f>VLOOKUP(B654,BASE!$A:$B,2,0)</f>
        <v>U32 MATE</v>
      </c>
      <c r="D654" s="35" t="str">
        <f>VLOOKUP(B654,BASE!$A:$D,3,0)</f>
        <v>MATE</v>
      </c>
      <c r="E654" s="32" t="str">
        <f>VLOOKUP(B654,BASE!$A:$E,4,0)</f>
        <v>U-32</v>
      </c>
      <c r="F654" s="32">
        <v>6000</v>
      </c>
      <c r="G654" s="23">
        <f t="shared" si="10"/>
        <v>1</v>
      </c>
    </row>
    <row r="655" spans="1:7" ht="20.25" hidden="1" customHeight="1" x14ac:dyDescent="0.25">
      <c r="A655" s="29">
        <v>10219</v>
      </c>
      <c r="B655" s="30" t="s">
        <v>155</v>
      </c>
      <c r="C655" s="31" t="str">
        <f>VLOOKUP(B655,BASE!$A:$B,2,0)</f>
        <v>U32 MATE</v>
      </c>
      <c r="D655" s="35" t="str">
        <f>VLOOKUP(B655,BASE!$A:$D,3,0)</f>
        <v>MATE</v>
      </c>
      <c r="E655" s="32" t="str">
        <f>VLOOKUP(B655,BASE!$A:$E,4,0)</f>
        <v>U-32</v>
      </c>
      <c r="F655" s="32">
        <v>6000</v>
      </c>
      <c r="G655" s="23">
        <f t="shared" si="10"/>
        <v>1</v>
      </c>
    </row>
    <row r="656" spans="1:7" ht="20.25" hidden="1" customHeight="1" x14ac:dyDescent="0.25">
      <c r="A656" s="29">
        <v>10220</v>
      </c>
      <c r="B656" s="30" t="s">
        <v>155</v>
      </c>
      <c r="C656" s="31" t="str">
        <f>VLOOKUP(B656,BASE!$A:$B,2,0)</f>
        <v>U32 MATE</v>
      </c>
      <c r="D656" s="35" t="str">
        <f>VLOOKUP(B656,BASE!$A:$D,3,0)</f>
        <v>MATE</v>
      </c>
      <c r="E656" s="32" t="str">
        <f>VLOOKUP(B656,BASE!$A:$E,4,0)</f>
        <v>U-32</v>
      </c>
      <c r="F656" s="32">
        <v>6000</v>
      </c>
      <c r="G656" s="23">
        <f t="shared" si="10"/>
        <v>1</v>
      </c>
    </row>
    <row r="657" spans="1:7" ht="20.25" hidden="1" customHeight="1" x14ac:dyDescent="0.25">
      <c r="A657" s="29">
        <v>10221</v>
      </c>
      <c r="B657" s="30" t="s">
        <v>155</v>
      </c>
      <c r="C657" s="31" t="str">
        <f>VLOOKUP(B657,BASE!$A:$B,2,0)</f>
        <v>U32 MATE</v>
      </c>
      <c r="D657" s="35" t="str">
        <f>VLOOKUP(B657,BASE!$A:$D,3,0)</f>
        <v>MATE</v>
      </c>
      <c r="E657" s="32" t="str">
        <f>VLOOKUP(B657,BASE!$A:$E,4,0)</f>
        <v>U-32</v>
      </c>
      <c r="F657" s="32">
        <v>6000</v>
      </c>
      <c r="G657" s="23">
        <f t="shared" si="10"/>
        <v>1</v>
      </c>
    </row>
    <row r="658" spans="1:7" ht="20.25" hidden="1" customHeight="1" x14ac:dyDescent="0.25">
      <c r="A658" s="29">
        <v>10222</v>
      </c>
      <c r="B658" s="30" t="s">
        <v>155</v>
      </c>
      <c r="C658" s="31" t="str">
        <f>VLOOKUP(B658,BASE!$A:$B,2,0)</f>
        <v>U32 MATE</v>
      </c>
      <c r="D658" s="35" t="str">
        <f>VLOOKUP(B658,BASE!$A:$D,3,0)</f>
        <v>MATE</v>
      </c>
      <c r="E658" s="32" t="str">
        <f>VLOOKUP(B658,BASE!$A:$E,4,0)</f>
        <v>U-32</v>
      </c>
      <c r="F658" s="32">
        <v>6000</v>
      </c>
      <c r="G658" s="23">
        <f t="shared" si="10"/>
        <v>1</v>
      </c>
    </row>
    <row r="659" spans="1:7" ht="20.25" hidden="1" customHeight="1" x14ac:dyDescent="0.25">
      <c r="A659" s="29">
        <v>10223</v>
      </c>
      <c r="B659" s="30" t="s">
        <v>155</v>
      </c>
      <c r="C659" s="31" t="str">
        <f>VLOOKUP(B659,BASE!$A:$B,2,0)</f>
        <v>U32 MATE</v>
      </c>
      <c r="D659" s="35" t="str">
        <f>VLOOKUP(B659,BASE!$A:$D,3,0)</f>
        <v>MATE</v>
      </c>
      <c r="E659" s="32" t="str">
        <f>VLOOKUP(B659,BASE!$A:$E,4,0)</f>
        <v>U-32</v>
      </c>
      <c r="F659" s="32">
        <v>6000</v>
      </c>
      <c r="G659" s="23">
        <f t="shared" si="10"/>
        <v>1</v>
      </c>
    </row>
    <row r="660" spans="1:7" ht="20.25" hidden="1" customHeight="1" x14ac:dyDescent="0.25">
      <c r="A660" s="29">
        <v>10224</v>
      </c>
      <c r="B660" s="30" t="s">
        <v>164</v>
      </c>
      <c r="C660" s="31" t="str">
        <f>VLOOKUP(B660,BASE!$A:$B,2,0)</f>
        <v>TUBULAR T-244 MATE</v>
      </c>
      <c r="D660" s="35" t="str">
        <f>VLOOKUP(B660,BASE!$A:$D,3,0)</f>
        <v>MATE</v>
      </c>
      <c r="E660" s="32" t="str">
        <f>VLOOKUP(B660,BASE!$A:$E,4,0)</f>
        <v>T-244</v>
      </c>
      <c r="F660" s="32">
        <v>1800</v>
      </c>
      <c r="G660" s="23">
        <f t="shared" si="10"/>
        <v>0.3</v>
      </c>
    </row>
    <row r="661" spans="1:7" ht="20.25" hidden="1" customHeight="1" x14ac:dyDescent="0.25">
      <c r="A661" s="29">
        <v>10225</v>
      </c>
      <c r="B661" s="30" t="s">
        <v>72</v>
      </c>
      <c r="C661" s="31" t="str">
        <f>VLOOKUP(B661,BASE!$A:$B,2,0)</f>
        <v>ANGULO IRREGULAR A-46 MATE</v>
      </c>
      <c r="D661" s="35" t="str">
        <f>VLOOKUP(B661,BASE!$A:$D,3,0)</f>
        <v>MATE</v>
      </c>
      <c r="E661" s="32" t="str">
        <f>VLOOKUP(B661,BASE!$A:$E,4,0)</f>
        <v>A-46</v>
      </c>
      <c r="F661" s="32">
        <v>6000</v>
      </c>
      <c r="G661" s="23">
        <f t="shared" si="10"/>
        <v>1</v>
      </c>
    </row>
    <row r="662" spans="1:7" ht="20.25" hidden="1" customHeight="1" x14ac:dyDescent="0.25">
      <c r="A662" s="29">
        <v>10226</v>
      </c>
      <c r="B662" s="30" t="s">
        <v>72</v>
      </c>
      <c r="C662" s="31" t="str">
        <f>VLOOKUP(B662,BASE!$A:$B,2,0)</f>
        <v>ANGULO IRREGULAR A-46 MATE</v>
      </c>
      <c r="D662" s="35" t="str">
        <f>VLOOKUP(B662,BASE!$A:$D,3,0)</f>
        <v>MATE</v>
      </c>
      <c r="E662" s="32" t="str">
        <f>VLOOKUP(B662,BASE!$A:$E,4,0)</f>
        <v>A-46</v>
      </c>
      <c r="F662" s="32">
        <v>6000</v>
      </c>
      <c r="G662" s="23">
        <f t="shared" si="10"/>
        <v>1</v>
      </c>
    </row>
    <row r="663" spans="1:7" ht="20.25" hidden="1" customHeight="1" x14ac:dyDescent="0.25">
      <c r="A663" s="29">
        <v>10227</v>
      </c>
      <c r="B663" s="30" t="s">
        <v>315</v>
      </c>
      <c r="C663" s="31" t="str">
        <f>VLOOKUP(B663,BASE!$A:$B,2,0)</f>
        <v>ANGULO IRREGULAR A-46 NEGRO</v>
      </c>
      <c r="D663" s="35" t="str">
        <f>VLOOKUP(B663,BASE!$A:$D,3,0)</f>
        <v>NEGRO</v>
      </c>
      <c r="E663" s="32" t="str">
        <f>VLOOKUP(B663,BASE!$A:$E,4,0)</f>
        <v>A-46</v>
      </c>
      <c r="F663" s="32">
        <v>1400</v>
      </c>
      <c r="G663" s="23">
        <f t="shared" si="10"/>
        <v>0.23333333333333334</v>
      </c>
    </row>
    <row r="664" spans="1:7" ht="20.25" hidden="1" customHeight="1" x14ac:dyDescent="0.25">
      <c r="A664" s="29">
        <v>10228</v>
      </c>
      <c r="B664" s="30" t="s">
        <v>315</v>
      </c>
      <c r="C664" s="31" t="str">
        <f>VLOOKUP(B664,BASE!$A:$B,2,0)</f>
        <v>ANGULO IRREGULAR A-46 NEGRO</v>
      </c>
      <c r="D664" s="35" t="str">
        <f>VLOOKUP(B664,BASE!$A:$D,3,0)</f>
        <v>NEGRO</v>
      </c>
      <c r="E664" s="32" t="str">
        <f>VLOOKUP(B664,BASE!$A:$E,4,0)</f>
        <v>A-46</v>
      </c>
      <c r="F664" s="32">
        <v>2000</v>
      </c>
      <c r="G664" s="23">
        <f t="shared" si="10"/>
        <v>0.33333333333333331</v>
      </c>
    </row>
    <row r="665" spans="1:7" ht="20.25" hidden="1" customHeight="1" x14ac:dyDescent="0.25">
      <c r="A665" s="29">
        <v>10229</v>
      </c>
      <c r="B665" s="30" t="s">
        <v>584</v>
      </c>
      <c r="C665" s="31" t="str">
        <f>VLOOKUP(B665,BASE!$A:$B,2,0)</f>
        <v>U68 MATE</v>
      </c>
      <c r="D665" s="35" t="str">
        <f>VLOOKUP(B665,BASE!$A:$D,3,0)</f>
        <v>MATE</v>
      </c>
      <c r="E665" s="32" t="str">
        <f>VLOOKUP(B665,BASE!$A:$E,4,0)</f>
        <v>U-68</v>
      </c>
      <c r="F665" s="32">
        <v>1500</v>
      </c>
      <c r="G665" s="23">
        <f t="shared" si="10"/>
        <v>0.25</v>
      </c>
    </row>
    <row r="666" spans="1:7" ht="20.25" hidden="1" customHeight="1" x14ac:dyDescent="0.25">
      <c r="A666" s="8">
        <v>23625</v>
      </c>
      <c r="B666" s="9" t="s">
        <v>174</v>
      </c>
      <c r="C666" s="10" t="str">
        <f>VLOOKUP(B666,BASE!$A:$B,2,0)</f>
        <v>3831 PISAVIDRIO 177 MATE</v>
      </c>
      <c r="D666" s="35" t="str">
        <f>VLOOKUP(B666,BASE!$A:$D,3,0)</f>
        <v>MATE</v>
      </c>
      <c r="E666" s="32">
        <f>VLOOKUP(B666,BASE!$A:$E,4,0)</f>
        <v>177</v>
      </c>
      <c r="F666" s="11">
        <v>2100</v>
      </c>
      <c r="G666" s="23">
        <f t="shared" si="10"/>
        <v>0.35</v>
      </c>
    </row>
    <row r="667" spans="1:7" ht="20.25" hidden="1" customHeight="1" x14ac:dyDescent="0.25">
      <c r="A667" s="8">
        <v>23637</v>
      </c>
      <c r="B667" s="13" t="s">
        <v>502</v>
      </c>
      <c r="C667" s="10" t="str">
        <f>VLOOKUP(B667,BASE!$A:$B,2,0)</f>
        <v>8025 SILLAR 150 NEGRO</v>
      </c>
      <c r="D667" s="35" t="str">
        <f>VLOOKUP(B667,BASE!$A:$D,3,0)</f>
        <v>NEGRO</v>
      </c>
      <c r="E667" s="32">
        <f>VLOOKUP(B667,BASE!$A:$E,4,0)</f>
        <v>150</v>
      </c>
      <c r="F667" s="11">
        <v>1800</v>
      </c>
      <c r="G667" s="23">
        <f t="shared" si="10"/>
        <v>0.3</v>
      </c>
    </row>
    <row r="668" spans="1:7" ht="20.25" hidden="1" customHeight="1" x14ac:dyDescent="0.25">
      <c r="A668" s="8">
        <v>23637</v>
      </c>
      <c r="B668" s="9" t="s">
        <v>341</v>
      </c>
      <c r="C668" s="10" t="str">
        <f>VLOOKUP(B668,BASE!$A:$B,2,0)</f>
        <v>8025 CABEZAL 151 NEGRO</v>
      </c>
      <c r="D668" s="35" t="str">
        <f>VLOOKUP(B668,BASE!$A:$D,3,0)</f>
        <v>NEGRO</v>
      </c>
      <c r="E668" s="32">
        <f>VLOOKUP(B668,BASE!$A:$E,4,0)</f>
        <v>151</v>
      </c>
      <c r="F668" s="11">
        <v>1800</v>
      </c>
      <c r="G668" s="23">
        <f t="shared" si="10"/>
        <v>0.3</v>
      </c>
    </row>
    <row r="669" spans="1:7" ht="20.25" hidden="1" customHeight="1" x14ac:dyDescent="0.25">
      <c r="A669" s="8">
        <v>23637</v>
      </c>
      <c r="B669" s="9" t="s">
        <v>444</v>
      </c>
      <c r="C669" s="10" t="str">
        <f>VLOOKUP(B669,BASE!$A:$B,2,0)</f>
        <v>8025 JAMBA 152 NEGRO</v>
      </c>
      <c r="D669" s="35" t="str">
        <f>VLOOKUP(B669,BASE!$A:$D,3,0)</f>
        <v>NEGRO</v>
      </c>
      <c r="E669" s="32">
        <f>VLOOKUP(B669,BASE!$A:$E,4,0)</f>
        <v>152</v>
      </c>
      <c r="F669" s="11">
        <v>4100</v>
      </c>
      <c r="G669" s="23">
        <f t="shared" si="10"/>
        <v>0.68333333333333335</v>
      </c>
    </row>
    <row r="670" spans="1:7" ht="20.25" hidden="1" customHeight="1" x14ac:dyDescent="0.25">
      <c r="A670" s="8">
        <v>23637</v>
      </c>
      <c r="B670" s="9" t="s">
        <v>377</v>
      </c>
      <c r="C670" s="10" t="str">
        <f>VLOOKUP(B670,BASE!$A:$B,2,0)</f>
        <v>8025 ENGANCHE 191 NEGRO</v>
      </c>
      <c r="D670" s="35" t="str">
        <f>VLOOKUP(B670,BASE!$A:$D,3,0)</f>
        <v>NEGRO</v>
      </c>
      <c r="E670" s="32">
        <f>VLOOKUP(B670,BASE!$A:$E,4,0)</f>
        <v>191</v>
      </c>
      <c r="F670" s="11">
        <v>4000</v>
      </c>
      <c r="G670" s="23">
        <f t="shared" si="10"/>
        <v>0.66666666666666663</v>
      </c>
    </row>
    <row r="671" spans="1:7" ht="20.25" hidden="1" customHeight="1" x14ac:dyDescent="0.25">
      <c r="A671" s="8">
        <v>23637</v>
      </c>
      <c r="B671" s="9" t="s">
        <v>126</v>
      </c>
      <c r="C671" s="10" t="str">
        <f>VLOOKUP(B671,BASE!$A:$B,2,0)</f>
        <v>8025 HORIZONTAL SUPERIOR 156 NEGRO</v>
      </c>
      <c r="D671" s="35" t="str">
        <f>VLOOKUP(B671,BASE!$A:$D,3,0)</f>
        <v>NEGRO</v>
      </c>
      <c r="E671" s="32">
        <f>VLOOKUP(B671,BASE!$A:$E,4,0)</f>
        <v>156</v>
      </c>
      <c r="F671" s="11">
        <v>1600</v>
      </c>
      <c r="G671" s="23">
        <f t="shared" si="10"/>
        <v>0.26666666666666666</v>
      </c>
    </row>
    <row r="672" spans="1:7" ht="20.25" hidden="1" customHeight="1" x14ac:dyDescent="0.25">
      <c r="A672" s="8">
        <v>23637</v>
      </c>
      <c r="B672" s="9" t="s">
        <v>696</v>
      </c>
      <c r="C672" s="10" t="str">
        <f>VLOOKUP(B672,BASE!$A:$B,2,0)</f>
        <v>8025 HORIZONTAL INFERIOR 157 NEGRO</v>
      </c>
      <c r="D672" s="35" t="str">
        <f>VLOOKUP(B672,BASE!$A:$D,3,0)</f>
        <v>NEGRO</v>
      </c>
      <c r="E672" s="32">
        <f>VLOOKUP(B672,BASE!$A:$E,4,0)</f>
        <v>157</v>
      </c>
      <c r="F672" s="11">
        <v>1600</v>
      </c>
      <c r="G672" s="23">
        <f t="shared" si="10"/>
        <v>0.26666666666666666</v>
      </c>
    </row>
    <row r="673" spans="1:7" ht="20.25" hidden="1" customHeight="1" x14ac:dyDescent="0.25">
      <c r="A673" s="8">
        <v>23637</v>
      </c>
      <c r="B673" s="9" t="s">
        <v>137</v>
      </c>
      <c r="C673" s="10" t="str">
        <f>VLOOKUP(B673,BASE!$A:$B,2,0)</f>
        <v>8025 TRASLAPE 190 NEGRO</v>
      </c>
      <c r="D673" s="35" t="str">
        <f>VLOOKUP(B673,BASE!$A:$D,3,0)</f>
        <v>NEGRO</v>
      </c>
      <c r="E673" s="32">
        <f>VLOOKUP(B673,BASE!$A:$E,4,0)</f>
        <v>190</v>
      </c>
      <c r="F673" s="11">
        <v>4000</v>
      </c>
      <c r="G673" s="23">
        <f t="shared" si="10"/>
        <v>0.66666666666666663</v>
      </c>
    </row>
    <row r="674" spans="1:7" ht="20.25" hidden="1" customHeight="1" x14ac:dyDescent="0.25">
      <c r="A674" s="8">
        <v>23662</v>
      </c>
      <c r="B674" s="9" t="s">
        <v>127</v>
      </c>
      <c r="C674" s="10" t="str">
        <f>VLOOKUP(B674,BASE!$A:$B,2,0)</f>
        <v>PERFIL F 463 MATE</v>
      </c>
      <c r="D674" s="35" t="str">
        <f>VLOOKUP(B674,BASE!$A:$D,3,0)</f>
        <v>MATE</v>
      </c>
      <c r="E674" s="32" t="str">
        <f>VLOOKUP(B674,BASE!$A:$E,4,0)</f>
        <v>F-463</v>
      </c>
      <c r="F674" s="11">
        <v>2000</v>
      </c>
      <c r="G674" s="23">
        <f t="shared" si="10"/>
        <v>0.33333333333333331</v>
      </c>
    </row>
    <row r="675" spans="1:7" ht="20.25" hidden="1" customHeight="1" x14ac:dyDescent="0.25">
      <c r="A675" s="8">
        <v>23662</v>
      </c>
      <c r="B675" s="9" t="s">
        <v>155</v>
      </c>
      <c r="C675" s="10" t="str">
        <f>VLOOKUP(B675,BASE!$A:$B,2,0)</f>
        <v>U32 MATE</v>
      </c>
      <c r="D675" s="35" t="str">
        <f>VLOOKUP(B675,BASE!$A:$D,3,0)</f>
        <v>MATE</v>
      </c>
      <c r="E675" s="32" t="str">
        <f>VLOOKUP(B675,BASE!$A:$E,4,0)</f>
        <v>U-32</v>
      </c>
      <c r="F675" s="11">
        <v>1800</v>
      </c>
      <c r="G675" s="23">
        <f t="shared" si="10"/>
        <v>0.3</v>
      </c>
    </row>
    <row r="676" spans="1:7" ht="20.25" hidden="1" customHeight="1" x14ac:dyDescent="0.25">
      <c r="A676" s="8">
        <v>23669</v>
      </c>
      <c r="B676" s="9" t="s">
        <v>155</v>
      </c>
      <c r="C676" s="10" t="str">
        <f>VLOOKUP(B676,BASE!$A:$B,2,0)</f>
        <v>U32 MATE</v>
      </c>
      <c r="D676" s="35" t="str">
        <f>VLOOKUP(B676,BASE!$A:$D,3,0)</f>
        <v>MATE</v>
      </c>
      <c r="E676" s="32" t="str">
        <f>VLOOKUP(B676,BASE!$A:$E,4,0)</f>
        <v>U-32</v>
      </c>
      <c r="F676" s="11">
        <v>4000</v>
      </c>
      <c r="G676" s="23">
        <f t="shared" si="10"/>
        <v>0.66666666666666663</v>
      </c>
    </row>
    <row r="677" spans="1:7" ht="20.25" hidden="1" customHeight="1" x14ac:dyDescent="0.25">
      <c r="A677" s="8">
        <v>23669</v>
      </c>
      <c r="B677" s="9" t="s">
        <v>599</v>
      </c>
      <c r="C677" s="10" t="str">
        <f>VLOOKUP(B677,BASE!$A:$B,2,0)</f>
        <v>TUBULAR T-76 CRUDO</v>
      </c>
      <c r="D677" s="35" t="str">
        <f>VLOOKUP(B677,BASE!$A:$D,3,0)</f>
        <v xml:space="preserve">CRUDO </v>
      </c>
      <c r="E677" s="32" t="str">
        <f>VLOOKUP(B677,BASE!$A:$E,4,0)</f>
        <v>T-76</v>
      </c>
      <c r="F677" s="11">
        <v>3400</v>
      </c>
      <c r="G677" s="23">
        <f t="shared" si="10"/>
        <v>0.56666666666666665</v>
      </c>
    </row>
    <row r="678" spans="1:7" ht="20.25" hidden="1" customHeight="1" x14ac:dyDescent="0.25">
      <c r="A678" s="8">
        <v>23670</v>
      </c>
      <c r="B678" s="9" t="s">
        <v>127</v>
      </c>
      <c r="C678" s="10" t="str">
        <f>VLOOKUP(B678,BASE!$A:$B,2,0)</f>
        <v>PERFIL F 463 MATE</v>
      </c>
      <c r="D678" s="35" t="str">
        <f>VLOOKUP(B678,BASE!$A:$D,3,0)</f>
        <v>MATE</v>
      </c>
      <c r="E678" s="32" t="str">
        <f>VLOOKUP(B678,BASE!$A:$E,4,0)</f>
        <v>F-463</v>
      </c>
      <c r="F678" s="11">
        <v>900</v>
      </c>
      <c r="G678" s="23">
        <f t="shared" si="10"/>
        <v>0.15</v>
      </c>
    </row>
    <row r="679" spans="1:7" ht="20.25" hidden="1" customHeight="1" x14ac:dyDescent="0.25">
      <c r="A679" s="8">
        <v>23670</v>
      </c>
      <c r="B679" s="9" t="s">
        <v>155</v>
      </c>
      <c r="C679" s="10" t="str">
        <f>VLOOKUP(B679,BASE!$A:$B,2,0)</f>
        <v>U32 MATE</v>
      </c>
      <c r="D679" s="35" t="str">
        <f>VLOOKUP(B679,BASE!$A:$D,3,0)</f>
        <v>MATE</v>
      </c>
      <c r="E679" s="32" t="str">
        <f>VLOOKUP(B679,BASE!$A:$E,4,0)</f>
        <v>U-32</v>
      </c>
      <c r="F679" s="11">
        <v>700</v>
      </c>
      <c r="G679" s="23">
        <f t="shared" si="10"/>
        <v>0.11666666666666667</v>
      </c>
    </row>
    <row r="680" spans="1:7" ht="20.25" hidden="1" customHeight="1" x14ac:dyDescent="0.25">
      <c r="A680" s="8" t="s">
        <v>1275</v>
      </c>
      <c r="B680" s="9" t="s">
        <v>599</v>
      </c>
      <c r="C680" s="10" t="str">
        <f>VLOOKUP(B680,BASE!$A:$B,2,0)</f>
        <v>TUBULAR T-76 CRUDO</v>
      </c>
      <c r="D680" s="35" t="str">
        <f>VLOOKUP(B680,BASE!$A:$D,3,0)</f>
        <v xml:space="preserve">CRUDO </v>
      </c>
      <c r="E680" s="32" t="str">
        <f>VLOOKUP(B680,BASE!$A:$E,4,0)</f>
        <v>T-76</v>
      </c>
      <c r="F680" s="11">
        <v>30000</v>
      </c>
      <c r="G680" s="23">
        <f t="shared" si="10"/>
        <v>5</v>
      </c>
    </row>
    <row r="681" spans="1:7" ht="20.25" hidden="1" customHeight="1" x14ac:dyDescent="0.25">
      <c r="A681" s="8" t="s">
        <v>1275</v>
      </c>
      <c r="B681" s="9" t="s">
        <v>584</v>
      </c>
      <c r="C681" s="10" t="str">
        <f>VLOOKUP(B681,BASE!$A:$B,2,0)</f>
        <v>U68 MATE</v>
      </c>
      <c r="D681" s="35" t="str">
        <f>VLOOKUP(B681,BASE!$A:$D,3,0)</f>
        <v>MATE</v>
      </c>
      <c r="E681" s="32" t="str">
        <f>VLOOKUP(B681,BASE!$A:$E,4,0)</f>
        <v>U-68</v>
      </c>
      <c r="F681" s="11">
        <v>48000</v>
      </c>
      <c r="G681" s="23">
        <f t="shared" si="10"/>
        <v>8</v>
      </c>
    </row>
    <row r="682" spans="1:7" ht="20.25" hidden="1" customHeight="1" x14ac:dyDescent="0.25">
      <c r="A682" s="8">
        <v>23634</v>
      </c>
      <c r="B682" s="9" t="s">
        <v>502</v>
      </c>
      <c r="C682" s="10" t="str">
        <f>VLOOKUP(B682,BASE!$A:$B,2,0)</f>
        <v>8025 SILLAR 150 NEGRO</v>
      </c>
      <c r="D682" s="35" t="str">
        <f>VLOOKUP(B682,BASE!$A:$D,3,0)</f>
        <v>NEGRO</v>
      </c>
      <c r="E682" s="32">
        <f>VLOOKUP(B682,BASE!$A:$E,4,0)</f>
        <v>150</v>
      </c>
      <c r="F682" s="11">
        <v>66000</v>
      </c>
      <c r="G682" s="23">
        <f t="shared" ref="G682:G745" si="11">+F682/6000</f>
        <v>11</v>
      </c>
    </row>
    <row r="683" spans="1:7" ht="20.25" hidden="1" customHeight="1" x14ac:dyDescent="0.25">
      <c r="A683" s="8">
        <v>23634</v>
      </c>
      <c r="B683" s="9" t="s">
        <v>341</v>
      </c>
      <c r="C683" s="10" t="str">
        <f>VLOOKUP(B683,BASE!$A:$B,2,0)</f>
        <v>8025 CABEZAL 151 NEGRO</v>
      </c>
      <c r="D683" s="35" t="str">
        <f>VLOOKUP(B683,BASE!$A:$D,3,0)</f>
        <v>NEGRO</v>
      </c>
      <c r="E683" s="32">
        <f>VLOOKUP(B683,BASE!$A:$E,4,0)</f>
        <v>151</v>
      </c>
      <c r="F683" s="11">
        <v>66000</v>
      </c>
      <c r="G683" s="23">
        <f t="shared" si="11"/>
        <v>11</v>
      </c>
    </row>
    <row r="684" spans="1:7" ht="20.25" hidden="1" customHeight="1" x14ac:dyDescent="0.25">
      <c r="A684" s="8">
        <v>23634</v>
      </c>
      <c r="B684" s="9" t="s">
        <v>444</v>
      </c>
      <c r="C684" s="10" t="str">
        <f>VLOOKUP(B684,BASE!$A:$B,2,0)</f>
        <v>8025 JAMBA 152 NEGRO</v>
      </c>
      <c r="D684" s="35" t="str">
        <f>VLOOKUP(B684,BASE!$A:$D,3,0)</f>
        <v>NEGRO</v>
      </c>
      <c r="E684" s="32">
        <f>VLOOKUP(B684,BASE!$A:$E,4,0)</f>
        <v>152</v>
      </c>
      <c r="F684" s="11">
        <v>72000</v>
      </c>
      <c r="G684" s="23">
        <f t="shared" si="11"/>
        <v>12</v>
      </c>
    </row>
    <row r="685" spans="1:7" ht="20.25" hidden="1" customHeight="1" x14ac:dyDescent="0.25">
      <c r="A685" s="8">
        <v>23634</v>
      </c>
      <c r="B685" s="9" t="s">
        <v>137</v>
      </c>
      <c r="C685" s="10" t="str">
        <f>VLOOKUP(B685,BASE!$A:$B,2,0)</f>
        <v>8025 TRASLAPE 190 NEGRO</v>
      </c>
      <c r="D685" s="35" t="str">
        <f>VLOOKUP(B685,BASE!$A:$D,3,0)</f>
        <v>NEGRO</v>
      </c>
      <c r="E685" s="32">
        <f>VLOOKUP(B685,BASE!$A:$E,4,0)</f>
        <v>190</v>
      </c>
      <c r="F685" s="11">
        <v>108000</v>
      </c>
      <c r="G685" s="23">
        <f t="shared" si="11"/>
        <v>18</v>
      </c>
    </row>
    <row r="686" spans="1:7" ht="20.25" hidden="1" customHeight="1" x14ac:dyDescent="0.25">
      <c r="A686" s="8">
        <v>23634</v>
      </c>
      <c r="B686" s="9" t="s">
        <v>377</v>
      </c>
      <c r="C686" s="10" t="str">
        <f>VLOOKUP(B686,BASE!$A:$B,2,0)</f>
        <v>8025 ENGANCHE 191 NEGRO</v>
      </c>
      <c r="D686" s="35" t="str">
        <f>VLOOKUP(B686,BASE!$A:$D,3,0)</f>
        <v>NEGRO</v>
      </c>
      <c r="E686" s="32">
        <f>VLOOKUP(B686,BASE!$A:$E,4,0)</f>
        <v>191</v>
      </c>
      <c r="F686" s="11">
        <v>108000</v>
      </c>
      <c r="G686" s="23">
        <f t="shared" si="11"/>
        <v>18</v>
      </c>
    </row>
    <row r="687" spans="1:7" ht="20.25" hidden="1" customHeight="1" x14ac:dyDescent="0.25">
      <c r="A687" s="8">
        <v>23634</v>
      </c>
      <c r="B687" s="9" t="s">
        <v>126</v>
      </c>
      <c r="C687" s="10" t="str">
        <f>VLOOKUP(B687,BASE!$A:$B,2,0)</f>
        <v>8025 HORIZONTAL SUPERIOR 156 NEGRO</v>
      </c>
      <c r="D687" s="35" t="str">
        <f>VLOOKUP(B687,BASE!$A:$D,3,0)</f>
        <v>NEGRO</v>
      </c>
      <c r="E687" s="32">
        <f>VLOOKUP(B687,BASE!$A:$E,4,0)</f>
        <v>156</v>
      </c>
      <c r="F687" s="11">
        <v>60000</v>
      </c>
      <c r="G687" s="23">
        <f t="shared" si="11"/>
        <v>10</v>
      </c>
    </row>
    <row r="688" spans="1:7" ht="20.25" hidden="1" customHeight="1" x14ac:dyDescent="0.25">
      <c r="A688" s="8">
        <v>23634</v>
      </c>
      <c r="B688" s="9" t="s">
        <v>696</v>
      </c>
      <c r="C688" s="10" t="str">
        <f>VLOOKUP(B688,BASE!$A:$B,2,0)</f>
        <v>8025 HORIZONTAL INFERIOR 157 NEGRO</v>
      </c>
      <c r="D688" s="35" t="str">
        <f>VLOOKUP(B688,BASE!$A:$D,3,0)</f>
        <v>NEGRO</v>
      </c>
      <c r="E688" s="32">
        <f>VLOOKUP(B688,BASE!$A:$E,4,0)</f>
        <v>157</v>
      </c>
      <c r="F688" s="11">
        <v>60000</v>
      </c>
      <c r="G688" s="23">
        <f t="shared" si="11"/>
        <v>10</v>
      </c>
    </row>
    <row r="689" spans="1:7" ht="20.25" hidden="1" customHeight="1" x14ac:dyDescent="0.25">
      <c r="A689" s="8">
        <v>23634</v>
      </c>
      <c r="B689" s="9" t="s">
        <v>128</v>
      </c>
      <c r="C689" s="10" t="str">
        <f>VLOOKUP(B689,BASE!$A:$B,2,0)</f>
        <v>8025 ADAPTADOR 158 NEGRO</v>
      </c>
      <c r="D689" s="35" t="str">
        <f>VLOOKUP(B689,BASE!$A:$D,3,0)</f>
        <v>NEGRO</v>
      </c>
      <c r="E689" s="32">
        <f>VLOOKUP(B689,BASE!$A:$E,4,0)</f>
        <v>158</v>
      </c>
      <c r="F689" s="11">
        <v>18000</v>
      </c>
      <c r="G689" s="23">
        <f t="shared" si="11"/>
        <v>3</v>
      </c>
    </row>
    <row r="690" spans="1:7" ht="20.25" hidden="1" customHeight="1" x14ac:dyDescent="0.25">
      <c r="A690" s="8">
        <v>23634</v>
      </c>
      <c r="B690" s="9" t="s">
        <v>123</v>
      </c>
      <c r="C690" s="10" t="str">
        <f>VLOOKUP(B690,BASE!$A:$B,2,0)</f>
        <v>3831 SILLAR CABEZAL 173 NEGRO</v>
      </c>
      <c r="D690" s="35" t="str">
        <f>VLOOKUP(B690,BASE!$A:$D,3,0)</f>
        <v>NEGRO</v>
      </c>
      <c r="E690" s="32">
        <f>VLOOKUP(B690,BASE!$A:$E,4,0)</f>
        <v>173</v>
      </c>
      <c r="F690" s="11">
        <v>216000</v>
      </c>
      <c r="G690" s="23">
        <f t="shared" si="11"/>
        <v>36</v>
      </c>
    </row>
    <row r="691" spans="1:7" ht="20.25" hidden="1" customHeight="1" x14ac:dyDescent="0.25">
      <c r="A691" s="8">
        <v>23634</v>
      </c>
      <c r="B691" s="9" t="s">
        <v>187</v>
      </c>
      <c r="C691" s="10" t="str">
        <f>VLOOKUP(B691,BASE!$A:$B,2,0)</f>
        <v>3831 JAMBA 174 NEGRO</v>
      </c>
      <c r="D691" s="35" t="str">
        <f>VLOOKUP(B691,BASE!$A:$D,3,0)</f>
        <v>NEGRO</v>
      </c>
      <c r="E691" s="32">
        <f>VLOOKUP(B691,BASE!$A:$E,4,0)</f>
        <v>174</v>
      </c>
      <c r="F691" s="11">
        <v>36000</v>
      </c>
      <c r="G691" s="23">
        <f t="shared" si="11"/>
        <v>6</v>
      </c>
    </row>
    <row r="692" spans="1:7" ht="20.25" hidden="1" customHeight="1" x14ac:dyDescent="0.25">
      <c r="A692" s="8">
        <v>23634</v>
      </c>
      <c r="B692" s="9" t="s">
        <v>168</v>
      </c>
      <c r="C692" s="10" t="str">
        <f>VLOOKUP(B692,BASE!$A:$B,2,0)</f>
        <v>3831 PISAVIDRIO 177 NEGRO</v>
      </c>
      <c r="D692" s="35" t="str">
        <f>VLOOKUP(B692,BASE!$A:$D,3,0)</f>
        <v>NEGRO</v>
      </c>
      <c r="E692" s="32">
        <f>VLOOKUP(B692,BASE!$A:$E,4,0)</f>
        <v>177</v>
      </c>
      <c r="F692" s="11">
        <v>180000</v>
      </c>
      <c r="G692" s="23">
        <f t="shared" si="11"/>
        <v>30</v>
      </c>
    </row>
    <row r="693" spans="1:7" ht="20.25" hidden="1" customHeight="1" x14ac:dyDescent="0.25">
      <c r="A693" s="8">
        <v>23634</v>
      </c>
      <c r="B693" s="9" t="s">
        <v>125</v>
      </c>
      <c r="C693" s="10" t="str">
        <f>VLOOKUP(B693,BASE!$A:$B,2,0)</f>
        <v>3831 DIVISOR 292 NEGRO</v>
      </c>
      <c r="D693" s="35" t="str">
        <f>VLOOKUP(B693,BASE!$A:$D,3,0)</f>
        <v>NEGRO</v>
      </c>
      <c r="E693" s="32">
        <f>VLOOKUP(B693,BASE!$A:$E,4,0)</f>
        <v>292</v>
      </c>
      <c r="F693" s="11">
        <v>18000</v>
      </c>
      <c r="G693" s="23">
        <f t="shared" si="11"/>
        <v>3</v>
      </c>
    </row>
    <row r="694" spans="1:7" ht="20.25" hidden="1" customHeight="1" x14ac:dyDescent="0.25">
      <c r="A694" s="8">
        <v>23634</v>
      </c>
      <c r="B694" s="9" t="s">
        <v>185</v>
      </c>
      <c r="C694" s="10" t="str">
        <f>VLOOKUP(B694,BASE!$A:$B,2,0)</f>
        <v>PERSIANA 315 NEGRO</v>
      </c>
      <c r="D694" s="35" t="str">
        <f>VLOOKUP(B694,BASE!$A:$D,3,0)</f>
        <v>NEGRO</v>
      </c>
      <c r="E694" s="32">
        <f>VLOOKUP(B694,BASE!$A:$E,4,0)</f>
        <v>315</v>
      </c>
      <c r="F694" s="11">
        <v>138000</v>
      </c>
      <c r="G694" s="23">
        <f t="shared" si="11"/>
        <v>23</v>
      </c>
    </row>
    <row r="695" spans="1:7" ht="20.25" hidden="1" customHeight="1" x14ac:dyDescent="0.25">
      <c r="A695" s="8">
        <v>23634</v>
      </c>
      <c r="B695" s="9" t="s">
        <v>40</v>
      </c>
      <c r="C695" s="10" t="str">
        <f>VLOOKUP(B695,BASE!$A:$B,2,0)</f>
        <v>TUBULAR T-94 NEGRO</v>
      </c>
      <c r="D695" s="35" t="str">
        <f>VLOOKUP(B695,BASE!$A:$D,3,0)</f>
        <v>NEGRO</v>
      </c>
      <c r="E695" s="32" t="str">
        <f>VLOOKUP(B695,BASE!$A:$E,4,0)</f>
        <v>T-94</v>
      </c>
      <c r="F695" s="11">
        <v>108000</v>
      </c>
      <c r="G695" s="23">
        <f t="shared" si="11"/>
        <v>18</v>
      </c>
    </row>
    <row r="696" spans="1:7" ht="20.25" hidden="1" customHeight="1" x14ac:dyDescent="0.25">
      <c r="A696" s="8">
        <v>23634</v>
      </c>
      <c r="B696" s="9" t="s">
        <v>303</v>
      </c>
      <c r="C696" s="10" t="str">
        <f>VLOOKUP(B696,BASE!$A:$B,2,0)</f>
        <v>ALFAJIA 413 NEGRA</v>
      </c>
      <c r="D696" s="35" t="str">
        <f>VLOOKUP(B696,BASE!$A:$D,3,0)</f>
        <v>NEGRO</v>
      </c>
      <c r="E696" s="32">
        <f>VLOOKUP(B696,BASE!$A:$E,4,0)</f>
        <v>413</v>
      </c>
      <c r="F696" s="11">
        <v>72000</v>
      </c>
      <c r="G696" s="23">
        <f t="shared" si="11"/>
        <v>12</v>
      </c>
    </row>
    <row r="697" spans="1:7" ht="20.25" hidden="1" customHeight="1" x14ac:dyDescent="0.25">
      <c r="A697" s="8">
        <v>23671</v>
      </c>
      <c r="B697" s="9" t="s">
        <v>26</v>
      </c>
      <c r="C697" s="10" t="str">
        <f>VLOOKUP(B697,BASE!$A:$B,2,0)</f>
        <v>744 SILLAR 387 MATE</v>
      </c>
      <c r="D697" s="35" t="str">
        <f>VLOOKUP(B697,BASE!$A:$D,3,0)</f>
        <v>MATE</v>
      </c>
      <c r="E697" s="32">
        <f>VLOOKUP(B697,BASE!$A:$E,4,0)</f>
        <v>387</v>
      </c>
      <c r="F697" s="11">
        <v>13300</v>
      </c>
      <c r="G697" s="23">
        <f t="shared" si="11"/>
        <v>2.2166666666666668</v>
      </c>
    </row>
    <row r="698" spans="1:7" ht="20.25" hidden="1" customHeight="1" x14ac:dyDescent="0.25">
      <c r="A698" s="8">
        <v>23671</v>
      </c>
      <c r="B698" s="9" t="s">
        <v>694</v>
      </c>
      <c r="C698" s="10" t="str">
        <f>VLOOKUP(B698,BASE!$A:$B,2,0)</f>
        <v>744 CABEZAL 392 MATE</v>
      </c>
      <c r="D698" s="35" t="str">
        <f>VLOOKUP(B698,BASE!$A:$D,3,0)</f>
        <v>MATE</v>
      </c>
      <c r="E698" s="32">
        <f>VLOOKUP(B698,BASE!$A:$E,4,0)</f>
        <v>392</v>
      </c>
      <c r="F698" s="11">
        <v>13300</v>
      </c>
      <c r="G698" s="23">
        <f t="shared" si="11"/>
        <v>2.2166666666666668</v>
      </c>
    </row>
    <row r="699" spans="1:7" ht="20.25" hidden="1" customHeight="1" x14ac:dyDescent="0.25">
      <c r="A699" s="8">
        <v>23671</v>
      </c>
      <c r="B699" s="9" t="s">
        <v>119</v>
      </c>
      <c r="C699" s="10" t="str">
        <f>VLOOKUP(B699,BASE!$A:$B,2,0)</f>
        <v>744 ENGANCHE 391 MATE</v>
      </c>
      <c r="D699" s="35" t="str">
        <f>VLOOKUP(B699,BASE!$A:$D,3,0)</f>
        <v>MATE</v>
      </c>
      <c r="E699" s="32">
        <f>VLOOKUP(B699,BASE!$A:$E,4,0)</f>
        <v>391</v>
      </c>
      <c r="F699" s="11">
        <v>24000</v>
      </c>
      <c r="G699" s="23">
        <f t="shared" si="11"/>
        <v>4</v>
      </c>
    </row>
    <row r="700" spans="1:7" ht="20.25" hidden="1" customHeight="1" x14ac:dyDescent="0.25">
      <c r="A700" s="8">
        <v>23671</v>
      </c>
      <c r="B700" s="9" t="s">
        <v>110</v>
      </c>
      <c r="C700" s="10" t="str">
        <f>VLOOKUP(B700,BASE!$A:$B,2,0)</f>
        <v>744 TRASLAPE 388 MATE</v>
      </c>
      <c r="D700" s="35" t="str">
        <f>VLOOKUP(B700,BASE!$A:$D,3,0)</f>
        <v>MATE</v>
      </c>
      <c r="E700" s="32">
        <f>VLOOKUP(B700,BASE!$A:$E,4,0)</f>
        <v>388</v>
      </c>
      <c r="F700" s="11">
        <v>19500</v>
      </c>
      <c r="G700" s="23">
        <f t="shared" si="11"/>
        <v>3.25</v>
      </c>
    </row>
    <row r="701" spans="1:7" ht="20.25" hidden="1" customHeight="1" x14ac:dyDescent="0.25">
      <c r="A701" s="8">
        <v>23671</v>
      </c>
      <c r="B701" s="9" t="s">
        <v>121</v>
      </c>
      <c r="C701" s="10" t="str">
        <f>VLOOKUP(B701,BASE!$A:$B,2,0)</f>
        <v>744 HORIZONTAL INFERIOR 390 MATE</v>
      </c>
      <c r="D701" s="35" t="str">
        <f>VLOOKUP(B701,BASE!$A:$D,3,0)</f>
        <v>MATE</v>
      </c>
      <c r="E701" s="32">
        <f>VLOOKUP(B701,BASE!$A:$E,4,0)</f>
        <v>390</v>
      </c>
      <c r="F701" s="11">
        <v>13300</v>
      </c>
      <c r="G701" s="23">
        <f t="shared" si="11"/>
        <v>2.2166666666666668</v>
      </c>
    </row>
    <row r="702" spans="1:7" ht="20.25" hidden="1" customHeight="1" x14ac:dyDescent="0.25">
      <c r="A702" s="8">
        <v>23671</v>
      </c>
      <c r="B702" s="9" t="s">
        <v>113</v>
      </c>
      <c r="C702" s="10" t="str">
        <f>VLOOKUP(B702,BASE!$A:$B,2,0)</f>
        <v>744 HORIZONTAL SUPERIOR 389 MATE</v>
      </c>
      <c r="D702" s="35" t="str">
        <f>VLOOKUP(B702,BASE!$A:$D,3,0)</f>
        <v>MATE</v>
      </c>
      <c r="E702" s="32">
        <f>VLOOKUP(B702,BASE!$A:$E,4,0)</f>
        <v>389</v>
      </c>
      <c r="F702" s="11">
        <v>13300</v>
      </c>
      <c r="G702" s="23">
        <f t="shared" si="11"/>
        <v>2.2166666666666668</v>
      </c>
    </row>
    <row r="703" spans="1:7" ht="20.25" hidden="1" customHeight="1" x14ac:dyDescent="0.25">
      <c r="A703" s="8">
        <v>23671</v>
      </c>
      <c r="B703" s="9" t="s">
        <v>43</v>
      </c>
      <c r="C703" s="10" t="str">
        <f>VLOOKUP(B703,BASE!$A:$B,2,0)</f>
        <v>744 JAMBA 393 MATE</v>
      </c>
      <c r="D703" s="35" t="str">
        <f>VLOOKUP(B703,BASE!$A:$D,3,0)</f>
        <v>MATE</v>
      </c>
      <c r="E703" s="32">
        <f>VLOOKUP(B703,BASE!$A:$E,4,0)</f>
        <v>393</v>
      </c>
      <c r="F703" s="11">
        <v>12000</v>
      </c>
      <c r="G703" s="23">
        <f t="shared" si="11"/>
        <v>2</v>
      </c>
    </row>
    <row r="704" spans="1:7" ht="20.25" hidden="1" customHeight="1" x14ac:dyDescent="0.25">
      <c r="A704" s="8">
        <v>23671</v>
      </c>
      <c r="B704" s="9" t="s">
        <v>603</v>
      </c>
      <c r="C704" s="10" t="str">
        <f>VLOOKUP(B704,BASE!$A:$B,2,0)</f>
        <v>ALFAJIA 1123 MATE</v>
      </c>
      <c r="D704" s="35" t="str">
        <f>VLOOKUP(B704,BASE!$A:$D,3,0)</f>
        <v>MATE</v>
      </c>
      <c r="E704" s="32">
        <f>VLOOKUP(B704,BASE!$A:$E,4,0)</f>
        <v>1123</v>
      </c>
      <c r="F704" s="11">
        <v>18000</v>
      </c>
      <c r="G704" s="23">
        <f t="shared" si="11"/>
        <v>3</v>
      </c>
    </row>
    <row r="705" spans="1:7" ht="20.25" hidden="1" customHeight="1" x14ac:dyDescent="0.25">
      <c r="A705" s="8" t="s">
        <v>1275</v>
      </c>
      <c r="B705" s="9" t="s">
        <v>312</v>
      </c>
      <c r="C705" s="10" t="str">
        <f>VLOOKUP(B705,BASE!$A:$B,2,0)</f>
        <v>ANGULO A-15 CRUDO (1-1/4 X 1-1/4)</v>
      </c>
      <c r="D705" s="35" t="str">
        <f>VLOOKUP(B705,BASE!$A:$D,3,0)</f>
        <v xml:space="preserve">CRUDO </v>
      </c>
      <c r="E705" s="32" t="str">
        <f>VLOOKUP(B705,BASE!$A:$E,4,0)</f>
        <v>A-15</v>
      </c>
      <c r="F705" s="11">
        <v>6000</v>
      </c>
      <c r="G705" s="23">
        <f t="shared" si="11"/>
        <v>1</v>
      </c>
    </row>
    <row r="706" spans="1:7" ht="20.25" hidden="1" customHeight="1" x14ac:dyDescent="0.25">
      <c r="G706" s="23">
        <f t="shared" si="11"/>
        <v>0</v>
      </c>
    </row>
    <row r="707" spans="1:7" ht="20.25" hidden="1" customHeight="1" x14ac:dyDescent="0.25">
      <c r="G707" s="23">
        <f t="shared" si="11"/>
        <v>0</v>
      </c>
    </row>
    <row r="708" spans="1:7" ht="20.25" hidden="1" customHeight="1" x14ac:dyDescent="0.25">
      <c r="G708" s="23">
        <f t="shared" si="11"/>
        <v>0</v>
      </c>
    </row>
    <row r="709" spans="1:7" ht="20.25" hidden="1" customHeight="1" x14ac:dyDescent="0.25">
      <c r="G709" s="23">
        <f t="shared" si="11"/>
        <v>0</v>
      </c>
    </row>
    <row r="710" spans="1:7" ht="20.25" hidden="1" customHeight="1" x14ac:dyDescent="0.25">
      <c r="G710" s="23">
        <f t="shared" si="11"/>
        <v>0</v>
      </c>
    </row>
    <row r="711" spans="1:7" ht="20.25" hidden="1" customHeight="1" x14ac:dyDescent="0.25">
      <c r="G711" s="23">
        <f t="shared" si="11"/>
        <v>0</v>
      </c>
    </row>
    <row r="712" spans="1:7" ht="20.25" hidden="1" customHeight="1" x14ac:dyDescent="0.25">
      <c r="G712" s="23">
        <f t="shared" si="11"/>
        <v>0</v>
      </c>
    </row>
    <row r="713" spans="1:7" ht="20.25" hidden="1" customHeight="1" x14ac:dyDescent="0.25">
      <c r="G713" s="23">
        <f t="shared" si="11"/>
        <v>0</v>
      </c>
    </row>
    <row r="714" spans="1:7" ht="20.25" hidden="1" customHeight="1" x14ac:dyDescent="0.25">
      <c r="G714" s="23">
        <f t="shared" si="11"/>
        <v>0</v>
      </c>
    </row>
    <row r="715" spans="1:7" ht="20.25" hidden="1" customHeight="1" x14ac:dyDescent="0.25">
      <c r="G715" s="23">
        <f t="shared" si="11"/>
        <v>0</v>
      </c>
    </row>
    <row r="716" spans="1:7" ht="20.25" hidden="1" customHeight="1" x14ac:dyDescent="0.25">
      <c r="G716" s="23">
        <f t="shared" si="11"/>
        <v>0</v>
      </c>
    </row>
    <row r="717" spans="1:7" ht="20.25" hidden="1" customHeight="1" x14ac:dyDescent="0.25">
      <c r="G717" s="23">
        <f t="shared" si="11"/>
        <v>0</v>
      </c>
    </row>
    <row r="718" spans="1:7" ht="20.25" hidden="1" customHeight="1" x14ac:dyDescent="0.25">
      <c r="G718" s="23">
        <f t="shared" si="11"/>
        <v>0</v>
      </c>
    </row>
    <row r="719" spans="1:7" ht="20.25" hidden="1" customHeight="1" x14ac:dyDescent="0.25">
      <c r="G719" s="23">
        <f t="shared" si="11"/>
        <v>0</v>
      </c>
    </row>
    <row r="720" spans="1:7" ht="20.25" hidden="1" customHeight="1" x14ac:dyDescent="0.25">
      <c r="G720" s="23">
        <f t="shared" si="11"/>
        <v>0</v>
      </c>
    </row>
    <row r="721" spans="7:7" ht="20.25" hidden="1" customHeight="1" x14ac:dyDescent="0.25">
      <c r="G721" s="23">
        <f t="shared" si="11"/>
        <v>0</v>
      </c>
    </row>
    <row r="722" spans="7:7" ht="20.25" hidden="1" customHeight="1" x14ac:dyDescent="0.25">
      <c r="G722" s="23">
        <f t="shared" si="11"/>
        <v>0</v>
      </c>
    </row>
    <row r="723" spans="7:7" ht="20.25" hidden="1" customHeight="1" x14ac:dyDescent="0.25">
      <c r="G723" s="23">
        <f t="shared" si="11"/>
        <v>0</v>
      </c>
    </row>
    <row r="724" spans="7:7" ht="20.25" hidden="1" customHeight="1" x14ac:dyDescent="0.25">
      <c r="G724" s="23">
        <f t="shared" si="11"/>
        <v>0</v>
      </c>
    </row>
    <row r="725" spans="7:7" ht="20.25" hidden="1" customHeight="1" x14ac:dyDescent="0.25">
      <c r="G725" s="23">
        <f t="shared" si="11"/>
        <v>0</v>
      </c>
    </row>
    <row r="726" spans="7:7" ht="20.25" hidden="1" customHeight="1" x14ac:dyDescent="0.25">
      <c r="G726" s="23">
        <f t="shared" si="11"/>
        <v>0</v>
      </c>
    </row>
    <row r="727" spans="7:7" ht="20.25" hidden="1" customHeight="1" x14ac:dyDescent="0.25">
      <c r="G727" s="23">
        <f t="shared" si="11"/>
        <v>0</v>
      </c>
    </row>
    <row r="728" spans="7:7" ht="20.25" hidden="1" customHeight="1" x14ac:dyDescent="0.25">
      <c r="G728" s="23">
        <f t="shared" si="11"/>
        <v>0</v>
      </c>
    </row>
    <row r="729" spans="7:7" ht="20.25" hidden="1" customHeight="1" x14ac:dyDescent="0.25">
      <c r="G729" s="23">
        <f t="shared" si="11"/>
        <v>0</v>
      </c>
    </row>
    <row r="730" spans="7:7" ht="20.25" hidden="1" customHeight="1" x14ac:dyDescent="0.25">
      <c r="G730" s="23">
        <f t="shared" si="11"/>
        <v>0</v>
      </c>
    </row>
    <row r="731" spans="7:7" ht="20.25" hidden="1" customHeight="1" x14ac:dyDescent="0.25">
      <c r="G731" s="23">
        <f t="shared" si="11"/>
        <v>0</v>
      </c>
    </row>
    <row r="732" spans="7:7" ht="20.25" hidden="1" customHeight="1" x14ac:dyDescent="0.25">
      <c r="G732" s="23">
        <f t="shared" si="11"/>
        <v>0</v>
      </c>
    </row>
    <row r="733" spans="7:7" ht="20.25" hidden="1" customHeight="1" x14ac:dyDescent="0.25">
      <c r="G733" s="23">
        <f t="shared" si="11"/>
        <v>0</v>
      </c>
    </row>
    <row r="734" spans="7:7" ht="20.25" hidden="1" customHeight="1" x14ac:dyDescent="0.25">
      <c r="G734" s="23">
        <f t="shared" si="11"/>
        <v>0</v>
      </c>
    </row>
    <row r="735" spans="7:7" ht="20.25" hidden="1" customHeight="1" x14ac:dyDescent="0.25">
      <c r="G735" s="23">
        <f t="shared" si="11"/>
        <v>0</v>
      </c>
    </row>
    <row r="736" spans="7:7" ht="20.25" hidden="1" customHeight="1" x14ac:dyDescent="0.25">
      <c r="G736" s="23">
        <f t="shared" si="11"/>
        <v>0</v>
      </c>
    </row>
    <row r="737" spans="7:7" ht="20.25" hidden="1" customHeight="1" x14ac:dyDescent="0.25">
      <c r="G737" s="23">
        <f t="shared" si="11"/>
        <v>0</v>
      </c>
    </row>
    <row r="738" spans="7:7" ht="20.25" hidden="1" customHeight="1" x14ac:dyDescent="0.25">
      <c r="G738" s="23">
        <f t="shared" si="11"/>
        <v>0</v>
      </c>
    </row>
    <row r="739" spans="7:7" ht="20.25" hidden="1" customHeight="1" x14ac:dyDescent="0.25">
      <c r="G739" s="23">
        <f t="shared" si="11"/>
        <v>0</v>
      </c>
    </row>
    <row r="740" spans="7:7" ht="20.25" hidden="1" customHeight="1" x14ac:dyDescent="0.25">
      <c r="G740" s="23">
        <f t="shared" si="11"/>
        <v>0</v>
      </c>
    </row>
    <row r="741" spans="7:7" ht="20.25" hidden="1" customHeight="1" x14ac:dyDescent="0.25">
      <c r="G741" s="23">
        <f t="shared" si="11"/>
        <v>0</v>
      </c>
    </row>
    <row r="742" spans="7:7" ht="20.25" hidden="1" customHeight="1" x14ac:dyDescent="0.25">
      <c r="G742" s="23">
        <f t="shared" si="11"/>
        <v>0</v>
      </c>
    </row>
    <row r="743" spans="7:7" ht="20.25" hidden="1" customHeight="1" x14ac:dyDescent="0.25">
      <c r="G743" s="23">
        <f t="shared" si="11"/>
        <v>0</v>
      </c>
    </row>
    <row r="744" spans="7:7" ht="20.25" hidden="1" customHeight="1" x14ac:dyDescent="0.25">
      <c r="G744" s="23">
        <f t="shared" si="11"/>
        <v>0</v>
      </c>
    </row>
    <row r="745" spans="7:7" ht="20.25" hidden="1" customHeight="1" x14ac:dyDescent="0.25">
      <c r="G745" s="23">
        <f t="shared" si="11"/>
        <v>0</v>
      </c>
    </row>
    <row r="746" spans="7:7" ht="20.25" hidden="1" customHeight="1" x14ac:dyDescent="0.25">
      <c r="G746" s="23">
        <f t="shared" ref="G746:G794" si="12">+F746/6000</f>
        <v>0</v>
      </c>
    </row>
    <row r="747" spans="7:7" ht="20.25" hidden="1" customHeight="1" x14ac:dyDescent="0.25">
      <c r="G747" s="23">
        <f t="shared" si="12"/>
        <v>0</v>
      </c>
    </row>
    <row r="748" spans="7:7" ht="20.25" hidden="1" customHeight="1" x14ac:dyDescent="0.25">
      <c r="G748" s="23">
        <f t="shared" si="12"/>
        <v>0</v>
      </c>
    </row>
    <row r="749" spans="7:7" ht="20.25" hidden="1" customHeight="1" x14ac:dyDescent="0.25">
      <c r="G749" s="23">
        <f t="shared" si="12"/>
        <v>0</v>
      </c>
    </row>
    <row r="750" spans="7:7" ht="20.25" hidden="1" customHeight="1" x14ac:dyDescent="0.25">
      <c r="G750" s="23">
        <f t="shared" si="12"/>
        <v>0</v>
      </c>
    </row>
    <row r="751" spans="7:7" ht="20.25" hidden="1" customHeight="1" x14ac:dyDescent="0.25">
      <c r="G751" s="23">
        <f t="shared" si="12"/>
        <v>0</v>
      </c>
    </row>
    <row r="752" spans="7:7" ht="20.25" hidden="1" customHeight="1" x14ac:dyDescent="0.25">
      <c r="G752" s="23">
        <f t="shared" si="12"/>
        <v>0</v>
      </c>
    </row>
    <row r="753" spans="7:7" ht="20.25" hidden="1" customHeight="1" x14ac:dyDescent="0.25">
      <c r="G753" s="23">
        <f t="shared" si="12"/>
        <v>0</v>
      </c>
    </row>
    <row r="754" spans="7:7" ht="20.25" hidden="1" customHeight="1" x14ac:dyDescent="0.25">
      <c r="G754" s="23">
        <f t="shared" si="12"/>
        <v>0</v>
      </c>
    </row>
    <row r="755" spans="7:7" ht="20.25" hidden="1" customHeight="1" x14ac:dyDescent="0.25">
      <c r="G755" s="23">
        <f t="shared" si="12"/>
        <v>0</v>
      </c>
    </row>
    <row r="756" spans="7:7" ht="20.25" hidden="1" customHeight="1" x14ac:dyDescent="0.25">
      <c r="G756" s="23">
        <f t="shared" si="12"/>
        <v>0</v>
      </c>
    </row>
    <row r="757" spans="7:7" ht="20.25" hidden="1" customHeight="1" x14ac:dyDescent="0.25">
      <c r="G757" s="23">
        <f t="shared" si="12"/>
        <v>0</v>
      </c>
    </row>
    <row r="758" spans="7:7" ht="20.25" hidden="1" customHeight="1" x14ac:dyDescent="0.25">
      <c r="G758" s="23">
        <f t="shared" si="12"/>
        <v>0</v>
      </c>
    </row>
    <row r="759" spans="7:7" ht="20.25" hidden="1" customHeight="1" x14ac:dyDescent="0.25">
      <c r="G759" s="23">
        <f t="shared" si="12"/>
        <v>0</v>
      </c>
    </row>
    <row r="760" spans="7:7" ht="20.25" hidden="1" customHeight="1" x14ac:dyDescent="0.25">
      <c r="G760" s="23">
        <f t="shared" si="12"/>
        <v>0</v>
      </c>
    </row>
    <row r="761" spans="7:7" ht="20.25" hidden="1" customHeight="1" x14ac:dyDescent="0.25">
      <c r="G761" s="23">
        <f t="shared" si="12"/>
        <v>0</v>
      </c>
    </row>
    <row r="762" spans="7:7" ht="20.25" hidden="1" customHeight="1" x14ac:dyDescent="0.25">
      <c r="G762" s="23">
        <f t="shared" si="12"/>
        <v>0</v>
      </c>
    </row>
    <row r="763" spans="7:7" ht="20.25" hidden="1" customHeight="1" x14ac:dyDescent="0.25">
      <c r="G763" s="23">
        <f t="shared" si="12"/>
        <v>0</v>
      </c>
    </row>
    <row r="764" spans="7:7" ht="20.25" hidden="1" customHeight="1" x14ac:dyDescent="0.25">
      <c r="G764" s="23">
        <f t="shared" si="12"/>
        <v>0</v>
      </c>
    </row>
    <row r="765" spans="7:7" ht="20.25" hidden="1" customHeight="1" x14ac:dyDescent="0.25">
      <c r="G765" s="23">
        <f t="shared" si="12"/>
        <v>0</v>
      </c>
    </row>
    <row r="766" spans="7:7" ht="20.25" hidden="1" customHeight="1" x14ac:dyDescent="0.25">
      <c r="G766" s="23">
        <f t="shared" si="12"/>
        <v>0</v>
      </c>
    </row>
    <row r="767" spans="7:7" ht="20.25" hidden="1" customHeight="1" x14ac:dyDescent="0.25">
      <c r="G767" s="23">
        <f t="shared" si="12"/>
        <v>0</v>
      </c>
    </row>
    <row r="768" spans="7:7" ht="20.25" hidden="1" customHeight="1" x14ac:dyDescent="0.25">
      <c r="G768" s="23">
        <f t="shared" si="12"/>
        <v>0</v>
      </c>
    </row>
    <row r="769" spans="7:7" ht="20.25" hidden="1" customHeight="1" x14ac:dyDescent="0.25">
      <c r="G769" s="23">
        <f t="shared" si="12"/>
        <v>0</v>
      </c>
    </row>
    <row r="770" spans="7:7" ht="20.25" hidden="1" customHeight="1" x14ac:dyDescent="0.25">
      <c r="G770" s="23">
        <f t="shared" si="12"/>
        <v>0</v>
      </c>
    </row>
    <row r="771" spans="7:7" ht="20.25" hidden="1" customHeight="1" x14ac:dyDescent="0.25">
      <c r="G771" s="23">
        <f t="shared" si="12"/>
        <v>0</v>
      </c>
    </row>
    <row r="772" spans="7:7" ht="20.25" hidden="1" customHeight="1" x14ac:dyDescent="0.25">
      <c r="G772" s="23">
        <f t="shared" si="12"/>
        <v>0</v>
      </c>
    </row>
    <row r="773" spans="7:7" ht="20.25" hidden="1" customHeight="1" x14ac:dyDescent="0.25">
      <c r="G773" s="23">
        <f t="shared" si="12"/>
        <v>0</v>
      </c>
    </row>
    <row r="774" spans="7:7" ht="20.25" hidden="1" customHeight="1" x14ac:dyDescent="0.25">
      <c r="G774" s="23">
        <f t="shared" si="12"/>
        <v>0</v>
      </c>
    </row>
    <row r="775" spans="7:7" ht="20.25" hidden="1" customHeight="1" x14ac:dyDescent="0.25">
      <c r="G775" s="23">
        <f t="shared" si="12"/>
        <v>0</v>
      </c>
    </row>
    <row r="776" spans="7:7" ht="20.25" hidden="1" customHeight="1" x14ac:dyDescent="0.25">
      <c r="G776" s="23">
        <f t="shared" si="12"/>
        <v>0</v>
      </c>
    </row>
    <row r="777" spans="7:7" ht="20.25" hidden="1" customHeight="1" x14ac:dyDescent="0.25">
      <c r="G777" s="23">
        <f t="shared" si="12"/>
        <v>0</v>
      </c>
    </row>
    <row r="778" spans="7:7" ht="20.25" hidden="1" customHeight="1" x14ac:dyDescent="0.25">
      <c r="G778" s="23">
        <f t="shared" si="12"/>
        <v>0</v>
      </c>
    </row>
    <row r="779" spans="7:7" ht="20.25" hidden="1" customHeight="1" x14ac:dyDescent="0.25">
      <c r="G779" s="23">
        <f t="shared" si="12"/>
        <v>0</v>
      </c>
    </row>
    <row r="780" spans="7:7" ht="20.25" hidden="1" customHeight="1" x14ac:dyDescent="0.25">
      <c r="G780" s="23">
        <f t="shared" si="12"/>
        <v>0</v>
      </c>
    </row>
    <row r="781" spans="7:7" ht="20.25" hidden="1" customHeight="1" x14ac:dyDescent="0.25">
      <c r="G781" s="23">
        <f t="shared" si="12"/>
        <v>0</v>
      </c>
    </row>
    <row r="782" spans="7:7" ht="20.25" hidden="1" customHeight="1" x14ac:dyDescent="0.25">
      <c r="G782" s="23">
        <f t="shared" si="12"/>
        <v>0</v>
      </c>
    </row>
    <row r="783" spans="7:7" ht="20.25" hidden="1" customHeight="1" x14ac:dyDescent="0.25">
      <c r="G783" s="23">
        <f t="shared" si="12"/>
        <v>0</v>
      </c>
    </row>
    <row r="784" spans="7:7" ht="20.25" hidden="1" customHeight="1" x14ac:dyDescent="0.25">
      <c r="G784" s="23">
        <f t="shared" si="12"/>
        <v>0</v>
      </c>
    </row>
    <row r="785" spans="7:7" ht="20.25" hidden="1" customHeight="1" x14ac:dyDescent="0.25">
      <c r="G785" s="23">
        <f t="shared" si="12"/>
        <v>0</v>
      </c>
    </row>
    <row r="786" spans="7:7" ht="20.25" hidden="1" customHeight="1" x14ac:dyDescent="0.25">
      <c r="G786" s="23">
        <f t="shared" si="12"/>
        <v>0</v>
      </c>
    </row>
    <row r="787" spans="7:7" ht="20.25" hidden="1" customHeight="1" x14ac:dyDescent="0.25">
      <c r="G787" s="23">
        <f t="shared" si="12"/>
        <v>0</v>
      </c>
    </row>
    <row r="788" spans="7:7" ht="20.25" hidden="1" customHeight="1" x14ac:dyDescent="0.25">
      <c r="G788" s="23">
        <f t="shared" si="12"/>
        <v>0</v>
      </c>
    </row>
    <row r="789" spans="7:7" ht="20.25" hidden="1" customHeight="1" x14ac:dyDescent="0.25">
      <c r="G789" s="23">
        <f t="shared" si="12"/>
        <v>0</v>
      </c>
    </row>
    <row r="790" spans="7:7" ht="20.25" hidden="1" customHeight="1" x14ac:dyDescent="0.25">
      <c r="G790" s="23">
        <f t="shared" si="12"/>
        <v>0</v>
      </c>
    </row>
    <row r="791" spans="7:7" ht="20.25" hidden="1" customHeight="1" x14ac:dyDescent="0.25">
      <c r="G791" s="23">
        <f t="shared" si="12"/>
        <v>0</v>
      </c>
    </row>
    <row r="792" spans="7:7" ht="20.25" hidden="1" customHeight="1" x14ac:dyDescent="0.25">
      <c r="G792" s="23">
        <f t="shared" si="12"/>
        <v>0</v>
      </c>
    </row>
    <row r="793" spans="7:7" ht="20.25" hidden="1" customHeight="1" x14ac:dyDescent="0.25">
      <c r="G793" s="23">
        <f t="shared" si="12"/>
        <v>0</v>
      </c>
    </row>
    <row r="794" spans="7:7" ht="20.25" hidden="1" customHeight="1" x14ac:dyDescent="0.25">
      <c r="G794" s="23">
        <f t="shared" si="12"/>
        <v>0</v>
      </c>
    </row>
  </sheetData>
  <autoFilter ref="A2:G794" xr:uid="{8644815D-4569-49CE-8F09-87031AE9D2A5}">
    <filterColumn colId="2">
      <filters>
        <filter val="744 TRASLAPE 388 NEGRO"/>
      </filters>
    </filterColumn>
  </autoFilter>
  <mergeCells count="1">
    <mergeCell ref="A1:G1"/>
  </mergeCells>
  <pageMargins left="0.23622047244094491" right="0.23622047244094491" top="0.74803149606299213" bottom="0.74803149606299213" header="0.31496062992125984" footer="0.31496062992125984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1831-DB68-47E8-870D-A5FF8576991A}">
  <sheetPr codeName="Hoja15" filterMode="1"/>
  <dimension ref="A1:E29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92" sqref="A292:XFD292"/>
    </sheetView>
  </sheetViews>
  <sheetFormatPr baseColWidth="10" defaultRowHeight="15" x14ac:dyDescent="0.25"/>
  <cols>
    <col min="1" max="1" width="12.85546875" style="1" bestFit="1" customWidth="1"/>
    <col min="2" max="2" width="44.7109375" style="1" bestFit="1" customWidth="1"/>
    <col min="3" max="5" width="12.85546875" style="1" customWidth="1"/>
    <col min="6" max="16384" width="11.42578125" style="1"/>
  </cols>
  <sheetData>
    <row r="1" spans="1:5" x14ac:dyDescent="0.25">
      <c r="A1" s="21" t="s">
        <v>790</v>
      </c>
      <c r="B1" s="21" t="s">
        <v>791</v>
      </c>
      <c r="C1" s="21" t="s">
        <v>1237</v>
      </c>
      <c r="D1" s="18" t="s">
        <v>979</v>
      </c>
      <c r="E1" s="18" t="s">
        <v>980</v>
      </c>
    </row>
    <row r="2" spans="1:5" ht="15.75" hidden="1" x14ac:dyDescent="0.25">
      <c r="A2" s="65" t="s">
        <v>719</v>
      </c>
      <c r="B2" s="25" t="str">
        <f>VLOOKUP(A2,BASE!$A:$B,2,0)</f>
        <v>8025 ADAPTADOR 158 MATE</v>
      </c>
      <c r="C2" s="66">
        <v>0.26333299999999998</v>
      </c>
      <c r="D2" s="19">
        <f>IFERROR(VLOOKUP(A2,'TD mes'!A:C,3,0),0)</f>
        <v>0.26666666666666666</v>
      </c>
      <c r="E2" s="20">
        <f t="shared" ref="E2:E65" si="0">+D2-C2</f>
        <v>3.3336666666666792E-3</v>
      </c>
    </row>
    <row r="3" spans="1:5" ht="15.75" hidden="1" x14ac:dyDescent="0.25">
      <c r="A3" s="65" t="s">
        <v>12</v>
      </c>
      <c r="B3" s="25" t="str">
        <f>VLOOKUP(A3,BASE!$A:$B,2,0)</f>
        <v>744 ADAPTADOR 403 MATE</v>
      </c>
      <c r="C3" s="66">
        <v>1.05</v>
      </c>
      <c r="D3" s="19">
        <f>IFERROR(VLOOKUP(A3,'TD mes'!A:C,3,0),0)</f>
        <v>0.99999999999999989</v>
      </c>
      <c r="E3" s="20">
        <f t="shared" si="0"/>
        <v>-5.0000000000000155E-2</v>
      </c>
    </row>
    <row r="4" spans="1:5" ht="15.75" hidden="1" x14ac:dyDescent="0.25">
      <c r="A4" s="65" t="s">
        <v>280</v>
      </c>
      <c r="B4" s="25" t="str">
        <f>VLOOKUP(A4,BASE!$A:$B,2,0)</f>
        <v>8025 ADAPTADOR 158 GRIS PLATA</v>
      </c>
      <c r="C4" s="66">
        <v>0.82</v>
      </c>
      <c r="D4" s="19">
        <f>IFERROR(VLOOKUP(A4,'TD mes'!A:C,3,0),0)</f>
        <v>0.81666666666666665</v>
      </c>
      <c r="E4" s="20">
        <f t="shared" si="0"/>
        <v>-3.3333333333332993E-3</v>
      </c>
    </row>
    <row r="5" spans="1:5" ht="15.75" hidden="1" x14ac:dyDescent="0.25">
      <c r="A5" s="65" t="s">
        <v>282</v>
      </c>
      <c r="B5" s="25" t="str">
        <f>VLOOKUP(A5,BASE!$A:$B,2,0)</f>
        <v>3831 ADAPTADOR 175 GRIS PLATA</v>
      </c>
      <c r="C5" s="66">
        <v>3.333E-3</v>
      </c>
      <c r="D5" s="19">
        <f>IFERROR(VLOOKUP(A5,'TD mes'!A:C,3,0),0)</f>
        <v>0</v>
      </c>
      <c r="E5" s="20">
        <f t="shared" si="0"/>
        <v>-3.333E-3</v>
      </c>
    </row>
    <row r="6" spans="1:5" ht="15.75" hidden="1" x14ac:dyDescent="0.25">
      <c r="A6" s="65" t="s">
        <v>3</v>
      </c>
      <c r="B6" s="25" t="str">
        <f>VLOOKUP(A6,BASE!$A:$B,2,0)</f>
        <v>744 ADAPTADOR 403 GRIS PLATA</v>
      </c>
      <c r="C6" s="66">
        <v>0.65</v>
      </c>
      <c r="D6" s="19">
        <f>IFERROR(VLOOKUP(A6,'TD mes'!A:C,3,0),0)</f>
        <v>0.65</v>
      </c>
      <c r="E6" s="20">
        <f t="shared" si="0"/>
        <v>0</v>
      </c>
    </row>
    <row r="7" spans="1:5" ht="15.75" hidden="1" x14ac:dyDescent="0.25">
      <c r="A7" s="65" t="s">
        <v>285</v>
      </c>
      <c r="B7" s="25" t="str">
        <f>VLOOKUP(A7,BASE!$A:$B,2,0)</f>
        <v>3831 ADAPTADOR 175 BLANCO</v>
      </c>
      <c r="C7" s="66">
        <v>0.17</v>
      </c>
      <c r="D7" s="19">
        <f>IFERROR(VLOOKUP(A7,'TD mes'!A:C,3,0),0)</f>
        <v>0.16666666666666666</v>
      </c>
      <c r="E7" s="20">
        <f t="shared" si="0"/>
        <v>-3.3333333333333548E-3</v>
      </c>
    </row>
    <row r="8" spans="1:5" ht="15.75" hidden="1" x14ac:dyDescent="0.25">
      <c r="A8" s="65" t="s">
        <v>198</v>
      </c>
      <c r="B8" s="25" t="str">
        <f>VLOOKUP(A8,BASE!$A:$B,2,0)</f>
        <v>744 ADAPTADOR 403 BLANCO</v>
      </c>
      <c r="C8" s="66">
        <v>0.67</v>
      </c>
      <c r="D8" s="19">
        <f>IFERROR(VLOOKUP(A8,'TD mes'!A:C,3,0),0)</f>
        <v>0.66666666666666663</v>
      </c>
      <c r="E8" s="20">
        <f t="shared" si="0"/>
        <v>-3.3333333333334103E-3</v>
      </c>
    </row>
    <row r="9" spans="1:5" ht="15.75" hidden="1" x14ac:dyDescent="0.25">
      <c r="A9" s="65" t="s">
        <v>287</v>
      </c>
      <c r="B9" s="25" t="str">
        <f>VLOOKUP(A9,BASE!$A:$B,2,0)</f>
        <v>744 ADAPTADOR 403 BRONCE</v>
      </c>
      <c r="C9" s="66">
        <v>0.75</v>
      </c>
      <c r="D9" s="19">
        <f>IFERROR(VLOOKUP(A9,'TD mes'!A:C,3,0),0)</f>
        <v>0.75</v>
      </c>
      <c r="E9" s="20">
        <f t="shared" si="0"/>
        <v>0</v>
      </c>
    </row>
    <row r="10" spans="1:5" ht="15.75" hidden="1" x14ac:dyDescent="0.25">
      <c r="A10" s="65" t="s">
        <v>725</v>
      </c>
      <c r="B10" s="25" t="str">
        <f>VLOOKUP(A10,BASE!$A:$B,2,0)</f>
        <v>744 ADAPTADOR 403 NEGRO</v>
      </c>
      <c r="C10" s="66">
        <v>0.16333300000000001</v>
      </c>
      <c r="D10" s="19">
        <f>IFERROR(VLOOKUP(A10,'TD mes'!A:C,3,0),0)</f>
        <v>0.16666666666666666</v>
      </c>
      <c r="E10" s="20">
        <f t="shared" si="0"/>
        <v>3.3336666666666515E-3</v>
      </c>
    </row>
    <row r="11" spans="1:5" ht="15.75" hidden="1" x14ac:dyDescent="0.25">
      <c r="A11" s="65" t="s">
        <v>128</v>
      </c>
      <c r="B11" s="25" t="str">
        <f>VLOOKUP(A11,BASE!$A:$B,2,0)</f>
        <v>8025 ADAPTADOR 158 NEGRO</v>
      </c>
      <c r="C11" s="66">
        <v>4.2983330000000004</v>
      </c>
      <c r="D11" s="19">
        <f>IFERROR(VLOOKUP(A11,'TD mes'!A:C,3,0),0)</f>
        <v>4.3</v>
      </c>
      <c r="E11" s="20">
        <f t="shared" si="0"/>
        <v>1.6669999999994189E-3</v>
      </c>
    </row>
    <row r="12" spans="1:5" ht="15.75" hidden="1" x14ac:dyDescent="0.25">
      <c r="A12" s="65" t="s">
        <v>158</v>
      </c>
      <c r="B12" s="25" t="str">
        <f>VLOOKUP(A12,BASE!$A:$B,2,0)</f>
        <v>3831 ADAPTADOR 175 NEGRO</v>
      </c>
      <c r="C12" s="66">
        <v>3.25</v>
      </c>
      <c r="D12" s="19">
        <f>IFERROR(VLOOKUP(A12,'TD mes'!A:C,3,0),0)</f>
        <v>1.5</v>
      </c>
      <c r="E12" s="20">
        <f t="shared" si="0"/>
        <v>-1.75</v>
      </c>
    </row>
    <row r="13" spans="1:5" ht="15.75" hidden="1" x14ac:dyDescent="0.25">
      <c r="A13" s="65" t="s">
        <v>132</v>
      </c>
      <c r="B13" s="25" t="str">
        <f>VLOOKUP(A13,BASE!$A:$B,2,0)</f>
        <v>7038 ADAPTADOR 840 NEGRO</v>
      </c>
      <c r="C13" s="66">
        <v>0.43</v>
      </c>
      <c r="D13" s="19">
        <f>IFERROR(VLOOKUP(A13,'TD mes'!A:C,3,0),0)</f>
        <v>0.43333333333333335</v>
      </c>
      <c r="E13" s="20">
        <f t="shared" si="0"/>
        <v>3.3333333333333548E-3</v>
      </c>
    </row>
    <row r="14" spans="1:5" ht="15.75" hidden="1" x14ac:dyDescent="0.25">
      <c r="A14" s="65" t="s">
        <v>33</v>
      </c>
      <c r="B14" s="25" t="str">
        <f>VLOOKUP(A14,BASE!$A:$B,2,0)</f>
        <v>ALFAJIA S-332 MATE</v>
      </c>
      <c r="C14" s="66">
        <v>0.52</v>
      </c>
      <c r="D14" s="19">
        <f>IFERROR(VLOOKUP(A14,'TD mes'!A:C,3,0),0)</f>
        <v>0.51666666666666661</v>
      </c>
      <c r="E14" s="20">
        <f t="shared" si="0"/>
        <v>-3.3333333333334103E-3</v>
      </c>
    </row>
    <row r="15" spans="1:5" ht="15.75" hidden="1" x14ac:dyDescent="0.25">
      <c r="A15" s="65" t="s">
        <v>20</v>
      </c>
      <c r="B15" s="25" t="str">
        <f>VLOOKUP(A15,BASE!$A:$B,2,0)</f>
        <v>ALFAJIA 413 MATE</v>
      </c>
      <c r="C15" s="66">
        <v>1.446666</v>
      </c>
      <c r="D15" s="19">
        <f>IFERROR(VLOOKUP(A15,'TD mes'!A:C,3,0),0)</f>
        <v>1.45</v>
      </c>
      <c r="E15" s="20">
        <f t="shared" si="0"/>
        <v>3.3339999999999481E-3</v>
      </c>
    </row>
    <row r="16" spans="1:5" ht="15.75" hidden="1" x14ac:dyDescent="0.25">
      <c r="A16" s="65" t="s">
        <v>21</v>
      </c>
      <c r="B16" s="25" t="str">
        <f>VLOOKUP(A16,BASE!$A:$B,2,0)</f>
        <v>ALFAJIA S-012 MATE</v>
      </c>
      <c r="C16" s="66">
        <v>0.27</v>
      </c>
      <c r="D16" s="19">
        <f>IFERROR(VLOOKUP(A16,'TD mes'!A:C,3,0),0)</f>
        <v>0.53333333333333333</v>
      </c>
      <c r="E16" s="20">
        <f t="shared" si="0"/>
        <v>0.26333333333333331</v>
      </c>
    </row>
    <row r="17" spans="1:5" ht="15.75" hidden="1" x14ac:dyDescent="0.25">
      <c r="A17" s="65" t="s">
        <v>29</v>
      </c>
      <c r="B17" s="25" t="str">
        <f>VLOOKUP(A17,BASE!$A:$B,2,0)</f>
        <v>SILLAR ALFAJIA 616 MATE</v>
      </c>
      <c r="C17" s="66">
        <v>1</v>
      </c>
      <c r="D17" s="19">
        <f>IFERROR(VLOOKUP(A17,'TD mes'!A:C,3,0),0)</f>
        <v>1</v>
      </c>
      <c r="E17" s="20">
        <f t="shared" si="0"/>
        <v>0</v>
      </c>
    </row>
    <row r="18" spans="1:5" ht="15.75" hidden="1" x14ac:dyDescent="0.25">
      <c r="A18" s="65" t="s">
        <v>603</v>
      </c>
      <c r="B18" s="25" t="str">
        <f>VLOOKUP(A18,BASE!$A:$B,2,0)</f>
        <v>ALFAJIA 1123 MATE</v>
      </c>
      <c r="C18" s="66">
        <v>3.4</v>
      </c>
      <c r="D18" s="19">
        <f>IFERROR(VLOOKUP(A18,'TD mes'!A:C,3,0),0)</f>
        <v>3.4</v>
      </c>
      <c r="E18" s="20">
        <f t="shared" si="0"/>
        <v>0</v>
      </c>
    </row>
    <row r="19" spans="1:5" ht="15.75" hidden="1" x14ac:dyDescent="0.25">
      <c r="A19" s="65" t="s">
        <v>726</v>
      </c>
      <c r="B19" s="25" t="str">
        <f>VLOOKUP(A19,BASE!$A:$B,2,0)</f>
        <v>ALFAJIA 413 GRIS PLATA</v>
      </c>
      <c r="C19" s="66">
        <v>0.216667</v>
      </c>
      <c r="D19" s="19">
        <f>IFERROR(VLOOKUP(A19,'TD mes'!A:C,3,0),0)</f>
        <v>0.21666666666666667</v>
      </c>
      <c r="E19" s="20">
        <f t="shared" si="0"/>
        <v>-3.3333333332441484E-7</v>
      </c>
    </row>
    <row r="20" spans="1:5" ht="15.75" hidden="1" x14ac:dyDescent="0.25">
      <c r="A20" s="65" t="s">
        <v>299</v>
      </c>
      <c r="B20" s="25" t="str">
        <f>VLOOKUP(A20,BASE!$A:$B,2,0)</f>
        <v>ALFAJIA S-012 BLANCA</v>
      </c>
      <c r="C20" s="66">
        <v>0.38</v>
      </c>
      <c r="D20" s="19">
        <f>IFERROR(VLOOKUP(A20,'TD mes'!A:C,3,0),0)</f>
        <v>0.37666666666666665</v>
      </c>
      <c r="E20" s="20">
        <f t="shared" si="0"/>
        <v>-3.3333333333333548E-3</v>
      </c>
    </row>
    <row r="21" spans="1:5" ht="15.75" hidden="1" x14ac:dyDescent="0.25">
      <c r="A21" s="65" t="s">
        <v>596</v>
      </c>
      <c r="B21" s="25" t="str">
        <f>VLOOKUP(A21,BASE!$A:$B,2,0)</f>
        <v>ALFAJIA 413 BLANCO</v>
      </c>
      <c r="C21" s="66">
        <v>0.56999999999999995</v>
      </c>
      <c r="D21" s="19">
        <f>IFERROR(VLOOKUP(A21,'TD mes'!A:C,3,0),0)</f>
        <v>0.56666666666666665</v>
      </c>
      <c r="E21" s="20">
        <f t="shared" si="0"/>
        <v>-3.3333333333332993E-3</v>
      </c>
    </row>
    <row r="22" spans="1:5" ht="15.75" hidden="1" x14ac:dyDescent="0.25">
      <c r="A22" s="65" t="s">
        <v>602</v>
      </c>
      <c r="B22" s="25" t="str">
        <f>VLOOKUP(A22,BASE!$A:$B,2,0)</f>
        <v>ALFAJIA 1123 BRONCE</v>
      </c>
      <c r="C22" s="66">
        <v>0.58333400000000002</v>
      </c>
      <c r="D22" s="19">
        <f>IFERROR(VLOOKUP(A22,'TD mes'!A:C,3,0),0)</f>
        <v>0.58333333333333337</v>
      </c>
      <c r="E22" s="20">
        <f t="shared" si="0"/>
        <v>-6.6666666664882968E-7</v>
      </c>
    </row>
    <row r="23" spans="1:5" ht="15.75" hidden="1" x14ac:dyDescent="0.25">
      <c r="A23" s="65" t="s">
        <v>605</v>
      </c>
      <c r="B23" s="25" t="str">
        <f>VLOOKUP(A23,BASE!$A:$B,2,0)</f>
        <v>ALFAJIA S-012 BRONCE</v>
      </c>
      <c r="C23" s="66">
        <v>0.183333</v>
      </c>
      <c r="D23" s="19">
        <f>IFERROR(VLOOKUP(A23,'TD mes'!A:C,3,0),0)</f>
        <v>0.18333333333333332</v>
      </c>
      <c r="E23" s="20">
        <f t="shared" si="0"/>
        <v>3.3333333332441484E-7</v>
      </c>
    </row>
    <row r="24" spans="1:5" ht="15.75" hidden="1" x14ac:dyDescent="0.25">
      <c r="A24" s="65" t="s">
        <v>35</v>
      </c>
      <c r="B24" s="25" t="str">
        <f>VLOOKUP(A24,BASE!$A:$B,2,0)</f>
        <v>ALFAJIA S-332 BRONCE</v>
      </c>
      <c r="C24" s="66">
        <v>0.36333300000000002</v>
      </c>
      <c r="D24" s="19">
        <f>IFERROR(VLOOKUP(A24,'TD mes'!A:C,3,0),0)</f>
        <v>0.3666666666666667</v>
      </c>
      <c r="E24" s="20">
        <f t="shared" si="0"/>
        <v>3.3336666666666792E-3</v>
      </c>
    </row>
    <row r="25" spans="1:5" ht="15.75" hidden="1" x14ac:dyDescent="0.25">
      <c r="A25" s="65" t="s">
        <v>608</v>
      </c>
      <c r="B25" s="25" t="str">
        <f>VLOOKUP(A25,BASE!$A:$B,2,0)</f>
        <v>ALFAJIA 1123 NEGRO</v>
      </c>
      <c r="C25" s="66">
        <v>0.83</v>
      </c>
      <c r="D25" s="19">
        <f>IFERROR(VLOOKUP(A25,'TD mes'!A:C,3,0),0)</f>
        <v>0.83333333333333337</v>
      </c>
      <c r="E25" s="20">
        <f t="shared" si="0"/>
        <v>3.3333333333334103E-3</v>
      </c>
    </row>
    <row r="26" spans="1:5" ht="15.75" hidden="1" x14ac:dyDescent="0.25">
      <c r="A26" s="65" t="s">
        <v>303</v>
      </c>
      <c r="B26" s="25" t="str">
        <f>VLOOKUP(A26,BASE!$A:$B,2,0)</f>
        <v>ALFAJIA 413 NEGRA</v>
      </c>
      <c r="C26" s="66">
        <v>14.511666999999999</v>
      </c>
      <c r="D26" s="19">
        <f>IFERROR(VLOOKUP(A26,'TD mes'!A:C,3,0),0)</f>
        <v>13.05</v>
      </c>
      <c r="E26" s="20">
        <f t="shared" si="0"/>
        <v>-1.4616669999999985</v>
      </c>
    </row>
    <row r="27" spans="1:5" ht="15.75" hidden="1" x14ac:dyDescent="0.25">
      <c r="A27" s="65" t="s">
        <v>150</v>
      </c>
      <c r="B27" s="25" t="str">
        <f>VLOOKUP(A27,BASE!$A:$B,2,0)</f>
        <v>ALFAJIA S-332 NEGRA</v>
      </c>
      <c r="C27" s="66">
        <v>1.1499999999999999</v>
      </c>
      <c r="D27" s="19">
        <f>IFERROR(VLOOKUP(A27,'TD mes'!A:C,3,0),0)</f>
        <v>1.1499999999999999</v>
      </c>
      <c r="E27" s="20">
        <f t="shared" si="0"/>
        <v>0</v>
      </c>
    </row>
    <row r="28" spans="1:5" ht="15.75" hidden="1" x14ac:dyDescent="0.25">
      <c r="A28" s="65" t="s">
        <v>151</v>
      </c>
      <c r="B28" s="25" t="str">
        <f>VLOOKUP(A28,BASE!$A:$B,2,0)</f>
        <v>ALFAJIA S-012 NEGRO</v>
      </c>
      <c r="C28" s="66">
        <v>0.15</v>
      </c>
      <c r="D28" s="19">
        <f>IFERROR(VLOOKUP(A28,'TD mes'!A:C,3,0),0)</f>
        <v>0.15</v>
      </c>
      <c r="E28" s="20">
        <f t="shared" si="0"/>
        <v>0</v>
      </c>
    </row>
    <row r="29" spans="1:5" ht="15.75" hidden="1" x14ac:dyDescent="0.25">
      <c r="A29" s="65" t="s">
        <v>74</v>
      </c>
      <c r="B29" s="25" t="str">
        <f>VLOOKUP(A29,BASE!$A:$B,2,0)</f>
        <v>ALFAJIA 449 NEGRA</v>
      </c>
      <c r="C29" s="66">
        <v>2.69</v>
      </c>
      <c r="D29" s="19">
        <f>IFERROR(VLOOKUP(A29,'TD mes'!A:C,3,0),0)</f>
        <v>3.6933333333333334</v>
      </c>
      <c r="E29" s="20">
        <f t="shared" si="0"/>
        <v>1.0033333333333334</v>
      </c>
    </row>
    <row r="30" spans="1:5" ht="15.75" hidden="1" x14ac:dyDescent="0.25">
      <c r="A30" s="65" t="s">
        <v>72</v>
      </c>
      <c r="B30" s="25" t="str">
        <f>VLOOKUP(A30,BASE!$A:$B,2,0)</f>
        <v>ANGULO IRREGULAR A-46 MATE</v>
      </c>
      <c r="C30" s="66">
        <v>11.666665999999999</v>
      </c>
      <c r="D30" s="19">
        <f>IFERROR(VLOOKUP(A30,'TD mes'!A:C,3,0),0)</f>
        <v>5.5833333333333339</v>
      </c>
      <c r="E30" s="20">
        <f t="shared" si="0"/>
        <v>-6.0833326666666654</v>
      </c>
    </row>
    <row r="31" spans="1:5" ht="15.75" hidden="1" x14ac:dyDescent="0.25">
      <c r="A31" s="65" t="s">
        <v>307</v>
      </c>
      <c r="B31" s="25" t="str">
        <f>VLOOKUP(A31,BASE!$A:$B,2,0)</f>
        <v>ANGULO A-01 MATE (1/2*1/2)</v>
      </c>
      <c r="C31" s="66">
        <v>1.3966670000000001</v>
      </c>
      <c r="D31" s="19">
        <f>IFERROR(VLOOKUP(A31,'TD mes'!A:C,3,0),0)</f>
        <v>0</v>
      </c>
      <c r="E31" s="20">
        <f t="shared" si="0"/>
        <v>-1.3966670000000001</v>
      </c>
    </row>
    <row r="32" spans="1:5" ht="15.75" hidden="1" x14ac:dyDescent="0.25">
      <c r="A32" s="65" t="s">
        <v>309</v>
      </c>
      <c r="B32" s="25" t="str">
        <f>VLOOKUP(A32,BASE!$A:$B,2,0)</f>
        <v>ANGULO A-01 GRIS PLATA (1/2 X 1/2)</v>
      </c>
      <c r="C32" s="66">
        <v>0.5</v>
      </c>
      <c r="D32" s="19">
        <f>IFERROR(VLOOKUP(A32,'TD mes'!A:C,3,0),0)</f>
        <v>0.5</v>
      </c>
      <c r="E32" s="20">
        <f t="shared" si="0"/>
        <v>0</v>
      </c>
    </row>
    <row r="33" spans="1:5" ht="15.75" hidden="1" x14ac:dyDescent="0.25">
      <c r="A33" s="65" t="s">
        <v>312</v>
      </c>
      <c r="B33" s="25" t="str">
        <f>VLOOKUP(A33,BASE!$A:$B,2,0)</f>
        <v>ANGULO A-15 CRUDO (1-1/4 X 1-1/4)</v>
      </c>
      <c r="C33" s="66">
        <v>2.5499999999999998</v>
      </c>
      <c r="D33" s="19">
        <f>IFERROR(VLOOKUP(A33,'TD mes'!A:C,3,0),0)</f>
        <v>1</v>
      </c>
      <c r="E33" s="20">
        <f t="shared" si="0"/>
        <v>-1.5499999999999998</v>
      </c>
    </row>
    <row r="34" spans="1:5" ht="15.75" hidden="1" x14ac:dyDescent="0.25">
      <c r="A34" s="65" t="s">
        <v>677</v>
      </c>
      <c r="B34" s="25" t="str">
        <f>VLOOKUP(A34,BASE!$A:$B,2,0)</f>
        <v>ANGULO IRREGULAR A-46 BLANCO</v>
      </c>
      <c r="C34" s="66">
        <v>3.35</v>
      </c>
      <c r="D34" s="19">
        <f>IFERROR(VLOOKUP(A34,'TD mes'!A:C,3,0),0)</f>
        <v>3.3450000000000002</v>
      </c>
      <c r="E34" s="20">
        <f t="shared" si="0"/>
        <v>-4.9999999999998934E-3</v>
      </c>
    </row>
    <row r="35" spans="1:5" ht="15.75" hidden="1" x14ac:dyDescent="0.25">
      <c r="A35" s="65" t="s">
        <v>313</v>
      </c>
      <c r="B35" s="25" t="str">
        <f>VLOOKUP(A35,BASE!$A:$B,2,0)</f>
        <v>ANGULO A-01 BLANCO (1/2 X 1/2)</v>
      </c>
      <c r="C35" s="66">
        <v>1.35</v>
      </c>
      <c r="D35" s="19">
        <f>IFERROR(VLOOKUP(A35,'TD mes'!A:C,3,0),0)</f>
        <v>1.35</v>
      </c>
      <c r="E35" s="20">
        <f t="shared" si="0"/>
        <v>0</v>
      </c>
    </row>
    <row r="36" spans="1:5" ht="15.75" hidden="1" x14ac:dyDescent="0.25">
      <c r="A36" s="65" t="s">
        <v>80</v>
      </c>
      <c r="B36" s="25" t="str">
        <f>VLOOKUP(A36,BASE!$A:$B,2,0)</f>
        <v>ANGULO A-01 BRONCE (1/2*1/2)</v>
      </c>
      <c r="C36" s="66">
        <v>0.23</v>
      </c>
      <c r="D36" s="19">
        <f>IFERROR(VLOOKUP(A36,'TD mes'!A:C,3,0),0)</f>
        <v>0.23333333333333334</v>
      </c>
      <c r="E36" s="20">
        <f t="shared" si="0"/>
        <v>3.333333333333327E-3</v>
      </c>
    </row>
    <row r="37" spans="1:5" ht="15.75" hidden="1" x14ac:dyDescent="0.25">
      <c r="A37" s="65" t="s">
        <v>315</v>
      </c>
      <c r="B37" s="25" t="str">
        <f>VLOOKUP(A37,BASE!$A:$B,2,0)</f>
        <v>ANGULO IRREGULAR A-46 NEGRO</v>
      </c>
      <c r="C37" s="66">
        <v>0.33</v>
      </c>
      <c r="D37" s="19">
        <f>IFERROR(VLOOKUP(A37,'TD mes'!A:C,3,0),0)</f>
        <v>0.56666666666666665</v>
      </c>
      <c r="E37" s="20">
        <f t="shared" si="0"/>
        <v>0.23666666666666664</v>
      </c>
    </row>
    <row r="38" spans="1:5" ht="15.75" hidden="1" x14ac:dyDescent="0.25">
      <c r="A38" s="65" t="s">
        <v>165</v>
      </c>
      <c r="B38" s="25" t="str">
        <f>VLOOKUP(A38,BASE!$A:$B,2,0)</f>
        <v>ANGULO A-01 NEGRO (1/2 X 1/2)</v>
      </c>
      <c r="C38" s="66">
        <v>1.28</v>
      </c>
      <c r="D38" s="19">
        <f>IFERROR(VLOOKUP(A38,'TD mes'!A:C,3,0),0)</f>
        <v>1.2833333333333332</v>
      </c>
      <c r="E38" s="20">
        <f t="shared" si="0"/>
        <v>3.3333333333331883E-3</v>
      </c>
    </row>
    <row r="39" spans="1:5" ht="15.75" hidden="1" x14ac:dyDescent="0.25">
      <c r="A39" s="65" t="s">
        <v>319</v>
      </c>
      <c r="B39" s="25" t="str">
        <f>VLOOKUP(A39,BASE!$A:$B,2,0)</f>
        <v>CABEZAL CABINA S-319 MATE</v>
      </c>
      <c r="C39" s="66">
        <v>0.95033299999999998</v>
      </c>
      <c r="D39" s="19">
        <f>IFERROR(VLOOKUP(A39,'TD mes'!A:C,3,0),0)</f>
        <v>0.98333333333333339</v>
      </c>
      <c r="E39" s="20">
        <f t="shared" si="0"/>
        <v>3.3000333333333409E-2</v>
      </c>
    </row>
    <row r="40" spans="1:5" ht="15.75" hidden="1" x14ac:dyDescent="0.25">
      <c r="A40" s="65" t="s">
        <v>122</v>
      </c>
      <c r="B40" s="25" t="str">
        <f>VLOOKUP(A40,BASE!$A:$B,2,0)</f>
        <v>5020 CABEZAL 144 MATE</v>
      </c>
      <c r="C40" s="66">
        <v>0.33666699999999999</v>
      </c>
      <c r="D40" s="19">
        <f>IFERROR(VLOOKUP(A40,'TD mes'!A:C,3,0),0)</f>
        <v>0.33333333333333331</v>
      </c>
      <c r="E40" s="20">
        <f t="shared" si="0"/>
        <v>-3.3336666666666792E-3</v>
      </c>
    </row>
    <row r="41" spans="1:5" ht="15.75" hidden="1" x14ac:dyDescent="0.25">
      <c r="A41" s="65" t="s">
        <v>694</v>
      </c>
      <c r="B41" s="25" t="str">
        <f>VLOOKUP(A41,BASE!$A:$B,2,0)</f>
        <v>744 CABEZAL 392 MATE</v>
      </c>
      <c r="C41" s="66">
        <v>2.9653330000000002</v>
      </c>
      <c r="D41" s="19">
        <f>IFERROR(VLOOKUP(A41,'TD mes'!A:C,3,0),0)</f>
        <v>2.915</v>
      </c>
      <c r="E41" s="20">
        <f t="shared" si="0"/>
        <v>-5.0333000000000183E-2</v>
      </c>
    </row>
    <row r="42" spans="1:5" ht="15.75" hidden="1" x14ac:dyDescent="0.25">
      <c r="A42" s="65" t="s">
        <v>140</v>
      </c>
      <c r="B42" s="25" t="str">
        <f>VLOOKUP(A42,BASE!$A:$B,2,0)</f>
        <v>8025 CABEZAL 706 MATE</v>
      </c>
      <c r="C42" s="66">
        <v>0.63300000000000001</v>
      </c>
      <c r="D42" s="19">
        <f>IFERROR(VLOOKUP(A42,'TD mes'!A:C,3,0),0)</f>
        <v>0.6333333333333333</v>
      </c>
      <c r="E42" s="20">
        <f t="shared" si="0"/>
        <v>3.3333333333329662E-4</v>
      </c>
    </row>
    <row r="43" spans="1:5" ht="15.75" hidden="1" x14ac:dyDescent="0.25">
      <c r="A43" s="65" t="s">
        <v>772</v>
      </c>
      <c r="B43" s="25" t="str">
        <f>VLOOKUP(A43,BASE!$A:$B,2,0)</f>
        <v>744 CABEZAL 1857 TRES RIELES MATE</v>
      </c>
      <c r="C43" s="66">
        <v>0.67</v>
      </c>
      <c r="D43" s="19">
        <f>IFERROR(VLOOKUP(A43,'TD mes'!A:C,3,0),0)</f>
        <v>0.66666666666666663</v>
      </c>
      <c r="E43" s="20">
        <f t="shared" si="0"/>
        <v>-3.3333333333334103E-3</v>
      </c>
    </row>
    <row r="44" spans="1:5" ht="15.75" hidden="1" x14ac:dyDescent="0.25">
      <c r="A44" s="65" t="s">
        <v>154</v>
      </c>
      <c r="B44" s="25" t="str">
        <f>VLOOKUP(A44,BASE!$A:$B,2,0)</f>
        <v>CABEZAL CABINA S-319 GRIS PLATA</v>
      </c>
      <c r="C44" s="66">
        <v>0.20333300000000001</v>
      </c>
      <c r="D44" s="19">
        <f>IFERROR(VLOOKUP(A44,'TD mes'!A:C,3,0),0)</f>
        <v>0.2</v>
      </c>
      <c r="E44" s="20">
        <f t="shared" si="0"/>
        <v>-3.3330000000000026E-3</v>
      </c>
    </row>
    <row r="45" spans="1:5" ht="15.75" hidden="1" x14ac:dyDescent="0.25">
      <c r="A45" s="65" t="s">
        <v>28</v>
      </c>
      <c r="B45" s="25" t="str">
        <f>VLOOKUP(A45,BASE!$A:$B,2,0)</f>
        <v>5020 CABEZAL 144 GRIS PLATA</v>
      </c>
      <c r="C45" s="66">
        <v>0.54</v>
      </c>
      <c r="D45" s="19">
        <f>IFERROR(VLOOKUP(A45,'TD mes'!A:C,3,0),0)</f>
        <v>0.54</v>
      </c>
      <c r="E45" s="20">
        <f t="shared" si="0"/>
        <v>0</v>
      </c>
    </row>
    <row r="46" spans="1:5" ht="15.75" hidden="1" x14ac:dyDescent="0.25">
      <c r="A46" s="65" t="s">
        <v>23</v>
      </c>
      <c r="B46" s="25" t="str">
        <f>VLOOKUP(A46,BASE!$A:$B,2,0)</f>
        <v>8025 CABEZAL 706 BLANCO</v>
      </c>
      <c r="C46" s="66">
        <v>0.57999999999999996</v>
      </c>
      <c r="D46" s="19">
        <f>IFERROR(VLOOKUP(A46,'TD mes'!A:C,3,0),0)</f>
        <v>0.58166666666666667</v>
      </c>
      <c r="E46" s="20">
        <f t="shared" si="0"/>
        <v>1.6666666666667052E-3</v>
      </c>
    </row>
    <row r="47" spans="1:5" ht="15.75" hidden="1" x14ac:dyDescent="0.25">
      <c r="A47" s="65" t="s">
        <v>18</v>
      </c>
      <c r="B47" s="25" t="str">
        <f>VLOOKUP(A47,BASE!$A:$B,2,0)</f>
        <v>8025 CABEZAL 151 GRIS PLATA</v>
      </c>
      <c r="C47" s="66">
        <v>1.05</v>
      </c>
      <c r="D47" s="19">
        <f>IFERROR(VLOOKUP(A47,'TD mes'!A:C,3,0),0)</f>
        <v>1.0499999999999998</v>
      </c>
      <c r="E47" s="20">
        <f t="shared" si="0"/>
        <v>0</v>
      </c>
    </row>
    <row r="48" spans="1:5" ht="15.75" hidden="1" x14ac:dyDescent="0.25">
      <c r="A48" s="65" t="s">
        <v>722</v>
      </c>
      <c r="B48" s="25" t="str">
        <f>VLOOKUP(A48,BASE!$A:$B,2,0)</f>
        <v>744 CABEZAL 1857 TRES RIELES CRUDO</v>
      </c>
      <c r="C48" s="66">
        <v>0.51666000000000001</v>
      </c>
      <c r="D48" s="19">
        <f>IFERROR(VLOOKUP(A48,'TD mes'!A:C,3,0),0)</f>
        <v>0.51666666666666672</v>
      </c>
      <c r="E48" s="20">
        <f t="shared" si="0"/>
        <v>6.6666666667103414E-6</v>
      </c>
    </row>
    <row r="49" spans="1:5" ht="15.75" hidden="1" x14ac:dyDescent="0.25">
      <c r="A49" s="65" t="s">
        <v>22</v>
      </c>
      <c r="B49" s="25" t="str">
        <f>VLOOKUP(A49,BASE!$A:$B,2,0)</f>
        <v>CABEZAL CABINA S-319 BLANCO</v>
      </c>
      <c r="C49" s="66">
        <v>0.43326700000000001</v>
      </c>
      <c r="D49" s="19">
        <f>IFERROR(VLOOKUP(A49,'TD mes'!A:C,3,0),0)</f>
        <v>0.43333333333333335</v>
      </c>
      <c r="E49" s="20">
        <f t="shared" si="0"/>
        <v>6.633333333333491E-5</v>
      </c>
    </row>
    <row r="50" spans="1:5" ht="15.75" hidden="1" x14ac:dyDescent="0.25">
      <c r="A50" s="65" t="s">
        <v>328</v>
      </c>
      <c r="B50" s="25" t="str">
        <f>VLOOKUP(A50,BASE!$A:$B,2,0)</f>
        <v>744 CABEZAL 392 BLANCO</v>
      </c>
      <c r="C50" s="66">
        <v>0.55666700000000002</v>
      </c>
      <c r="D50" s="19">
        <f>IFERROR(VLOOKUP(A50,'TD mes'!A:C,3,0),0)</f>
        <v>0.57500000000000007</v>
      </c>
      <c r="E50" s="20">
        <f t="shared" si="0"/>
        <v>1.8333000000000044E-2</v>
      </c>
    </row>
    <row r="51" spans="1:5" ht="15.75" hidden="1" x14ac:dyDescent="0.25">
      <c r="A51" s="65" t="s">
        <v>330</v>
      </c>
      <c r="B51" s="25" t="str">
        <f>VLOOKUP(A51,BASE!$A:$B,2,0)</f>
        <v>7038 CABEZAL 700 BLANCO</v>
      </c>
      <c r="C51" s="66">
        <v>0.48</v>
      </c>
      <c r="D51" s="19">
        <f>IFERROR(VLOOKUP(A51,'TD mes'!A:C,3,0),0)</f>
        <v>0.48333333333333334</v>
      </c>
      <c r="E51" s="20">
        <f t="shared" si="0"/>
        <v>3.3333333333333548E-3</v>
      </c>
    </row>
    <row r="52" spans="1:5" ht="15.75" hidden="1" x14ac:dyDescent="0.25">
      <c r="A52" s="65" t="s">
        <v>183</v>
      </c>
      <c r="B52" s="25" t="str">
        <f>VLOOKUP(A52,BASE!$A:$B,2,0)</f>
        <v>5020 CABEZAL 144 BLANCO</v>
      </c>
      <c r="C52" s="66">
        <v>0.75</v>
      </c>
      <c r="D52" s="19">
        <f>IFERROR(VLOOKUP(A52,'TD mes'!A:C,3,0),0)</f>
        <v>0.75</v>
      </c>
      <c r="E52" s="20">
        <f t="shared" si="0"/>
        <v>0</v>
      </c>
    </row>
    <row r="53" spans="1:5" ht="15.75" hidden="1" x14ac:dyDescent="0.25">
      <c r="A53" s="65" t="s">
        <v>102</v>
      </c>
      <c r="B53" s="25" t="str">
        <f>VLOOKUP(A53,BASE!$A:$B,2,0)</f>
        <v>CABEZAL CABINA S-319 BRONCE</v>
      </c>
      <c r="C53" s="66">
        <v>0.78</v>
      </c>
      <c r="D53" s="19">
        <f>IFERROR(VLOOKUP(A53,'TD mes'!A:C,3,0),0)</f>
        <v>0.77833333333333332</v>
      </c>
      <c r="E53" s="20">
        <f t="shared" si="0"/>
        <v>-1.6666666666667052E-3</v>
      </c>
    </row>
    <row r="54" spans="1:5" ht="15.75" hidden="1" x14ac:dyDescent="0.25">
      <c r="A54" s="65" t="s">
        <v>332</v>
      </c>
      <c r="B54" s="25" t="str">
        <f>VLOOKUP(A54,BASE!$A:$B,2,0)</f>
        <v>8025 CABEZAL 706 BRONCE</v>
      </c>
      <c r="C54" s="66">
        <v>1.28</v>
      </c>
      <c r="D54" s="19">
        <f>IFERROR(VLOOKUP(A54,'TD mes'!A:C,3,0),0)</f>
        <v>1.2833333333333332</v>
      </c>
      <c r="E54" s="20">
        <f t="shared" si="0"/>
        <v>3.3333333333331883E-3</v>
      </c>
    </row>
    <row r="55" spans="1:5" ht="15.75" hidden="1" x14ac:dyDescent="0.25">
      <c r="A55" s="65" t="s">
        <v>334</v>
      </c>
      <c r="B55" s="25" t="str">
        <f>VLOOKUP(A55,BASE!$A:$B,2,0)</f>
        <v>8025 CABEZAL 151 BRONCE</v>
      </c>
      <c r="C55" s="66">
        <v>0.31666699999999998</v>
      </c>
      <c r="D55" s="19">
        <f>IFERROR(VLOOKUP(A55,'TD mes'!A:C,3,0),0)</f>
        <v>0.31666666666666665</v>
      </c>
      <c r="E55" s="20">
        <f t="shared" si="0"/>
        <v>-3.3333333332441484E-7</v>
      </c>
    </row>
    <row r="56" spans="1:5" ht="15.75" hidden="1" x14ac:dyDescent="0.25">
      <c r="A56" s="65" t="s">
        <v>336</v>
      </c>
      <c r="B56" s="25" t="str">
        <f>VLOOKUP(A56,BASE!$A:$B,2,0)</f>
        <v>744 CABEZAL 392 BRONCE</v>
      </c>
      <c r="C56" s="66">
        <v>0.63</v>
      </c>
      <c r="D56" s="19">
        <f>IFERROR(VLOOKUP(A56,'TD mes'!A:C,3,0),0)</f>
        <v>0.6166666666666667</v>
      </c>
      <c r="E56" s="20">
        <f t="shared" si="0"/>
        <v>-1.3333333333333308E-2</v>
      </c>
    </row>
    <row r="57" spans="1:5" ht="15.75" hidden="1" x14ac:dyDescent="0.25">
      <c r="A57" s="65" t="s">
        <v>108</v>
      </c>
      <c r="B57" s="25" t="str">
        <f>VLOOKUP(A57,BASE!$A:$B,2,0)</f>
        <v>5020 CABEZAL 144 BRONCE</v>
      </c>
      <c r="C57" s="66">
        <v>1.416666</v>
      </c>
      <c r="D57" s="19">
        <f>IFERROR(VLOOKUP(A57,'TD mes'!A:C,3,0),0)</f>
        <v>1.4166666666666667</v>
      </c>
      <c r="E57" s="20">
        <f t="shared" si="0"/>
        <v>6.6666666675985198E-7</v>
      </c>
    </row>
    <row r="58" spans="1:5" ht="15.75" hidden="1" x14ac:dyDescent="0.25">
      <c r="A58" s="65" t="s">
        <v>45</v>
      </c>
      <c r="B58" s="25" t="str">
        <f>VLOOKUP(A58,BASE!$A:$B,2,0)</f>
        <v>7038 CABEZAL 700 NEGRO</v>
      </c>
      <c r="C58" s="66">
        <v>0.96666700000000005</v>
      </c>
      <c r="D58" s="19">
        <f>IFERROR(VLOOKUP(A58,'TD mes'!A:C,3,0),0)</f>
        <v>0.96666666666666679</v>
      </c>
      <c r="E58" s="20">
        <f t="shared" si="0"/>
        <v>-3.3333333326890369E-7</v>
      </c>
    </row>
    <row r="59" spans="1:5" ht="15.75" hidden="1" x14ac:dyDescent="0.25">
      <c r="A59" s="65" t="s">
        <v>339</v>
      </c>
      <c r="B59" s="25" t="str">
        <f>VLOOKUP(A59,BASE!$A:$B,2,0)</f>
        <v>744 CABEZAL 392 NEGRO</v>
      </c>
      <c r="C59" s="66">
        <v>0.53300000000000003</v>
      </c>
      <c r="D59" s="19">
        <f>IFERROR(VLOOKUP(A59,'TD mes'!A:C,3,0),0)</f>
        <v>0.16666666666666666</v>
      </c>
      <c r="E59" s="20">
        <f t="shared" si="0"/>
        <v>-0.3663333333333334</v>
      </c>
    </row>
    <row r="60" spans="1:5" ht="15.75" hidden="1" x14ac:dyDescent="0.25">
      <c r="A60" s="65" t="s">
        <v>340</v>
      </c>
      <c r="B60" s="25" t="str">
        <f>VLOOKUP(A60,BASE!$A:$B,2,0)</f>
        <v>8025 CABEZAL 706 NEGRO</v>
      </c>
      <c r="C60" s="66">
        <v>2.75</v>
      </c>
      <c r="D60" s="19">
        <f>IFERROR(VLOOKUP(A60,'TD mes'!A:C,3,0),0)</f>
        <v>3.4000000000000004</v>
      </c>
      <c r="E60" s="20">
        <f t="shared" si="0"/>
        <v>0.65000000000000036</v>
      </c>
    </row>
    <row r="61" spans="1:5" ht="15.75" hidden="1" x14ac:dyDescent="0.25">
      <c r="A61" s="65" t="s">
        <v>341</v>
      </c>
      <c r="B61" s="25" t="str">
        <f>VLOOKUP(A61,BASE!$A:$B,2,0)</f>
        <v>8025 CABEZAL 151 NEGRO</v>
      </c>
      <c r="C61" s="66">
        <v>12.78</v>
      </c>
      <c r="D61" s="19">
        <f>IFERROR(VLOOKUP(A61,'TD mes'!A:C,3,0),0)</f>
        <v>11.3</v>
      </c>
      <c r="E61" s="20">
        <f t="shared" si="0"/>
        <v>-1.4799999999999986</v>
      </c>
    </row>
    <row r="62" spans="1:5" ht="15.75" hidden="1" x14ac:dyDescent="0.25">
      <c r="A62" s="65" t="s">
        <v>342</v>
      </c>
      <c r="B62" s="25" t="str">
        <f>VLOOKUP(A62,BASE!$A:$B,2,0)</f>
        <v>CABEZAL CABINA S-319 NEGRO</v>
      </c>
      <c r="C62" s="66">
        <v>0.32</v>
      </c>
      <c r="D62" s="19">
        <f>IFERROR(VLOOKUP(A62,'TD mes'!A:C,3,0),0)</f>
        <v>0.31666666666666665</v>
      </c>
      <c r="E62" s="20">
        <f t="shared" si="0"/>
        <v>-3.3333333333333548E-3</v>
      </c>
    </row>
    <row r="63" spans="1:5" ht="15.75" hidden="1" x14ac:dyDescent="0.25">
      <c r="A63" s="65" t="s">
        <v>159</v>
      </c>
      <c r="B63" s="25" t="str">
        <f>VLOOKUP(A63,BASE!$A:$B,2,0)</f>
        <v>5020 CABEZAL 144 NEGRO</v>
      </c>
      <c r="C63" s="66">
        <v>0.53333299999999995</v>
      </c>
      <c r="D63" s="19">
        <f>IFERROR(VLOOKUP(A63,'TD mes'!A:C,3,0),0)</f>
        <v>0.51666666666666672</v>
      </c>
      <c r="E63" s="20">
        <f t="shared" si="0"/>
        <v>-1.6666333333333228E-2</v>
      </c>
    </row>
    <row r="64" spans="1:5" ht="15.75" hidden="1" x14ac:dyDescent="0.25">
      <c r="A64" s="65" t="s">
        <v>983</v>
      </c>
      <c r="B64" s="25" t="str">
        <f>VLOOKUP(A64,BASE!$A:$B,2,0)</f>
        <v>7038 CABEZAL TRES RIELES 1730 NEGRO</v>
      </c>
      <c r="C64" s="66">
        <v>0.6</v>
      </c>
      <c r="D64" s="19">
        <f>IFERROR(VLOOKUP(A64,'TD mes'!A:C,3,0),0)</f>
        <v>0.6</v>
      </c>
      <c r="E64" s="20">
        <f t="shared" si="0"/>
        <v>0</v>
      </c>
    </row>
    <row r="65" spans="1:5" ht="15.75" hidden="1" x14ac:dyDescent="0.25">
      <c r="A65" s="65" t="s">
        <v>345</v>
      </c>
      <c r="B65" s="25" t="str">
        <f>VLOOKUP(A65,BASE!$A:$B,2,0)</f>
        <v>8025 CABEZAL 151 MATE</v>
      </c>
      <c r="C65" s="66">
        <v>1.199999</v>
      </c>
      <c r="D65" s="19">
        <f>IFERROR(VLOOKUP(A65,'TD mes'!A:C,3,0),0)</f>
        <v>1.1333333333333333</v>
      </c>
      <c r="E65" s="20">
        <f t="shared" si="0"/>
        <v>-6.6665666666666734E-2</v>
      </c>
    </row>
    <row r="66" spans="1:5" ht="15.75" hidden="1" x14ac:dyDescent="0.25">
      <c r="A66" s="65" t="s">
        <v>129</v>
      </c>
      <c r="B66" s="25" t="str">
        <f>VLOOKUP(A66,BASE!$A:$B,2,0)</f>
        <v>3831 DIVISOR 292 MATE</v>
      </c>
      <c r="C66" s="66">
        <v>0.43333300000000002</v>
      </c>
      <c r="D66" s="19">
        <f>IFERROR(VLOOKUP(A66,'TD mes'!A:C,3,0),0)</f>
        <v>0.55000000000000004</v>
      </c>
      <c r="E66" s="20">
        <f t="shared" ref="E66:E129" si="1">+D66-C66</f>
        <v>0.11666700000000002</v>
      </c>
    </row>
    <row r="67" spans="1:5" ht="15.75" hidden="1" x14ac:dyDescent="0.25">
      <c r="A67" s="65" t="s">
        <v>349</v>
      </c>
      <c r="B67" s="25" t="str">
        <f>VLOOKUP(A67,BASE!$A:$B,2,0)</f>
        <v>3831 DIVISOR 1103 MATE</v>
      </c>
      <c r="C67" s="66">
        <v>1.3</v>
      </c>
      <c r="D67" s="19">
        <f>IFERROR(VLOOKUP(A67,'TD mes'!A:C,3,0),0)</f>
        <v>1.3</v>
      </c>
      <c r="E67" s="20">
        <f t="shared" si="1"/>
        <v>0</v>
      </c>
    </row>
    <row r="68" spans="1:5" ht="15.75" hidden="1" x14ac:dyDescent="0.25">
      <c r="A68" s="65" t="s">
        <v>353</v>
      </c>
      <c r="B68" s="25" t="str">
        <f>VLOOKUP(A68,BASE!$A:$B,2,0)</f>
        <v>3831 DIVISOR 292 BLANCO</v>
      </c>
      <c r="C68" s="66">
        <v>0.55000000000000004</v>
      </c>
      <c r="D68" s="19">
        <f>IFERROR(VLOOKUP(A68,'TD mes'!A:C,3,0),0)</f>
        <v>0.55000000000000004</v>
      </c>
      <c r="E68" s="20">
        <f t="shared" si="1"/>
        <v>0</v>
      </c>
    </row>
    <row r="69" spans="1:5" ht="15.75" hidden="1" x14ac:dyDescent="0.25">
      <c r="A69" s="65" t="s">
        <v>8</v>
      </c>
      <c r="B69" s="25" t="str">
        <f>VLOOKUP(A69,BASE!$A:$B,2,0)</f>
        <v>3831 DIVISOR 292 BRONCE</v>
      </c>
      <c r="C69" s="66">
        <v>2.15</v>
      </c>
      <c r="D69" s="19">
        <f>IFERROR(VLOOKUP(A69,'TD mes'!A:C,3,0),0)</f>
        <v>2.15</v>
      </c>
      <c r="E69" s="20">
        <f t="shared" si="1"/>
        <v>0</v>
      </c>
    </row>
    <row r="70" spans="1:5" ht="15.75" hidden="1" x14ac:dyDescent="0.25">
      <c r="A70" s="65" t="s">
        <v>125</v>
      </c>
      <c r="B70" s="25" t="str">
        <f>VLOOKUP(A70,BASE!$A:$B,2,0)</f>
        <v>3831 DIVISOR 292 NEGRO</v>
      </c>
      <c r="C70" s="66">
        <v>3.8333330000000001</v>
      </c>
      <c r="D70" s="19">
        <f>IFERROR(VLOOKUP(A70,'TD mes'!A:C,3,0),0)</f>
        <v>3.9166666666666665</v>
      </c>
      <c r="E70" s="20">
        <f t="shared" si="1"/>
        <v>8.3333666666666417E-2</v>
      </c>
    </row>
    <row r="71" spans="1:5" ht="15.75" hidden="1" x14ac:dyDescent="0.25">
      <c r="A71" s="65" t="s">
        <v>119</v>
      </c>
      <c r="B71" s="25" t="str">
        <f>VLOOKUP(A71,BASE!$A:$B,2,0)</f>
        <v>744 ENGANCHE 391 MATE</v>
      </c>
      <c r="C71" s="66">
        <v>4.8833320000000002</v>
      </c>
      <c r="D71" s="19">
        <f>IFERROR(VLOOKUP(A71,'TD mes'!A:C,3,0),0)</f>
        <v>4.416666666666667</v>
      </c>
      <c r="E71" s="20">
        <f t="shared" si="1"/>
        <v>-0.46666533333333327</v>
      </c>
    </row>
    <row r="72" spans="1:5" ht="15.75" hidden="1" x14ac:dyDescent="0.25">
      <c r="A72" s="65" t="s">
        <v>77</v>
      </c>
      <c r="B72" s="25" t="str">
        <f>VLOOKUP(A72,BASE!$A:$B,2,0)</f>
        <v>5020 ENGANCHE 147 GRIS PLATA</v>
      </c>
      <c r="C72" s="66">
        <v>0.61666600000000005</v>
      </c>
      <c r="D72" s="19">
        <f>IFERROR(VLOOKUP(A72,'TD mes'!A:C,3,0),0)</f>
        <v>0.6166666666666667</v>
      </c>
      <c r="E72" s="20">
        <f t="shared" si="1"/>
        <v>6.6666666664882968E-7</v>
      </c>
    </row>
    <row r="73" spans="1:5" ht="15.75" hidden="1" x14ac:dyDescent="0.25">
      <c r="A73" s="65" t="s">
        <v>142</v>
      </c>
      <c r="B73" s="25" t="str">
        <f>VLOOKUP(A73,BASE!$A:$B,2,0)</f>
        <v>5020 ENGANCHE 147 MATE</v>
      </c>
      <c r="C73" s="66">
        <v>0.93</v>
      </c>
      <c r="D73" s="19">
        <f>IFERROR(VLOOKUP(A73,'TD mes'!A:C,3,0),0)</f>
        <v>0.93333333333333335</v>
      </c>
      <c r="E73" s="20">
        <f t="shared" si="1"/>
        <v>3.3333333333332993E-3</v>
      </c>
    </row>
    <row r="74" spans="1:5" ht="15.75" hidden="1" x14ac:dyDescent="0.25">
      <c r="A74" s="65" t="s">
        <v>730</v>
      </c>
      <c r="B74" s="25" t="str">
        <f>VLOOKUP(A74,BASE!$A:$B,2,0)</f>
        <v>8025 ENGANCHE 191 GRIS PLATA</v>
      </c>
      <c r="C74" s="66">
        <v>1.167</v>
      </c>
      <c r="D74" s="19">
        <f>IFERROR(VLOOKUP(A74,'TD mes'!A:C,3,0),0)</f>
        <v>1.1666666666666667</v>
      </c>
      <c r="E74" s="20">
        <f t="shared" si="1"/>
        <v>-3.3333333333329662E-4</v>
      </c>
    </row>
    <row r="75" spans="1:5" ht="15.75" hidden="1" x14ac:dyDescent="0.25">
      <c r="A75" s="65" t="s">
        <v>218</v>
      </c>
      <c r="B75" s="25" t="str">
        <f>VLOOKUP(A75,BASE!$A:$B,2,0)</f>
        <v>744 ENGANCHE 391 CRUDO</v>
      </c>
      <c r="C75" s="66">
        <v>0.32</v>
      </c>
      <c r="D75" s="19">
        <f>IFERROR(VLOOKUP(A75,'TD mes'!A:C,3,0),0)</f>
        <v>0.31666666666666665</v>
      </c>
      <c r="E75" s="20">
        <f t="shared" si="1"/>
        <v>-3.3333333333333548E-3</v>
      </c>
    </row>
    <row r="76" spans="1:5" ht="15.75" hidden="1" x14ac:dyDescent="0.25">
      <c r="A76" s="65" t="s">
        <v>118</v>
      </c>
      <c r="B76" s="25" t="str">
        <f>VLOOKUP(A76,BASE!$A:$B,2,0)</f>
        <v>744 ENGANCHE 391 BLANCO</v>
      </c>
      <c r="C76" s="66">
        <v>0.498334</v>
      </c>
      <c r="D76" s="19">
        <f>IFERROR(VLOOKUP(A76,'TD mes'!A:C,3,0),0)</f>
        <v>0.65</v>
      </c>
      <c r="E76" s="20">
        <f t="shared" si="1"/>
        <v>0.15166600000000002</v>
      </c>
    </row>
    <row r="77" spans="1:5" ht="15.75" hidden="1" x14ac:dyDescent="0.25">
      <c r="A77" s="65" t="s">
        <v>369</v>
      </c>
      <c r="B77" s="25" t="str">
        <f>VLOOKUP(A77,BASE!$A:$B,2,0)</f>
        <v>7038 ENGANCHE 705 BLANCO</v>
      </c>
      <c r="C77" s="66">
        <v>0.39</v>
      </c>
      <c r="D77" s="19">
        <f>IFERROR(VLOOKUP(A77,'TD mes'!A:C,3,0),0)</f>
        <v>0.39166666666666666</v>
      </c>
      <c r="E77" s="20">
        <f t="shared" si="1"/>
        <v>1.6666666666666496E-3</v>
      </c>
    </row>
    <row r="78" spans="1:5" ht="15.75" hidden="1" x14ac:dyDescent="0.25">
      <c r="A78" s="65" t="s">
        <v>186</v>
      </c>
      <c r="B78" s="25" t="str">
        <f>VLOOKUP(A78,BASE!$A:$B,2,0)</f>
        <v>5020 ENGANCHE 147 BLANCO</v>
      </c>
      <c r="C78" s="66">
        <v>0.13</v>
      </c>
      <c r="D78" s="19">
        <f>IFERROR(VLOOKUP(A78,'TD mes'!A:C,3,0),0)</f>
        <v>0.13333333333333333</v>
      </c>
      <c r="E78" s="20">
        <f t="shared" si="1"/>
        <v>3.333333333333327E-3</v>
      </c>
    </row>
    <row r="79" spans="1:5" ht="15.75" hidden="1" x14ac:dyDescent="0.25">
      <c r="A79" s="65" t="s">
        <v>828</v>
      </c>
      <c r="B79" s="25" t="str">
        <f>VLOOKUP(A79,BASE!$A:$B,2,0)</f>
        <v>7038 ENGANCHE 705 BRONCE</v>
      </c>
      <c r="C79" s="66">
        <v>0.37</v>
      </c>
      <c r="D79" s="19">
        <f>IFERROR(VLOOKUP(A79,'TD mes'!A:C,3,0),0)</f>
        <v>0.36666666666666664</v>
      </c>
      <c r="E79" s="20">
        <f t="shared" si="1"/>
        <v>-3.3333333333333548E-3</v>
      </c>
    </row>
    <row r="80" spans="1:5" ht="15.75" hidden="1" x14ac:dyDescent="0.25">
      <c r="A80" s="65" t="s">
        <v>372</v>
      </c>
      <c r="B80" s="25" t="str">
        <f>VLOOKUP(A80,BASE!$A:$B,2,0)</f>
        <v>8025 ENGANCHE 191 BRONCE</v>
      </c>
      <c r="C80" s="66">
        <v>1.07</v>
      </c>
      <c r="D80" s="19">
        <f>IFERROR(VLOOKUP(A80,'TD mes'!A:C,3,0),0)</f>
        <v>1.0666666666666667</v>
      </c>
      <c r="E80" s="20">
        <f t="shared" si="1"/>
        <v>-3.3333333333334103E-3</v>
      </c>
    </row>
    <row r="81" spans="1:5" ht="15.75" hidden="1" x14ac:dyDescent="0.25">
      <c r="A81" s="65" t="s">
        <v>109</v>
      </c>
      <c r="B81" s="25" t="str">
        <f>VLOOKUP(A81,BASE!$A:$B,2,0)</f>
        <v>5020 ENGANCHE 147 BRONCE</v>
      </c>
      <c r="C81" s="66">
        <v>0.4</v>
      </c>
      <c r="D81" s="19">
        <f>IFERROR(VLOOKUP(A81,'TD mes'!A:C,3,0),0)</f>
        <v>0.44999999999999996</v>
      </c>
      <c r="E81" s="20">
        <f t="shared" si="1"/>
        <v>4.9999999999999933E-2</v>
      </c>
    </row>
    <row r="82" spans="1:5" ht="15.75" hidden="1" x14ac:dyDescent="0.25">
      <c r="A82" s="65" t="s">
        <v>65</v>
      </c>
      <c r="B82" s="25" t="str">
        <f>VLOOKUP(A82,BASE!$A:$B,2,0)</f>
        <v>744 ENGANCHE 391 BRONCE</v>
      </c>
      <c r="C82" s="66">
        <v>0.15</v>
      </c>
      <c r="D82" s="19">
        <f>IFERROR(VLOOKUP(A82,'TD mes'!A:C,3,0),0)</f>
        <v>0.15</v>
      </c>
      <c r="E82" s="20">
        <f t="shared" si="1"/>
        <v>0</v>
      </c>
    </row>
    <row r="83" spans="1:5" ht="15.75" hidden="1" x14ac:dyDescent="0.25">
      <c r="A83" s="65" t="s">
        <v>147</v>
      </c>
      <c r="B83" s="25" t="str">
        <f>VLOOKUP(A83,BASE!$A:$B,2,0)</f>
        <v>5020 ENGANCHE 147 NEGRO</v>
      </c>
      <c r="C83" s="66">
        <v>0.2</v>
      </c>
      <c r="D83" s="19">
        <f>IFERROR(VLOOKUP(A83,'TD mes'!A:C,3,0),0)</f>
        <v>0.55000000000000004</v>
      </c>
      <c r="E83" s="20">
        <f t="shared" si="1"/>
        <v>0.35000000000000003</v>
      </c>
    </row>
    <row r="84" spans="1:5" ht="15.75" hidden="1" x14ac:dyDescent="0.25">
      <c r="A84" s="65" t="s">
        <v>161</v>
      </c>
      <c r="B84" s="25" t="str">
        <f>VLOOKUP(A84,BASE!$A:$B,2,0)</f>
        <v>744 ENGANCHE 391 NEGRO</v>
      </c>
      <c r="C84" s="66">
        <v>0.183</v>
      </c>
      <c r="D84" s="19">
        <f>IFERROR(VLOOKUP(A84,'TD mes'!A:C,3,0),0)</f>
        <v>0.18333333333333332</v>
      </c>
      <c r="E84" s="20">
        <f t="shared" si="1"/>
        <v>3.3333333333332438E-4</v>
      </c>
    </row>
    <row r="85" spans="1:5" ht="15.75" hidden="1" x14ac:dyDescent="0.25">
      <c r="A85" s="65" t="s">
        <v>133</v>
      </c>
      <c r="B85" s="25" t="str">
        <f>VLOOKUP(A85,BASE!$A:$B,2,0)</f>
        <v>7038 ENGANCHE 705 NEGRO</v>
      </c>
      <c r="C85" s="66">
        <v>0.6</v>
      </c>
      <c r="D85" s="19">
        <f>IFERROR(VLOOKUP(A85,'TD mes'!A:C,3,0),0)</f>
        <v>0.6</v>
      </c>
      <c r="E85" s="20">
        <f t="shared" si="1"/>
        <v>0</v>
      </c>
    </row>
    <row r="86" spans="1:5" ht="15.75" hidden="1" x14ac:dyDescent="0.25">
      <c r="A86" s="65" t="s">
        <v>377</v>
      </c>
      <c r="B86" s="25" t="str">
        <f>VLOOKUP(A86,BASE!$A:$B,2,0)</f>
        <v>8025 ENGANCHE 191 NEGRO</v>
      </c>
      <c r="C86" s="66">
        <v>20.653333</v>
      </c>
      <c r="D86" s="19">
        <f>IFERROR(VLOOKUP(A86,'TD mes'!A:C,3,0),0)</f>
        <v>21.816666666666666</v>
      </c>
      <c r="E86" s="20">
        <f t="shared" si="1"/>
        <v>1.1633336666666665</v>
      </c>
    </row>
    <row r="87" spans="1:5" ht="15.75" hidden="1" x14ac:dyDescent="0.25">
      <c r="A87" s="65" t="s">
        <v>46</v>
      </c>
      <c r="B87" s="25" t="str">
        <f>VLOOKUP(A87,BASE!$A:$B,2,0)</f>
        <v>8025 ENGANCHE 191 MATE</v>
      </c>
      <c r="C87" s="66">
        <v>1.7</v>
      </c>
      <c r="D87" s="19">
        <f>IFERROR(VLOOKUP(A87,'TD mes'!A:C,3,0),0)</f>
        <v>1.25</v>
      </c>
      <c r="E87" s="20">
        <f t="shared" si="1"/>
        <v>-0.44999999999999996</v>
      </c>
    </row>
    <row r="88" spans="1:5" ht="15.75" hidden="1" x14ac:dyDescent="0.25">
      <c r="A88" s="65" t="s">
        <v>85</v>
      </c>
      <c r="B88" s="25" t="str">
        <f>VLOOKUP(A88,BASE!$A:$B,2,0)</f>
        <v>3831 ESQUINERO 416 MATE</v>
      </c>
      <c r="C88" s="66">
        <v>0.4</v>
      </c>
      <c r="D88" s="19">
        <f>IFERROR(VLOOKUP(A88,'TD mes'!A:C,3,0),0)</f>
        <v>0.4</v>
      </c>
      <c r="E88" s="20">
        <f t="shared" si="1"/>
        <v>0</v>
      </c>
    </row>
    <row r="89" spans="1:5" ht="15.75" hidden="1" x14ac:dyDescent="0.25">
      <c r="A89" s="65" t="s">
        <v>382</v>
      </c>
      <c r="B89" s="25" t="str">
        <f>VLOOKUP(A89,BASE!$A:$B,2,0)</f>
        <v>3831 ESQUINERO 416 BRONCE</v>
      </c>
      <c r="C89" s="66">
        <v>0.97</v>
      </c>
      <c r="D89" s="19">
        <f>IFERROR(VLOOKUP(A89,'TD mes'!A:C,3,0),0)</f>
        <v>0.96666666666666679</v>
      </c>
      <c r="E89" s="20">
        <f t="shared" si="1"/>
        <v>-3.3333333333331883E-3</v>
      </c>
    </row>
    <row r="90" spans="1:5" ht="15.75" hidden="1" x14ac:dyDescent="0.25">
      <c r="A90" s="65" t="s">
        <v>384</v>
      </c>
      <c r="B90" s="25" t="str">
        <f>VLOOKUP(A90,BASE!$A:$B,2,0)</f>
        <v>3831 ESQUINERO 416 NEGRO</v>
      </c>
      <c r="C90" s="66">
        <v>0.92</v>
      </c>
      <c r="D90" s="19">
        <f>IFERROR(VLOOKUP(A90,'TD mes'!A:C,3,0),0)</f>
        <v>1.0499999999999998</v>
      </c>
      <c r="E90" s="20">
        <f t="shared" si="1"/>
        <v>0.12999999999999978</v>
      </c>
    </row>
    <row r="91" spans="1:5" ht="15.75" hidden="1" x14ac:dyDescent="0.25">
      <c r="A91" s="65" t="s">
        <v>179</v>
      </c>
      <c r="B91" s="25" t="str">
        <f>VLOOKUP(A91,BASE!$A:$B,2,0)</f>
        <v>TABLILLA F-08 MATE</v>
      </c>
      <c r="C91" s="66">
        <v>2.95</v>
      </c>
      <c r="D91" s="19">
        <f>IFERROR(VLOOKUP(A91,'TD mes'!A:C,3,0),0)</f>
        <v>2.8666666666666667</v>
      </c>
      <c r="E91" s="20">
        <f t="shared" si="1"/>
        <v>-8.3333333333333481E-2</v>
      </c>
    </row>
    <row r="92" spans="1:5" ht="15.75" hidden="1" x14ac:dyDescent="0.25">
      <c r="A92" s="65" t="s">
        <v>699</v>
      </c>
      <c r="B92" s="25" t="str">
        <f>VLOOKUP(A92,BASE!$A:$B,2,0)</f>
        <v>TABLILLA F-08 BRONCE</v>
      </c>
      <c r="C92" s="66">
        <v>0.18</v>
      </c>
      <c r="D92" s="19">
        <f>IFERROR(VLOOKUP(A92,'TD mes'!A:C,3,0),0)</f>
        <v>0.18333333333333332</v>
      </c>
      <c r="E92" s="20">
        <f t="shared" si="1"/>
        <v>3.333333333333327E-3</v>
      </c>
    </row>
    <row r="93" spans="1:5" ht="15.75" hidden="1" x14ac:dyDescent="0.25">
      <c r="A93" s="65" t="s">
        <v>597</v>
      </c>
      <c r="B93" s="25" t="str">
        <f>VLOOKUP(A93,BASE!$A:$B,2,0)</f>
        <v>TABLILLA F-08 NEGRA</v>
      </c>
      <c r="C93" s="66">
        <v>0.55000000000000004</v>
      </c>
      <c r="D93" s="19">
        <f>IFERROR(VLOOKUP(A93,'TD mes'!A:C,3,0),0)</f>
        <v>0.55000000000000004</v>
      </c>
      <c r="E93" s="20">
        <f t="shared" si="1"/>
        <v>0</v>
      </c>
    </row>
    <row r="94" spans="1:5" ht="15.75" hidden="1" x14ac:dyDescent="0.25">
      <c r="A94" s="65" t="s">
        <v>30</v>
      </c>
      <c r="B94" s="25" t="str">
        <f>VLOOKUP(A94,BASE!$A:$B,2,0)</f>
        <v>FALSA RETICULA 511 MATE</v>
      </c>
      <c r="C94" s="66">
        <v>0.73</v>
      </c>
      <c r="D94" s="19">
        <f>IFERROR(VLOOKUP(A94,'TD mes'!A:C,3,0),0)</f>
        <v>0.73333333333333328</v>
      </c>
      <c r="E94" s="20">
        <f t="shared" si="1"/>
        <v>3.3333333333332993E-3</v>
      </c>
    </row>
    <row r="95" spans="1:5" ht="15.75" hidden="1" x14ac:dyDescent="0.25">
      <c r="A95" s="65" t="s">
        <v>747</v>
      </c>
      <c r="B95" s="25" t="str">
        <f>VLOOKUP(A95,BASE!$A:$B,2,0)</f>
        <v>FALSA RETICULA 511 BLANCA</v>
      </c>
      <c r="C95" s="66">
        <v>1.02</v>
      </c>
      <c r="D95" s="19">
        <f>IFERROR(VLOOKUP(A95,'TD mes'!A:C,3,0),0)</f>
        <v>1.0166666666666666</v>
      </c>
      <c r="E95" s="20">
        <f t="shared" si="1"/>
        <v>-3.3333333333334103E-3</v>
      </c>
    </row>
    <row r="96" spans="1:5" ht="15.75" hidden="1" x14ac:dyDescent="0.25">
      <c r="A96" s="65" t="s">
        <v>617</v>
      </c>
      <c r="B96" s="25" t="str">
        <f>VLOOKUP(A96,BASE!$A:$B,2,0)</f>
        <v>FALSA RETICULA 511 BRONCE</v>
      </c>
      <c r="C96" s="66">
        <v>0.65</v>
      </c>
      <c r="D96" s="19">
        <f>IFERROR(VLOOKUP(A96,'TD mes'!A:C,3,0),0)</f>
        <v>0.65</v>
      </c>
      <c r="E96" s="20">
        <f t="shared" si="1"/>
        <v>0</v>
      </c>
    </row>
    <row r="97" spans="1:5" ht="15.75" hidden="1" x14ac:dyDescent="0.25">
      <c r="A97" s="65" t="s">
        <v>639</v>
      </c>
      <c r="B97" s="25" t="str">
        <f>VLOOKUP(A97,BASE!$A:$B,2,0)</f>
        <v>FALSA RETICULA 511 NEGRA</v>
      </c>
      <c r="C97" s="66">
        <v>1</v>
      </c>
      <c r="D97" s="19">
        <f>IFERROR(VLOOKUP(A97,'TD mes'!A:C,3,0),0)</f>
        <v>1</v>
      </c>
      <c r="E97" s="20">
        <f t="shared" si="1"/>
        <v>0</v>
      </c>
    </row>
    <row r="98" spans="1:5" ht="15.75" hidden="1" x14ac:dyDescent="0.25">
      <c r="A98" s="65" t="s">
        <v>121</v>
      </c>
      <c r="B98" s="25" t="str">
        <f>VLOOKUP(A98,BASE!$A:$B,2,0)</f>
        <v>744 HORIZONTAL INFERIOR 390 MATE</v>
      </c>
      <c r="C98" s="66">
        <v>2.4333339999999999</v>
      </c>
      <c r="D98" s="19">
        <f>IFERROR(VLOOKUP(A98,'TD mes'!A:C,3,0),0)</f>
        <v>2.3333333333333335</v>
      </c>
      <c r="E98" s="20">
        <f t="shared" si="1"/>
        <v>-0.1000006666666664</v>
      </c>
    </row>
    <row r="99" spans="1:5" ht="15.75" hidden="1" x14ac:dyDescent="0.25">
      <c r="A99" s="65" t="s">
        <v>695</v>
      </c>
      <c r="B99" s="25" t="str">
        <f>VLOOKUP(A99,BASE!$A:$B,2,0)</f>
        <v>8025 HORIZONTAL INFERIOR 157 MATE</v>
      </c>
      <c r="C99" s="66">
        <v>0.43333300000000002</v>
      </c>
      <c r="D99" s="19">
        <f>IFERROR(VLOOKUP(A99,'TD mes'!A:C,3,0),0)</f>
        <v>1</v>
      </c>
      <c r="E99" s="20">
        <f t="shared" si="1"/>
        <v>0.56666700000000003</v>
      </c>
    </row>
    <row r="100" spans="1:5" ht="15.75" hidden="1" x14ac:dyDescent="0.25">
      <c r="A100" s="65" t="s">
        <v>32</v>
      </c>
      <c r="B100" s="25" t="str">
        <f>VLOOKUP(A100,BASE!$A:$B,2,0)</f>
        <v>744 HORIZONTAL INFERIOR 390 GRIS PLATA</v>
      </c>
      <c r="C100" s="66">
        <v>0.15</v>
      </c>
      <c r="D100" s="19">
        <f>IFERROR(VLOOKUP(A100,'TD mes'!A:C,3,0),0)</f>
        <v>0.15</v>
      </c>
      <c r="E100" s="20">
        <f t="shared" si="1"/>
        <v>0</v>
      </c>
    </row>
    <row r="101" spans="1:5" ht="15.75" hidden="1" x14ac:dyDescent="0.25">
      <c r="A101" s="65" t="s">
        <v>390</v>
      </c>
      <c r="B101" s="25" t="str">
        <f>VLOOKUP(A101,BASE!$A:$B,2,0)</f>
        <v>744 HORIZONTAL INFERIOR 390 BLANCO</v>
      </c>
      <c r="C101" s="66">
        <v>0.71333299999999999</v>
      </c>
      <c r="D101" s="19">
        <f>IFERROR(VLOOKUP(A101,'TD mes'!A:C,3,0),0)</f>
        <v>0.71666666666666667</v>
      </c>
      <c r="E101" s="20">
        <f t="shared" si="1"/>
        <v>3.3336666666666792E-3</v>
      </c>
    </row>
    <row r="102" spans="1:5" ht="15.75" hidden="1" x14ac:dyDescent="0.25">
      <c r="A102" s="65" t="s">
        <v>394</v>
      </c>
      <c r="B102" s="25" t="str">
        <f>VLOOKUP(A102,BASE!$A:$B,2,0)</f>
        <v>8025 HORIZONTAL INFERIOR 157 BRONCE</v>
      </c>
      <c r="C102" s="66">
        <v>0.95</v>
      </c>
      <c r="D102" s="19">
        <f>IFERROR(VLOOKUP(A102,'TD mes'!A:C,3,0),0)</f>
        <v>0.95</v>
      </c>
      <c r="E102" s="20">
        <f t="shared" si="1"/>
        <v>0</v>
      </c>
    </row>
    <row r="103" spans="1:5" ht="15.75" hidden="1" x14ac:dyDescent="0.25">
      <c r="A103" s="65" t="s">
        <v>696</v>
      </c>
      <c r="B103" s="25" t="str">
        <f>VLOOKUP(A103,BASE!$A:$B,2,0)</f>
        <v>8025 HORIZONTAL INFERIOR 157 NEGRO</v>
      </c>
      <c r="C103" s="66">
        <v>10.503333</v>
      </c>
      <c r="D103" s="19">
        <f>IFERROR(VLOOKUP(A103,'TD mes'!A:C,3,0),0)</f>
        <v>10.466666666666667</v>
      </c>
      <c r="E103" s="20">
        <f t="shared" si="1"/>
        <v>-3.6666333333332801E-2</v>
      </c>
    </row>
    <row r="104" spans="1:5" ht="15.75" hidden="1" x14ac:dyDescent="0.25">
      <c r="A104" s="65" t="s">
        <v>697</v>
      </c>
      <c r="B104" s="25" t="str">
        <f>VLOOKUP(A104,BASE!$A:$B,2,0)</f>
        <v>744 HORIZONTAL INFERIOR 390 NEGRO</v>
      </c>
      <c r="C104" s="66">
        <v>1.367</v>
      </c>
      <c r="D104" s="19">
        <f>IFERROR(VLOOKUP(A104,'TD mes'!A:C,3,0),0)</f>
        <v>1</v>
      </c>
      <c r="E104" s="20">
        <f t="shared" si="1"/>
        <v>-0.36699999999999999</v>
      </c>
    </row>
    <row r="105" spans="1:5" ht="15.75" hidden="1" x14ac:dyDescent="0.25">
      <c r="A105" s="65" t="s">
        <v>149</v>
      </c>
      <c r="B105" s="25" t="str">
        <f>VLOOKUP(A105,BASE!$A:$B,2,0)</f>
        <v>5020 HORIZONTAL 148 MATE</v>
      </c>
      <c r="C105" s="66">
        <v>0.8</v>
      </c>
      <c r="D105" s="19">
        <f>IFERROR(VLOOKUP(A105,'TD mes'!A:C,3,0),0)</f>
        <v>0.11666666666666667</v>
      </c>
      <c r="E105" s="20">
        <f t="shared" si="1"/>
        <v>-0.68333333333333335</v>
      </c>
    </row>
    <row r="106" spans="1:5" ht="15.75" hidden="1" x14ac:dyDescent="0.25">
      <c r="A106" s="65" t="s">
        <v>397</v>
      </c>
      <c r="B106" s="25" t="str">
        <f>VLOOKUP(A106,BASE!$A:$B,2,0)</f>
        <v>7038 HORIZONTAL 703 MATE</v>
      </c>
      <c r="C106" s="66">
        <v>0.8</v>
      </c>
      <c r="D106" s="19">
        <f>IFERROR(VLOOKUP(A106,'TD mes'!A:C,3,0),0)</f>
        <v>0.8</v>
      </c>
      <c r="E106" s="20">
        <f t="shared" si="1"/>
        <v>0</v>
      </c>
    </row>
    <row r="107" spans="1:5" ht="15.75" hidden="1" x14ac:dyDescent="0.25">
      <c r="A107" s="65" t="s">
        <v>181</v>
      </c>
      <c r="B107" s="25" t="str">
        <f>VLOOKUP(A107,BASE!$A:$B,2,0)</f>
        <v>5020 HORIZONTAL 148 GRIS PLATA</v>
      </c>
      <c r="C107" s="66">
        <v>0.88333300000000003</v>
      </c>
      <c r="D107" s="19">
        <f>IFERROR(VLOOKUP(A107,'TD mes'!A:C,3,0),0)</f>
        <v>0.8833333333333333</v>
      </c>
      <c r="E107" s="20">
        <f t="shared" si="1"/>
        <v>3.3333333326890369E-7</v>
      </c>
    </row>
    <row r="108" spans="1:5" ht="15.75" hidden="1" x14ac:dyDescent="0.25">
      <c r="A108" s="65" t="s">
        <v>401</v>
      </c>
      <c r="B108" s="25" t="str">
        <f>VLOOKUP(A108,BASE!$A:$B,2,0)</f>
        <v>5020 HORIZONTAL 148 BLANCO</v>
      </c>
      <c r="C108" s="66">
        <v>0.08</v>
      </c>
      <c r="D108" s="19">
        <f>IFERROR(VLOOKUP(A108,'TD mes'!A:C,3,0),0)</f>
        <v>8.3333333333333329E-2</v>
      </c>
      <c r="E108" s="20">
        <f t="shared" si="1"/>
        <v>3.333333333333327E-3</v>
      </c>
    </row>
    <row r="109" spans="1:5" ht="15.75" hidden="1" x14ac:dyDescent="0.25">
      <c r="A109" s="65" t="s">
        <v>111</v>
      </c>
      <c r="B109" s="25" t="str">
        <f>VLOOKUP(A109,BASE!$A:$B,2,0)</f>
        <v>5020 HORIZONTAL 148 BRONCE</v>
      </c>
      <c r="C109" s="66">
        <v>0.599997</v>
      </c>
      <c r="D109" s="19">
        <f>IFERROR(VLOOKUP(A109,'TD mes'!A:C,3,0),0)</f>
        <v>0.6166666666666667</v>
      </c>
      <c r="E109" s="20">
        <f t="shared" si="1"/>
        <v>1.6669666666666694E-2</v>
      </c>
    </row>
    <row r="110" spans="1:5" ht="15.75" hidden="1" x14ac:dyDescent="0.25">
      <c r="A110" s="65" t="s">
        <v>50</v>
      </c>
      <c r="B110" s="25" t="str">
        <f>VLOOKUP(A110,BASE!$A:$B,2,0)</f>
        <v>7038 HORIZONTAL 703 NEGRO</v>
      </c>
      <c r="C110" s="66">
        <v>0.7</v>
      </c>
      <c r="D110" s="19">
        <f>IFERROR(VLOOKUP(A110,'TD mes'!A:C,3,0),0)</f>
        <v>0.70000000000000007</v>
      </c>
      <c r="E110" s="20">
        <f t="shared" si="1"/>
        <v>0</v>
      </c>
    </row>
    <row r="111" spans="1:5" ht="15.75" hidden="1" x14ac:dyDescent="0.25">
      <c r="A111" s="65" t="s">
        <v>144</v>
      </c>
      <c r="B111" s="25" t="str">
        <f>VLOOKUP(A111,BASE!$A:$B,2,0)</f>
        <v>5020 HORIZONTAL 148 NEGRO</v>
      </c>
      <c r="C111" s="66">
        <v>8.3334000000000005E-2</v>
      </c>
      <c r="D111" s="19">
        <f>IFERROR(VLOOKUP(A111,'TD mes'!A:C,3,0),0)</f>
        <v>0.13333333333333333</v>
      </c>
      <c r="E111" s="20">
        <f t="shared" si="1"/>
        <v>4.9999333333333326E-2</v>
      </c>
    </row>
    <row r="112" spans="1:5" ht="15.75" hidden="1" x14ac:dyDescent="0.25">
      <c r="A112" s="65" t="s">
        <v>126</v>
      </c>
      <c r="B112" s="25" t="str">
        <f>VLOOKUP(A112,BASE!$A:$B,2,0)</f>
        <v>8025 HORIZONTAL SUPERIOR 156 NEGRO</v>
      </c>
      <c r="C112" s="66">
        <v>10.303333</v>
      </c>
      <c r="D112" s="19">
        <f>IFERROR(VLOOKUP(A112,'TD mes'!A:C,3,0),0)</f>
        <v>10.266666666666667</v>
      </c>
      <c r="E112" s="20">
        <f t="shared" si="1"/>
        <v>-3.6666333333332801E-2</v>
      </c>
    </row>
    <row r="113" spans="1:5" ht="15.75" hidden="1" x14ac:dyDescent="0.25">
      <c r="A113" s="65" t="s">
        <v>113</v>
      </c>
      <c r="B113" s="25" t="str">
        <f>VLOOKUP(A113,BASE!$A:$B,2,0)</f>
        <v>744 HORIZONTAL SUPERIOR 389 MATE</v>
      </c>
      <c r="C113" s="66">
        <v>2.4866670000000002</v>
      </c>
      <c r="D113" s="19">
        <f>IFERROR(VLOOKUP(A113,'TD mes'!A:C,3,0),0)</f>
        <v>2.4833333333333334</v>
      </c>
      <c r="E113" s="20">
        <f t="shared" si="1"/>
        <v>-3.3336666666667902E-3</v>
      </c>
    </row>
    <row r="114" spans="1:5" ht="15.75" hidden="1" x14ac:dyDescent="0.25">
      <c r="A114" s="65" t="s">
        <v>31</v>
      </c>
      <c r="B114" s="25" t="str">
        <f>VLOOKUP(A114,BASE!$A:$B,2,0)</f>
        <v>744 HORIZONTAL SUPERIOR 389 GRIS PLATA</v>
      </c>
      <c r="C114" s="66">
        <v>0.42</v>
      </c>
      <c r="D114" s="19">
        <f>IFERROR(VLOOKUP(A114,'TD mes'!A:C,3,0),0)</f>
        <v>0.41666666666666663</v>
      </c>
      <c r="E114" s="20">
        <f t="shared" si="1"/>
        <v>-3.3333333333333548E-3</v>
      </c>
    </row>
    <row r="115" spans="1:5" ht="15.75" hidden="1" x14ac:dyDescent="0.25">
      <c r="A115" s="65" t="s">
        <v>847</v>
      </c>
      <c r="B115" s="25" t="str">
        <f>VLOOKUP(A115,BASE!$A:$B,2,0)</f>
        <v>744 HORIZONTAL SUPERIOR 389 CRUDO</v>
      </c>
      <c r="C115" s="66">
        <v>0.52</v>
      </c>
      <c r="D115" s="19">
        <f>IFERROR(VLOOKUP(A115,'TD mes'!A:C,3,0),0)</f>
        <v>0.51666666666666672</v>
      </c>
      <c r="E115" s="20">
        <f t="shared" si="1"/>
        <v>-3.3333333333332993E-3</v>
      </c>
    </row>
    <row r="116" spans="1:5" ht="15.75" hidden="1" x14ac:dyDescent="0.25">
      <c r="A116" s="65" t="s">
        <v>406</v>
      </c>
      <c r="B116" s="25" t="str">
        <f>VLOOKUP(A116,BASE!$A:$B,2,0)</f>
        <v>744 HORIZONTAL SUPERIOR 389 BLANCO</v>
      </c>
      <c r="C116" s="66">
        <v>0.38333299999999998</v>
      </c>
      <c r="D116" s="19">
        <f>IFERROR(VLOOKUP(A116,'TD mes'!A:C,3,0),0)</f>
        <v>0.38333333333333336</v>
      </c>
      <c r="E116" s="20">
        <f t="shared" si="1"/>
        <v>3.3333333337992599E-7</v>
      </c>
    </row>
    <row r="117" spans="1:5" ht="15.75" hidden="1" x14ac:dyDescent="0.25">
      <c r="A117" s="65" t="s">
        <v>410</v>
      </c>
      <c r="B117" s="25" t="str">
        <f>VLOOKUP(A117,BASE!$A:$B,2,0)</f>
        <v>8025 HORIZONTAL SUPERIOR 156 BRONCE</v>
      </c>
      <c r="C117" s="66">
        <v>0.61666699999999997</v>
      </c>
      <c r="D117" s="19">
        <f>IFERROR(VLOOKUP(A117,'TD mes'!A:C,3,0),0)</f>
        <v>0.6166666666666667</v>
      </c>
      <c r="E117" s="20">
        <f t="shared" si="1"/>
        <v>-3.3333333326890369E-7</v>
      </c>
    </row>
    <row r="118" spans="1:5" ht="15.75" hidden="1" x14ac:dyDescent="0.25">
      <c r="A118" s="65" t="s">
        <v>411</v>
      </c>
      <c r="B118" s="25" t="str">
        <f>VLOOKUP(A118,BASE!$A:$B,2,0)</f>
        <v>744 HORIZONTAL SUPERIOR 389 NEGRO</v>
      </c>
      <c r="C118" s="66">
        <v>1.92</v>
      </c>
      <c r="D118" s="19">
        <f>IFERROR(VLOOKUP(A118,'TD mes'!A:C,3,0),0)</f>
        <v>1.9166666666666665</v>
      </c>
      <c r="E118" s="20">
        <f t="shared" si="1"/>
        <v>-3.3333333333334103E-3</v>
      </c>
    </row>
    <row r="119" spans="1:5" ht="15.75" hidden="1" x14ac:dyDescent="0.25">
      <c r="A119" s="65" t="s">
        <v>413</v>
      </c>
      <c r="B119" s="25" t="str">
        <f>VLOOKUP(A119,BASE!$A:$B,2,0)</f>
        <v>8025 HORIZONTAL SUPERIOR 156 MATE</v>
      </c>
      <c r="C119" s="66">
        <v>0.43333300000000002</v>
      </c>
      <c r="D119" s="19">
        <f>IFERROR(VLOOKUP(A119,'TD mes'!A:C,3,0),0)</f>
        <v>1</v>
      </c>
      <c r="E119" s="20">
        <f t="shared" si="1"/>
        <v>0.56666700000000003</v>
      </c>
    </row>
    <row r="120" spans="1:5" ht="15.75" hidden="1" x14ac:dyDescent="0.25">
      <c r="A120" s="65" t="s">
        <v>61</v>
      </c>
      <c r="B120" s="25" t="str">
        <f>VLOOKUP(A120,BASE!$A:$B,2,0)</f>
        <v>3831 JAMBA 174 BRONCE</v>
      </c>
      <c r="C120" s="66">
        <v>1.28</v>
      </c>
      <c r="D120" s="19">
        <f>IFERROR(VLOOKUP(A120,'TD mes'!A:C,3,0),0)</f>
        <v>1.5833333333333335</v>
      </c>
      <c r="E120" s="20">
        <f t="shared" si="1"/>
        <v>0.30333333333333345</v>
      </c>
    </row>
    <row r="121" spans="1:5" ht="15.75" hidden="1" x14ac:dyDescent="0.25">
      <c r="A121" s="65" t="s">
        <v>76</v>
      </c>
      <c r="B121" s="25" t="str">
        <f>VLOOKUP(A121,BASE!$A:$B,2,0)</f>
        <v>5020 JAMBA 193 GRIS PLATA</v>
      </c>
      <c r="C121" s="66">
        <v>0.62</v>
      </c>
      <c r="D121" s="19">
        <f>IFERROR(VLOOKUP(A121,'TD mes'!A:C,3,0),0)</f>
        <v>0.6166666666666667</v>
      </c>
      <c r="E121" s="20">
        <f t="shared" si="1"/>
        <v>-3.3333333333332993E-3</v>
      </c>
    </row>
    <row r="122" spans="1:5" ht="15.75" hidden="1" x14ac:dyDescent="0.25">
      <c r="A122" s="65" t="s">
        <v>169</v>
      </c>
      <c r="B122" s="25" t="str">
        <f>VLOOKUP(A122,BASE!$A:$B,2,0)</f>
        <v>5020 JAMBA 193 MATE</v>
      </c>
      <c r="C122" s="66">
        <v>1.0166660000000001</v>
      </c>
      <c r="D122" s="19">
        <f>IFERROR(VLOOKUP(A122,'TD mes'!A:C,3,0),0)</f>
        <v>1.0666666666666667</v>
      </c>
      <c r="E122" s="20">
        <f t="shared" si="1"/>
        <v>5.0000666666666582E-2</v>
      </c>
    </row>
    <row r="123" spans="1:5" ht="15.75" hidden="1" x14ac:dyDescent="0.25">
      <c r="A123" s="65" t="s">
        <v>416</v>
      </c>
      <c r="B123" s="25" t="str">
        <f>VLOOKUP(A123,BASE!$A:$B,2,0)</f>
        <v>7038 JAMBA 702 MATE</v>
      </c>
      <c r="C123" s="66">
        <v>1.28</v>
      </c>
      <c r="D123" s="19">
        <f>IFERROR(VLOOKUP(A123,'TD mes'!A:C,3,0),0)</f>
        <v>1.25</v>
      </c>
      <c r="E123" s="20">
        <f t="shared" si="1"/>
        <v>-3.0000000000000027E-2</v>
      </c>
    </row>
    <row r="124" spans="1:5" ht="15.75" hidden="1" x14ac:dyDescent="0.25">
      <c r="A124" s="65" t="s">
        <v>47</v>
      </c>
      <c r="B124" s="25" t="str">
        <f>VLOOKUP(A124,BASE!$A:$B,2,0)</f>
        <v>8025 JAMBA 708 MATE</v>
      </c>
      <c r="C124" s="66">
        <v>1</v>
      </c>
      <c r="D124" s="19">
        <f>IFERROR(VLOOKUP(A124,'TD mes'!A:C,3,0),0)</f>
        <v>1</v>
      </c>
      <c r="E124" s="20">
        <f t="shared" si="1"/>
        <v>0</v>
      </c>
    </row>
    <row r="125" spans="1:5" ht="15.75" hidden="1" x14ac:dyDescent="0.25">
      <c r="A125" s="65" t="s">
        <v>43</v>
      </c>
      <c r="B125" s="25" t="str">
        <f>VLOOKUP(A125,BASE!$A:$B,2,0)</f>
        <v>744 JAMBA 393 MATE</v>
      </c>
      <c r="C125" s="66">
        <v>2.65</v>
      </c>
      <c r="D125" s="19">
        <f>IFERROR(VLOOKUP(A125,'TD mes'!A:C,3,0),0)</f>
        <v>2.1666666666666665</v>
      </c>
      <c r="E125" s="20">
        <f t="shared" si="1"/>
        <v>-0.48333333333333339</v>
      </c>
    </row>
    <row r="126" spans="1:5" ht="15.75" hidden="1" x14ac:dyDescent="0.25">
      <c r="A126" s="65" t="s">
        <v>774</v>
      </c>
      <c r="B126" s="25" t="str">
        <f>VLOOKUP(A126,BASE!$A:$B,2,0)</f>
        <v>744 JAMBA 1858 TRES RIELES MATE</v>
      </c>
      <c r="C126" s="66">
        <v>1</v>
      </c>
      <c r="D126" s="19">
        <f>IFERROR(VLOOKUP(A126,'TD mes'!A:C,3,0),0)</f>
        <v>1</v>
      </c>
      <c r="E126" s="20">
        <f t="shared" si="1"/>
        <v>0</v>
      </c>
    </row>
    <row r="127" spans="1:5" ht="15.75" hidden="1" x14ac:dyDescent="0.25">
      <c r="A127" s="65" t="s">
        <v>17</v>
      </c>
      <c r="B127" s="25" t="str">
        <f>VLOOKUP(A127,BASE!$A:$B,2,0)</f>
        <v>3831 JAMBA 174 GRIS PLATA</v>
      </c>
      <c r="C127" s="66">
        <v>0.1</v>
      </c>
      <c r="D127" s="19">
        <f>IFERROR(VLOOKUP(A127,'TD mes'!A:C,3,0),0)</f>
        <v>0.1</v>
      </c>
      <c r="E127" s="20">
        <f t="shared" si="1"/>
        <v>0</v>
      </c>
    </row>
    <row r="128" spans="1:5" ht="15.75" hidden="1" x14ac:dyDescent="0.25">
      <c r="A128" s="65" t="s">
        <v>421</v>
      </c>
      <c r="B128" s="25" t="str">
        <f>VLOOKUP(A128,BASE!$A:$B,2,0)</f>
        <v>8025 JAMBA 152 GRIS PLATA</v>
      </c>
      <c r="C128" s="66">
        <v>0.17</v>
      </c>
      <c r="D128" s="19">
        <f>IFERROR(VLOOKUP(A128,'TD mes'!A:C,3,0),0)</f>
        <v>0.16666666666666666</v>
      </c>
      <c r="E128" s="20">
        <f t="shared" si="1"/>
        <v>-3.3333333333333548E-3</v>
      </c>
    </row>
    <row r="129" spans="1:5" ht="15.75" hidden="1" x14ac:dyDescent="0.25">
      <c r="A129" s="65" t="s">
        <v>425</v>
      </c>
      <c r="B129" s="25" t="str">
        <f>VLOOKUP(A129,BASE!$A:$B,2,0)</f>
        <v>3831 JAMBA 174 CRUDO</v>
      </c>
      <c r="C129" s="66">
        <v>2.5</v>
      </c>
      <c r="D129" s="19">
        <f>IFERROR(VLOOKUP(A129,'TD mes'!A:C,3,0),0)</f>
        <v>2.5</v>
      </c>
      <c r="E129" s="20">
        <f t="shared" si="1"/>
        <v>0</v>
      </c>
    </row>
    <row r="130" spans="1:5" ht="15.75" hidden="1" x14ac:dyDescent="0.25">
      <c r="A130" s="65" t="s">
        <v>723</v>
      </c>
      <c r="B130" s="25" t="str">
        <f>VLOOKUP(A130,BASE!$A:$B,2,0)</f>
        <v>744 JAMBA 1858 TRES RIELES CRUDO</v>
      </c>
      <c r="C130" s="66">
        <v>1.05</v>
      </c>
      <c r="D130" s="19">
        <f>IFERROR(VLOOKUP(A130,'TD mes'!A:C,3,0),0)</f>
        <v>1.05</v>
      </c>
      <c r="E130" s="20">
        <f t="shared" ref="E130:E193" si="2">+D130-C130</f>
        <v>0</v>
      </c>
    </row>
    <row r="131" spans="1:5" ht="15.75" hidden="1" x14ac:dyDescent="0.25">
      <c r="A131" s="65" t="s">
        <v>739</v>
      </c>
      <c r="B131" s="25" t="str">
        <f>VLOOKUP(A131,BASE!$A:$B,2,0)</f>
        <v>744 JAMBA 393 CRUDO</v>
      </c>
      <c r="C131" s="66">
        <v>0.28000000000000003</v>
      </c>
      <c r="D131" s="19">
        <f>IFERROR(VLOOKUP(A131,'TD mes'!A:C,3,0),0)</f>
        <v>0.28333333333333333</v>
      </c>
      <c r="E131" s="20">
        <f t="shared" si="2"/>
        <v>3.3333333333332993E-3</v>
      </c>
    </row>
    <row r="132" spans="1:5" ht="15.75" hidden="1" x14ac:dyDescent="0.25">
      <c r="A132" s="65" t="s">
        <v>116</v>
      </c>
      <c r="B132" s="25" t="str">
        <f>VLOOKUP(A132,BASE!$A:$B,2,0)</f>
        <v>744 JAMBA 393 BLANCO</v>
      </c>
      <c r="C132" s="66">
        <v>0.16666700000000001</v>
      </c>
      <c r="D132" s="19">
        <f>IFERROR(VLOOKUP(A132,'TD mes'!A:C,3,0),0)</f>
        <v>0.13333333333333333</v>
      </c>
      <c r="E132" s="20">
        <f t="shared" si="2"/>
        <v>-3.3333666666666678E-2</v>
      </c>
    </row>
    <row r="133" spans="1:5" ht="15.75" hidden="1" x14ac:dyDescent="0.25">
      <c r="A133" s="65" t="s">
        <v>166</v>
      </c>
      <c r="B133" s="25" t="str">
        <f>VLOOKUP(A133,BASE!$A:$B,2,0)</f>
        <v>5020 JAMBA 193 BLANCO</v>
      </c>
      <c r="C133" s="66">
        <v>0.2</v>
      </c>
      <c r="D133" s="19">
        <f>IFERROR(VLOOKUP(A133,'TD mes'!A:C,3,0),0)</f>
        <v>0.2</v>
      </c>
      <c r="E133" s="20">
        <f t="shared" si="2"/>
        <v>0</v>
      </c>
    </row>
    <row r="134" spans="1:5" ht="15.75" hidden="1" x14ac:dyDescent="0.25">
      <c r="A134" s="65" t="s">
        <v>430</v>
      </c>
      <c r="B134" s="25" t="str">
        <f>VLOOKUP(A134,BASE!$A:$B,2,0)</f>
        <v>7038 JAMBA 702 BLANCO</v>
      </c>
      <c r="C134" s="66">
        <v>0.5</v>
      </c>
      <c r="D134" s="19">
        <f>IFERROR(VLOOKUP(A134,'TD mes'!A:C,3,0),0)</f>
        <v>0.5</v>
      </c>
      <c r="E134" s="20">
        <f t="shared" si="2"/>
        <v>0</v>
      </c>
    </row>
    <row r="135" spans="1:5" ht="15.75" hidden="1" x14ac:dyDescent="0.25">
      <c r="A135" s="65" t="s">
        <v>598</v>
      </c>
      <c r="B135" s="25" t="str">
        <f>VLOOKUP(A135,BASE!$A:$B,2,0)</f>
        <v>8025 JAMBA 152 BLANCO</v>
      </c>
      <c r="C135" s="66">
        <v>0.25</v>
      </c>
      <c r="D135" s="19">
        <f>IFERROR(VLOOKUP(A135,'TD mes'!A:C,3,0),0)</f>
        <v>0.33333333333333331</v>
      </c>
      <c r="E135" s="20">
        <f t="shared" si="2"/>
        <v>8.3333333333333315E-2</v>
      </c>
    </row>
    <row r="136" spans="1:5" ht="15.75" hidden="1" x14ac:dyDescent="0.25">
      <c r="A136" s="65" t="s">
        <v>167</v>
      </c>
      <c r="B136" s="25" t="str">
        <f>VLOOKUP(A136,BASE!$A:$B,2,0)</f>
        <v>3831 JAMBA 174 MATE</v>
      </c>
      <c r="C136" s="66">
        <v>2.0333329999999998</v>
      </c>
      <c r="D136" s="19">
        <f>IFERROR(VLOOKUP(A136,'TD mes'!A:C,3,0),0)</f>
        <v>2.0833333333333335</v>
      </c>
      <c r="E136" s="20">
        <f t="shared" si="2"/>
        <v>5.0000333333333646E-2</v>
      </c>
    </row>
    <row r="137" spans="1:5" ht="15.75" hidden="1" x14ac:dyDescent="0.25">
      <c r="A137" s="65" t="s">
        <v>112</v>
      </c>
      <c r="B137" s="25" t="str">
        <f>VLOOKUP(A137,BASE!$A:$B,2,0)</f>
        <v>5020 JAMBA 193 BRONCE</v>
      </c>
      <c r="C137" s="66">
        <v>0.54666700000000001</v>
      </c>
      <c r="D137" s="19">
        <f>IFERROR(VLOOKUP(A137,'TD mes'!A:C,3,0),0)</f>
        <v>0.6333333333333333</v>
      </c>
      <c r="E137" s="20">
        <f t="shared" si="2"/>
        <v>8.666633333333329E-2</v>
      </c>
    </row>
    <row r="138" spans="1:5" ht="15.75" hidden="1" x14ac:dyDescent="0.25">
      <c r="A138" s="65" t="s">
        <v>66</v>
      </c>
      <c r="B138" s="25" t="str">
        <f>VLOOKUP(A138,BASE!$A:$B,2,0)</f>
        <v>744 JAMBA 393 BRONCE</v>
      </c>
      <c r="C138" s="66">
        <v>0.67</v>
      </c>
      <c r="D138" s="19">
        <f>IFERROR(VLOOKUP(A138,'TD mes'!A:C,3,0),0)</f>
        <v>0.3</v>
      </c>
      <c r="E138" s="20">
        <f t="shared" si="2"/>
        <v>-0.37000000000000005</v>
      </c>
    </row>
    <row r="139" spans="1:5" ht="15.75" hidden="1" x14ac:dyDescent="0.25">
      <c r="A139" s="65" t="s">
        <v>436</v>
      </c>
      <c r="B139" s="25" t="str">
        <f>VLOOKUP(A139,BASE!$A:$B,2,0)</f>
        <v>8025 JAMBA 152 BRONCE</v>
      </c>
      <c r="C139" s="66">
        <v>0.98333300000000001</v>
      </c>
      <c r="D139" s="19">
        <f>IFERROR(VLOOKUP(A139,'TD mes'!A:C,3,0),0)</f>
        <v>0.98333333333333328</v>
      </c>
      <c r="E139" s="20">
        <f t="shared" si="2"/>
        <v>3.3333333326890369E-7</v>
      </c>
    </row>
    <row r="140" spans="1:5" ht="15.75" hidden="1" x14ac:dyDescent="0.25">
      <c r="A140" s="65" t="s">
        <v>438</v>
      </c>
      <c r="B140" s="25" t="str">
        <f>VLOOKUP(A140,BASE!$A:$B,2,0)</f>
        <v>8025 JAMBA 708 BRONCE</v>
      </c>
      <c r="C140" s="66">
        <v>1.25</v>
      </c>
      <c r="D140" s="19">
        <f>IFERROR(VLOOKUP(A140,'TD mes'!A:C,3,0),0)</f>
        <v>1.25</v>
      </c>
      <c r="E140" s="20">
        <f t="shared" si="2"/>
        <v>0</v>
      </c>
    </row>
    <row r="141" spans="1:5" ht="15.75" hidden="1" x14ac:dyDescent="0.25">
      <c r="A141" s="65" t="s">
        <v>440</v>
      </c>
      <c r="B141" s="25" t="str">
        <f>VLOOKUP(A141,BASE!$A:$B,2,0)</f>
        <v>744 JAMBA 393 NEGRO</v>
      </c>
      <c r="C141" s="66">
        <v>0.26700000000000002</v>
      </c>
      <c r="D141" s="19">
        <f>IFERROR(VLOOKUP(A141,'TD mes'!A:C,3,0),0)</f>
        <v>0.8666666666666667</v>
      </c>
      <c r="E141" s="20">
        <f t="shared" si="2"/>
        <v>0.59966666666666668</v>
      </c>
    </row>
    <row r="142" spans="1:5" ht="15.75" hidden="1" x14ac:dyDescent="0.25">
      <c r="A142" s="65" t="s">
        <v>441</v>
      </c>
      <c r="B142" s="25" t="str">
        <f>VLOOKUP(A142,BASE!$A:$B,2,0)</f>
        <v>7038 JAMBA 702 NEGRO</v>
      </c>
      <c r="C142" s="66">
        <v>1.33</v>
      </c>
      <c r="D142" s="19">
        <f>IFERROR(VLOOKUP(A142,'TD mes'!A:C,3,0),0)</f>
        <v>1.3333333333333333</v>
      </c>
      <c r="E142" s="20">
        <f t="shared" si="2"/>
        <v>3.3333333333331883E-3</v>
      </c>
    </row>
    <row r="143" spans="1:5" ht="15.75" hidden="1" x14ac:dyDescent="0.25">
      <c r="A143" s="65" t="s">
        <v>187</v>
      </c>
      <c r="B143" s="25" t="str">
        <f>VLOOKUP(A143,BASE!$A:$B,2,0)</f>
        <v>3831 JAMBA 174 NEGRO</v>
      </c>
      <c r="C143" s="66">
        <v>6.3033340000000004</v>
      </c>
      <c r="D143" s="19">
        <f>IFERROR(VLOOKUP(A143,'TD mes'!A:C,3,0),0)</f>
        <v>6.55</v>
      </c>
      <c r="E143" s="20">
        <f t="shared" si="2"/>
        <v>0.24666599999999939</v>
      </c>
    </row>
    <row r="144" spans="1:5" ht="15.75" hidden="1" x14ac:dyDescent="0.25">
      <c r="A144" s="65" t="s">
        <v>145</v>
      </c>
      <c r="B144" s="25" t="str">
        <f>VLOOKUP(A144,BASE!$A:$B,2,0)</f>
        <v>5020 JAMBA 193 NEGRO</v>
      </c>
      <c r="C144" s="66">
        <v>0.33333299999999999</v>
      </c>
      <c r="D144" s="19">
        <f>IFERROR(VLOOKUP(A144,'TD mes'!A:C,3,0),0)</f>
        <v>0.35</v>
      </c>
      <c r="E144" s="20">
        <f t="shared" si="2"/>
        <v>1.6666999999999987E-2</v>
      </c>
    </row>
    <row r="145" spans="1:5" ht="15.75" hidden="1" x14ac:dyDescent="0.25">
      <c r="A145" s="65" t="s">
        <v>954</v>
      </c>
      <c r="B145" s="25" t="str">
        <f>VLOOKUP(A145,BASE!$A:$B,2,0)</f>
        <v>744 JAMBA TRES RIELES 1858 NEGRO</v>
      </c>
      <c r="C145" s="66">
        <v>1.28</v>
      </c>
      <c r="D145" s="19">
        <f>IFERROR(VLOOKUP(A145,'TD mes'!A:C,3,0),0)</f>
        <v>1.2833333333333332</v>
      </c>
      <c r="E145" s="20">
        <f t="shared" si="2"/>
        <v>3.3333333333331883E-3</v>
      </c>
    </row>
    <row r="146" spans="1:5" ht="15.75" hidden="1" x14ac:dyDescent="0.25">
      <c r="A146" s="65" t="s">
        <v>444</v>
      </c>
      <c r="B146" s="25" t="str">
        <f>VLOOKUP(A146,BASE!$A:$B,2,0)</f>
        <v>8025 JAMBA 152 NEGRO</v>
      </c>
      <c r="C146" s="66">
        <v>14.22</v>
      </c>
      <c r="D146" s="19">
        <f>IFERROR(VLOOKUP(A146,'TD mes'!A:C,3,0),0)</f>
        <v>13.933333333333334</v>
      </c>
      <c r="E146" s="20">
        <f t="shared" si="2"/>
        <v>-0.28666666666666707</v>
      </c>
    </row>
    <row r="147" spans="1:5" ht="15.75" hidden="1" x14ac:dyDescent="0.25">
      <c r="A147" s="65" t="s">
        <v>446</v>
      </c>
      <c r="B147" s="25" t="str">
        <f>VLOOKUP(A147,BASE!$A:$B,2,0)</f>
        <v>8025 JAMBA 708 NEGRO</v>
      </c>
      <c r="C147" s="66">
        <v>0.22</v>
      </c>
      <c r="D147" s="19">
        <f>IFERROR(VLOOKUP(A147,'TD mes'!A:C,3,0),0)</f>
        <v>0.91666666666666663</v>
      </c>
      <c r="E147" s="20">
        <f t="shared" si="2"/>
        <v>0.69666666666666666</v>
      </c>
    </row>
    <row r="148" spans="1:5" ht="15.75" hidden="1" x14ac:dyDescent="0.25">
      <c r="A148" s="65" t="s">
        <v>449</v>
      </c>
      <c r="B148" s="25" t="str">
        <f>VLOOKUP(A148,BASE!$A:$B,2,0)</f>
        <v>8025 JAMBA 152 MATE</v>
      </c>
      <c r="C148" s="66">
        <v>2.533334</v>
      </c>
      <c r="D148" s="19">
        <f>IFERROR(VLOOKUP(A148,'TD mes'!A:C,3,0),0)</f>
        <v>2.5</v>
      </c>
      <c r="E148" s="20">
        <f t="shared" si="2"/>
        <v>-3.3333999999999975E-2</v>
      </c>
    </row>
    <row r="149" spans="1:5" ht="15.75" hidden="1" x14ac:dyDescent="0.25">
      <c r="A149" s="65" t="s">
        <v>95</v>
      </c>
      <c r="B149" s="25" t="str">
        <f>VLOOKUP(A149,BASE!$A:$B,2,0)</f>
        <v xml:space="preserve">PERFIL MOSQUITERO M-364 </v>
      </c>
      <c r="C149" s="66">
        <v>1.43</v>
      </c>
      <c r="D149" s="19">
        <f>IFERROR(VLOOKUP(A149,'TD mes'!A:C,3,0),0)</f>
        <v>1.4333333333333333</v>
      </c>
      <c r="E149" s="20">
        <f t="shared" si="2"/>
        <v>3.3333333333334103E-3</v>
      </c>
    </row>
    <row r="150" spans="1:5" ht="15.75" hidden="1" x14ac:dyDescent="0.25">
      <c r="A150" s="65" t="s">
        <v>39</v>
      </c>
      <c r="B150" s="25" t="str">
        <f>VLOOKUP(A150,BASE!$A:$B,2,0)</f>
        <v>PERFIL MOSQUITERO M-364 MATE</v>
      </c>
      <c r="C150" s="66">
        <v>0.47</v>
      </c>
      <c r="D150" s="19">
        <f>IFERROR(VLOOKUP(A150,'TD mes'!A:C,3,0),0)</f>
        <v>0.46666666666666667</v>
      </c>
      <c r="E150" s="20">
        <f t="shared" si="2"/>
        <v>-3.3333333333332993E-3</v>
      </c>
    </row>
    <row r="151" spans="1:5" ht="15.75" hidden="1" x14ac:dyDescent="0.25">
      <c r="A151" s="65" t="s">
        <v>175</v>
      </c>
      <c r="B151" s="25" t="str">
        <f>VLOOKUP(A151,BASE!$A:$B,2,0)</f>
        <v>3831 NAVE 176 MATE</v>
      </c>
      <c r="C151" s="66">
        <v>0.57999999999999996</v>
      </c>
      <c r="D151" s="19">
        <f>IFERROR(VLOOKUP(A151,'TD mes'!A:C,3,0),0)</f>
        <v>0.60000000000000009</v>
      </c>
      <c r="E151" s="20">
        <f t="shared" si="2"/>
        <v>2.0000000000000129E-2</v>
      </c>
    </row>
    <row r="152" spans="1:5" ht="15.75" hidden="1" x14ac:dyDescent="0.25">
      <c r="A152" s="65" t="s">
        <v>234</v>
      </c>
      <c r="B152" s="25" t="str">
        <f>VLOOKUP(A152,BASE!$A:$B,2,0)</f>
        <v>3831 NAVE 176 GRIS PLATA</v>
      </c>
      <c r="C152" s="66">
        <v>0.73</v>
      </c>
      <c r="D152" s="19">
        <f>IFERROR(VLOOKUP(A152,'TD mes'!A:C,3,0),0)</f>
        <v>0.73333333333333328</v>
      </c>
      <c r="E152" s="20">
        <f t="shared" si="2"/>
        <v>3.3333333333332993E-3</v>
      </c>
    </row>
    <row r="153" spans="1:5" ht="15.75" hidden="1" x14ac:dyDescent="0.25">
      <c r="A153" s="65" t="s">
        <v>453</v>
      </c>
      <c r="B153" s="25" t="str">
        <f>VLOOKUP(A153,BASE!$A:$B,2,0)</f>
        <v>3831 NAVE 176 BRONCE</v>
      </c>
      <c r="C153" s="66">
        <v>0.45</v>
      </c>
      <c r="D153" s="19">
        <f>IFERROR(VLOOKUP(A153,'TD mes'!A:C,3,0),0)</f>
        <v>0.45</v>
      </c>
      <c r="E153" s="20">
        <f t="shared" si="2"/>
        <v>0</v>
      </c>
    </row>
    <row r="154" spans="1:5" ht="15.75" hidden="1" x14ac:dyDescent="0.25">
      <c r="A154" s="65" t="s">
        <v>188</v>
      </c>
      <c r="B154" s="25" t="str">
        <f>VLOOKUP(A154,BASE!$A:$B,2,0)</f>
        <v>3831 NAVE 176 NEGRO</v>
      </c>
      <c r="C154" s="66">
        <v>1.316667</v>
      </c>
      <c r="D154" s="19">
        <f>IFERROR(VLOOKUP(A154,'TD mes'!A:C,3,0),0)</f>
        <v>1.4</v>
      </c>
      <c r="E154" s="20">
        <f t="shared" si="2"/>
        <v>8.3332999999999879E-2</v>
      </c>
    </row>
    <row r="155" spans="1:5" ht="15.75" hidden="1" x14ac:dyDescent="0.25">
      <c r="A155" s="65" t="s">
        <v>456</v>
      </c>
      <c r="B155" s="25" t="str">
        <f>VLOOKUP(A155,BASE!$A:$B,2,0)</f>
        <v>PLATINA P-18 CRUDO 1"</v>
      </c>
      <c r="C155" s="66">
        <v>3.333E-3</v>
      </c>
      <c r="D155" s="19">
        <f>IFERROR(VLOOKUP(A155,'TD mes'!A:C,3,0),0)</f>
        <v>0</v>
      </c>
      <c r="E155" s="20">
        <f t="shared" si="2"/>
        <v>-3.333E-3</v>
      </c>
    </row>
    <row r="156" spans="1:5" ht="15.75" hidden="1" x14ac:dyDescent="0.25">
      <c r="A156" s="65" t="s">
        <v>1228</v>
      </c>
      <c r="B156" s="25" t="str">
        <f>VLOOKUP(A156,BASE!$A:$B,2,0)</f>
        <v xml:space="preserve">PLATINA 1" P-18 NEGRO </v>
      </c>
      <c r="C156" s="66">
        <v>0.7</v>
      </c>
      <c r="D156" s="19">
        <f>IFERROR(VLOOKUP(A156,'TD mes'!A:C,3,0),0)</f>
        <v>0.7</v>
      </c>
      <c r="E156" s="20">
        <f t="shared" si="2"/>
        <v>0</v>
      </c>
    </row>
    <row r="157" spans="1:5" ht="15.75" hidden="1" x14ac:dyDescent="0.25">
      <c r="A157" s="65" t="s">
        <v>4</v>
      </c>
      <c r="B157" s="25" t="str">
        <f>VLOOKUP(A157,BASE!$A:$B,2,0)</f>
        <v>PERSIANA 315 GRIS PLATA</v>
      </c>
      <c r="C157" s="66">
        <v>0.16666700000000001</v>
      </c>
      <c r="D157" s="19">
        <f>IFERROR(VLOOKUP(A157,'TD mes'!A:C,3,0),0)</f>
        <v>0.16666666666666666</v>
      </c>
      <c r="E157" s="20">
        <f t="shared" si="2"/>
        <v>-3.3333333335217041E-7</v>
      </c>
    </row>
    <row r="158" spans="1:5" ht="15.75" hidden="1" x14ac:dyDescent="0.25">
      <c r="A158" s="65" t="s">
        <v>11</v>
      </c>
      <c r="B158" s="25" t="str">
        <f>VLOOKUP(A158,BASE!$A:$B,2,0)</f>
        <v>PERFIL F 463 NEGRO</v>
      </c>
      <c r="C158" s="66">
        <v>3.2829989999999998</v>
      </c>
      <c r="D158" s="19">
        <f>IFERROR(VLOOKUP(A158,'TD mes'!A:C,3,0),0)</f>
        <v>3.55</v>
      </c>
      <c r="E158" s="20">
        <f t="shared" si="2"/>
        <v>0.26700100000000004</v>
      </c>
    </row>
    <row r="159" spans="1:5" ht="15.75" hidden="1" x14ac:dyDescent="0.25">
      <c r="A159" s="65" t="s">
        <v>768</v>
      </c>
      <c r="B159" s="25" t="str">
        <f>VLOOKUP(A159,BASE!$A:$B,2,0)</f>
        <v>PERFIL U DE CABINA S-364 MATE</v>
      </c>
      <c r="C159" s="66">
        <v>0.5</v>
      </c>
      <c r="D159" s="19">
        <f>IFERROR(VLOOKUP(A159,'TD mes'!A:C,3,0),0)</f>
        <v>0.5</v>
      </c>
      <c r="E159" s="20">
        <f t="shared" si="2"/>
        <v>0</v>
      </c>
    </row>
    <row r="160" spans="1:5" ht="15.75" hidden="1" x14ac:dyDescent="0.25">
      <c r="A160" s="65" t="s">
        <v>629</v>
      </c>
      <c r="B160" s="25" t="str">
        <f>VLOOKUP(A160,BASE!$A:$B,2,0)</f>
        <v>PERSIANA 315 MATE</v>
      </c>
      <c r="C160" s="66">
        <v>2.8666659999999999</v>
      </c>
      <c r="D160" s="19">
        <f>IFERROR(VLOOKUP(A160,'TD mes'!A:C,3,0),0)</f>
        <v>3.0833333333333335</v>
      </c>
      <c r="E160" s="20">
        <f t="shared" si="2"/>
        <v>0.21666733333333354</v>
      </c>
    </row>
    <row r="161" spans="1:5" ht="15.75" hidden="1" x14ac:dyDescent="0.25">
      <c r="A161" s="65" t="s">
        <v>127</v>
      </c>
      <c r="B161" s="25" t="str">
        <f>VLOOKUP(A161,BASE!$A:$B,2,0)</f>
        <v>PERFIL F 463 MATE</v>
      </c>
      <c r="C161" s="66">
        <v>2.9116659999999999</v>
      </c>
      <c r="D161" s="19">
        <f>IFERROR(VLOOKUP(A161,'TD mes'!A:C,3,0),0)</f>
        <v>1.9833333333333332</v>
      </c>
      <c r="E161" s="20">
        <f t="shared" si="2"/>
        <v>-0.92833266666666669</v>
      </c>
    </row>
    <row r="162" spans="1:5" ht="15.75" hidden="1" x14ac:dyDescent="0.25">
      <c r="A162" s="65" t="s">
        <v>9</v>
      </c>
      <c r="B162" s="25" t="str">
        <f>VLOOKUP(A162,BASE!$A:$B,2,0)</f>
        <v>PERFIL F 463 CRUDO</v>
      </c>
      <c r="C162" s="66">
        <v>0.31333299999999997</v>
      </c>
      <c r="D162" s="19">
        <f>IFERROR(VLOOKUP(A162,'TD mes'!A:C,3,0),0)</f>
        <v>0.31666666666666665</v>
      </c>
      <c r="E162" s="20">
        <f t="shared" si="2"/>
        <v>3.3336666666666792E-3</v>
      </c>
    </row>
    <row r="163" spans="1:5" ht="15.75" hidden="1" x14ac:dyDescent="0.25">
      <c r="A163" s="65" t="s">
        <v>1009</v>
      </c>
      <c r="B163" s="25" t="str">
        <f>VLOOKUP(A163,BASE!$A:$B,2,0)</f>
        <v>PERSIANA 315 CRUDO</v>
      </c>
      <c r="C163" s="66">
        <v>1.22</v>
      </c>
      <c r="D163" s="19">
        <f>IFERROR(VLOOKUP(A163,'TD mes'!A:C,3,0),0)</f>
        <v>1.2166666666666668</v>
      </c>
      <c r="E163" s="20">
        <f t="shared" si="2"/>
        <v>-3.3333333333331883E-3</v>
      </c>
    </row>
    <row r="164" spans="1:5" ht="15.75" hidden="1" x14ac:dyDescent="0.25">
      <c r="A164" s="65" t="s">
        <v>459</v>
      </c>
      <c r="B164" s="25" t="str">
        <f>VLOOKUP(A164,BASE!$A:$B,2,0)</f>
        <v>PERSIANA 315 BLANCO</v>
      </c>
      <c r="C164" s="66">
        <v>0.56999999999999995</v>
      </c>
      <c r="D164" s="19">
        <f>IFERROR(VLOOKUP(A164,'TD mes'!A:C,3,0),0)</f>
        <v>0.56666666666666665</v>
      </c>
      <c r="E164" s="20">
        <f t="shared" si="2"/>
        <v>-3.3333333333332993E-3</v>
      </c>
    </row>
    <row r="165" spans="1:5" ht="15.75" hidden="1" x14ac:dyDescent="0.25">
      <c r="A165" s="65" t="s">
        <v>867</v>
      </c>
      <c r="B165" s="25" t="str">
        <f>VLOOKUP(A165,BASE!$A:$B,2,0)</f>
        <v>PERSIANA 315 BRONCE</v>
      </c>
      <c r="C165" s="66">
        <v>2.65</v>
      </c>
      <c r="D165" s="19">
        <f>IFERROR(VLOOKUP(A165,'TD mes'!A:C,3,0),0)</f>
        <v>2.65</v>
      </c>
      <c r="E165" s="20">
        <f t="shared" si="2"/>
        <v>0</v>
      </c>
    </row>
    <row r="166" spans="1:5" ht="15.75" hidden="1" x14ac:dyDescent="0.25">
      <c r="A166" s="65" t="s">
        <v>185</v>
      </c>
      <c r="B166" s="25" t="str">
        <f>VLOOKUP(A166,BASE!$A:$B,2,0)</f>
        <v>PERSIANA 315 NEGRO</v>
      </c>
      <c r="C166" s="66">
        <v>23</v>
      </c>
      <c r="D166" s="19">
        <f>IFERROR(VLOOKUP(A166,'TD mes'!A:C,3,0),0)</f>
        <v>23.35</v>
      </c>
      <c r="E166" s="20">
        <f t="shared" si="2"/>
        <v>0.35000000000000142</v>
      </c>
    </row>
    <row r="167" spans="1:5" ht="15.75" hidden="1" x14ac:dyDescent="0.25">
      <c r="A167" s="65" t="s">
        <v>461</v>
      </c>
      <c r="B167" s="25" t="str">
        <f>VLOOKUP(A167,BASE!$A:$B,2,0)</f>
        <v>PISAVIDRIO CURVO 635 MATE</v>
      </c>
      <c r="C167" s="66">
        <v>0.98333300000000001</v>
      </c>
      <c r="D167" s="19">
        <f>IFERROR(VLOOKUP(A167,'TD mes'!A:C,3,0),0)</f>
        <v>1.8666666666666667</v>
      </c>
      <c r="E167" s="20">
        <f t="shared" si="2"/>
        <v>0.88333366666666668</v>
      </c>
    </row>
    <row r="168" spans="1:5" ht="15.75" hidden="1" x14ac:dyDescent="0.25">
      <c r="A168" s="65" t="s">
        <v>78</v>
      </c>
      <c r="B168" s="25" t="str">
        <f>VLOOKUP(A168,BASE!$A:$B,2,0)</f>
        <v>3831 PISAVIDRIO 177 GRIS PLATA</v>
      </c>
      <c r="C168" s="66">
        <v>0.31666699999999998</v>
      </c>
      <c r="D168" s="19">
        <f>IFERROR(VLOOKUP(A168,'TD mes'!A:C,3,0),0)</f>
        <v>0.31666666666666665</v>
      </c>
      <c r="E168" s="20">
        <f t="shared" si="2"/>
        <v>-3.3333333332441484E-7</v>
      </c>
    </row>
    <row r="169" spans="1:5" ht="15.75" hidden="1" x14ac:dyDescent="0.25">
      <c r="A169" s="65" t="s">
        <v>463</v>
      </c>
      <c r="B169" s="25" t="str">
        <f>VLOOKUP(A169,BASE!$A:$B,2,0)</f>
        <v>3831 PISAVIDRIO 177 CRUDO</v>
      </c>
      <c r="C169" s="66">
        <v>1</v>
      </c>
      <c r="D169" s="19">
        <f>IFERROR(VLOOKUP(A169,'TD mes'!A:C,3,0),0)</f>
        <v>1</v>
      </c>
      <c r="E169" s="20">
        <f t="shared" si="2"/>
        <v>0</v>
      </c>
    </row>
    <row r="170" spans="1:5" ht="15.75" hidden="1" x14ac:dyDescent="0.25">
      <c r="A170" s="65" t="s">
        <v>131</v>
      </c>
      <c r="B170" s="25" t="str">
        <f>VLOOKUP(A170,BASE!$A:$B,2,0)</f>
        <v>3831 PISAVIDRIO 177 BLANCO</v>
      </c>
      <c r="C170" s="66">
        <v>5.38</v>
      </c>
      <c r="D170" s="19">
        <f>IFERROR(VLOOKUP(A170,'TD mes'!A:C,3,0),0)</f>
        <v>5.3833333333333346</v>
      </c>
      <c r="E170" s="20">
        <f t="shared" si="2"/>
        <v>3.3333333333347426E-3</v>
      </c>
    </row>
    <row r="171" spans="1:5" ht="15.75" hidden="1" x14ac:dyDescent="0.25">
      <c r="A171" s="65" t="s">
        <v>52</v>
      </c>
      <c r="B171" s="25" t="str">
        <f>VLOOKUP(A171,BASE!$A:$B,2,0)</f>
        <v>3831 PISAVIDRIO 435 NEGRO</v>
      </c>
      <c r="C171" s="66">
        <v>1</v>
      </c>
      <c r="D171" s="19">
        <f>IFERROR(VLOOKUP(A171,'TD mes'!A:C,3,0),0)</f>
        <v>0</v>
      </c>
      <c r="E171" s="20">
        <f t="shared" si="2"/>
        <v>-1</v>
      </c>
    </row>
    <row r="172" spans="1:5" ht="15.75" hidden="1" x14ac:dyDescent="0.25">
      <c r="A172" s="65" t="s">
        <v>168</v>
      </c>
      <c r="B172" s="25" t="str">
        <f>VLOOKUP(A172,BASE!$A:$B,2,0)</f>
        <v>3831 PISAVIDRIO 177 NEGRO</v>
      </c>
      <c r="C172" s="66">
        <v>33.43</v>
      </c>
      <c r="D172" s="19">
        <f>IFERROR(VLOOKUP(A172,'TD mes'!A:C,3,0),0)</f>
        <v>31.133333333333333</v>
      </c>
      <c r="E172" s="20">
        <f t="shared" si="2"/>
        <v>-2.2966666666666669</v>
      </c>
    </row>
    <row r="173" spans="1:5" ht="15.75" hidden="1" x14ac:dyDescent="0.25">
      <c r="A173" s="65" t="s">
        <v>174</v>
      </c>
      <c r="B173" s="25" t="str">
        <f>VLOOKUP(A173,BASE!$A:$B,2,0)</f>
        <v>3831 PISAVIDRIO 177 MATE</v>
      </c>
      <c r="C173" s="66">
        <v>2.783334</v>
      </c>
      <c r="D173" s="19">
        <f>IFERROR(VLOOKUP(A173,'TD mes'!A:C,3,0),0)</f>
        <v>3.1166666666666667</v>
      </c>
      <c r="E173" s="20">
        <f t="shared" si="2"/>
        <v>0.33333266666666672</v>
      </c>
    </row>
    <row r="174" spans="1:5" ht="15.75" hidden="1" x14ac:dyDescent="0.25">
      <c r="A174" s="65" t="s">
        <v>105</v>
      </c>
      <c r="B174" s="25" t="str">
        <f>VLOOKUP(A174,BASE!$A:$B,2,0)</f>
        <v>3831 PISAVIDRIO 177 BRONCE</v>
      </c>
      <c r="C174" s="66">
        <v>2.3332999999999999</v>
      </c>
      <c r="D174" s="19">
        <f>IFERROR(VLOOKUP(A174,'TD mes'!A:C,3,0),0)</f>
        <v>2.3333333333333335</v>
      </c>
      <c r="E174" s="20">
        <f t="shared" si="2"/>
        <v>3.3333333333551707E-5</v>
      </c>
    </row>
    <row r="175" spans="1:5" ht="15.75" hidden="1" x14ac:dyDescent="0.25">
      <c r="A175" s="65" t="s">
        <v>469</v>
      </c>
      <c r="B175" s="25" t="str">
        <f>VLOOKUP(A175,BASE!$A:$B,2,0)</f>
        <v>RIEL DUCASSE 1764 MATE</v>
      </c>
      <c r="C175" s="66">
        <v>1.2</v>
      </c>
      <c r="D175" s="19">
        <f>IFERROR(VLOOKUP(A175,'TD mes'!A:C,3,0),0)</f>
        <v>1.7833333333333332</v>
      </c>
      <c r="E175" s="20">
        <f t="shared" si="2"/>
        <v>0.58333333333333326</v>
      </c>
    </row>
    <row r="176" spans="1:5" ht="15.75" hidden="1" x14ac:dyDescent="0.25">
      <c r="A176" s="65" t="s">
        <v>738</v>
      </c>
      <c r="B176" s="25" t="str">
        <f>VLOOKUP(A176,BASE!$A:$B,2,0)</f>
        <v>RIEL DUCASSE 1764 NEGRO</v>
      </c>
      <c r="C176" s="66">
        <v>0.65</v>
      </c>
      <c r="D176" s="19">
        <f>IFERROR(VLOOKUP(A176,'TD mes'!A:C,3,0),0)</f>
        <v>0.63</v>
      </c>
      <c r="E176" s="20">
        <f t="shared" si="2"/>
        <v>-2.0000000000000018E-2</v>
      </c>
    </row>
    <row r="177" spans="1:5" ht="15.75" hidden="1" x14ac:dyDescent="0.25">
      <c r="A177" s="65" t="s">
        <v>135</v>
      </c>
      <c r="B177" s="25" t="str">
        <f>VLOOKUP(A177,BASE!$A:$B,2,0)</f>
        <v>RIEL OPTIGLASS SENCILLO SL-010 MATE</v>
      </c>
      <c r="C177" s="66">
        <v>0.816666</v>
      </c>
      <c r="D177" s="19">
        <f>IFERROR(VLOOKUP(A177,'TD mes'!A:C,3,0),0)</f>
        <v>0.6</v>
      </c>
      <c r="E177" s="20">
        <f t="shared" si="2"/>
        <v>-0.21666600000000003</v>
      </c>
    </row>
    <row r="178" spans="1:5" ht="15.75" hidden="1" x14ac:dyDescent="0.25">
      <c r="A178" s="65" t="s">
        <v>134</v>
      </c>
      <c r="B178" s="25" t="str">
        <f>VLOOKUP(A178,BASE!$A:$B,2,0)</f>
        <v>RIEL OPTIGLASS DOBLE SL-011 MATE</v>
      </c>
      <c r="C178" s="66">
        <v>1.3503339999999999</v>
      </c>
      <c r="D178" s="19">
        <f>IFERROR(VLOOKUP(A178,'TD mes'!A:C,3,0),0)</f>
        <v>1.3666666666666667</v>
      </c>
      <c r="E178" s="20">
        <f t="shared" si="2"/>
        <v>1.6332666666666773E-2</v>
      </c>
    </row>
    <row r="179" spans="1:5" ht="15.75" hidden="1" x14ac:dyDescent="0.25">
      <c r="A179" s="65" t="s">
        <v>764</v>
      </c>
      <c r="B179" s="25" t="str">
        <f>VLOOKUP(A179,BASE!$A:$B,2,0)</f>
        <v>RIEL OPTIGLASS SENCILLO SL-010 NEGRO</v>
      </c>
      <c r="C179" s="66">
        <v>0.93666700000000003</v>
      </c>
      <c r="D179" s="19">
        <f>IFERROR(VLOOKUP(A179,'TD mes'!A:C,3,0),0)</f>
        <v>0.32</v>
      </c>
      <c r="E179" s="20">
        <f t="shared" si="2"/>
        <v>-0.61666700000000008</v>
      </c>
    </row>
    <row r="180" spans="1:5" ht="15.75" hidden="1" x14ac:dyDescent="0.25">
      <c r="A180" s="65" t="s">
        <v>727</v>
      </c>
      <c r="B180" s="25" t="str">
        <f>VLOOKUP(A180,BASE!$A:$B,2,0)</f>
        <v>RIEL OPTIGLASS DOBLE SL-011 NEGRO</v>
      </c>
      <c r="C180" s="66">
        <v>1.02</v>
      </c>
      <c r="D180" s="19">
        <f>IFERROR(VLOOKUP(A180,'TD mes'!A:C,3,0),0)</f>
        <v>1.5833333333333335</v>
      </c>
      <c r="E180" s="20">
        <f t="shared" si="2"/>
        <v>0.56333333333333346</v>
      </c>
    </row>
    <row r="181" spans="1:5" ht="15.75" hidden="1" x14ac:dyDescent="0.25">
      <c r="A181" s="65" t="s">
        <v>91</v>
      </c>
      <c r="B181" s="25" t="str">
        <f>VLOOKUP(A181,BASE!$A:$B,2,0)</f>
        <v>SILLAR CABINA S-201 MATE</v>
      </c>
      <c r="C181" s="66">
        <v>1.7833330000000001</v>
      </c>
      <c r="D181" s="19">
        <f>IFERROR(VLOOKUP(A181,'TD mes'!A:C,3,0),0)</f>
        <v>1.4833333333333334</v>
      </c>
      <c r="E181" s="20">
        <f t="shared" si="2"/>
        <v>-0.29999966666666666</v>
      </c>
    </row>
    <row r="182" spans="1:5" ht="15.75" hidden="1" x14ac:dyDescent="0.25">
      <c r="A182" s="65" t="s">
        <v>124</v>
      </c>
      <c r="B182" s="25" t="str">
        <f>VLOOKUP(A182,BASE!$A:$B,2,0)</f>
        <v>3831 SILLAR CABEZAL 173 MATE</v>
      </c>
      <c r="C182" s="66">
        <v>1.0333319999999999</v>
      </c>
      <c r="D182" s="19">
        <f>IFERROR(VLOOKUP(A182,'TD mes'!A:C,3,0),0)</f>
        <v>1.3666666666666667</v>
      </c>
      <c r="E182" s="20">
        <f t="shared" si="2"/>
        <v>0.33333466666666678</v>
      </c>
    </row>
    <row r="183" spans="1:5" ht="15.75" hidden="1" x14ac:dyDescent="0.25">
      <c r="A183" s="65" t="s">
        <v>115</v>
      </c>
      <c r="B183" s="25" t="str">
        <f>VLOOKUP(A183,BASE!$A:$B,2,0)</f>
        <v>3831 ADAPTADOR 175 MATE</v>
      </c>
      <c r="C183" s="66">
        <v>3.1666660000000002</v>
      </c>
      <c r="D183" s="19">
        <f>IFERROR(VLOOKUP(A183,'TD mes'!A:C,3,0),0)</f>
        <v>1</v>
      </c>
      <c r="E183" s="20">
        <f t="shared" si="2"/>
        <v>-2.1666660000000002</v>
      </c>
    </row>
    <row r="184" spans="1:5" ht="15.75" hidden="1" x14ac:dyDescent="0.25">
      <c r="A184" s="65" t="s">
        <v>143</v>
      </c>
      <c r="B184" s="25" t="str">
        <f>VLOOKUP(A184,BASE!$A:$B,2,0)</f>
        <v>5020 SILLAR 194 MATE</v>
      </c>
      <c r="C184" s="66">
        <v>0.28000000000000003</v>
      </c>
      <c r="D184" s="19">
        <f>IFERROR(VLOOKUP(A184,'TD mes'!A:C,3,0),0)</f>
        <v>0</v>
      </c>
      <c r="E184" s="20">
        <f t="shared" si="2"/>
        <v>-0.28000000000000003</v>
      </c>
    </row>
    <row r="185" spans="1:5" ht="15.75" hidden="1" x14ac:dyDescent="0.25">
      <c r="A185" s="65" t="s">
        <v>607</v>
      </c>
      <c r="B185" s="25" t="str">
        <f>VLOOKUP(A185,BASE!$A:$B,2,0)</f>
        <v>8025 SILLAR 150 MATE</v>
      </c>
      <c r="C185" s="66">
        <v>1.2</v>
      </c>
      <c r="D185" s="19">
        <f>IFERROR(VLOOKUP(A185,'TD mes'!A:C,3,0),0)</f>
        <v>1.1166666666666667</v>
      </c>
      <c r="E185" s="20">
        <f t="shared" si="2"/>
        <v>-8.3333333333333259E-2</v>
      </c>
    </row>
    <row r="186" spans="1:5" ht="15.75" hidden="1" x14ac:dyDescent="0.25">
      <c r="A186" s="65" t="s">
        <v>773</v>
      </c>
      <c r="B186" s="25" t="str">
        <f>VLOOKUP(A186,BASE!$A:$B,2,0)</f>
        <v>744 SILLAR 1856 TRES RIELES MATE</v>
      </c>
      <c r="C186" s="66">
        <v>0.66666700000000001</v>
      </c>
      <c r="D186" s="19">
        <f>IFERROR(VLOOKUP(A186,'TD mes'!A:C,3,0),0)</f>
        <v>0.66666666666666663</v>
      </c>
      <c r="E186" s="20">
        <f t="shared" si="2"/>
        <v>-3.3333333337992599E-7</v>
      </c>
    </row>
    <row r="187" spans="1:5" ht="15.75" hidden="1" x14ac:dyDescent="0.25">
      <c r="A187" s="65" t="s">
        <v>173</v>
      </c>
      <c r="B187" s="25" t="str">
        <f>VLOOKUP(A187,BASE!$A:$B,2,0)</f>
        <v>8025 SILLAR 707 MATE</v>
      </c>
      <c r="C187" s="66">
        <v>1.117</v>
      </c>
      <c r="D187" s="19">
        <f>IFERROR(VLOOKUP(A187,'TD mes'!A:C,3,0),0)</f>
        <v>1.1166666666666667</v>
      </c>
      <c r="E187" s="20">
        <f t="shared" si="2"/>
        <v>-3.3333333333329662E-4</v>
      </c>
    </row>
    <row r="188" spans="1:5" ht="15.75" hidden="1" x14ac:dyDescent="0.25">
      <c r="A188" s="65" t="s">
        <v>24</v>
      </c>
      <c r="B188" s="25" t="str">
        <f>VLOOKUP(A188,BASE!$A:$B,2,0)</f>
        <v>SILLAR CABINA S-201 GRIS PLATA</v>
      </c>
      <c r="C188" s="66">
        <v>0.31666699999999998</v>
      </c>
      <c r="D188" s="19">
        <f>IFERROR(VLOOKUP(A188,'TD mes'!A:C,3,0),0)</f>
        <v>0.31666666666666665</v>
      </c>
      <c r="E188" s="20">
        <f t="shared" si="2"/>
        <v>-3.3333333332441484E-7</v>
      </c>
    </row>
    <row r="189" spans="1:5" ht="15.75" hidden="1" x14ac:dyDescent="0.25">
      <c r="A189" s="65" t="s">
        <v>75</v>
      </c>
      <c r="B189" s="25" t="str">
        <f>VLOOKUP(A189,BASE!$A:$B,2,0)</f>
        <v>5020 SILLAR 194 GRIS PLATA</v>
      </c>
      <c r="C189" s="66">
        <v>0.81666700000000003</v>
      </c>
      <c r="D189" s="19">
        <f>IFERROR(VLOOKUP(A189,'TD mes'!A:C,3,0),0)</f>
        <v>0.81666666666666665</v>
      </c>
      <c r="E189" s="20">
        <f t="shared" si="2"/>
        <v>-3.3333333337992599E-7</v>
      </c>
    </row>
    <row r="190" spans="1:5" ht="15.75" hidden="1" x14ac:dyDescent="0.25">
      <c r="A190" s="65" t="s">
        <v>475</v>
      </c>
      <c r="B190" s="25" t="str">
        <f>VLOOKUP(A190,BASE!$A:$B,2,0)</f>
        <v>8025 SILLAR 150 GRIS PLATA</v>
      </c>
      <c r="C190" s="66">
        <v>0.58299999999999996</v>
      </c>
      <c r="D190" s="19">
        <f>IFERROR(VLOOKUP(A190,'TD mes'!A:C,3,0),0)</f>
        <v>0.58333333333333337</v>
      </c>
      <c r="E190" s="20">
        <f t="shared" si="2"/>
        <v>3.3333333333340764E-4</v>
      </c>
    </row>
    <row r="191" spans="1:5" ht="15.75" hidden="1" x14ac:dyDescent="0.25">
      <c r="A191" s="65" t="s">
        <v>69</v>
      </c>
      <c r="B191" s="25" t="str">
        <f>VLOOKUP(A191,BASE!$A:$B,2,0)</f>
        <v>744 SILLAR 387 GRIS PLATA</v>
      </c>
      <c r="C191" s="66">
        <v>0.2</v>
      </c>
      <c r="D191" s="19">
        <f>IFERROR(VLOOKUP(A191,'TD mes'!A:C,3,0),0)</f>
        <v>0.2</v>
      </c>
      <c r="E191" s="20">
        <f t="shared" si="2"/>
        <v>0</v>
      </c>
    </row>
    <row r="192" spans="1:5" ht="15.75" hidden="1" x14ac:dyDescent="0.25">
      <c r="A192" s="65" t="s">
        <v>477</v>
      </c>
      <c r="B192" s="25" t="str">
        <f>VLOOKUP(A192,BASE!$A:$B,2,0)</f>
        <v>3831 SILLAR CABEZAL 173 CRUDO</v>
      </c>
      <c r="C192" s="66">
        <v>0.35</v>
      </c>
      <c r="D192" s="19">
        <f>IFERROR(VLOOKUP(A192,'TD mes'!A:C,3,0),0)</f>
        <v>0.35</v>
      </c>
      <c r="E192" s="20">
        <f t="shared" si="2"/>
        <v>0</v>
      </c>
    </row>
    <row r="193" spans="1:5" ht="15.75" hidden="1" x14ac:dyDescent="0.25">
      <c r="A193" s="65" t="s">
        <v>724</v>
      </c>
      <c r="B193" s="25" t="str">
        <f>VLOOKUP(A193,BASE!$A:$B,2,0)</f>
        <v>744 SILLAR 1856 TRES RIELES CRUDO</v>
      </c>
      <c r="C193" s="66">
        <v>0.51666599999999996</v>
      </c>
      <c r="D193" s="19">
        <f>IFERROR(VLOOKUP(A193,'TD mes'!A:C,3,0),0)</f>
        <v>0.51666666666666672</v>
      </c>
      <c r="E193" s="20">
        <f t="shared" si="2"/>
        <v>6.6666666675985198E-7</v>
      </c>
    </row>
    <row r="194" spans="1:5" ht="15.75" hidden="1" x14ac:dyDescent="0.25">
      <c r="A194" s="65" t="s">
        <v>480</v>
      </c>
      <c r="B194" s="25" t="str">
        <f>VLOOKUP(A194,BASE!$A:$B,2,0)</f>
        <v>8025 SILLAR 707 BLANCO</v>
      </c>
      <c r="C194" s="66">
        <v>0.57999999999999996</v>
      </c>
      <c r="D194" s="19">
        <f>IFERROR(VLOOKUP(A194,'TD mes'!A:C,3,0),0)</f>
        <v>0.58166666666666667</v>
      </c>
      <c r="E194" s="20">
        <f t="shared" ref="E194:E257" si="3">+D194-C194</f>
        <v>1.6666666666667052E-3</v>
      </c>
    </row>
    <row r="195" spans="1:5" ht="15.75" hidden="1" x14ac:dyDescent="0.25">
      <c r="A195" s="65" t="s">
        <v>481</v>
      </c>
      <c r="B195" s="25" t="str">
        <f>VLOOKUP(A195,BASE!$A:$B,2,0)</f>
        <v>7038 SILLAR 701 BLANCO</v>
      </c>
      <c r="C195" s="66">
        <v>0.48</v>
      </c>
      <c r="D195" s="19">
        <f>IFERROR(VLOOKUP(A195,'TD mes'!A:C,3,0),0)</f>
        <v>0.48333333333333334</v>
      </c>
      <c r="E195" s="20">
        <f t="shared" si="3"/>
        <v>3.3333333333333548E-3</v>
      </c>
    </row>
    <row r="196" spans="1:5" ht="15.75" hidden="1" x14ac:dyDescent="0.25">
      <c r="A196" s="65" t="s">
        <v>482</v>
      </c>
      <c r="B196" s="25" t="str">
        <f>VLOOKUP(A196,BASE!$A:$B,2,0)</f>
        <v>744 SILLAR 387 BLANCO</v>
      </c>
      <c r="C196" s="66">
        <v>0.55666700000000002</v>
      </c>
      <c r="D196" s="19">
        <f>IFERROR(VLOOKUP(A196,'TD mes'!A:C,3,0),0)</f>
        <v>0.57500000000000007</v>
      </c>
      <c r="E196" s="20">
        <f t="shared" si="3"/>
        <v>1.8333000000000044E-2</v>
      </c>
    </row>
    <row r="197" spans="1:5" ht="15.75" hidden="1" x14ac:dyDescent="0.25">
      <c r="A197" s="65" t="s">
        <v>484</v>
      </c>
      <c r="B197" s="25" t="str">
        <f>VLOOKUP(A197,BASE!$A:$B,2,0)</f>
        <v>3831 SILLAR CABEZAL 173 BLANCO</v>
      </c>
      <c r="C197" s="66">
        <v>2</v>
      </c>
      <c r="D197" s="19">
        <f>IFERROR(VLOOKUP(A197,'TD mes'!A:C,3,0),0)</f>
        <v>2</v>
      </c>
      <c r="E197" s="20">
        <f t="shared" si="3"/>
        <v>0</v>
      </c>
    </row>
    <row r="198" spans="1:5" ht="15.75" hidden="1" x14ac:dyDescent="0.25">
      <c r="A198" s="65" t="s">
        <v>184</v>
      </c>
      <c r="B198" s="25" t="str">
        <f>VLOOKUP(A198,BASE!$A:$B,2,0)</f>
        <v>5020 SILLAR 194 BLANCO</v>
      </c>
      <c r="C198" s="66">
        <v>0.75</v>
      </c>
      <c r="D198" s="19">
        <f>IFERROR(VLOOKUP(A198,'TD mes'!A:C,3,0),0)</f>
        <v>0.75</v>
      </c>
      <c r="E198" s="20">
        <f t="shared" si="3"/>
        <v>0</v>
      </c>
    </row>
    <row r="199" spans="1:5" ht="15.75" hidden="1" x14ac:dyDescent="0.25">
      <c r="A199" s="65" t="s">
        <v>101</v>
      </c>
      <c r="B199" s="25" t="str">
        <f>VLOOKUP(A199,BASE!$A:$B,2,0)</f>
        <v>SILLAR CABINA S-201 BRONCE</v>
      </c>
      <c r="C199" s="66">
        <v>0.59666600000000003</v>
      </c>
      <c r="D199" s="19">
        <f>IFERROR(VLOOKUP(A199,'TD mes'!A:C,3,0),0)</f>
        <v>0.6</v>
      </c>
      <c r="E199" s="20">
        <f t="shared" si="3"/>
        <v>3.3339999999999481E-3</v>
      </c>
    </row>
    <row r="200" spans="1:5" ht="15.75" hidden="1" x14ac:dyDescent="0.25">
      <c r="A200" s="65" t="s">
        <v>86</v>
      </c>
      <c r="B200" s="25" t="str">
        <f>VLOOKUP(A200,BASE!$A:$B,2,0)</f>
        <v>3831 ADAPTADOR 175 BRONCE</v>
      </c>
      <c r="C200" s="66">
        <v>4.5667</v>
      </c>
      <c r="D200" s="19">
        <f>IFERROR(VLOOKUP(A200,'TD mes'!A:C,3,0),0)</f>
        <v>4.2666666666666666</v>
      </c>
      <c r="E200" s="20">
        <f t="shared" si="3"/>
        <v>-0.30003333333333337</v>
      </c>
    </row>
    <row r="201" spans="1:5" ht="15.75" hidden="1" x14ac:dyDescent="0.25">
      <c r="A201" s="65" t="s">
        <v>736</v>
      </c>
      <c r="B201" s="25" t="str">
        <f>VLOOKUP(A201,BASE!$A:$B,2,0)</f>
        <v>7038 SILLAR 701 BRONCE</v>
      </c>
      <c r="C201" s="66">
        <v>1.2</v>
      </c>
      <c r="D201" s="19">
        <f>IFERROR(VLOOKUP(A201,'TD mes'!A:C,3,0),0)</f>
        <v>0.58333333333333337</v>
      </c>
      <c r="E201" s="20">
        <f t="shared" si="3"/>
        <v>-0.61666666666666659</v>
      </c>
    </row>
    <row r="202" spans="1:5" ht="15.75" hidden="1" x14ac:dyDescent="0.25">
      <c r="A202" s="65" t="s">
        <v>42</v>
      </c>
      <c r="B202" s="25" t="str">
        <f>VLOOKUP(A202,BASE!$A:$B,2,0)</f>
        <v>3831 SILLAR CABEZAL 173 BRONCE</v>
      </c>
      <c r="C202" s="66">
        <v>1.066667</v>
      </c>
      <c r="D202" s="19">
        <f>IFERROR(VLOOKUP(A202,'TD mes'!A:C,3,0),0)</f>
        <v>1.25</v>
      </c>
      <c r="E202" s="20">
        <f t="shared" si="3"/>
        <v>0.18333299999999997</v>
      </c>
    </row>
    <row r="203" spans="1:5" ht="15.75" hidden="1" x14ac:dyDescent="0.25">
      <c r="A203" s="65" t="s">
        <v>489</v>
      </c>
      <c r="B203" s="25" t="str">
        <f>VLOOKUP(A203,BASE!$A:$B,2,0)</f>
        <v>5020 SILLAR 194 BRONCE</v>
      </c>
      <c r="C203" s="66">
        <v>1.433333</v>
      </c>
      <c r="D203" s="19">
        <f>IFERROR(VLOOKUP(A203,'TD mes'!A:C,3,0),0)</f>
        <v>1.4500000000000002</v>
      </c>
      <c r="E203" s="20">
        <f t="shared" si="3"/>
        <v>1.6667000000000209E-2</v>
      </c>
    </row>
    <row r="204" spans="1:5" ht="15.75" hidden="1" x14ac:dyDescent="0.25">
      <c r="A204" s="65" t="s">
        <v>114</v>
      </c>
      <c r="B204" s="25" t="str">
        <f>VLOOKUP(A204,BASE!$A:$B,2,0)</f>
        <v>744 SILLAR 387 BRONCE</v>
      </c>
      <c r="C204" s="66">
        <v>0.28000000000000003</v>
      </c>
      <c r="D204" s="19">
        <f>IFERROR(VLOOKUP(A204,'TD mes'!A:C,3,0),0)</f>
        <v>0.28333333333333333</v>
      </c>
      <c r="E204" s="20">
        <f t="shared" si="3"/>
        <v>3.3333333333332993E-3</v>
      </c>
    </row>
    <row r="205" spans="1:5" ht="15.75" hidden="1" x14ac:dyDescent="0.25">
      <c r="A205" s="65" t="s">
        <v>492</v>
      </c>
      <c r="B205" s="25" t="str">
        <f>VLOOKUP(A205,BASE!$A:$B,2,0)</f>
        <v>8025 SILLAR 707 BRONCE</v>
      </c>
      <c r="C205" s="66">
        <v>1.2829999999999999</v>
      </c>
      <c r="D205" s="19">
        <f>IFERROR(VLOOKUP(A205,'TD mes'!A:C,3,0),0)</f>
        <v>1.2833333333333332</v>
      </c>
      <c r="E205" s="20">
        <f t="shared" si="3"/>
        <v>3.3333333333329662E-4</v>
      </c>
    </row>
    <row r="206" spans="1:5" ht="15.75" hidden="1" x14ac:dyDescent="0.25">
      <c r="A206" s="65" t="s">
        <v>493</v>
      </c>
      <c r="B206" s="25" t="str">
        <f>VLOOKUP(A206,BASE!$A:$B,2,0)</f>
        <v>8025 SILLAR 150 BRONCE</v>
      </c>
      <c r="C206" s="66">
        <v>1.066667</v>
      </c>
      <c r="D206" s="19">
        <f>IFERROR(VLOOKUP(A206,'TD mes'!A:C,3,0),0)</f>
        <v>1.0666666666666667</v>
      </c>
      <c r="E206" s="20">
        <f t="shared" si="3"/>
        <v>-3.3333333337992599E-7</v>
      </c>
    </row>
    <row r="207" spans="1:5" ht="15.75" hidden="1" x14ac:dyDescent="0.25">
      <c r="A207" s="65" t="s">
        <v>44</v>
      </c>
      <c r="B207" s="25" t="str">
        <f>VLOOKUP(A207,BASE!$A:$B,2,0)</f>
        <v>7038 SILLAR 701 NEGRO</v>
      </c>
      <c r="C207" s="66">
        <v>1.516667</v>
      </c>
      <c r="D207" s="19">
        <f>IFERROR(VLOOKUP(A207,'TD mes'!A:C,3,0),0)</f>
        <v>1.5166666666666666</v>
      </c>
      <c r="E207" s="20">
        <f t="shared" si="3"/>
        <v>-3.3333333337992599E-7</v>
      </c>
    </row>
    <row r="208" spans="1:5" ht="15.75" hidden="1" x14ac:dyDescent="0.25">
      <c r="A208" s="65" t="s">
        <v>160</v>
      </c>
      <c r="B208" s="25" t="str">
        <f>VLOOKUP(A208,BASE!$A:$B,2,0)</f>
        <v>5020 SILLAR 194 NEGRO</v>
      </c>
      <c r="C208" s="66">
        <v>0.63333300000000003</v>
      </c>
      <c r="D208" s="19">
        <f>IFERROR(VLOOKUP(A208,'TD mes'!A:C,3,0),0)</f>
        <v>0.6333333333333333</v>
      </c>
      <c r="E208" s="20">
        <f t="shared" si="3"/>
        <v>3.3333333326890369E-7</v>
      </c>
    </row>
    <row r="209" spans="1:5" ht="15.75" hidden="1" x14ac:dyDescent="0.25">
      <c r="A209" s="65" t="s">
        <v>973</v>
      </c>
      <c r="B209" s="25" t="str">
        <f>VLOOKUP(A209,BASE!$A:$B,2,0)</f>
        <v>SILLAR CABINA S-201 NEGRO</v>
      </c>
      <c r="C209" s="66">
        <v>1.45</v>
      </c>
      <c r="D209" s="19">
        <f>IFERROR(VLOOKUP(A209,'TD mes'!A:C,3,0),0)</f>
        <v>1.4500000000000002</v>
      </c>
      <c r="E209" s="20">
        <f t="shared" si="3"/>
        <v>0</v>
      </c>
    </row>
    <row r="210" spans="1:5" ht="15.75" hidden="1" x14ac:dyDescent="0.25">
      <c r="A210" s="65" t="s">
        <v>982</v>
      </c>
      <c r="B210" s="25" t="str">
        <f>VLOOKUP(A210,BASE!$A:$B,2,0)</f>
        <v>7038 SILLAR TRES RIELES 2190 NEGRO</v>
      </c>
      <c r="C210" s="66">
        <v>0.43</v>
      </c>
      <c r="D210" s="19">
        <f>IFERROR(VLOOKUP(A210,'TD mes'!A:C,3,0),0)</f>
        <v>0.43333333333333335</v>
      </c>
      <c r="E210" s="20">
        <f t="shared" si="3"/>
        <v>3.3333333333333548E-3</v>
      </c>
    </row>
    <row r="211" spans="1:5" ht="15.75" hidden="1" x14ac:dyDescent="0.25">
      <c r="A211" s="65" t="s">
        <v>123</v>
      </c>
      <c r="B211" s="25" t="str">
        <f>VLOOKUP(A211,BASE!$A:$B,2,0)</f>
        <v>3831 SILLAR CABEZAL 173 NEGRO</v>
      </c>
      <c r="C211" s="66">
        <v>36.083333000000003</v>
      </c>
      <c r="D211" s="19">
        <f>IFERROR(VLOOKUP(A211,'TD mes'!A:C,3,0),0)</f>
        <v>36.25</v>
      </c>
      <c r="E211" s="20">
        <f t="shared" si="3"/>
        <v>0.16666699999999679</v>
      </c>
    </row>
    <row r="212" spans="1:5" ht="15.75" hidden="1" x14ac:dyDescent="0.25">
      <c r="A212" s="65" t="s">
        <v>502</v>
      </c>
      <c r="B212" s="25" t="str">
        <f>VLOOKUP(A212,BASE!$A:$B,2,0)</f>
        <v>8025 SILLAR 150 NEGRO</v>
      </c>
      <c r="C212" s="66">
        <v>12.83</v>
      </c>
      <c r="D212" s="19">
        <f>IFERROR(VLOOKUP(A212,'TD mes'!A:C,3,0),0)</f>
        <v>11.3</v>
      </c>
      <c r="E212" s="20">
        <f t="shared" si="3"/>
        <v>-1.5299999999999994</v>
      </c>
    </row>
    <row r="213" spans="1:5" ht="15.75" hidden="1" x14ac:dyDescent="0.25">
      <c r="A213" s="65" t="s">
        <v>139</v>
      </c>
      <c r="B213" s="25" t="str">
        <f>VLOOKUP(A213,BASE!$A:$B,2,0)</f>
        <v>8025 SILLAR 707 NEGRO</v>
      </c>
      <c r="C213" s="66">
        <v>2.72</v>
      </c>
      <c r="D213" s="19">
        <f>IFERROR(VLOOKUP(A213,'TD mes'!A:C,3,0),0)</f>
        <v>3.3666666666666671</v>
      </c>
      <c r="E213" s="20">
        <f t="shared" si="3"/>
        <v>0.64666666666666694</v>
      </c>
    </row>
    <row r="214" spans="1:5" ht="15.75" hidden="1" x14ac:dyDescent="0.25">
      <c r="A214" s="65" t="s">
        <v>26</v>
      </c>
      <c r="B214" s="25" t="str">
        <f>VLOOKUP(A214,BASE!$A:$B,2,0)</f>
        <v>744 SILLAR 387 MATE</v>
      </c>
      <c r="C214" s="66">
        <v>2.9133330000000002</v>
      </c>
      <c r="D214" s="19">
        <f>IFERROR(VLOOKUP(A214,'TD mes'!A:C,3,0),0)</f>
        <v>2.6500000000000004</v>
      </c>
      <c r="E214" s="20">
        <f t="shared" si="3"/>
        <v>-0.26333299999999982</v>
      </c>
    </row>
    <row r="215" spans="1:5" ht="15.75" hidden="1" x14ac:dyDescent="0.25">
      <c r="A215" s="65" t="s">
        <v>646</v>
      </c>
      <c r="B215" s="25" t="str">
        <f>VLOOKUP(A215,BASE!$A:$B,2,0)</f>
        <v>5020 SILLAR ALFAJIA 581 BRONCE</v>
      </c>
      <c r="C215" s="66">
        <v>0.18</v>
      </c>
      <c r="D215" s="19">
        <f>IFERROR(VLOOKUP(A215,'TD mes'!A:C,3,0),0)</f>
        <v>0.18333333333333332</v>
      </c>
      <c r="E215" s="20">
        <f t="shared" si="3"/>
        <v>3.333333333333327E-3</v>
      </c>
    </row>
    <row r="216" spans="1:5" ht="15.75" hidden="1" x14ac:dyDescent="0.25">
      <c r="A216" s="65" t="s">
        <v>96</v>
      </c>
      <c r="B216" s="25" t="str">
        <f>VLOOKUP(A216,BASE!$A:$B,2,0)</f>
        <v>TAPALUZ PT02 MATE</v>
      </c>
      <c r="C216" s="66">
        <v>1</v>
      </c>
      <c r="D216" s="19">
        <f>IFERROR(VLOOKUP(A216,'TD mes'!A:C,3,0),0)</f>
        <v>1</v>
      </c>
      <c r="E216" s="20">
        <f t="shared" si="3"/>
        <v>0</v>
      </c>
    </row>
    <row r="217" spans="1:5" ht="15.75" hidden="1" x14ac:dyDescent="0.25">
      <c r="A217" s="65" t="s">
        <v>138</v>
      </c>
      <c r="B217" s="25" t="str">
        <f>VLOOKUP(A217,BASE!$A:$B,2,0)</f>
        <v>TAPALUZ PT02 NEGRO</v>
      </c>
      <c r="C217" s="66">
        <v>0.65</v>
      </c>
      <c r="D217" s="19">
        <f>IFERROR(VLOOKUP(A217,'TD mes'!A:C,3,0),0)</f>
        <v>1.3166666666666667</v>
      </c>
      <c r="E217" s="20">
        <f t="shared" si="3"/>
        <v>0.66666666666666663</v>
      </c>
    </row>
    <row r="218" spans="1:5" ht="15.75" hidden="1" x14ac:dyDescent="0.25">
      <c r="A218" s="65" t="s">
        <v>509</v>
      </c>
      <c r="B218" s="25" t="str">
        <f>VLOOKUP(A218,BASE!$A:$B,2,0)</f>
        <v>TAPALUZ PT08 GRIS PLATA</v>
      </c>
      <c r="C218" s="66">
        <v>2</v>
      </c>
      <c r="D218" s="19">
        <f>IFERROR(VLOOKUP(A218,'TD mes'!A:C,3,0),0)</f>
        <v>2</v>
      </c>
      <c r="E218" s="20">
        <f t="shared" si="3"/>
        <v>0</v>
      </c>
    </row>
    <row r="219" spans="1:5" ht="15.75" hidden="1" x14ac:dyDescent="0.25">
      <c r="A219" s="65" t="s">
        <v>107</v>
      </c>
      <c r="B219" s="25" t="str">
        <f>VLOOKUP(A219,BASE!$A:$B,2,0)</f>
        <v>5020 TRASLAPE REFORZADO 462 MATE</v>
      </c>
      <c r="C219" s="66">
        <v>0.19</v>
      </c>
      <c r="D219" s="19">
        <f>IFERROR(VLOOKUP(A219,'TD mes'!A:C,3,0),0)</f>
        <v>0.19166666666666668</v>
      </c>
      <c r="E219" s="20">
        <f t="shared" si="3"/>
        <v>1.6666666666666774E-3</v>
      </c>
    </row>
    <row r="220" spans="1:5" ht="15.75" hidden="1" x14ac:dyDescent="0.25">
      <c r="A220" s="65" t="s">
        <v>674</v>
      </c>
      <c r="B220" s="25" t="str">
        <f>VLOOKUP(A220,BASE!$A:$B,2,0)</f>
        <v>5020 TRASLAPE REFORZADO 462 GRIS PLATA</v>
      </c>
      <c r="C220" s="66">
        <v>3.333E-3</v>
      </c>
      <c r="D220" s="19">
        <f>IFERROR(VLOOKUP(A220,'TD mes'!A:C,3,0),0)</f>
        <v>0</v>
      </c>
      <c r="E220" s="20">
        <f t="shared" si="3"/>
        <v>-3.333E-3</v>
      </c>
    </row>
    <row r="221" spans="1:5" ht="15.75" hidden="1" x14ac:dyDescent="0.25">
      <c r="A221" s="65" t="s">
        <v>104</v>
      </c>
      <c r="B221" s="25" t="str">
        <f>VLOOKUP(A221,BASE!$A:$B,2,0)</f>
        <v>5020 TRASLAPE REFORZADO 462 BLANCO</v>
      </c>
      <c r="C221" s="66">
        <v>0.55000000000000004</v>
      </c>
      <c r="D221" s="19">
        <f>IFERROR(VLOOKUP(A221,'TD mes'!A:C,3,0),0)</f>
        <v>0.55000000000000004</v>
      </c>
      <c r="E221" s="20">
        <f t="shared" si="3"/>
        <v>0</v>
      </c>
    </row>
    <row r="222" spans="1:5" ht="15.75" hidden="1" x14ac:dyDescent="0.25">
      <c r="A222" s="65" t="s">
        <v>512</v>
      </c>
      <c r="B222" s="25" t="str">
        <f>VLOOKUP(A222,BASE!$A:$B,2,0)</f>
        <v>5020 TRASLAPE REFORZADO 462 BRONCE</v>
      </c>
      <c r="C222" s="66">
        <v>0.26666000000000001</v>
      </c>
      <c r="D222" s="19">
        <f>IFERROR(VLOOKUP(A222,'TD mes'!A:C,3,0),0)</f>
        <v>0.26666666666666666</v>
      </c>
      <c r="E222" s="20">
        <f t="shared" si="3"/>
        <v>6.6666666666548302E-6</v>
      </c>
    </row>
    <row r="223" spans="1:5" ht="15.75" hidden="1" x14ac:dyDescent="0.25">
      <c r="A223" s="65" t="s">
        <v>515</v>
      </c>
      <c r="B223" s="25" t="str">
        <f>VLOOKUP(A223,BASE!$A:$B,2,0)</f>
        <v>5020 TRASLAPE 192 BRONCE</v>
      </c>
      <c r="C223" s="66">
        <v>1.8</v>
      </c>
      <c r="D223" s="19">
        <f>IFERROR(VLOOKUP(A223,'TD mes'!A:C,3,0),0)</f>
        <v>1.8666666666666667</v>
      </c>
      <c r="E223" s="20">
        <f t="shared" si="3"/>
        <v>6.6666666666666652E-2</v>
      </c>
    </row>
    <row r="224" spans="1:5" ht="15.75" hidden="1" x14ac:dyDescent="0.25">
      <c r="A224" s="65" t="s">
        <v>141</v>
      </c>
      <c r="B224" s="25" t="str">
        <f>VLOOKUP(A224,BASE!$A:$B,2,0)</f>
        <v>5020 TRASLAPE 192 MATE</v>
      </c>
      <c r="C224" s="66">
        <v>0.96333299999999999</v>
      </c>
      <c r="D224" s="19">
        <f>IFERROR(VLOOKUP(A224,'TD mes'!A:C,3,0),0)</f>
        <v>0.83333333333333337</v>
      </c>
      <c r="E224" s="20">
        <f t="shared" si="3"/>
        <v>-0.12999966666666662</v>
      </c>
    </row>
    <row r="225" spans="1:5" ht="15.75" hidden="1" x14ac:dyDescent="0.25">
      <c r="A225" s="65" t="s">
        <v>518</v>
      </c>
      <c r="B225" s="25" t="str">
        <f>VLOOKUP(A225,BASE!$A:$B,2,0)</f>
        <v>7038 TRASLAPE 704 MATE</v>
      </c>
      <c r="C225" s="66">
        <v>0.49666700000000003</v>
      </c>
      <c r="D225" s="19">
        <f>IFERROR(VLOOKUP(A225,'TD mes'!A:C,3,0),0)</f>
        <v>0.5</v>
      </c>
      <c r="E225" s="20">
        <f t="shared" si="3"/>
        <v>3.3329999999999749E-3</v>
      </c>
    </row>
    <row r="226" spans="1:5" ht="15.75" hidden="1" x14ac:dyDescent="0.25">
      <c r="A226" s="65" t="s">
        <v>110</v>
      </c>
      <c r="B226" s="25" t="str">
        <f>VLOOKUP(A226,BASE!$A:$B,2,0)</f>
        <v>744 TRASLAPE 388 MATE</v>
      </c>
      <c r="C226" s="66">
        <v>3.2666659999999998</v>
      </c>
      <c r="D226" s="19">
        <f>IFERROR(VLOOKUP(A226,'TD mes'!A:C,3,0),0)</f>
        <v>3.3666666666666667</v>
      </c>
      <c r="E226" s="20">
        <f t="shared" si="3"/>
        <v>0.10000066666666685</v>
      </c>
    </row>
    <row r="227" spans="1:5" ht="15.75" hidden="1" x14ac:dyDescent="0.25">
      <c r="A227" s="65" t="s">
        <v>523</v>
      </c>
      <c r="B227" s="25" t="str">
        <f>VLOOKUP(A227,BASE!$A:$B,2,0)</f>
        <v>5020 TRASLAPE 192 GRIS PLATA</v>
      </c>
      <c r="C227" s="66">
        <v>0.61666699999999997</v>
      </c>
      <c r="D227" s="19">
        <f>IFERROR(VLOOKUP(A227,'TD mes'!A:C,3,0),0)</f>
        <v>0.6166666666666667</v>
      </c>
      <c r="E227" s="20">
        <f t="shared" si="3"/>
        <v>-3.3333333326890369E-7</v>
      </c>
    </row>
    <row r="228" spans="1:5" ht="15.75" hidden="1" x14ac:dyDescent="0.25">
      <c r="A228" s="65" t="s">
        <v>526</v>
      </c>
      <c r="B228" s="25" t="str">
        <f>VLOOKUP(A228,BASE!$A:$B,2,0)</f>
        <v>8025 TRASLAPE 190 GRIS PLATA</v>
      </c>
      <c r="C228" s="66">
        <v>0.32</v>
      </c>
      <c r="D228" s="19">
        <f>IFERROR(VLOOKUP(A228,'TD mes'!A:C,3,0),0)</f>
        <v>0.31666666666666665</v>
      </c>
      <c r="E228" s="20">
        <f t="shared" si="3"/>
        <v>-3.3333333333333548E-3</v>
      </c>
    </row>
    <row r="229" spans="1:5" ht="15.75" hidden="1" x14ac:dyDescent="0.25">
      <c r="A229" s="65" t="s">
        <v>889</v>
      </c>
      <c r="B229" s="25" t="str">
        <f>VLOOKUP(A229,BASE!$A:$B,2,0)</f>
        <v>744 TRASLAPE 388 CRUDO</v>
      </c>
      <c r="C229" s="66">
        <v>0.32</v>
      </c>
      <c r="D229" s="19">
        <f>IFERROR(VLOOKUP(A229,'TD mes'!A:C,3,0),0)</f>
        <v>0.31666666666666665</v>
      </c>
      <c r="E229" s="20">
        <f t="shared" si="3"/>
        <v>-3.3333333333333548E-3</v>
      </c>
    </row>
    <row r="230" spans="1:5" ht="15.75" hidden="1" x14ac:dyDescent="0.25">
      <c r="A230" s="65" t="s">
        <v>529</v>
      </c>
      <c r="B230" s="25" t="str">
        <f>VLOOKUP(A230,BASE!$A:$B,2,0)</f>
        <v>5020 TRASLAPE 192 BLANCO</v>
      </c>
      <c r="C230" s="66">
        <v>0.2</v>
      </c>
      <c r="D230" s="19">
        <f>IFERROR(VLOOKUP(A230,'TD mes'!A:C,3,0),0)</f>
        <v>0.2</v>
      </c>
      <c r="E230" s="20">
        <f t="shared" si="3"/>
        <v>0</v>
      </c>
    </row>
    <row r="231" spans="1:5" ht="15.75" hidden="1" x14ac:dyDescent="0.25">
      <c r="A231" s="65" t="s">
        <v>117</v>
      </c>
      <c r="B231" s="25" t="str">
        <f>VLOOKUP(A231,BASE!$A:$B,2,0)</f>
        <v>744 TRASLAPE 388 BLANCO</v>
      </c>
      <c r="C231" s="66">
        <v>0.73666699999999996</v>
      </c>
      <c r="D231" s="19">
        <f>IFERROR(VLOOKUP(A231,'TD mes'!A:C,3,0),0)</f>
        <v>0.71666666666666667</v>
      </c>
      <c r="E231" s="20">
        <f t="shared" si="3"/>
        <v>-2.0000333333333287E-2</v>
      </c>
    </row>
    <row r="232" spans="1:5" ht="15.75" hidden="1" x14ac:dyDescent="0.25">
      <c r="A232" s="65" t="s">
        <v>532</v>
      </c>
      <c r="B232" s="25" t="str">
        <f>VLOOKUP(A232,BASE!$A:$B,2,0)</f>
        <v>8025 TRASLAPE 190 BLANCO</v>
      </c>
      <c r="C232" s="66">
        <v>0.25</v>
      </c>
      <c r="D232" s="19">
        <f>IFERROR(VLOOKUP(A232,'TD mes'!A:C,3,0),0)</f>
        <v>0.36666666666666664</v>
      </c>
      <c r="E232" s="20">
        <f t="shared" si="3"/>
        <v>0.11666666666666664</v>
      </c>
    </row>
    <row r="233" spans="1:5" ht="15.75" hidden="1" x14ac:dyDescent="0.25">
      <c r="A233" s="65" t="s">
        <v>891</v>
      </c>
      <c r="B233" s="25" t="str">
        <f>VLOOKUP(A233,BASE!$A:$B,2,0)</f>
        <v>7038 TRASLAPE 704 BRONCE</v>
      </c>
      <c r="C233" s="66">
        <v>0.37</v>
      </c>
      <c r="D233" s="19">
        <f>IFERROR(VLOOKUP(A233,'TD mes'!A:C,3,0),0)</f>
        <v>0.36666666666666664</v>
      </c>
      <c r="E233" s="20">
        <f t="shared" si="3"/>
        <v>-3.3333333333333548E-3</v>
      </c>
    </row>
    <row r="234" spans="1:5" ht="15.75" hidden="1" x14ac:dyDescent="0.25">
      <c r="A234" s="65" t="s">
        <v>536</v>
      </c>
      <c r="B234" s="25" t="str">
        <f>VLOOKUP(A234,BASE!$A:$B,2,0)</f>
        <v>8025 TRASLAPE 190 BRONCE</v>
      </c>
      <c r="C234" s="66">
        <v>0.27</v>
      </c>
      <c r="D234" s="19">
        <f>IFERROR(VLOOKUP(A234,'TD mes'!A:C,3,0),0)</f>
        <v>0.26666666666666666</v>
      </c>
      <c r="E234" s="20">
        <f t="shared" si="3"/>
        <v>-3.3333333333333548E-3</v>
      </c>
    </row>
    <row r="235" spans="1:5" ht="15.75" hidden="1" x14ac:dyDescent="0.25">
      <c r="A235" s="65" t="s">
        <v>71</v>
      </c>
      <c r="B235" s="25" t="str">
        <f>VLOOKUP(A235,BASE!$A:$B,2,0)</f>
        <v>744 TRASLAPE 388 NEGRO</v>
      </c>
      <c r="C235" s="66">
        <v>0.58299999999999996</v>
      </c>
      <c r="D235" s="19">
        <f>IFERROR(VLOOKUP(A235,'TD mes'!A:C,3,0),0)</f>
        <v>0.18333333333333332</v>
      </c>
      <c r="E235" s="20">
        <f t="shared" si="3"/>
        <v>-0.39966666666666661</v>
      </c>
    </row>
    <row r="236" spans="1:5" ht="15.75" hidden="1" x14ac:dyDescent="0.25">
      <c r="A236" s="65" t="s">
        <v>120</v>
      </c>
      <c r="B236" s="25" t="str">
        <f>VLOOKUP(A236,BASE!$A:$B,2,0)</f>
        <v>7038 TRASLAPE 704 NEGRO</v>
      </c>
      <c r="C236" s="66">
        <v>1</v>
      </c>
      <c r="D236" s="19">
        <f>IFERROR(VLOOKUP(A236,'TD mes'!A:C,3,0),0)</f>
        <v>1</v>
      </c>
      <c r="E236" s="20">
        <f t="shared" si="3"/>
        <v>0</v>
      </c>
    </row>
    <row r="237" spans="1:5" ht="15.75" hidden="1" x14ac:dyDescent="0.25">
      <c r="A237" s="65" t="s">
        <v>146</v>
      </c>
      <c r="B237" s="25" t="str">
        <f>VLOOKUP(A237,BASE!$A:$B,2,0)</f>
        <v>5020 TRASLAPE 192 NEGRO</v>
      </c>
      <c r="C237" s="66">
        <v>0.51666699999999999</v>
      </c>
      <c r="D237" s="19">
        <f>IFERROR(VLOOKUP(A237,'TD mes'!A:C,3,0),0)</f>
        <v>0.51666666666666672</v>
      </c>
      <c r="E237" s="20">
        <f t="shared" si="3"/>
        <v>-3.3333333326890369E-7</v>
      </c>
    </row>
    <row r="238" spans="1:5" ht="15.75" hidden="1" x14ac:dyDescent="0.25">
      <c r="A238" s="65" t="s">
        <v>137</v>
      </c>
      <c r="B238" s="25" t="str">
        <f>VLOOKUP(A238,BASE!$A:$B,2,0)</f>
        <v>8025 TRASLAPE 190 NEGRO</v>
      </c>
      <c r="C238" s="66">
        <v>21.486667000000001</v>
      </c>
      <c r="D238" s="19">
        <f>IFERROR(VLOOKUP(A238,'TD mes'!A:C,3,0),0)</f>
        <v>21.45</v>
      </c>
      <c r="E238" s="20">
        <f t="shared" si="3"/>
        <v>-3.6667000000001337E-2</v>
      </c>
    </row>
    <row r="239" spans="1:5" ht="15.75" hidden="1" x14ac:dyDescent="0.25">
      <c r="A239" s="65" t="s">
        <v>540</v>
      </c>
      <c r="B239" s="25" t="str">
        <f>VLOOKUP(A239,BASE!$A:$B,2,0)</f>
        <v>8025 TRASLAPE 190 MATE</v>
      </c>
      <c r="C239" s="66">
        <v>2.4666670000000002</v>
      </c>
      <c r="D239" s="19">
        <f>IFERROR(VLOOKUP(A239,'TD mes'!A:C,3,0),0)</f>
        <v>1.9666666666666666</v>
      </c>
      <c r="E239" s="20">
        <f t="shared" si="3"/>
        <v>-0.5000003333333336</v>
      </c>
    </row>
    <row r="240" spans="1:5" ht="15.75" hidden="1" x14ac:dyDescent="0.25">
      <c r="A240" s="65" t="s">
        <v>543</v>
      </c>
      <c r="B240" s="25" t="str">
        <f>VLOOKUP(A240,BASE!$A:$B,2,0)</f>
        <v>TUBULAR T-103 MATE</v>
      </c>
      <c r="C240" s="66">
        <v>0.63333300000000003</v>
      </c>
      <c r="D240" s="19">
        <f>IFERROR(VLOOKUP(A240,'TD mes'!A:C,3,0),0)</f>
        <v>0.6333333333333333</v>
      </c>
      <c r="E240" s="20">
        <f t="shared" si="3"/>
        <v>3.3333333326890369E-7</v>
      </c>
    </row>
    <row r="241" spans="1:5" ht="15.75" hidden="1" x14ac:dyDescent="0.25">
      <c r="A241" s="65" t="s">
        <v>164</v>
      </c>
      <c r="B241" s="25" t="str">
        <f>VLOOKUP(A241,BASE!$A:$B,2,0)</f>
        <v>TUBULAR T-244 MATE</v>
      </c>
      <c r="C241" s="66">
        <v>2.233333</v>
      </c>
      <c r="D241" s="19">
        <f>IFERROR(VLOOKUP(A241,'TD mes'!A:C,3,0),0)</f>
        <v>1.5833333333333335</v>
      </c>
      <c r="E241" s="20">
        <f t="shared" si="3"/>
        <v>-0.64999966666666653</v>
      </c>
    </row>
    <row r="242" spans="1:5" ht="15.75" hidden="1" x14ac:dyDescent="0.25">
      <c r="A242" s="65" t="s">
        <v>41</v>
      </c>
      <c r="B242" s="25" t="str">
        <f>VLOOKUP(A242,BASE!$A:$B,2,0)</f>
        <v>TUBULAR T-70 MATE</v>
      </c>
      <c r="C242" s="66">
        <v>2.0830009999999999</v>
      </c>
      <c r="D242" s="19">
        <f>IFERROR(VLOOKUP(A242,'TD mes'!A:C,3,0),0)</f>
        <v>0.96666666666666667</v>
      </c>
      <c r="E242" s="20">
        <f t="shared" si="3"/>
        <v>-1.1163343333333331</v>
      </c>
    </row>
    <row r="243" spans="1:5" ht="15.75" hidden="1" x14ac:dyDescent="0.25">
      <c r="A243" s="65" t="s">
        <v>163</v>
      </c>
      <c r="B243" s="25" t="str">
        <f>VLOOKUP(A243,BASE!$A:$B,2,0)</f>
        <v>TUBULAR T-97 CRUDO</v>
      </c>
      <c r="C243" s="66">
        <v>0.43333300000000002</v>
      </c>
      <c r="D243" s="19">
        <f>IFERROR(VLOOKUP(A243,'TD mes'!A:C,3,0),0)</f>
        <v>0.43333333333333335</v>
      </c>
      <c r="E243" s="20">
        <f t="shared" si="3"/>
        <v>3.3333333332441484E-7</v>
      </c>
    </row>
    <row r="244" spans="1:5" ht="15.75" hidden="1" x14ac:dyDescent="0.25">
      <c r="A244" s="65" t="s">
        <v>172</v>
      </c>
      <c r="B244" s="25" t="str">
        <f>VLOOKUP(A244,BASE!$A:$B,2,0)</f>
        <v>TUBULAR T-94 MATE</v>
      </c>
      <c r="C244" s="66">
        <v>0.83666700000000005</v>
      </c>
      <c r="D244" s="19">
        <f>IFERROR(VLOOKUP(A244,'TD mes'!A:C,3,0),0)</f>
        <v>0.8</v>
      </c>
      <c r="E244" s="20">
        <f t="shared" si="3"/>
        <v>-3.6667000000000005E-2</v>
      </c>
    </row>
    <row r="245" spans="1:5" ht="15.75" hidden="1" x14ac:dyDescent="0.25">
      <c r="A245" s="65" t="s">
        <v>189</v>
      </c>
      <c r="B245" s="25" t="str">
        <f>VLOOKUP(A245,BASE!$A:$B,2,0)</f>
        <v>TUBULAR T-97 MATE</v>
      </c>
      <c r="C245" s="66">
        <v>0.22</v>
      </c>
      <c r="D245" s="19">
        <f>IFERROR(VLOOKUP(A245,'TD mes'!A:C,3,0),0)</f>
        <v>0.21666666666666667</v>
      </c>
      <c r="E245" s="20">
        <f t="shared" si="3"/>
        <v>-3.333333333333327E-3</v>
      </c>
    </row>
    <row r="246" spans="1:5" ht="15.75" hidden="1" x14ac:dyDescent="0.25">
      <c r="A246" s="65" t="s">
        <v>7</v>
      </c>
      <c r="B246" s="25" t="str">
        <f>VLOOKUP(A246,BASE!$A:$B,2,0)</f>
        <v>TUBULAR T-198 CRUDO</v>
      </c>
      <c r="C246" s="66">
        <v>0.75</v>
      </c>
      <c r="D246" s="19">
        <f>IFERROR(VLOOKUP(A246,'TD mes'!A:C,3,0),0)</f>
        <v>0.71666666666666667</v>
      </c>
      <c r="E246" s="20">
        <f t="shared" si="3"/>
        <v>-3.3333333333333326E-2</v>
      </c>
    </row>
    <row r="247" spans="1:5" ht="15.75" hidden="1" x14ac:dyDescent="0.25">
      <c r="A247" s="65" t="s">
        <v>38</v>
      </c>
      <c r="B247" s="25" t="str">
        <f>VLOOKUP(A247,BASE!$A:$B,2,0)</f>
        <v>TUBULAR T-101 MATE</v>
      </c>
      <c r="C247" s="66">
        <v>0.53</v>
      </c>
      <c r="D247" s="19">
        <f>IFERROR(VLOOKUP(A247,'TD mes'!A:C,3,0),0)</f>
        <v>0.53333333333333333</v>
      </c>
      <c r="E247" s="20">
        <f t="shared" si="3"/>
        <v>3.3333333333332993E-3</v>
      </c>
    </row>
    <row r="248" spans="1:5" ht="15.75" hidden="1" x14ac:dyDescent="0.25">
      <c r="A248" s="65" t="s">
        <v>84</v>
      </c>
      <c r="B248" s="25" t="str">
        <f>VLOOKUP(A248,BASE!$A:$B,2,0)</f>
        <v>TUBULAR 1101 MATE</v>
      </c>
      <c r="C248" s="66">
        <v>1.199999</v>
      </c>
      <c r="D248" s="19">
        <f>IFERROR(VLOOKUP(A248,'TD mes'!A:C,3,0),0)</f>
        <v>2.0166666666666666</v>
      </c>
      <c r="E248" s="20">
        <f t="shared" si="3"/>
        <v>0.81666766666666657</v>
      </c>
    </row>
    <row r="249" spans="1:5" ht="15.75" hidden="1" x14ac:dyDescent="0.25">
      <c r="A249" s="65" t="s">
        <v>177</v>
      </c>
      <c r="B249" s="25" t="str">
        <f>VLOOKUP(A249,BASE!$A:$B,2,0)</f>
        <v>TUBULAR T-280 MATE</v>
      </c>
      <c r="C249" s="66">
        <v>0.4</v>
      </c>
      <c r="D249" s="19">
        <f>IFERROR(VLOOKUP(A249,'TD mes'!A:C,3,0),0)</f>
        <v>0.4</v>
      </c>
      <c r="E249" s="20">
        <f t="shared" si="3"/>
        <v>0</v>
      </c>
    </row>
    <row r="250" spans="1:5" ht="15.75" hidden="1" x14ac:dyDescent="0.25">
      <c r="A250" s="65" t="s">
        <v>153</v>
      </c>
      <c r="B250" s="25" t="str">
        <f>VLOOKUP(A250,BASE!$A:$B,2,0)</f>
        <v>TUBULAR 1102 MATE</v>
      </c>
      <c r="C250" s="66">
        <v>0.44</v>
      </c>
      <c r="D250" s="19">
        <f>IFERROR(VLOOKUP(A250,'TD mes'!A:C,3,0),0)</f>
        <v>0.44333333333333336</v>
      </c>
      <c r="E250" s="20">
        <f t="shared" si="3"/>
        <v>3.3333333333333548E-3</v>
      </c>
    </row>
    <row r="251" spans="1:5" ht="15.75" hidden="1" x14ac:dyDescent="0.25">
      <c r="A251" s="65" t="s">
        <v>49</v>
      </c>
      <c r="B251" s="25" t="str">
        <f>VLOOKUP(A251,BASE!$A:$B,2,0)</f>
        <v>CUARTO CIRCULAR 1 1/2 " MATE</v>
      </c>
      <c r="C251" s="66">
        <v>0.43</v>
      </c>
      <c r="D251" s="19">
        <f>IFERROR(VLOOKUP(A251,'TD mes'!A:C,3,0),0)</f>
        <v>0.43333333333333335</v>
      </c>
      <c r="E251" s="20">
        <f t="shared" si="3"/>
        <v>3.3333333333333548E-3</v>
      </c>
    </row>
    <row r="252" spans="1:5" ht="15.75" hidden="1" x14ac:dyDescent="0.25">
      <c r="A252" s="65" t="s">
        <v>36</v>
      </c>
      <c r="B252" s="25" t="str">
        <f>VLOOKUP(A252,BASE!$A:$B,2,0)</f>
        <v>TUBULAR T-244 GRIS PLATA</v>
      </c>
      <c r="C252" s="66">
        <v>0.41599999999999998</v>
      </c>
      <c r="D252" s="19">
        <f>IFERROR(VLOOKUP(A252,'TD mes'!A:C,3,0),0)</f>
        <v>0.41666666666666669</v>
      </c>
      <c r="E252" s="20">
        <f t="shared" si="3"/>
        <v>6.6666666666670427E-4</v>
      </c>
    </row>
    <row r="253" spans="1:5" ht="15.75" hidden="1" x14ac:dyDescent="0.25">
      <c r="A253" s="65" t="s">
        <v>252</v>
      </c>
      <c r="B253" s="25" t="str">
        <f>VLOOKUP(A253,BASE!$A:$B,2,0)</f>
        <v>TUBULAR T-244 BLANCO</v>
      </c>
      <c r="C253" s="66">
        <v>1.3333330000000001</v>
      </c>
      <c r="D253" s="19">
        <f>IFERROR(VLOOKUP(A253,'TD mes'!A:C,3,0),0)</f>
        <v>0.9</v>
      </c>
      <c r="E253" s="20">
        <f t="shared" si="3"/>
        <v>-0.43333300000000008</v>
      </c>
    </row>
    <row r="254" spans="1:5" ht="15.75" hidden="1" x14ac:dyDescent="0.25">
      <c r="A254" s="65" t="s">
        <v>599</v>
      </c>
      <c r="B254" s="25" t="str">
        <f>VLOOKUP(A254,BASE!$A:$B,2,0)</f>
        <v>TUBULAR T-76 CRUDO</v>
      </c>
      <c r="C254" s="66">
        <v>6.5666679999999999</v>
      </c>
      <c r="D254" s="19">
        <f>IFERROR(VLOOKUP(A254,'TD mes'!A:C,3,0),0)</f>
        <v>7.4333333333333336</v>
      </c>
      <c r="E254" s="20">
        <f t="shared" si="3"/>
        <v>0.86666533333333362</v>
      </c>
    </row>
    <row r="255" spans="1:5" ht="15.75" hidden="1" x14ac:dyDescent="0.25">
      <c r="A255" s="65" t="s">
        <v>255</v>
      </c>
      <c r="B255" s="25" t="str">
        <f>VLOOKUP(A255,BASE!$A:$B,2,0)</f>
        <v>TUBULAR T-94 CRUDO</v>
      </c>
      <c r="C255" s="66">
        <v>0.17</v>
      </c>
      <c r="D255" s="19">
        <f>IFERROR(VLOOKUP(A255,'TD mes'!A:C,3,0),0)</f>
        <v>0.16666666666666666</v>
      </c>
      <c r="E255" s="20">
        <f t="shared" si="3"/>
        <v>-3.3333333333333548E-3</v>
      </c>
    </row>
    <row r="256" spans="1:5" ht="15.75" hidden="1" x14ac:dyDescent="0.25">
      <c r="A256" s="65" t="s">
        <v>256</v>
      </c>
      <c r="B256" s="25" t="str">
        <f>VLOOKUP(A256,BASE!$A:$B,2,0)</f>
        <v>TUBULAR T-101 CRUDO</v>
      </c>
      <c r="C256" s="66">
        <v>0.25</v>
      </c>
      <c r="D256" s="19">
        <f>IFERROR(VLOOKUP(A256,'TD mes'!A:C,3,0),0)</f>
        <v>0.25</v>
      </c>
      <c r="E256" s="20">
        <f t="shared" si="3"/>
        <v>0</v>
      </c>
    </row>
    <row r="257" spans="1:5" ht="15.75" hidden="1" x14ac:dyDescent="0.25">
      <c r="A257" s="65" t="s">
        <v>714</v>
      </c>
      <c r="B257" s="25" t="str">
        <f>VLOOKUP(A257,BASE!$A:$B,2,0)</f>
        <v>TUBULAR 1101 BLANCO</v>
      </c>
      <c r="C257" s="66">
        <v>1.0329999999999999</v>
      </c>
      <c r="D257" s="19">
        <f>IFERROR(VLOOKUP(A257,'TD mes'!A:C,3,0),0)</f>
        <v>1.0333333333333332</v>
      </c>
      <c r="E257" s="20">
        <f t="shared" si="3"/>
        <v>3.3333333333329662E-4</v>
      </c>
    </row>
    <row r="258" spans="1:5" ht="15.75" hidden="1" x14ac:dyDescent="0.25">
      <c r="A258" s="65" t="s">
        <v>552</v>
      </c>
      <c r="B258" s="25" t="str">
        <f>VLOOKUP(A258,BASE!$A:$B,2,0)</f>
        <v>TUBULAR T-101 BLANCO</v>
      </c>
      <c r="C258" s="66">
        <v>3.333E-3</v>
      </c>
      <c r="D258" s="19">
        <f>IFERROR(VLOOKUP(A258,'TD mes'!A:C,3,0),0)</f>
        <v>0</v>
      </c>
      <c r="E258" s="20">
        <f t="shared" ref="E258:E293" si="4">+D258-C258</f>
        <v>-3.333E-3</v>
      </c>
    </row>
    <row r="259" spans="1:5" ht="15.75" hidden="1" x14ac:dyDescent="0.25">
      <c r="A259" s="65" t="s">
        <v>554</v>
      </c>
      <c r="B259" s="25" t="str">
        <f>VLOOKUP(A259,BASE!$A:$B,2,0)</f>
        <v>TUBULAR T-70 BLANCO</v>
      </c>
      <c r="C259" s="66">
        <v>0.8</v>
      </c>
      <c r="D259" s="19">
        <f>IFERROR(VLOOKUP(A259,'TD mes'!A:C,3,0),0)</f>
        <v>0.8</v>
      </c>
      <c r="E259" s="20">
        <f t="shared" si="4"/>
        <v>0</v>
      </c>
    </row>
    <row r="260" spans="1:5" ht="15.75" hidden="1" x14ac:dyDescent="0.25">
      <c r="A260" s="65" t="s">
        <v>555</v>
      </c>
      <c r="B260" s="25" t="str">
        <f>VLOOKUP(A260,BASE!$A:$B,2,0)</f>
        <v>TUBULAR T-244 BRONCE</v>
      </c>
      <c r="C260" s="66">
        <v>2.52</v>
      </c>
      <c r="D260" s="19">
        <f>IFERROR(VLOOKUP(A260,'TD mes'!A:C,3,0),0)</f>
        <v>2</v>
      </c>
      <c r="E260" s="20">
        <f t="shared" si="4"/>
        <v>-0.52</v>
      </c>
    </row>
    <row r="261" spans="1:5" ht="15.75" hidden="1" x14ac:dyDescent="0.25">
      <c r="A261" s="65" t="s">
        <v>182</v>
      </c>
      <c r="B261" s="25" t="str">
        <f>VLOOKUP(A261,BASE!$A:$B,2,0)</f>
        <v>TUBULAR T-70 BRONCE</v>
      </c>
      <c r="C261" s="66">
        <v>0.78</v>
      </c>
      <c r="D261" s="19">
        <f>IFERROR(VLOOKUP(A261,'TD mes'!A:C,3,0),0)</f>
        <v>0.78333333333333333</v>
      </c>
      <c r="E261" s="20">
        <f t="shared" si="4"/>
        <v>3.3333333333332993E-3</v>
      </c>
    </row>
    <row r="262" spans="1:5" ht="15.75" hidden="1" x14ac:dyDescent="0.25">
      <c r="A262" s="65" t="s">
        <v>37</v>
      </c>
      <c r="B262" s="25" t="str">
        <f>VLOOKUP(A262,BASE!$A:$B,2,0)</f>
        <v>TUBULAR T-94 BRONCE</v>
      </c>
      <c r="C262" s="66">
        <v>0.63</v>
      </c>
      <c r="D262" s="19">
        <f>IFERROR(VLOOKUP(A262,'TD mes'!A:C,3,0),0)</f>
        <v>0.6333333333333333</v>
      </c>
      <c r="E262" s="20">
        <f t="shared" si="4"/>
        <v>3.3333333333332993E-3</v>
      </c>
    </row>
    <row r="263" spans="1:5" ht="15.75" hidden="1" x14ac:dyDescent="0.25">
      <c r="A263" s="65" t="s">
        <v>558</v>
      </c>
      <c r="B263" s="25" t="str">
        <f>VLOOKUP(A263,BASE!$A:$B,2,0)</f>
        <v>TUBULAR T-95 BRONCE</v>
      </c>
      <c r="C263" s="66">
        <v>0.31666699999999998</v>
      </c>
      <c r="D263" s="19">
        <f>IFERROR(VLOOKUP(A263,'TD mes'!A:C,3,0),0)</f>
        <v>0.31666666666666665</v>
      </c>
      <c r="E263" s="20">
        <f t="shared" si="4"/>
        <v>-3.3333333332441484E-7</v>
      </c>
    </row>
    <row r="264" spans="1:5" ht="15.75" hidden="1" x14ac:dyDescent="0.25">
      <c r="A264" s="65" t="s">
        <v>560</v>
      </c>
      <c r="B264" s="25" t="str">
        <f>VLOOKUP(A264,BASE!$A:$B,2,0)</f>
        <v>TUBULAR T-97 BRONCE</v>
      </c>
      <c r="C264" s="66">
        <v>0.2</v>
      </c>
      <c r="D264" s="19">
        <f>IFERROR(VLOOKUP(A264,'TD mes'!A:C,3,0),0)</f>
        <v>0.2</v>
      </c>
      <c r="E264" s="20">
        <f t="shared" si="4"/>
        <v>0</v>
      </c>
    </row>
    <row r="265" spans="1:5" ht="15.75" hidden="1" x14ac:dyDescent="0.25">
      <c r="A265" s="65" t="s">
        <v>563</v>
      </c>
      <c r="B265" s="25" t="str">
        <f>VLOOKUP(A265,BASE!$A:$B,2,0)</f>
        <v>TUBULAR 1101 NEGRO</v>
      </c>
      <c r="C265" s="66">
        <v>1</v>
      </c>
      <c r="D265" s="19">
        <f>IFERROR(VLOOKUP(A265,'TD mes'!A:C,3,0),0)</f>
        <v>1</v>
      </c>
      <c r="E265" s="20">
        <f t="shared" si="4"/>
        <v>0</v>
      </c>
    </row>
    <row r="266" spans="1:5" ht="15.75" hidden="1" x14ac:dyDescent="0.25">
      <c r="A266" s="65" t="s">
        <v>40</v>
      </c>
      <c r="B266" s="25" t="str">
        <f>VLOOKUP(A266,BASE!$A:$B,2,0)</f>
        <v>TUBULAR T-94 NEGRO</v>
      </c>
      <c r="C266" s="66">
        <v>18.8</v>
      </c>
      <c r="D266" s="19">
        <f>IFERROR(VLOOKUP(A266,'TD mes'!A:C,3,0),0)</f>
        <v>19.133333333333333</v>
      </c>
      <c r="E266" s="20">
        <f t="shared" si="4"/>
        <v>0.33333333333333215</v>
      </c>
    </row>
    <row r="267" spans="1:5" ht="15.75" hidden="1" x14ac:dyDescent="0.25">
      <c r="A267" s="65" t="s">
        <v>34</v>
      </c>
      <c r="B267" s="25" t="str">
        <f>VLOOKUP(A267,BASE!$A:$B,2,0)</f>
        <v>TUBULAR T-244 NEGRO</v>
      </c>
      <c r="C267" s="66">
        <v>4.5199999999999996</v>
      </c>
      <c r="D267" s="19">
        <f>IFERROR(VLOOKUP(A267,'TD mes'!A:C,3,0),0)</f>
        <v>1.95</v>
      </c>
      <c r="E267" s="20">
        <f t="shared" si="4"/>
        <v>-2.5699999999999994</v>
      </c>
    </row>
    <row r="268" spans="1:5" ht="15.75" hidden="1" x14ac:dyDescent="0.25">
      <c r="A268" s="65" t="s">
        <v>565</v>
      </c>
      <c r="B268" s="25" t="str">
        <f>VLOOKUP(A268,BASE!$A:$B,2,0)</f>
        <v>TUBULAR T-101 NEGRO</v>
      </c>
      <c r="C268" s="66">
        <v>0.82</v>
      </c>
      <c r="D268" s="19">
        <f>IFERROR(VLOOKUP(A268,'TD mes'!A:C,3,0),0)</f>
        <v>0.81666666666666665</v>
      </c>
      <c r="E268" s="20">
        <f t="shared" si="4"/>
        <v>-3.3333333333332993E-3</v>
      </c>
    </row>
    <row r="269" spans="1:5" ht="15.75" x14ac:dyDescent="0.25">
      <c r="A269" s="65" t="s">
        <v>706</v>
      </c>
      <c r="B269" s="25" t="str">
        <f>VLOOKUP(A269,BASE!$A:$B,2,0)</f>
        <v>TUBULAR 1102 NEGRO</v>
      </c>
      <c r="C269" s="66">
        <v>2.738</v>
      </c>
      <c r="D269" s="19">
        <f>IFERROR(VLOOKUP(A269,'TD mes'!A:C,3,0),0)</f>
        <v>2.855</v>
      </c>
      <c r="E269" s="20">
        <f t="shared" si="4"/>
        <v>0.11699999999999999</v>
      </c>
    </row>
    <row r="270" spans="1:5" ht="15.75" hidden="1" x14ac:dyDescent="0.25">
      <c r="A270" s="65" t="s">
        <v>1052</v>
      </c>
      <c r="B270" s="25" t="str">
        <f>VLOOKUP(A270,BASE!$A:$B,2,0)</f>
        <v>TUBULAR T-198 NEGRO</v>
      </c>
      <c r="C270" s="66">
        <v>0.15</v>
      </c>
      <c r="D270" s="19">
        <f>IFERROR(VLOOKUP(A270,'TD mes'!A:C,3,0),0)</f>
        <v>0.15</v>
      </c>
      <c r="E270" s="20">
        <f t="shared" si="4"/>
        <v>0</v>
      </c>
    </row>
    <row r="271" spans="1:5" ht="15.75" x14ac:dyDescent="0.25">
      <c r="A271" s="65" t="s">
        <v>58</v>
      </c>
      <c r="B271" s="25" t="str">
        <f>VLOOKUP(A271,BASE!$A:$B,2,0)</f>
        <v>TUBULAR T-70 NEGRO</v>
      </c>
      <c r="C271" s="66">
        <v>4.1666660000000002</v>
      </c>
      <c r="D271" s="19">
        <f>IFERROR(VLOOKUP(A271,'TD mes'!A:C,3,0),0)</f>
        <v>2.9</v>
      </c>
      <c r="E271" s="20">
        <f t="shared" si="4"/>
        <v>-1.2666660000000003</v>
      </c>
    </row>
    <row r="272" spans="1:5" ht="15.75" x14ac:dyDescent="0.25">
      <c r="A272" s="65" t="s">
        <v>15</v>
      </c>
      <c r="B272" s="25" t="str">
        <f>VLOOKUP(A272,BASE!$A:$B,2,0)</f>
        <v>TUBULAR T-95 NEGRO</v>
      </c>
      <c r="C272" s="66">
        <v>0.7</v>
      </c>
      <c r="D272" s="19">
        <f>IFERROR(VLOOKUP(A272,'TD mes'!A:C,3,0),0)</f>
        <v>0.53333333333333333</v>
      </c>
      <c r="E272" s="20">
        <f t="shared" si="4"/>
        <v>-0.16666666666666663</v>
      </c>
    </row>
    <row r="273" spans="1:5" ht="15.75" hidden="1" x14ac:dyDescent="0.25">
      <c r="A273" s="65" t="s">
        <v>986</v>
      </c>
      <c r="B273" s="25" t="str">
        <f>VLOOKUP(A273,BASE!$A:$B,2,0)</f>
        <v>TUBULAR T-50 BRONCE</v>
      </c>
      <c r="C273" s="66">
        <v>0.8</v>
      </c>
      <c r="D273" s="19">
        <f>IFERROR(VLOOKUP(A273,'TD mes'!A:C,3,0),0)</f>
        <v>0.8</v>
      </c>
      <c r="E273" s="20">
        <f t="shared" si="4"/>
        <v>0</v>
      </c>
    </row>
    <row r="274" spans="1:5" ht="15.75" x14ac:dyDescent="0.25">
      <c r="A274" s="65" t="s">
        <v>155</v>
      </c>
      <c r="B274" s="25" t="str">
        <f>VLOOKUP(A274,BASE!$A:$B,2,0)</f>
        <v>U32 MATE</v>
      </c>
      <c r="C274" s="66">
        <v>12.525001</v>
      </c>
      <c r="D274" s="19">
        <f>IFERROR(VLOOKUP(A274,'TD mes'!A:C,3,0),0)</f>
        <v>9.0833333333333339</v>
      </c>
      <c r="E274" s="20">
        <f t="shared" si="4"/>
        <v>-3.4416676666666657</v>
      </c>
    </row>
    <row r="275" spans="1:5" ht="15.75" x14ac:dyDescent="0.25">
      <c r="A275" s="65" t="s">
        <v>570</v>
      </c>
      <c r="B275" s="25" t="str">
        <f>VLOOKUP(A275,BASE!$A:$B,2,0)</f>
        <v>U32 NEGRA</v>
      </c>
      <c r="C275" s="66">
        <v>2.8533330000000001</v>
      </c>
      <c r="D275" s="19">
        <f>IFERROR(VLOOKUP(A275,'TD mes'!A:C,3,0),0)</f>
        <v>1.2000000000000002</v>
      </c>
      <c r="E275" s="20">
        <f t="shared" si="4"/>
        <v>-1.6533329999999999</v>
      </c>
    </row>
    <row r="276" spans="1:5" ht="15.75" hidden="1" x14ac:dyDescent="0.25">
      <c r="A276" s="65" t="s">
        <v>194</v>
      </c>
      <c r="B276" s="25" t="str">
        <f>VLOOKUP(A276,BASE!$A:$B,2,0)</f>
        <v>U32 GRIS PLATA</v>
      </c>
      <c r="C276" s="66">
        <v>0.95</v>
      </c>
      <c r="D276" s="19">
        <f>IFERROR(VLOOKUP(A276,'TD mes'!A:C,3,0),0)</f>
        <v>0.95</v>
      </c>
      <c r="E276" s="20">
        <f t="shared" si="4"/>
        <v>0</v>
      </c>
    </row>
    <row r="277" spans="1:5" ht="15.75" hidden="1" x14ac:dyDescent="0.25">
      <c r="A277" s="65" t="s">
        <v>27</v>
      </c>
      <c r="B277" s="25" t="str">
        <f>VLOOKUP(A277,BASE!$A:$B,2,0)</f>
        <v>U32 BLANCA</v>
      </c>
      <c r="C277" s="66">
        <v>1.9670000000000001</v>
      </c>
      <c r="D277" s="19">
        <f>IFERROR(VLOOKUP(A277,'TD mes'!A:C,3,0),0)</f>
        <v>1.9666666666666666</v>
      </c>
      <c r="E277" s="20">
        <f t="shared" si="4"/>
        <v>-3.3333333333351867E-4</v>
      </c>
    </row>
    <row r="278" spans="1:5" ht="15.75" x14ac:dyDescent="0.25">
      <c r="A278" s="65" t="s">
        <v>576</v>
      </c>
      <c r="B278" s="25" t="str">
        <f>VLOOKUP(A278,BASE!$A:$B,2,0)</f>
        <v>U57 MATE</v>
      </c>
      <c r="C278" s="66">
        <v>0.54</v>
      </c>
      <c r="D278" s="19">
        <f>IFERROR(VLOOKUP(A278,'TD mes'!A:C,3,0),0)</f>
        <v>3.3073333333333332</v>
      </c>
      <c r="E278" s="20">
        <f t="shared" si="4"/>
        <v>2.7673333333333332</v>
      </c>
    </row>
    <row r="279" spans="1:5" ht="15.75" hidden="1" x14ac:dyDescent="0.25">
      <c r="A279" s="65" t="s">
        <v>10</v>
      </c>
      <c r="B279" s="25" t="str">
        <f>VLOOKUP(A279,BASE!$A:$B,2,0)</f>
        <v>U57 GRIS PLATA</v>
      </c>
      <c r="C279" s="66">
        <v>1.08</v>
      </c>
      <c r="D279" s="19">
        <f>IFERROR(VLOOKUP(A279,'TD mes'!A:C,3,0),0)</f>
        <v>1.08</v>
      </c>
      <c r="E279" s="20">
        <f t="shared" si="4"/>
        <v>0</v>
      </c>
    </row>
    <row r="280" spans="1:5" ht="15.75" hidden="1" x14ac:dyDescent="0.25">
      <c r="A280" s="65" t="s">
        <v>579</v>
      </c>
      <c r="B280" s="25" t="str">
        <f>VLOOKUP(A280,BASE!$A:$B,2,0)</f>
        <v>U57 BLANCO</v>
      </c>
      <c r="C280" s="66">
        <v>0.42</v>
      </c>
      <c r="D280" s="19">
        <f>IFERROR(VLOOKUP(A280,'TD mes'!A:C,3,0),0)</f>
        <v>0.41666666666666669</v>
      </c>
      <c r="E280" s="20">
        <f t="shared" si="4"/>
        <v>-3.3333333333332993E-3</v>
      </c>
    </row>
    <row r="281" spans="1:5" ht="15.75" hidden="1" x14ac:dyDescent="0.25">
      <c r="A281" s="65" t="s">
        <v>581</v>
      </c>
      <c r="B281" s="25" t="str">
        <f>VLOOKUP(A281,BASE!$A:$B,2,0)</f>
        <v>U57 BRONCE</v>
      </c>
      <c r="C281" s="66">
        <v>0.35</v>
      </c>
      <c r="D281" s="19">
        <f>IFERROR(VLOOKUP(A281,'TD mes'!A:C,3,0),0)</f>
        <v>0.35</v>
      </c>
      <c r="E281" s="20">
        <f t="shared" si="4"/>
        <v>0</v>
      </c>
    </row>
    <row r="282" spans="1:5" ht="15.75" hidden="1" x14ac:dyDescent="0.25">
      <c r="A282" s="65" t="s">
        <v>53</v>
      </c>
      <c r="B282" s="25" t="str">
        <f>VLOOKUP(A282,BASE!$A:$B,2,0)</f>
        <v>U57 NEGRO</v>
      </c>
      <c r="C282" s="66">
        <v>1.25</v>
      </c>
      <c r="D282" s="19">
        <f>IFERROR(VLOOKUP(A282,'TD mes'!A:C,3,0),0)</f>
        <v>1.25</v>
      </c>
      <c r="E282" s="20">
        <f t="shared" si="4"/>
        <v>0</v>
      </c>
    </row>
    <row r="283" spans="1:5" ht="15.75" x14ac:dyDescent="0.25">
      <c r="A283" s="65" t="s">
        <v>584</v>
      </c>
      <c r="B283" s="25" t="str">
        <f>VLOOKUP(A283,BASE!$A:$B,2,0)</f>
        <v>U68 MATE</v>
      </c>
      <c r="C283" s="66">
        <v>19.400002000000001</v>
      </c>
      <c r="D283" s="19">
        <f>IFERROR(VLOOKUP(A283,'TD mes'!A:C,3,0),0)</f>
        <v>12.566666666666666</v>
      </c>
      <c r="E283" s="20">
        <f t="shared" si="4"/>
        <v>-6.8333353333333342</v>
      </c>
    </row>
    <row r="284" spans="1:5" ht="15.75" hidden="1" x14ac:dyDescent="0.25">
      <c r="A284" s="65" t="s">
        <v>585</v>
      </c>
      <c r="B284" s="25" t="str">
        <f>VLOOKUP(A284,BASE!$A:$B,2,0)</f>
        <v>U68 GRIS PLATA</v>
      </c>
      <c r="C284" s="66">
        <v>0.75</v>
      </c>
      <c r="D284" s="19">
        <f>IFERROR(VLOOKUP(A284,'TD mes'!A:C,3,0),0)</f>
        <v>0.75</v>
      </c>
      <c r="E284" s="20">
        <f t="shared" si="4"/>
        <v>0</v>
      </c>
    </row>
    <row r="285" spans="1:5" ht="15.75" hidden="1" x14ac:dyDescent="0.25">
      <c r="A285" s="65" t="s">
        <v>589</v>
      </c>
      <c r="B285" s="25" t="str">
        <f>VLOOKUP(A285,BASE!$A:$B,2,0)</f>
        <v>U68 BRONCE</v>
      </c>
      <c r="C285" s="66">
        <v>1</v>
      </c>
      <c r="D285" s="19">
        <f>IFERROR(VLOOKUP(A285,'TD mes'!A:C,3,0),0)</f>
        <v>1</v>
      </c>
      <c r="E285" s="20">
        <f t="shared" si="4"/>
        <v>0</v>
      </c>
    </row>
    <row r="286" spans="1:5" ht="15.75" x14ac:dyDescent="0.25">
      <c r="A286" s="65" t="s">
        <v>591</v>
      </c>
      <c r="B286" s="25" t="str">
        <f>VLOOKUP(A286,BASE!$A:$B,2,0)</f>
        <v>U68 NEGRA</v>
      </c>
      <c r="C286" s="66">
        <v>3.5833330000000001</v>
      </c>
      <c r="D286" s="19">
        <f>IFERROR(VLOOKUP(A286,'TD mes'!A:C,3,0),0)</f>
        <v>0</v>
      </c>
      <c r="E286" s="20">
        <f t="shared" si="4"/>
        <v>-3.5833330000000001</v>
      </c>
    </row>
    <row r="287" spans="1:5" ht="15.75" hidden="1" x14ac:dyDescent="0.25">
      <c r="A287" s="65" t="s">
        <v>148</v>
      </c>
      <c r="B287" s="25" t="str">
        <f>VLOOKUP(A287,BASE!$A:$B,2,0)</f>
        <v>U-089 MATE</v>
      </c>
      <c r="C287" s="66">
        <v>1.32</v>
      </c>
      <c r="D287" s="19">
        <f>IFERROR(VLOOKUP(A287,'TD mes'!A:C,3,0),0)</f>
        <v>1.3166666666666667</v>
      </c>
      <c r="E287" s="20">
        <f t="shared" si="4"/>
        <v>-3.3333333333334103E-3</v>
      </c>
    </row>
    <row r="288" spans="1:5" ht="15.75" hidden="1" x14ac:dyDescent="0.25">
      <c r="A288" s="65" t="s">
        <v>274</v>
      </c>
      <c r="B288" s="25" t="str">
        <f>VLOOKUP(A288,BASE!$A:$B,2,0)</f>
        <v>U89 NEGRO</v>
      </c>
      <c r="C288" s="66">
        <v>1</v>
      </c>
      <c r="D288" s="19">
        <f>IFERROR(VLOOKUP(A288,'TD mes'!A:C,3,0),0)</f>
        <v>1</v>
      </c>
      <c r="E288" s="20">
        <f t="shared" si="4"/>
        <v>0</v>
      </c>
    </row>
    <row r="289" spans="1:5" ht="15.75" hidden="1" x14ac:dyDescent="0.25">
      <c r="A289" s="65" t="s">
        <v>938</v>
      </c>
      <c r="B289" s="25" t="str">
        <f>VLOOKUP(A289,BASE!$A:$B,2,0)</f>
        <v>MARCO VENTANA K40 MATE</v>
      </c>
      <c r="C289" s="66">
        <v>0.71666700000000005</v>
      </c>
      <c r="D289" s="19">
        <f>IFERROR(VLOOKUP(A289,'TD mes'!A:C,3,0),0)</f>
        <v>0.71666666666666667</v>
      </c>
      <c r="E289" s="20">
        <f t="shared" si="4"/>
        <v>-3.3333333337992599E-7</v>
      </c>
    </row>
    <row r="290" spans="1:5" ht="15.75" hidden="1" x14ac:dyDescent="0.25">
      <c r="A290" s="65" t="s">
        <v>946</v>
      </c>
      <c r="B290" s="25" t="str">
        <f>VLOOKUP(A290,BASE!$A:$B,2,0)</f>
        <v>RIEL W CRUDO</v>
      </c>
      <c r="C290" s="66">
        <v>0.33</v>
      </c>
      <c r="D290" s="19">
        <f>IFERROR(VLOOKUP(A290,'TD mes'!A:C,3,0),0)</f>
        <v>0.33333333333333331</v>
      </c>
      <c r="E290" s="20">
        <f t="shared" si="4"/>
        <v>3.3333333333332993E-3</v>
      </c>
    </row>
    <row r="291" spans="1:5" ht="15.75" hidden="1" x14ac:dyDescent="0.25">
      <c r="A291" s="65" t="s">
        <v>731</v>
      </c>
      <c r="B291" s="25" t="str">
        <f>VLOOKUP(A291,BASE!$A:$B,2,0)</f>
        <v>ZOCALO 9CMS S-369 BRONCE MOVIL</v>
      </c>
      <c r="C291" s="66">
        <v>0.5</v>
      </c>
      <c r="D291" s="19">
        <f>IFERROR(VLOOKUP(A291,'TD mes'!A:C,3,0),0)</f>
        <v>0.5</v>
      </c>
      <c r="E291" s="20">
        <f t="shared" si="4"/>
        <v>0</v>
      </c>
    </row>
    <row r="292" spans="1:5" ht="15.75" x14ac:dyDescent="0.25">
      <c r="A292" s="65" t="s">
        <v>16</v>
      </c>
      <c r="B292" s="25" t="str">
        <f>VLOOKUP(A292,BASE!$A:$B,2,0)</f>
        <v>ZOCALO 10CMS S-351 MATE</v>
      </c>
      <c r="C292" s="66">
        <v>0.57833299999999999</v>
      </c>
      <c r="D292" s="19">
        <f>IFERROR(VLOOKUP(A292,'TD mes'!A:C,3,0),0)</f>
        <v>0.23333333333333334</v>
      </c>
      <c r="E292" s="20">
        <f t="shared" si="4"/>
        <v>-0.34499966666666665</v>
      </c>
    </row>
    <row r="293" spans="1:5" ht="15.75" hidden="1" x14ac:dyDescent="0.25">
      <c r="A293" s="65" t="s">
        <v>152</v>
      </c>
      <c r="B293" s="25" t="str">
        <f>VLOOKUP(A293,BASE!$A:$B,2,0)</f>
        <v>ZOCALO 10CMS S-351 NEGRO</v>
      </c>
      <c r="C293" s="66">
        <v>0.344833</v>
      </c>
      <c r="D293" s="19">
        <f>IFERROR(VLOOKUP(A293,'TD mes'!A:C,3,0),0)</f>
        <v>0.36666666666666664</v>
      </c>
      <c r="E293" s="20">
        <f t="shared" si="4"/>
        <v>2.183366666666664E-2</v>
      </c>
    </row>
  </sheetData>
  <autoFilter ref="A1:E293" xr:uid="{C08B1831-DB68-47E8-870D-A5FF8576991A}">
    <filterColumn colId="4">
      <filters>
        <filter val="0,12"/>
        <filter val="0,13"/>
        <filter val="-0,13"/>
        <filter val="0,15"/>
        <filter val="0,17"/>
        <filter val="-0,17"/>
        <filter val="0,18"/>
        <filter val="0,22"/>
        <filter val="-0,22"/>
        <filter val="0,24"/>
        <filter val="0,25"/>
        <filter val="0,26"/>
        <filter val="-0,26"/>
        <filter val="0,27"/>
        <filter val="-0,28"/>
        <filter val="-0,29"/>
        <filter val="0,30"/>
        <filter val="-0,30"/>
        <filter val="0,33"/>
        <filter val="-0,34"/>
        <filter val="0,35"/>
        <filter val="-0,37"/>
        <filter val="-0,40"/>
        <filter val="-0,43"/>
        <filter val="-0,45"/>
        <filter val="-0,47"/>
        <filter val="-0,48"/>
        <filter val="-0,50"/>
        <filter val="-0,52"/>
        <filter val="0,56"/>
        <filter val="0,57"/>
        <filter val="0,58"/>
        <filter val="0,60"/>
        <filter val="-0,62"/>
        <filter val="0,65"/>
        <filter val="-0,65"/>
        <filter val="0,67"/>
        <filter val="-0,68"/>
        <filter val="0,70"/>
        <filter val="0,82"/>
        <filter val="0,87"/>
        <filter val="0,88"/>
        <filter val="-0,93"/>
        <filter val="-0,94"/>
        <filter val="1,00"/>
        <filter val="-1,00"/>
        <filter val="-1,12"/>
        <filter val="1,16"/>
        <filter val="-1,27"/>
        <filter val="-1,40"/>
        <filter val="-1,46"/>
        <filter val="-1,48"/>
        <filter val="-1,53"/>
        <filter val="-1,55"/>
        <filter val="-1,65"/>
        <filter val="-1,75"/>
        <filter val="-2,17"/>
        <filter val="-2,30"/>
        <filter val="-2,57"/>
        <filter val="2,77"/>
        <filter val="-3,44"/>
        <filter val="-3,58"/>
        <filter val="-6,08"/>
        <filter val="-6,83"/>
      </filters>
    </filterColumn>
  </autoFilter>
  <pageMargins left="0.25" right="0.25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F87C-7656-45CB-BE50-6E8A258E9A4D}">
  <dimension ref="A1:G35"/>
  <sheetViews>
    <sheetView workbookViewId="0">
      <selection activeCell="O26" sqref="O26"/>
    </sheetView>
  </sheetViews>
  <sheetFormatPr baseColWidth="10" defaultRowHeight="15" x14ac:dyDescent="0.25"/>
  <cols>
    <col min="1" max="1" width="7" bestFit="1" customWidth="1"/>
    <col min="2" max="2" width="14.28515625" customWidth="1"/>
    <col min="3" max="3" width="34.7109375" customWidth="1"/>
    <col min="4" max="6" width="11.5703125" customWidth="1"/>
  </cols>
  <sheetData>
    <row r="1" spans="1:7" ht="15.75" x14ac:dyDescent="0.25">
      <c r="A1" s="67" t="s">
        <v>683</v>
      </c>
      <c r="B1" s="68" t="s">
        <v>0</v>
      </c>
      <c r="C1" s="69" t="s">
        <v>1</v>
      </c>
      <c r="D1" s="69" t="s">
        <v>2</v>
      </c>
      <c r="E1" s="70" t="s">
        <v>609</v>
      </c>
      <c r="F1" s="70" t="s">
        <v>1042</v>
      </c>
      <c r="G1" s="71" t="s">
        <v>763</v>
      </c>
    </row>
    <row r="2" spans="1:7" ht="15.75" x14ac:dyDescent="0.25">
      <c r="A2" s="8">
        <v>10251</v>
      </c>
      <c r="B2" s="9"/>
      <c r="C2" s="10"/>
      <c r="D2" s="72"/>
      <c r="E2" s="11"/>
      <c r="F2" s="11"/>
      <c r="G2" s="8"/>
    </row>
    <row r="3" spans="1:7" ht="15.75" x14ac:dyDescent="0.25">
      <c r="A3" s="8">
        <f>A2+1</f>
        <v>10252</v>
      </c>
      <c r="B3" s="9"/>
      <c r="C3" s="10"/>
      <c r="D3" s="72"/>
      <c r="E3" s="11"/>
      <c r="F3" s="11"/>
      <c r="G3" s="8"/>
    </row>
    <row r="4" spans="1:7" ht="15.75" x14ac:dyDescent="0.25">
      <c r="A4" s="8">
        <f>A3+1</f>
        <v>10253</v>
      </c>
      <c r="B4" s="13"/>
      <c r="C4" s="10"/>
      <c r="D4" s="72"/>
      <c r="E4" s="11"/>
      <c r="F4" s="11"/>
      <c r="G4" s="8"/>
    </row>
    <row r="5" spans="1:7" ht="15.75" x14ac:dyDescent="0.25">
      <c r="A5" s="8">
        <f t="shared" ref="A5:A35" si="0">A4+1</f>
        <v>10254</v>
      </c>
      <c r="B5" s="9"/>
      <c r="C5" s="10"/>
      <c r="D5" s="72"/>
      <c r="E5" s="11"/>
      <c r="F5" s="11"/>
      <c r="G5" s="8"/>
    </row>
    <row r="6" spans="1:7" ht="15.75" x14ac:dyDescent="0.25">
      <c r="A6" s="8">
        <f t="shared" si="0"/>
        <v>10255</v>
      </c>
      <c r="B6" s="9"/>
      <c r="C6" s="10"/>
      <c r="D6" s="72"/>
      <c r="E6" s="11"/>
      <c r="F6" s="11"/>
      <c r="G6" s="8"/>
    </row>
    <row r="7" spans="1:7" ht="15.75" x14ac:dyDescent="0.25">
      <c r="A7" s="8">
        <f t="shared" si="0"/>
        <v>10256</v>
      </c>
      <c r="B7" s="9"/>
      <c r="C7" s="10"/>
      <c r="D7" s="72"/>
      <c r="E7" s="11"/>
      <c r="F7" s="11"/>
      <c r="G7" s="8"/>
    </row>
    <row r="8" spans="1:7" ht="15.75" x14ac:dyDescent="0.25">
      <c r="A8" s="8">
        <f t="shared" si="0"/>
        <v>10257</v>
      </c>
      <c r="B8" s="9"/>
      <c r="C8" s="10"/>
      <c r="D8" s="72"/>
      <c r="E8" s="11"/>
      <c r="F8" s="11"/>
      <c r="G8" s="8"/>
    </row>
    <row r="9" spans="1:7" ht="15.75" x14ac:dyDescent="0.25">
      <c r="A9" s="8">
        <f t="shared" si="0"/>
        <v>10258</v>
      </c>
      <c r="B9" s="9"/>
      <c r="C9" s="10"/>
      <c r="D9" s="72"/>
      <c r="E9" s="11"/>
      <c r="F9" s="11"/>
      <c r="G9" s="8"/>
    </row>
    <row r="10" spans="1:7" ht="15.75" x14ac:dyDescent="0.25">
      <c r="A10" s="8">
        <f t="shared" si="0"/>
        <v>10259</v>
      </c>
      <c r="B10" s="9"/>
      <c r="C10" s="10"/>
      <c r="D10" s="72"/>
      <c r="E10" s="11"/>
      <c r="F10" s="11"/>
      <c r="G10" s="8"/>
    </row>
    <row r="11" spans="1:7" ht="15.75" x14ac:dyDescent="0.25">
      <c r="A11" s="8">
        <f t="shared" si="0"/>
        <v>10260</v>
      </c>
      <c r="B11" s="9"/>
      <c r="C11" s="10"/>
      <c r="D11" s="72"/>
      <c r="E11" s="11"/>
      <c r="F11" s="11"/>
      <c r="G11" s="8"/>
    </row>
    <row r="12" spans="1:7" ht="15.75" x14ac:dyDescent="0.25">
      <c r="A12" s="8">
        <f t="shared" si="0"/>
        <v>10261</v>
      </c>
      <c r="B12" s="9"/>
      <c r="C12" s="10"/>
      <c r="D12" s="72"/>
      <c r="E12" s="11"/>
      <c r="F12" s="11"/>
      <c r="G12" s="8"/>
    </row>
    <row r="13" spans="1:7" ht="15.75" x14ac:dyDescent="0.25">
      <c r="A13" s="8">
        <f t="shared" si="0"/>
        <v>10262</v>
      </c>
      <c r="B13" s="9"/>
      <c r="C13" s="10"/>
      <c r="D13" s="72"/>
      <c r="E13" s="11"/>
      <c r="F13" s="11"/>
      <c r="G13" s="8"/>
    </row>
    <row r="14" spans="1:7" ht="15.75" x14ac:dyDescent="0.25">
      <c r="A14" s="8">
        <f t="shared" si="0"/>
        <v>10263</v>
      </c>
      <c r="B14" s="9"/>
      <c r="C14" s="10"/>
      <c r="D14" s="72"/>
      <c r="E14" s="11"/>
      <c r="F14" s="11"/>
      <c r="G14" s="8"/>
    </row>
    <row r="15" spans="1:7" ht="15.75" x14ac:dyDescent="0.25">
      <c r="A15" s="8">
        <f t="shared" si="0"/>
        <v>10264</v>
      </c>
      <c r="B15" s="9"/>
      <c r="C15" s="10"/>
      <c r="D15" s="72"/>
      <c r="E15" s="11"/>
      <c r="F15" s="11"/>
      <c r="G15" s="8"/>
    </row>
    <row r="16" spans="1:7" ht="15.75" x14ac:dyDescent="0.25">
      <c r="A16" s="8">
        <f t="shared" si="0"/>
        <v>10265</v>
      </c>
      <c r="B16" s="9"/>
      <c r="C16" s="10"/>
      <c r="D16" s="72"/>
      <c r="E16" s="11"/>
      <c r="F16" s="11"/>
      <c r="G16" s="8"/>
    </row>
    <row r="17" spans="1:7" ht="15.75" x14ac:dyDescent="0.25">
      <c r="A17" s="8">
        <f t="shared" si="0"/>
        <v>10266</v>
      </c>
      <c r="B17" s="9"/>
      <c r="C17" s="10"/>
      <c r="D17" s="72"/>
      <c r="E17" s="11"/>
      <c r="F17" s="11"/>
      <c r="G17" s="8"/>
    </row>
    <row r="18" spans="1:7" ht="15.75" x14ac:dyDescent="0.25">
      <c r="A18" s="8">
        <f t="shared" si="0"/>
        <v>10267</v>
      </c>
      <c r="B18" s="9"/>
      <c r="C18" s="10"/>
      <c r="D18" s="72"/>
      <c r="E18" s="11"/>
      <c r="F18" s="11"/>
      <c r="G18" s="8"/>
    </row>
    <row r="19" spans="1:7" ht="15.75" x14ac:dyDescent="0.25">
      <c r="A19" s="8">
        <f t="shared" si="0"/>
        <v>10268</v>
      </c>
      <c r="B19" s="9"/>
      <c r="C19" s="10"/>
      <c r="D19" s="72"/>
      <c r="E19" s="11"/>
      <c r="F19" s="11"/>
      <c r="G19" s="8"/>
    </row>
    <row r="20" spans="1:7" ht="15.75" x14ac:dyDescent="0.25">
      <c r="A20" s="8">
        <f t="shared" si="0"/>
        <v>10269</v>
      </c>
      <c r="B20" s="13"/>
      <c r="C20" s="10"/>
      <c r="D20" s="72"/>
      <c r="E20" s="11"/>
      <c r="F20" s="11"/>
      <c r="G20" s="8"/>
    </row>
    <row r="21" spans="1:7" ht="15.75" x14ac:dyDescent="0.25">
      <c r="A21" s="8">
        <f t="shared" si="0"/>
        <v>10270</v>
      </c>
      <c r="B21" s="73"/>
      <c r="C21" s="10"/>
      <c r="D21" s="72"/>
      <c r="E21" s="11"/>
      <c r="F21" s="11"/>
      <c r="G21" s="8"/>
    </row>
    <row r="22" spans="1:7" ht="15.75" x14ac:dyDescent="0.25">
      <c r="A22" s="8">
        <f t="shared" si="0"/>
        <v>10271</v>
      </c>
      <c r="B22" s="74"/>
      <c r="C22" s="10"/>
      <c r="D22" s="72"/>
      <c r="E22" s="11"/>
      <c r="F22" s="11"/>
      <c r="G22" s="8"/>
    </row>
    <row r="23" spans="1:7" ht="15.75" x14ac:dyDescent="0.25">
      <c r="A23" s="8">
        <f t="shared" si="0"/>
        <v>10272</v>
      </c>
      <c r="B23" s="74"/>
      <c r="C23" s="10"/>
      <c r="D23" s="72"/>
      <c r="E23" s="11"/>
      <c r="F23" s="11"/>
      <c r="G23" s="8"/>
    </row>
    <row r="24" spans="1:7" ht="15.75" x14ac:dyDescent="0.25">
      <c r="A24" s="8">
        <f t="shared" si="0"/>
        <v>10273</v>
      </c>
      <c r="B24" s="9"/>
      <c r="C24" s="10"/>
      <c r="D24" s="72"/>
      <c r="E24" s="11"/>
      <c r="F24" s="11"/>
      <c r="G24" s="8"/>
    </row>
    <row r="25" spans="1:7" ht="15.75" x14ac:dyDescent="0.25">
      <c r="A25" s="8">
        <f t="shared" si="0"/>
        <v>10274</v>
      </c>
      <c r="B25" s="9"/>
      <c r="C25" s="10"/>
      <c r="D25" s="72"/>
      <c r="E25" s="11"/>
      <c r="F25" s="11"/>
      <c r="G25" s="8"/>
    </row>
    <row r="26" spans="1:7" ht="15.75" x14ac:dyDescent="0.25">
      <c r="A26" s="8">
        <f t="shared" si="0"/>
        <v>10275</v>
      </c>
      <c r="B26" s="9"/>
      <c r="C26" s="10"/>
      <c r="D26" s="72"/>
      <c r="E26" s="11"/>
      <c r="F26" s="11"/>
      <c r="G26" s="8"/>
    </row>
    <row r="27" spans="1:7" ht="15.75" x14ac:dyDescent="0.25">
      <c r="A27" s="8">
        <f t="shared" si="0"/>
        <v>10276</v>
      </c>
      <c r="B27" s="9"/>
      <c r="C27" s="10"/>
      <c r="D27" s="72"/>
      <c r="E27" s="11"/>
      <c r="F27" s="11"/>
      <c r="G27" s="8"/>
    </row>
    <row r="28" spans="1:7" ht="15.75" x14ac:dyDescent="0.25">
      <c r="A28" s="8">
        <f t="shared" si="0"/>
        <v>10277</v>
      </c>
      <c r="B28" s="9"/>
      <c r="C28" s="10"/>
      <c r="D28" s="72"/>
      <c r="E28" s="11"/>
      <c r="F28" s="11"/>
      <c r="G28" s="8"/>
    </row>
    <row r="29" spans="1:7" ht="15.75" x14ac:dyDescent="0.25">
      <c r="A29" s="8">
        <f t="shared" si="0"/>
        <v>10278</v>
      </c>
      <c r="B29" s="9"/>
      <c r="C29" s="10"/>
      <c r="D29" s="72"/>
      <c r="E29" s="11"/>
      <c r="F29" s="11"/>
      <c r="G29" s="8"/>
    </row>
    <row r="30" spans="1:7" ht="15.75" x14ac:dyDescent="0.25">
      <c r="A30" s="8">
        <f t="shared" si="0"/>
        <v>10279</v>
      </c>
      <c r="B30" s="9"/>
      <c r="C30" s="10"/>
      <c r="D30" s="72"/>
      <c r="E30" s="11"/>
      <c r="F30" s="11"/>
      <c r="G30" s="8"/>
    </row>
    <row r="31" spans="1:7" ht="15.75" x14ac:dyDescent="0.25">
      <c r="A31" s="8">
        <f t="shared" si="0"/>
        <v>10280</v>
      </c>
      <c r="B31" s="9"/>
      <c r="C31" s="10"/>
      <c r="D31" s="72"/>
      <c r="E31" s="11"/>
      <c r="F31" s="11"/>
      <c r="G31" s="8"/>
    </row>
    <row r="32" spans="1:7" ht="15.75" x14ac:dyDescent="0.25">
      <c r="A32" s="8">
        <f t="shared" si="0"/>
        <v>10281</v>
      </c>
      <c r="B32" s="9"/>
      <c r="C32" s="10"/>
      <c r="D32" s="72"/>
      <c r="E32" s="11"/>
      <c r="F32" s="11"/>
      <c r="G32" s="8"/>
    </row>
    <row r="33" spans="1:7" ht="15.75" x14ac:dyDescent="0.25">
      <c r="A33" s="8">
        <f t="shared" si="0"/>
        <v>10282</v>
      </c>
      <c r="B33" s="9"/>
      <c r="C33" s="10"/>
      <c r="D33" s="72"/>
      <c r="E33" s="11"/>
      <c r="F33" s="11"/>
      <c r="G33" s="8"/>
    </row>
    <row r="34" spans="1:7" ht="15.75" x14ac:dyDescent="0.25">
      <c r="A34" s="8">
        <f t="shared" si="0"/>
        <v>10283</v>
      </c>
      <c r="B34" s="9"/>
      <c r="C34" s="10"/>
      <c r="D34" s="72"/>
      <c r="E34" s="11"/>
      <c r="F34" s="11"/>
      <c r="G34" s="8"/>
    </row>
    <row r="35" spans="1:7" ht="15.75" x14ac:dyDescent="0.25">
      <c r="A35" s="8">
        <f t="shared" si="0"/>
        <v>10284</v>
      </c>
      <c r="B35" s="9"/>
      <c r="C35" s="10"/>
      <c r="D35" s="72"/>
      <c r="E35" s="11"/>
      <c r="F35" s="11"/>
      <c r="G3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BASE</vt:lpstr>
      <vt:lpstr>INV 28 FEBRERO 2026</vt:lpstr>
      <vt:lpstr>PERFILERIA EN PROCESO</vt:lpstr>
      <vt:lpstr>ACCESORIOS</vt:lpstr>
      <vt:lpstr>ACCESORIOS EN PROCESO</vt:lpstr>
      <vt:lpstr>UNIFICADO x CODIGO</vt:lpstr>
      <vt:lpstr>TD mes</vt:lpstr>
      <vt:lpstr>Inv Total mes</vt:lpstr>
      <vt:lpstr>INV COMPARADO</vt:lpstr>
      <vt:lpstr>CONSECUTIVO</vt:lpstr>
      <vt:lpstr>'INV 28 FEBRERO 2026'!Títulos_a_imprimir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 Vidrios Templex</cp:lastModifiedBy>
  <cp:lastPrinted>2026-03-19T14:49:46Z</cp:lastPrinted>
  <dcterms:created xsi:type="dcterms:W3CDTF">2021-02-11T19:33:36Z</dcterms:created>
  <dcterms:modified xsi:type="dcterms:W3CDTF">2026-03-24T14:45:27Z</dcterms:modified>
</cp:coreProperties>
</file>