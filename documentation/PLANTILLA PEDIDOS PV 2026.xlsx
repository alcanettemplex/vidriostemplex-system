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SERVIDOR\vidrios templex\PLANTILLA PEDIDOS PV.xlsx\"/>
    </mc:Choice>
  </mc:AlternateContent>
  <xr:revisionPtr revIDLastSave="0" documentId="13_ncr:1_{25236BAC-3FD4-44FB-8FDC-08FCDE8A916B}" xr6:coauthVersionLast="47" xr6:coauthVersionMax="47" xr10:uidLastSave="{00000000-0000-0000-0000-000000000000}"/>
  <bookViews>
    <workbookView xWindow="-120" yWindow="-120" windowWidth="29040" windowHeight="15720" tabRatio="787" activeTab="3" xr2:uid="{00000000-000D-0000-FFFF-FFFF00000000}"/>
  </bookViews>
  <sheets>
    <sheet name="ENERO" sheetId="78" r:id="rId1"/>
    <sheet name="FEBRERO" sheetId="79" r:id="rId2"/>
    <sheet name="MARZO" sheetId="80" r:id="rId3"/>
    <sheet name="ABRIL" sheetId="81" r:id="rId4"/>
  </sheets>
  <definedNames>
    <definedName name="_xlnm._FilterDatabase" localSheetId="3" hidden="1">ABRIL!$A$3:$P$70</definedName>
    <definedName name="_xlnm._FilterDatabase" localSheetId="0" hidden="1">ENERO!$A$3:$P$100</definedName>
    <definedName name="_xlnm._FilterDatabase" localSheetId="1" hidden="1">FEBRERO!$A$3:$P$71</definedName>
    <definedName name="_xlnm._FilterDatabase" localSheetId="2" hidden="1">MARZO!$A$3:$P$70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" i="81" l="1"/>
  <c r="K82" i="80"/>
  <c r="I81" i="80"/>
  <c r="I80" i="80"/>
  <c r="I76" i="80"/>
  <c r="K72" i="80"/>
  <c r="K56" i="80" l="1"/>
  <c r="K44" i="80" l="1"/>
  <c r="K41" i="80" l="1"/>
  <c r="K32" i="80"/>
  <c r="I65" i="79"/>
  <c r="I66" i="79"/>
  <c r="I67" i="79"/>
  <c r="K26" i="80"/>
  <c r="K25" i="80"/>
  <c r="K23" i="80"/>
  <c r="K21" i="80"/>
  <c r="K20" i="80" l="1"/>
  <c r="K10" i="80"/>
  <c r="K9" i="80"/>
  <c r="I5" i="80" l="1"/>
  <c r="I6" i="80"/>
  <c r="I7" i="80"/>
  <c r="I8" i="80"/>
  <c r="I9" i="80"/>
  <c r="I10" i="80"/>
  <c r="I11" i="80"/>
  <c r="I12" i="80"/>
  <c r="I13" i="80"/>
  <c r="I14" i="80"/>
  <c r="I15" i="80"/>
  <c r="I16" i="80"/>
  <c r="I17" i="80"/>
  <c r="I18" i="80"/>
  <c r="I19" i="80"/>
  <c r="I20" i="80"/>
  <c r="I21" i="80"/>
  <c r="I22" i="80"/>
  <c r="I23" i="80"/>
  <c r="I24" i="80"/>
  <c r="I25" i="80"/>
  <c r="I26" i="80"/>
  <c r="I27" i="80"/>
  <c r="I28" i="80"/>
  <c r="I29" i="80"/>
  <c r="I30" i="80"/>
  <c r="I31" i="80"/>
  <c r="I32" i="80"/>
  <c r="I33" i="80"/>
  <c r="I34" i="80"/>
  <c r="I35" i="80"/>
  <c r="I36" i="80"/>
  <c r="I37" i="80"/>
  <c r="I38" i="80"/>
  <c r="I39" i="80"/>
  <c r="I40" i="80"/>
  <c r="I41" i="80"/>
  <c r="I42" i="80"/>
  <c r="I43" i="80"/>
  <c r="I44" i="80"/>
  <c r="I45" i="80"/>
  <c r="I46" i="80"/>
  <c r="I47" i="80"/>
  <c r="I48" i="80"/>
  <c r="I49" i="80"/>
  <c r="I50" i="80"/>
  <c r="I51" i="80"/>
  <c r="I52" i="80"/>
  <c r="I53" i="80"/>
  <c r="I54" i="80"/>
  <c r="I55" i="80"/>
  <c r="I56" i="80"/>
  <c r="I57" i="80"/>
  <c r="I58" i="80"/>
  <c r="I59" i="80"/>
  <c r="I60" i="80"/>
  <c r="I61" i="80"/>
  <c r="I62" i="80"/>
  <c r="I63" i="80"/>
  <c r="I64" i="80"/>
  <c r="I65" i="80"/>
  <c r="I66" i="80"/>
  <c r="I67" i="80"/>
  <c r="I68" i="80"/>
  <c r="I69" i="80"/>
  <c r="I70" i="80"/>
  <c r="I71" i="80"/>
  <c r="I72" i="80"/>
  <c r="I73" i="80"/>
  <c r="I74" i="80"/>
  <c r="I75" i="80"/>
  <c r="I77" i="80"/>
  <c r="I78" i="80"/>
  <c r="I79" i="80"/>
  <c r="I4" i="80"/>
  <c r="K65" i="79"/>
  <c r="I64" i="79"/>
  <c r="I54" i="79"/>
  <c r="I55" i="79"/>
  <c r="I56" i="79"/>
  <c r="I57" i="79"/>
  <c r="I58" i="79"/>
  <c r="I59" i="79"/>
  <c r="I60" i="79"/>
  <c r="I61" i="79"/>
  <c r="I62" i="79"/>
  <c r="I63" i="79"/>
  <c r="K63" i="79"/>
  <c r="K60" i="79"/>
  <c r="I34" i="79"/>
  <c r="I35" i="79"/>
  <c r="I36" i="79"/>
  <c r="I37" i="79"/>
  <c r="I38" i="79"/>
  <c r="I39" i="79"/>
  <c r="I40" i="79"/>
  <c r="I41" i="79"/>
  <c r="I42" i="79"/>
  <c r="I43" i="79"/>
  <c r="I44" i="79"/>
  <c r="I45" i="79"/>
  <c r="I46" i="79"/>
  <c r="I47" i="79"/>
  <c r="I48" i="79"/>
  <c r="I49" i="79"/>
  <c r="I50" i="79"/>
  <c r="I51" i="79"/>
  <c r="I52" i="79"/>
  <c r="I53" i="79"/>
  <c r="K47" i="79"/>
  <c r="K45" i="79"/>
  <c r="K42" i="79"/>
  <c r="K34" i="79" l="1"/>
  <c r="K33" i="79" l="1"/>
  <c r="I33" i="79"/>
  <c r="I27" i="79"/>
  <c r="I28" i="79"/>
  <c r="I29" i="79"/>
  <c r="I30" i="79"/>
  <c r="I31" i="79"/>
  <c r="I32" i="79"/>
  <c r="K32" i="79"/>
  <c r="I26" i="79" l="1"/>
  <c r="I25" i="79" l="1"/>
  <c r="I24" i="79"/>
  <c r="I23" i="79" l="1"/>
  <c r="I18" i="79"/>
  <c r="I19" i="79"/>
  <c r="I20" i="79"/>
  <c r="I21" i="79"/>
  <c r="I22" i="79"/>
  <c r="K18" i="79"/>
  <c r="I17" i="79"/>
  <c r="I5" i="79"/>
  <c r="I6" i="79"/>
  <c r="I7" i="79"/>
  <c r="I8" i="79"/>
  <c r="I9" i="79"/>
  <c r="I10" i="79"/>
  <c r="I11" i="79"/>
  <c r="I12" i="79"/>
  <c r="I13" i="79"/>
  <c r="I14" i="79"/>
  <c r="I15" i="79"/>
  <c r="I16" i="79"/>
  <c r="K15" i="79"/>
  <c r="I4" i="79"/>
  <c r="K58" i="78" l="1"/>
  <c r="K37" i="78"/>
  <c r="K20" i="78" l="1"/>
  <c r="I20" i="78"/>
  <c r="K19" i="78"/>
  <c r="K18" i="78" l="1"/>
  <c r="I5" i="78" l="1"/>
  <c r="I6" i="78"/>
  <c r="I7" i="78"/>
  <c r="I8" i="78"/>
  <c r="I9" i="78"/>
  <c r="I10" i="78"/>
  <c r="I11" i="78"/>
  <c r="I12" i="78"/>
  <c r="I13" i="78"/>
  <c r="I14" i="78"/>
  <c r="I15" i="78"/>
  <c r="I16" i="78"/>
  <c r="I17" i="78"/>
  <c r="I18" i="78"/>
  <c r="I19" i="78"/>
  <c r="I21" i="78"/>
  <c r="I22" i="78"/>
  <c r="I23" i="78"/>
  <c r="I24" i="78"/>
  <c r="I25" i="78"/>
  <c r="I26" i="78"/>
  <c r="I27" i="78"/>
  <c r="I28" i="78"/>
  <c r="I29" i="78"/>
  <c r="I30" i="78"/>
  <c r="I31" i="78"/>
  <c r="I32" i="78"/>
  <c r="I33" i="78"/>
  <c r="I34" i="78"/>
  <c r="I35" i="78"/>
  <c r="I36" i="78"/>
  <c r="I37" i="78"/>
  <c r="I38" i="78"/>
  <c r="I39" i="78"/>
  <c r="I40" i="78"/>
  <c r="I41" i="78"/>
  <c r="I42" i="78"/>
  <c r="I43" i="78"/>
  <c r="I44" i="78"/>
  <c r="I45" i="78"/>
  <c r="I46" i="78"/>
  <c r="I47" i="78"/>
  <c r="I48" i="78"/>
  <c r="I49" i="78"/>
  <c r="I50" i="78"/>
  <c r="I51" i="78"/>
  <c r="I52" i="78"/>
  <c r="I53" i="78"/>
  <c r="I54" i="78"/>
  <c r="I55" i="78"/>
  <c r="I56" i="78"/>
  <c r="I57" i="78"/>
  <c r="I58" i="78"/>
  <c r="I59" i="78"/>
  <c r="I60" i="78"/>
  <c r="I61" i="78"/>
  <c r="I62" i="78"/>
  <c r="I63" i="78"/>
  <c r="I64" i="78"/>
  <c r="I65" i="78"/>
  <c r="I66" i="78"/>
  <c r="I67" i="78"/>
  <c r="I68" i="78"/>
  <c r="I69" i="78"/>
  <c r="I70" i="78"/>
  <c r="I71" i="78"/>
  <c r="I72" i="78"/>
  <c r="I73" i="78"/>
  <c r="I74" i="78"/>
  <c r="I75" i="78"/>
  <c r="I76" i="78"/>
  <c r="I77" i="78"/>
  <c r="I78" i="78"/>
  <c r="I79" i="78"/>
  <c r="I80" i="78"/>
  <c r="I81" i="78"/>
  <c r="I82" i="78"/>
  <c r="I83" i="78"/>
  <c r="I84" i="78"/>
  <c r="I85" i="78"/>
  <c r="I86" i="78"/>
  <c r="I87" i="78"/>
  <c r="I88" i="78"/>
  <c r="I89" i="78"/>
  <c r="I90" i="78"/>
  <c r="I91" i="78"/>
  <c r="I92" i="78"/>
  <c r="I93" i="78"/>
  <c r="I94" i="78"/>
  <c r="I95" i="78"/>
  <c r="I96" i="78"/>
  <c r="I97" i="78"/>
  <c r="I98" i="78"/>
  <c r="I99" i="78"/>
  <c r="I100" i="78"/>
  <c r="I4" i="78" l="1"/>
</calcChain>
</file>

<file path=xl/sharedStrings.xml><?xml version="1.0" encoding="utf-8"?>
<sst xmlns="http://schemas.openxmlformats.org/spreadsheetml/2006/main" count="1077" uniqueCount="270">
  <si>
    <t>ASESOR</t>
  </si>
  <si>
    <t>FECHA ENVIO</t>
  </si>
  <si>
    <t>HORA ENVIO</t>
  </si>
  <si>
    <t>PLANTILLA DE PEDIDOS VIDRIO TEMPLADO</t>
  </si>
  <si>
    <t>O.D.P TEMPLEX</t>
  </si>
  <si>
    <t>NOMBRE CLIENTE</t>
  </si>
  <si>
    <t>PEDIDO #</t>
  </si>
  <si>
    <t>PROVEEDOR</t>
  </si>
  <si>
    <t>OBSERVACION</t>
  </si>
  <si>
    <t>RECIBIDO x PROVEEDOR</t>
  </si>
  <si>
    <t>LLEGADA:</t>
  </si>
  <si>
    <t>ENTREGA:</t>
  </si>
  <si>
    <t>METRAJE   VENTA</t>
  </si>
  <si>
    <t>METRAJE REAL</t>
  </si>
  <si>
    <t xml:space="preserve"># DIAS DE ENTREGA </t>
  </si>
  <si>
    <t>BA</t>
  </si>
  <si>
    <t>FACTURA PV</t>
  </si>
  <si>
    <t>ENERO</t>
  </si>
  <si>
    <t>AA</t>
  </si>
  <si>
    <t>VITELSA S.A</t>
  </si>
  <si>
    <t>ESPESOR/VIDRIO ESPECIAL</t>
  </si>
  <si>
    <t>DONUTS DE ANTIOQUIA S.A.S (4+4) (1)</t>
  </si>
  <si>
    <t>JD</t>
  </si>
  <si>
    <t>KP</t>
  </si>
  <si>
    <t>DEJANDO HUELLA FERTILIDAD S.A.S (8MM) (5)</t>
  </si>
  <si>
    <t>ESTRATEGIAS PUNTO APARTE (6MM) (1)</t>
  </si>
  <si>
    <t>PETER DAVID KOZLOWSKY (8MM) (1)</t>
  </si>
  <si>
    <t>SANDRA JANETH FLOREZ RENDON (6MM) (2)</t>
  </si>
  <si>
    <t>YESID BONILLA (6MM) (6)</t>
  </si>
  <si>
    <t>VIDPLEX S.A</t>
  </si>
  <si>
    <t>060</t>
  </si>
  <si>
    <t>OK</t>
  </si>
  <si>
    <t>ALMACENES CORONA S.A.S (8MM) (2)</t>
  </si>
  <si>
    <t>GUSTAVO ADOLFO ARROYAVE ESCUDERO (8MM) (1)</t>
  </si>
  <si>
    <t>ALC</t>
  </si>
  <si>
    <t>CREARTEK DISEÑO Y CONSTRUCCIÓN (8MM) (47)</t>
  </si>
  <si>
    <t>MAPER S.A.S (6MM) (1)</t>
  </si>
  <si>
    <t>6524-A</t>
  </si>
  <si>
    <t>6524-B</t>
  </si>
  <si>
    <t>HAROLD ANDRES ALBARRACIN RIVERA (10MM) (1)</t>
  </si>
  <si>
    <t>0301 FILMS S.A.S (6MM) (1)</t>
  </si>
  <si>
    <t>INVERSIONES PRIMAVERAL S.A.S (6MM) (1)</t>
  </si>
  <si>
    <t>JUAN JOSE VARGAS (6MM) (43)</t>
  </si>
  <si>
    <t>SERGIO ANDRES BETANCUR</t>
  </si>
  <si>
    <t>DAVID ANDRES CARTAGENA USUGA (10MM) (8)</t>
  </si>
  <si>
    <t>CARNIDALES S.A.S (6MM) (2)</t>
  </si>
  <si>
    <t>ESTRUCTURAS METÁLICAS CONSTRUADEC S.A.S (6MM) (9)</t>
  </si>
  <si>
    <t>CRUZ ROJA COLOMBIANA (8MM) (1)</t>
  </si>
  <si>
    <t>JOHAN FERNANDO ARANGO MEDINA (6MM) (1)</t>
  </si>
  <si>
    <t>ANDRES FELIPE ORTIZ ROJAS (10MM) (1)</t>
  </si>
  <si>
    <t>JUAN CARLOS PABÓN LÓPEZ (6MM) (4)</t>
  </si>
  <si>
    <t>6534-A</t>
  </si>
  <si>
    <t>INGENIEROS DE ANTIOQUIA S.A.S (5MM) (20)</t>
  </si>
  <si>
    <t>6534-B</t>
  </si>
  <si>
    <t>INGENIEROS DE ANTIOQUIA S.A.S (6MM) (8)</t>
  </si>
  <si>
    <t>CORPORACIÓN ANTIOQUIA PRESENTE (6MM) (3)</t>
  </si>
  <si>
    <t>FULL SEGURIDAD CAJAS FUERTES (10MM) (1)</t>
  </si>
  <si>
    <t>JUAN FERNANDO GARCIA (8MM) (1)</t>
  </si>
  <si>
    <t>ANDRES TABARES CHAVARRIAGA (6MM) (1)</t>
  </si>
  <si>
    <t>SOLUCIONES ELECTRICAS ESPECIALIZADAS (6MM) (1)</t>
  </si>
  <si>
    <t>TIMEX LOGISTICS S.A.S (6MM) (1)</t>
  </si>
  <si>
    <t xml:space="preserve">OA-3796 </t>
  </si>
  <si>
    <t>VT</t>
  </si>
  <si>
    <t>VIDRIOS TEMPLEX S.A.S (6MM) (1)</t>
  </si>
  <si>
    <t>JESUS MIGUEL LIZARRALDE CHAVERRA (10MM) (1)</t>
  </si>
  <si>
    <t>CIELO ANDREA GIL CORTES (6MM) (1)</t>
  </si>
  <si>
    <t>CONHYDRA S.A E.S.P (4+4) (2)</t>
  </si>
  <si>
    <t>CLAUDIA MILENA LOPEZ MONSALVE (8MM) (4)</t>
  </si>
  <si>
    <t>AMOR PROPIO GYM (8MM) (4)</t>
  </si>
  <si>
    <t>JAVIER ARTURO SOTO PEREZ (6MM) (2)</t>
  </si>
  <si>
    <t>´0,40</t>
  </si>
  <si>
    <t>LEONARDO VIANA MAZO (6MM) (1)</t>
  </si>
  <si>
    <t>NL</t>
  </si>
  <si>
    <t>PEDRO PABLO CASTAÑO (6MM) (2)</t>
  </si>
  <si>
    <t>INSIDE STUDIO S.A.S (6MM) (4)</t>
  </si>
  <si>
    <t>MILENA FLOREZ QUINTERO (6MM) (30)</t>
  </si>
  <si>
    <t>SISCOAX S.A.S (8MM) (1)</t>
  </si>
  <si>
    <t>FELIPE LONDOÑO MESA (6MM) (1)</t>
  </si>
  <si>
    <t>NERARDO EDINSON VERA ZAPATA (6MM) (1)</t>
  </si>
  <si>
    <t>FERNANDO JOSE TERAN LLANOS (6MM) (1)</t>
  </si>
  <si>
    <t>B&amp;L REDES E INGENIERIA S.A.S (10MM) (3)</t>
  </si>
  <si>
    <t>CONJUNTO RESIDENCIAL VILLATERRA PROPIEDAD (10MM) (1)</t>
  </si>
  <si>
    <t>HUGO ALONSO PEÑA SALAZAR (6MM) (6)</t>
  </si>
  <si>
    <t>ALBERTO LEON OSORIO ZULUAGA (6MM) (1)</t>
  </si>
  <si>
    <t>DUGOMOTOS S.A.S (10MM) (1)</t>
  </si>
  <si>
    <t>CANINOS Y FELINOS EL POBLADO S.A.S (6MM) (2)</t>
  </si>
  <si>
    <t>CANINOS Y FELINOS EL POBLADO S.A.S (8MM) (3)</t>
  </si>
  <si>
    <t>CATALINA VANEGAS SALAZAR (6MM) (9)</t>
  </si>
  <si>
    <t>NORA ELENA OSORIO ROA (6MM) (2)</t>
  </si>
  <si>
    <t>JAVIER SOLA BLANCO (8MM) (3)</t>
  </si>
  <si>
    <t>LUIS ADRIAN CARDONA LOPEZ (6MM) (14)</t>
  </si>
  <si>
    <t>OSCAR ANDRES SANMARTIN YEPES (5MM) (1)</t>
  </si>
  <si>
    <t>ALVERIRO DE JESUS VARGAS (10MM) (1)</t>
  </si>
  <si>
    <t>EMPAQUETADURAS Y SELLOS (6MM) (8)</t>
  </si>
  <si>
    <t>HYDROCARE S.A.S (6MM) (1)</t>
  </si>
  <si>
    <t>INSIDE STUDIO S.A.S (8MM) (2)</t>
  </si>
  <si>
    <t>6570-A</t>
  </si>
  <si>
    <t>6570-B</t>
  </si>
  <si>
    <t>GRUPO NORDIKA S.A.S (10MM) (1)</t>
  </si>
  <si>
    <t>GRUPO NORDIKA S.A.S (8MM) (1)</t>
  </si>
  <si>
    <t>CARLOS MARIO GRAJALES ZAPATA (6MM) (1)</t>
  </si>
  <si>
    <t>COMPAÑÍA DE EMPAQUES S.A (10MM) (1)</t>
  </si>
  <si>
    <t>MAPER S.A.S (6MM) (2)</t>
  </si>
  <si>
    <t>INGENIEROS DE ANTIOQUIA S.A.S (5MM) (10)</t>
  </si>
  <si>
    <t>JEISSON ANDRES VALENCIA RENDON (6MM) (1)</t>
  </si>
  <si>
    <t>MONICA MARIA MONA GARCES (6MM) (1)</t>
  </si>
  <si>
    <t>T-LAVA S.A.S (6MM) (1)</t>
  </si>
  <si>
    <t>FEBRERO</t>
  </si>
  <si>
    <t>ALBERTO PEREZ (6MM) (1)</t>
  </si>
  <si>
    <t>ANA PATRICIA PATIÑO ATEHORTUA (8MM) (4)</t>
  </si>
  <si>
    <t>GABRIEL RUIZ (6MM) (1)</t>
  </si>
  <si>
    <t>STELLA ARISTIZABAL TABARES (6MM) (2)</t>
  </si>
  <si>
    <t>INMELAC S.A.S (10MM) (1)</t>
  </si>
  <si>
    <r>
      <t>JUAN CARLOS BETANCUR PULGARIN (24MM) (1)</t>
    </r>
    <r>
      <rPr>
        <sz val="12"/>
        <color rgb="FFFF0000"/>
        <rFont val="Arial"/>
        <family val="2"/>
      </rPr>
      <t xml:space="preserve"> ESPECIAL</t>
    </r>
  </si>
  <si>
    <r>
      <t>PARQUE COMERCIAL EL TESORO P.H (20MM) (2)</t>
    </r>
    <r>
      <rPr>
        <sz val="12"/>
        <color rgb="FFFF0000"/>
        <rFont val="Arial"/>
        <family val="2"/>
      </rPr>
      <t xml:space="preserve"> ESPECIAL</t>
    </r>
  </si>
  <si>
    <t>TECNOLOGIA RENOVABLE Y SOSTENIBLE (6MM) (1)</t>
  </si>
  <si>
    <t>GEMA PROYECTOS INTEGRALES S.A.S (6MM) (1)</t>
  </si>
  <si>
    <t>MARIA AMELIA SALAZAR PINZON (6MM) (1)</t>
  </si>
  <si>
    <t>CH CREATIVOS S.A.S (8MM) (1)</t>
  </si>
  <si>
    <t>HELP TECHNOLOGY CIA LTDA (8MM) (1)</t>
  </si>
  <si>
    <t>INDUSTRIAS HACEB S.A (8MM) (1)</t>
  </si>
  <si>
    <t>NUBIA ESTELLA SUAREZ CARO (5MM) (12)</t>
  </si>
  <si>
    <t>CANINOS Y FELINOS EL POBLADO S.A.S (6MM) (4)</t>
  </si>
  <si>
    <t>NELSON MONTES LOPEZ (6MM) (1)</t>
  </si>
  <si>
    <t>SISCOAX S.A.S (6MM) (2)</t>
  </si>
  <si>
    <t>APARTA SUITE TORRE IGLESIA POBLADO (6MM) (1)</t>
  </si>
  <si>
    <t>MIGUEL ANGEL VILLEGAS MALDONADO (6MM) (2)</t>
  </si>
  <si>
    <t>GRUPO NORDIKA S.A.S (10MM) (3) diametro</t>
  </si>
  <si>
    <t>6602-A</t>
  </si>
  <si>
    <t>6602-B</t>
  </si>
  <si>
    <t>GRUPO NORDIKA S.A.S (8MM) (3) MICKEY MOUSE</t>
  </si>
  <si>
    <t>13;55</t>
  </si>
  <si>
    <t>ACABADOS JB S.A.S (6MM) (4)</t>
  </si>
  <si>
    <t>MAR INVERSIONES Y TRANSPORTE S.A.S (6MM) (1)</t>
  </si>
  <si>
    <t>JUAN CARLOS MOLINA PELEAZ (5MM) (1)</t>
  </si>
  <si>
    <t>YULIANA MARIA AYALA LOPEZ (8MM) (5)</t>
  </si>
  <si>
    <t>ALONSO LOPEZ DAVILA (6MM) (2)</t>
  </si>
  <si>
    <t>GIRARTE INDUSTRIA GRAFICA S.A.S (6MM) (7)</t>
  </si>
  <si>
    <t>JUAN CARLOS PABON LÓPEZ (6MM) (2)</t>
  </si>
  <si>
    <t>REPOSTERIAS TDG S.A.S (5MM) (2)</t>
  </si>
  <si>
    <t>BRWNSTONE CAPITAL S.A.S (6MM)</t>
  </si>
  <si>
    <t>CATALINA VANEGAS SALAZAR (6MM) (1)</t>
  </si>
  <si>
    <t>NEVA TIERRA S.A.S (6MM) (1)</t>
  </si>
  <si>
    <t>HRO LUXE (8MM) (1)</t>
  </si>
  <si>
    <t>JOHAN FERNANDO ARANGO MOLINA (6MM) (14)</t>
  </si>
  <si>
    <t>ESDECO ESTRUCTURAS DE COLOMBIA S.A.S (6MM) (4)</t>
  </si>
  <si>
    <t>UPEGUI BUENDIA ARQUITECTOS (8MM) (2)</t>
  </si>
  <si>
    <t>NELSON MONTES LOPEZ (8MM) (2)</t>
  </si>
  <si>
    <t>ESPUMAS MEDELLIN S.A (6MM) (1)</t>
  </si>
  <si>
    <t>JUAN FERNANDO GARCIA GÓMEZ (8MM) (1)</t>
  </si>
  <si>
    <t>ANA CRISTINA MARIN GÓMEZ (6MM) (2)</t>
  </si>
  <si>
    <t>UROLOGICAL S.A.S (8MM) (1)</t>
  </si>
  <si>
    <t>JENNY GARCIA ARANGO (8MM) (2)</t>
  </si>
  <si>
    <t>CENTRO ACEROS S.A.S (4MM) (32)</t>
  </si>
  <si>
    <t>INDUSTRIAS HACEB S.A (8MM) (4)</t>
  </si>
  <si>
    <t>GABRIEL JAIME PEREZ ARISTIZABAL (6MM) (4)</t>
  </si>
  <si>
    <t>ERWIN ALEJANDRO GIRALDO SALDARRIAGA (10MM) (7)</t>
  </si>
  <si>
    <t>RUBEN KLUCK (8MM) (1)</t>
  </si>
  <si>
    <t xml:space="preserve">INVERSIONES NATURAL SOUND S.A.S (8MM) (8) </t>
  </si>
  <si>
    <t>FULL SEGURIDAD CAJAS FUERTES Y BLINDAJES (10MM) (1)</t>
  </si>
  <si>
    <t>OA-3805</t>
  </si>
  <si>
    <t>ALINSON JAVIER LUGO ARRIETA (6MM) (1)</t>
  </si>
  <si>
    <t>FUND. GREATER MEDELLIN (6MM) (1)</t>
  </si>
  <si>
    <t>CREATUM ACCESORIOS S.A.S (6MM) (1)</t>
  </si>
  <si>
    <t>OSCAR MAURICIO SALAZAR ESPINAL (8MM) (2)</t>
  </si>
  <si>
    <t>SOLUCIONES AZUR S.A.S (5MM) (1)</t>
  </si>
  <si>
    <t>BONEM S.A (5MM) (1)</t>
  </si>
  <si>
    <t>PARQUE COMERCIAL EL TESORO P.H (6MM) (1) GRIS</t>
  </si>
  <si>
    <t>PROPLAS S.A.S (6MM) (1)</t>
  </si>
  <si>
    <t>INDUSTRIAS HACEB S.A (8MM) (2)</t>
  </si>
  <si>
    <t>OA-3807</t>
  </si>
  <si>
    <t>LUIS ARMANDO ACOSTA (6MM) (1)</t>
  </si>
  <si>
    <t>JUAN GABRIEL HENAO POSADA (6MM) (2)</t>
  </si>
  <si>
    <t>HUGO ALONSO PEÑA SALAZAR (6MM) (2)</t>
  </si>
  <si>
    <t>JOHNNY AHUMADA PEREIRA (6MM) (4)</t>
  </si>
  <si>
    <t>HBER JORGE TIRADO GONZALEZ (6MM) (7)</t>
  </si>
  <si>
    <t>VINDI S.A.S (6MM) (1)</t>
  </si>
  <si>
    <t>SARA MARIA VELASQUEZ LOPEZ (6MM) (1)</t>
  </si>
  <si>
    <t>ARCHTEK STUDIO S.A.S (6MM) (1)</t>
  </si>
  <si>
    <t>CONSTRUREFORMAS HVA S.A.S (10MM) (2)</t>
  </si>
  <si>
    <t>ALVERIO DE JEUSS VARGAS (6MM) (1)</t>
  </si>
  <si>
    <t>DIMA INGENIERIA S.A.S (6+6) (20)</t>
  </si>
  <si>
    <t>6653-A</t>
  </si>
  <si>
    <t>BROWNSTONE CAPITAL S.A.S (8MM) (1)</t>
  </si>
  <si>
    <t>EMPAQUETADURAS Y SELLOS S.A.S (6MM) (1)</t>
  </si>
  <si>
    <t>SOLINOFF CORPORATION SA.S (6MM) (1)</t>
  </si>
  <si>
    <t>HORMED S.A.S (6MM) (1)</t>
  </si>
  <si>
    <t>EDWIN ORELLANA MARTINEZ (6MM) (1)</t>
  </si>
  <si>
    <t>DIMA INGENIERIA S.A.S (6+6) (8)</t>
  </si>
  <si>
    <t>JUAN JOSE VARGAS (6MM) (17)</t>
  </si>
  <si>
    <t>RICARDO JARAMILLO TRUJILLO (6MM) (2)</t>
  </si>
  <si>
    <t>GRUPO VI/P S.A.S (8MM) (3)</t>
  </si>
  <si>
    <t>CI JYJ DISTRIBUCIONES S.A.S (8MM) (4)</t>
  </si>
  <si>
    <t>JONATHAN GIRALDO GONZALEZ (6MM) (1)</t>
  </si>
  <si>
    <t>AL</t>
  </si>
  <si>
    <r>
      <t xml:space="preserve">LITO JAIRO S.A.S (6MM) (4) </t>
    </r>
    <r>
      <rPr>
        <sz val="11"/>
        <color rgb="FFFF0000"/>
        <rFont val="Arial"/>
        <family val="2"/>
      </rPr>
      <t>FALTA 1 VIDRIO</t>
    </r>
  </si>
  <si>
    <t>JOSE FERNANDO LANZA BELTRAN (6MM) (4)</t>
  </si>
  <si>
    <t>PIEDAD MATILDE RAVE FLOREZ (8MM) (4)</t>
  </si>
  <si>
    <t>GRUPO ESS S.A.S (10MM) (1)</t>
  </si>
  <si>
    <t>JAIR ALEIRO RODRIGUEZ OCAMPO (5MM) (4) GRIS HUMO</t>
  </si>
  <si>
    <t>CESAR AUGUSTO DIAZ OSORIO (8MM) (4)</t>
  </si>
  <si>
    <t>LUIS EDUARDO VALENCIA RAMIREZ (6MM) (2)</t>
  </si>
  <si>
    <t>LUZ MARY TABORDA MARULANDA (8MM) (5)</t>
  </si>
  <si>
    <t>LUIS ALBERTO GÓMEZ GALLEGO (6MM) (2)</t>
  </si>
  <si>
    <t>FEDERMAN DE LA OSSA MURILLO (8MM) (1)</t>
  </si>
  <si>
    <t>6676-A</t>
  </si>
  <si>
    <t>6676-B</t>
  </si>
  <si>
    <t>GRUPO NORDIKA S.A.S (10MM) (2) (ESPECIAL)</t>
  </si>
  <si>
    <t>MARIA TERESA GONZALEZ CARVAJAL (6MM) (1)</t>
  </si>
  <si>
    <t>INKUBUS S.A.S (10MM) (1)</t>
  </si>
  <si>
    <t>IMPORTACIONES POWER S.A.S (5MM) (1)</t>
  </si>
  <si>
    <t>ABAD ORTIZ HENAO (8MM) (5)</t>
  </si>
  <si>
    <t>EMPAQUETADURAS Y SELLOS S.A.S (8MM) (2)</t>
  </si>
  <si>
    <t>YULIANA MARIA AYALA LOPEZ (8MM) (3)</t>
  </si>
  <si>
    <t>YULIANA VANESA RUIZ PATIÑO (8MM) (1)</t>
  </si>
  <si>
    <t>THE YELLOW HOUSE S.A.S (8MM) (2)</t>
  </si>
  <si>
    <t>JUAN ANGEL OSORIO GALLO (6MM) (1)</t>
  </si>
  <si>
    <t>UNITA APP S.A.S (6MM) (2)</t>
  </si>
  <si>
    <t>JULIAN STIVENS LONDOÑO (6MM) (6)</t>
  </si>
  <si>
    <t>OSCAR ALBERTO ARANGO CASAS (6MM) (6)</t>
  </si>
  <si>
    <t>GRUPO VI/P S.A.S (8MM) (1)</t>
  </si>
  <si>
    <t>SANTIAGO TORRES PAMPLONA (6MM) (6)</t>
  </si>
  <si>
    <t>HORMED S.A.S (6MM) (5)</t>
  </si>
  <si>
    <t>ING Y CONSTR EL DIAMANTE (8MM) (2)</t>
  </si>
  <si>
    <t>GRADEZCO HDA (6+6) (1)</t>
  </si>
  <si>
    <t>JUAN RAFAEL COBALEDA BEDOYA (6MM) (1)</t>
  </si>
  <si>
    <t>CONSORCIO INTER HOSPITAL (6MM) (1)</t>
  </si>
  <si>
    <t>MANUELA GIL MONTOYA (8MM) (2)</t>
  </si>
  <si>
    <t>ROSMINIA GRAJALES PIEDRAHITA (6MM) (1)</t>
  </si>
  <si>
    <t>FERNANDO BENAVIDES MENDESZ (8MM) (7)</t>
  </si>
  <si>
    <t>GRUPO MULATA S.A.S (8MM) (3)</t>
  </si>
  <si>
    <t xml:space="preserve">AVQ S.A.S (6MM) (3) </t>
  </si>
  <si>
    <t>ESPUMAS MEDELLIN S.A (5MM) (2)</t>
  </si>
  <si>
    <t>CONSTRUREFORMAS HVA S.A.S (10MM) (1)</t>
  </si>
  <si>
    <t>CATDOG CV S.A.S (10MM) (3)</t>
  </si>
  <si>
    <t xml:space="preserve">GRUPO NORDIKA S.A.S (8MM) (2) (ESPECIAL) </t>
  </si>
  <si>
    <t>FELIPE VASQUEZ ERAZO (5MM) (5)</t>
  </si>
  <si>
    <t>ZIRCON CONSTRUCTORA S.A.S (6MM) (13)</t>
  </si>
  <si>
    <t>GUSTAVO ALONSO ALVAREZ RESTREPO (6MM) (4)</t>
  </si>
  <si>
    <t>ALMACENES CORONA S.A.S (8MM) (1)</t>
  </si>
  <si>
    <t>6715-A</t>
  </si>
  <si>
    <t>6715-B</t>
  </si>
  <si>
    <t>DANIELA ALEXANDRA AMARO PINEDA (6MM) (4)</t>
  </si>
  <si>
    <t>SOCIEDAD IMPORTADORA JAPAN (6MM) (1)</t>
  </si>
  <si>
    <t>INVERSIONES IMPRIMA S.A.S (6MM) (2)</t>
  </si>
  <si>
    <t>LIBARDO GIRALDO MONTOYA (6MM) (2)</t>
  </si>
  <si>
    <t xml:space="preserve">BAT CORPORAL ART S.A.S (10MM) (19) </t>
  </si>
  <si>
    <t>OA-3813</t>
  </si>
  <si>
    <t>WILTON (6MM) (12)</t>
  </si>
  <si>
    <t>COMPAÑÍA DE EMPAQUES S.A (6MM) (1)</t>
  </si>
  <si>
    <t>ING Y CONSTR EL DIAMANTE (8MM) (1)</t>
  </si>
  <si>
    <t>EUGENIORIOS VALENCIA (8MM) (2)</t>
  </si>
  <si>
    <t xml:space="preserve">DANIEL GIL AGUDELO (8MM) (8) </t>
  </si>
  <si>
    <t>INMIEBLES ARMONIA S.A.S (6MM) (7)</t>
  </si>
  <si>
    <t>MARZO</t>
  </si>
  <si>
    <t>ABRIL</t>
  </si>
  <si>
    <t>WESLY MEJIA MANRIQUE (8MM) (2)</t>
  </si>
  <si>
    <t>SHIRLEY MARGARITA SCHTBORGH (6MM) (1)</t>
  </si>
  <si>
    <t>DANIEL MADRIGAL GARCIA (8MM) (6)</t>
  </si>
  <si>
    <t>OMAR ALFONSO ARDILA (6MM) (12)</t>
  </si>
  <si>
    <r>
      <t xml:space="preserve">LUIS FERNANDO RODRIGUEZ MONTAÑO (8MM) (3) </t>
    </r>
    <r>
      <rPr>
        <sz val="11"/>
        <color rgb="FFFF0000"/>
        <rFont val="Arial"/>
        <family val="2"/>
      </rPr>
      <t>DEVUELVE 1 VIDRIO RAYADO</t>
    </r>
  </si>
  <si>
    <r>
      <t xml:space="preserve">PAOLA HELENA SANCHEZ PUERTA (8MM) (2) </t>
    </r>
    <r>
      <rPr>
        <sz val="12"/>
        <color rgb="FFFF0000"/>
        <rFont val="Arial"/>
        <family val="2"/>
      </rPr>
      <t>DEUELVEN AMBOS</t>
    </r>
    <r>
      <rPr>
        <sz val="12"/>
        <color theme="1"/>
        <rFont val="Arial"/>
        <family val="2"/>
      </rPr>
      <t xml:space="preserve"> </t>
    </r>
    <r>
      <rPr>
        <sz val="12"/>
        <color rgb="FFFF0000"/>
        <rFont val="Arial"/>
        <family val="2"/>
      </rPr>
      <t>(2)</t>
    </r>
  </si>
  <si>
    <t>ROSMINIA GRAJALES PIEDRAHITA (10MM) (27)</t>
  </si>
  <si>
    <t>PARROQUIA NUESTRA SEÑORA DE CHIQUINQUIRA (6MM) (4)</t>
  </si>
  <si>
    <t>LILIANA PEREZ MONCADA (6MM) (1)</t>
  </si>
  <si>
    <t>LILIANA PEREZ MONCADA (5MM) (7)</t>
  </si>
  <si>
    <t>6731-A</t>
  </si>
  <si>
    <t>6731-B</t>
  </si>
  <si>
    <r>
      <t>ZERIAL S.A.S (8MM) (14)</t>
    </r>
    <r>
      <rPr>
        <sz val="11"/>
        <color rgb="FFFF0000"/>
        <rFont val="Arial"/>
        <family val="2"/>
      </rPr>
      <t xml:space="preserve"> PENDIENTE 1 VIDRIO VIENE EL LUNES</t>
    </r>
  </si>
  <si>
    <t>FERNANDO CANO DIAZ (6MM)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</si>
</sst>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&quot;€&quot;_-;\-* #,##0.00\ &quot;€&quot;_-;_-* &quot;-&quot;??\ &quot;€&quot;_-;_-@_-"/>
    <numFmt numFmtId="165" formatCode="_(&quot;$&quot;* #,##0.00_);_(&quot;$&quot;* \(#,##0.00\);_(&quot;$&quot;* &quot;-&quot;??_);_(@_)"/>
    <numFmt numFmtId="166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26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Arial"/>
      <family val="2"/>
    </font>
    <font>
      <b/>
      <sz val="26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FF0000"/>
      <name val="Arial"/>
      <family val="2"/>
    </font>
    <font>
      <sz val="11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9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0" fillId="0" borderId="0" applyFont="0" applyFill="0" applyBorder="0" applyAlignment="0" applyProtection="0"/>
    <xf numFmtId="165" fontId="10" fillId="0" borderId="0" applyFont="0" applyFill="0" applyBorder="0" applyAlignment="0" applyProtection="0"/>
  </cellStyleXfs>
  <cellXfs count="70">
    <xf numFmtId="0" fontId="0" fillId="0" borderId="0" xfId="0"/>
    <xf numFmtId="0" fontId="3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7" fontId="6" fillId="0" borderId="2" xfId="0" applyNumberFormat="1" applyFont="1" applyBorder="1" applyAlignment="1">
      <alignment vertical="center"/>
    </xf>
    <xf numFmtId="17" fontId="6" fillId="0" borderId="3" xfId="0" applyNumberFormat="1" applyFont="1" applyBorder="1" applyAlignment="1">
      <alignment vertical="center"/>
    </xf>
    <xf numFmtId="17" fontId="6" fillId="0" borderId="4" xfId="0" applyNumberFormat="1" applyFont="1" applyBorder="1" applyAlignment="1">
      <alignment vertical="center"/>
    </xf>
    <xf numFmtId="17" fontId="6" fillId="0" borderId="5" xfId="0" applyNumberFormat="1" applyFont="1" applyBorder="1" applyAlignment="1">
      <alignment vertical="center"/>
    </xf>
    <xf numFmtId="0" fontId="3" fillId="2" borderId="8" xfId="0" applyFont="1" applyFill="1" applyBorder="1" applyAlignment="1">
      <alignment horizontal="center" vertical="center" wrapText="1"/>
    </xf>
    <xf numFmtId="49" fontId="3" fillId="2" borderId="8" xfId="0" applyNumberFormat="1" applyFont="1" applyFill="1" applyBorder="1" applyAlignment="1">
      <alignment horizontal="center" vertical="center" wrapText="1"/>
    </xf>
    <xf numFmtId="49" fontId="3" fillId="2" borderId="8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15" fontId="3" fillId="2" borderId="9" xfId="0" applyNumberFormat="1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20" fontId="8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4" fontId="8" fillId="0" borderId="8" xfId="0" applyNumberFormat="1" applyFont="1" applyBorder="1" applyAlignment="1">
      <alignment horizontal="center" vertical="center"/>
    </xf>
    <xf numFmtId="20" fontId="8" fillId="0" borderId="8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" xfId="0" applyFont="1" applyBorder="1"/>
    <xf numFmtId="14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14" fontId="8" fillId="2" borderId="1" xfId="0" applyNumberFormat="1" applyFont="1" applyFill="1" applyBorder="1" applyAlignment="1">
      <alignment horizontal="center" vertical="center"/>
    </xf>
    <xf numFmtId="20" fontId="5" fillId="0" borderId="0" xfId="0" applyNumberFormat="1" applyFont="1" applyAlignment="1">
      <alignment horizontal="center" vertical="center"/>
    </xf>
    <xf numFmtId="14" fontId="8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center"/>
    </xf>
    <xf numFmtId="20" fontId="8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20" fontId="11" fillId="0" borderId="1" xfId="0" applyNumberFormat="1" applyFont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14" fontId="11" fillId="0" borderId="8" xfId="0" applyNumberFormat="1" applyFont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/>
    </xf>
    <xf numFmtId="20" fontId="11" fillId="0" borderId="8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7" fontId="7" fillId="0" borderId="10" xfId="0" applyNumberFormat="1" applyFont="1" applyBorder="1" applyAlignment="1">
      <alignment horizontal="center" vertical="center" wrapText="1"/>
    </xf>
    <xf numFmtId="17" fontId="7" fillId="0" borderId="3" xfId="0" applyNumberFormat="1" applyFont="1" applyBorder="1" applyAlignment="1">
      <alignment horizontal="center" vertical="center" wrapText="1"/>
    </xf>
    <xf numFmtId="17" fontId="7" fillId="0" borderId="11" xfId="0" applyNumberFormat="1" applyFont="1" applyBorder="1" applyAlignment="1">
      <alignment horizontal="center" vertical="center" wrapText="1"/>
    </xf>
    <xf numFmtId="17" fontId="7" fillId="0" borderId="5" xfId="0" applyNumberFormat="1" applyFont="1" applyBorder="1" applyAlignment="1">
      <alignment horizontal="center" vertical="center" wrapText="1"/>
    </xf>
    <xf numFmtId="17" fontId="9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</cellXfs>
  <cellStyles count="19">
    <cellStyle name="Euro" xfId="2" xr:uid="{00000000-0005-0000-0000-000000000000}"/>
    <cellStyle name="Millares 2" xfId="17" xr:uid="{00000000-0005-0000-0000-000001000000}"/>
    <cellStyle name="Moneda 2" xfId="18" xr:uid="{00000000-0005-0000-0000-000002000000}"/>
    <cellStyle name="Normal" xfId="0" builtinId="0"/>
    <cellStyle name="Normal 2" xfId="3" xr:uid="{00000000-0005-0000-0000-000004000000}"/>
    <cellStyle name="Normal 2 2" xfId="4" xr:uid="{00000000-0005-0000-0000-000005000000}"/>
    <cellStyle name="Normal 3" xfId="5" xr:uid="{00000000-0005-0000-0000-000006000000}"/>
    <cellStyle name="Normal 3 2" xfId="6" xr:uid="{00000000-0005-0000-0000-000007000000}"/>
    <cellStyle name="Normal 3 3" xfId="7" xr:uid="{00000000-0005-0000-0000-000008000000}"/>
    <cellStyle name="Normal 3 3 2" xfId="8" xr:uid="{00000000-0005-0000-0000-000009000000}"/>
    <cellStyle name="Normal 3 4" xfId="9" xr:uid="{00000000-0005-0000-0000-00000A000000}"/>
    <cellStyle name="Normal 3 5" xfId="10" xr:uid="{00000000-0005-0000-0000-00000B000000}"/>
    <cellStyle name="Normal 4" xfId="11" xr:uid="{00000000-0005-0000-0000-00000C000000}"/>
    <cellStyle name="Normal 5" xfId="12" xr:uid="{00000000-0005-0000-0000-00000D000000}"/>
    <cellStyle name="Normal 6" xfId="13" xr:uid="{00000000-0005-0000-0000-00000E000000}"/>
    <cellStyle name="Normal 7" xfId="1" xr:uid="{00000000-0005-0000-0000-00000F000000}"/>
    <cellStyle name="Normal 7 2" xfId="14" xr:uid="{00000000-0005-0000-0000-000010000000}"/>
    <cellStyle name="Normal 7 2 2" xfId="15" xr:uid="{00000000-0005-0000-0000-000011000000}"/>
    <cellStyle name="Normal 7 3" xfId="16" xr:uid="{00000000-0005-0000-0000-000012000000}"/>
  </cellStyles>
  <dxfs count="12"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3300"/>
      <color rgb="FF1E9231"/>
      <color rgb="FF0000FF"/>
      <color rgb="FF00800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</xdr:colOff>
      <xdr:row>0</xdr:row>
      <xdr:rowOff>59531</xdr:rowOff>
    </xdr:from>
    <xdr:to>
      <xdr:col>2</xdr:col>
      <xdr:colOff>1089937</xdr:colOff>
      <xdr:row>1</xdr:row>
      <xdr:rowOff>233428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051C87BE-B44D-4E1A-BA05-1EE1022CCB12}"/>
            </a:ext>
          </a:extLst>
        </xdr:cNvPr>
        <xdr:cNvGrpSpPr/>
      </xdr:nvGrpSpPr>
      <xdr:grpSpPr>
        <a:xfrm>
          <a:off x="1234281" y="59531"/>
          <a:ext cx="2014656" cy="470230"/>
          <a:chOff x="490118" y="642315"/>
          <a:chExt cx="6939964" cy="2375193"/>
        </a:xfrm>
      </xdr:grpSpPr>
      <xdr:sp macro="" textlink="">
        <xdr:nvSpPr>
          <xdr:cNvPr id="4" name="object 2">
            <a:extLst>
              <a:ext uri="{FF2B5EF4-FFF2-40B4-BE49-F238E27FC236}">
                <a16:creationId xmlns:a16="http://schemas.microsoft.com/office/drawing/2014/main" id="{5C2A0D7E-3475-FCDC-4049-4F92651A9DF9}"/>
              </a:ext>
            </a:extLst>
          </xdr:cNvPr>
          <xdr:cNvSpPr/>
        </xdr:nvSpPr>
        <xdr:spPr>
          <a:xfrm>
            <a:off x="2616886" y="1519174"/>
            <a:ext cx="1322070" cy="871855"/>
          </a:xfrm>
          <a:custGeom>
            <a:avLst/>
            <a:gdLst/>
            <a:ahLst/>
            <a:cxnLst/>
            <a:rect l="l" t="t" r="r" b="b"/>
            <a:pathLst>
              <a:path w="1322070" h="871855">
                <a:moveTo>
                  <a:pt x="728332" y="71894"/>
                </a:moveTo>
                <a:lnTo>
                  <a:pt x="716000" y="30581"/>
                </a:lnTo>
                <a:lnTo>
                  <a:pt x="678713" y="4978"/>
                </a:lnTo>
                <a:lnTo>
                  <a:pt x="639483" y="0"/>
                </a:lnTo>
                <a:lnTo>
                  <a:pt x="87680" y="0"/>
                </a:lnTo>
                <a:lnTo>
                  <a:pt x="35013" y="10845"/>
                </a:lnTo>
                <a:lnTo>
                  <a:pt x="5626" y="42087"/>
                </a:lnTo>
                <a:lnTo>
                  <a:pt x="0" y="71894"/>
                </a:lnTo>
                <a:lnTo>
                  <a:pt x="1358" y="87185"/>
                </a:lnTo>
                <a:lnTo>
                  <a:pt x="21628" y="123621"/>
                </a:lnTo>
                <a:lnTo>
                  <a:pt x="66890" y="141986"/>
                </a:lnTo>
                <a:lnTo>
                  <a:pt x="87680" y="143205"/>
                </a:lnTo>
                <a:lnTo>
                  <a:pt x="277075" y="143205"/>
                </a:lnTo>
                <a:lnTo>
                  <a:pt x="277075" y="765733"/>
                </a:lnTo>
                <a:lnTo>
                  <a:pt x="283133" y="812203"/>
                </a:lnTo>
                <a:lnTo>
                  <a:pt x="314350" y="856742"/>
                </a:lnTo>
                <a:lnTo>
                  <a:pt x="364172" y="871537"/>
                </a:lnTo>
                <a:lnTo>
                  <a:pt x="382295" y="869911"/>
                </a:lnTo>
                <a:lnTo>
                  <a:pt x="426123" y="845515"/>
                </a:lnTo>
                <a:lnTo>
                  <a:pt x="448589" y="790892"/>
                </a:lnTo>
                <a:lnTo>
                  <a:pt x="450088" y="765733"/>
                </a:lnTo>
                <a:lnTo>
                  <a:pt x="450088" y="143205"/>
                </a:lnTo>
                <a:lnTo>
                  <a:pt x="639483" y="143205"/>
                </a:lnTo>
                <a:lnTo>
                  <a:pt x="678357" y="138315"/>
                </a:lnTo>
                <a:lnTo>
                  <a:pt x="715835" y="113055"/>
                </a:lnTo>
                <a:lnTo>
                  <a:pt x="726948" y="87185"/>
                </a:lnTo>
                <a:lnTo>
                  <a:pt x="728332" y="71894"/>
                </a:lnTo>
                <a:close/>
              </a:path>
              <a:path w="1322070" h="871855">
                <a:moveTo>
                  <a:pt x="1321638" y="490423"/>
                </a:moveTo>
                <a:lnTo>
                  <a:pt x="1313307" y="426123"/>
                </a:lnTo>
                <a:lnTo>
                  <a:pt x="1288326" y="362991"/>
                </a:lnTo>
                <a:lnTo>
                  <a:pt x="1246593" y="306222"/>
                </a:lnTo>
                <a:lnTo>
                  <a:pt x="1188072" y="260997"/>
                </a:lnTo>
                <a:lnTo>
                  <a:pt x="1167320" y="250812"/>
                </a:lnTo>
                <a:lnTo>
                  <a:pt x="1167320" y="495681"/>
                </a:lnTo>
                <a:lnTo>
                  <a:pt x="877976" y="495681"/>
                </a:lnTo>
                <a:lnTo>
                  <a:pt x="883945" y="457809"/>
                </a:lnTo>
                <a:lnTo>
                  <a:pt x="907173" y="396875"/>
                </a:lnTo>
                <a:lnTo>
                  <a:pt x="944918" y="355777"/>
                </a:lnTo>
                <a:lnTo>
                  <a:pt x="993876" y="335178"/>
                </a:lnTo>
                <a:lnTo>
                  <a:pt x="1022362" y="332600"/>
                </a:lnTo>
                <a:lnTo>
                  <a:pt x="1052525" y="335178"/>
                </a:lnTo>
                <a:lnTo>
                  <a:pt x="1052233" y="335178"/>
                </a:lnTo>
                <a:lnTo>
                  <a:pt x="1078826" y="342760"/>
                </a:lnTo>
                <a:lnTo>
                  <a:pt x="1123188" y="373227"/>
                </a:lnTo>
                <a:lnTo>
                  <a:pt x="1153350" y="424154"/>
                </a:lnTo>
                <a:lnTo>
                  <a:pt x="1167320" y="495681"/>
                </a:lnTo>
                <a:lnTo>
                  <a:pt x="1167320" y="250812"/>
                </a:lnTo>
                <a:lnTo>
                  <a:pt x="1152931" y="243738"/>
                </a:lnTo>
                <a:lnTo>
                  <a:pt x="1114488" y="231406"/>
                </a:lnTo>
                <a:lnTo>
                  <a:pt x="1072705" y="224002"/>
                </a:lnTo>
                <a:lnTo>
                  <a:pt x="1027620" y="221538"/>
                </a:lnTo>
                <a:lnTo>
                  <a:pt x="992466" y="222986"/>
                </a:lnTo>
                <a:lnTo>
                  <a:pt x="926998" y="234530"/>
                </a:lnTo>
                <a:lnTo>
                  <a:pt x="868324" y="257429"/>
                </a:lnTo>
                <a:lnTo>
                  <a:pt x="818642" y="290601"/>
                </a:lnTo>
                <a:lnTo>
                  <a:pt x="778344" y="333679"/>
                </a:lnTo>
                <a:lnTo>
                  <a:pt x="747661" y="385546"/>
                </a:lnTo>
                <a:lnTo>
                  <a:pt x="726719" y="445604"/>
                </a:lnTo>
                <a:lnTo>
                  <a:pt x="716203" y="511225"/>
                </a:lnTo>
                <a:lnTo>
                  <a:pt x="714895" y="545947"/>
                </a:lnTo>
                <a:lnTo>
                  <a:pt x="718299" y="603542"/>
                </a:lnTo>
                <a:lnTo>
                  <a:pt x="728459" y="655701"/>
                </a:lnTo>
                <a:lnTo>
                  <a:pt x="728535" y="656120"/>
                </a:lnTo>
                <a:lnTo>
                  <a:pt x="744867" y="701624"/>
                </a:lnTo>
                <a:lnTo>
                  <a:pt x="769505" y="746277"/>
                </a:lnTo>
                <a:lnTo>
                  <a:pt x="800239" y="783856"/>
                </a:lnTo>
                <a:lnTo>
                  <a:pt x="837095" y="815416"/>
                </a:lnTo>
                <a:lnTo>
                  <a:pt x="879436" y="839965"/>
                </a:lnTo>
                <a:lnTo>
                  <a:pt x="927252" y="857504"/>
                </a:lnTo>
                <a:lnTo>
                  <a:pt x="980541" y="868032"/>
                </a:lnTo>
                <a:lnTo>
                  <a:pt x="1039317" y="871537"/>
                </a:lnTo>
                <a:lnTo>
                  <a:pt x="1071943" y="870445"/>
                </a:lnTo>
                <a:lnTo>
                  <a:pt x="1131417" y="861669"/>
                </a:lnTo>
                <a:lnTo>
                  <a:pt x="1183030" y="844664"/>
                </a:lnTo>
                <a:lnTo>
                  <a:pt x="1225981" y="822604"/>
                </a:lnTo>
                <a:lnTo>
                  <a:pt x="1260195" y="796417"/>
                </a:lnTo>
                <a:lnTo>
                  <a:pt x="1287729" y="765733"/>
                </a:lnTo>
                <a:lnTo>
                  <a:pt x="1295336" y="754341"/>
                </a:lnTo>
                <a:lnTo>
                  <a:pt x="1311148" y="715340"/>
                </a:lnTo>
                <a:lnTo>
                  <a:pt x="1312291" y="703783"/>
                </a:lnTo>
                <a:lnTo>
                  <a:pt x="1311338" y="692200"/>
                </a:lnTo>
                <a:lnTo>
                  <a:pt x="1308519" y="682155"/>
                </a:lnTo>
                <a:lnTo>
                  <a:pt x="1308481" y="682002"/>
                </a:lnTo>
                <a:lnTo>
                  <a:pt x="1279550" y="655701"/>
                </a:lnTo>
                <a:lnTo>
                  <a:pt x="1257338" y="652335"/>
                </a:lnTo>
                <a:lnTo>
                  <a:pt x="1246593" y="652995"/>
                </a:lnTo>
                <a:lnTo>
                  <a:pt x="1237170" y="654964"/>
                </a:lnTo>
                <a:lnTo>
                  <a:pt x="1229055" y="658253"/>
                </a:lnTo>
                <a:lnTo>
                  <a:pt x="1222260" y="662863"/>
                </a:lnTo>
                <a:lnTo>
                  <a:pt x="1208049" y="676160"/>
                </a:lnTo>
                <a:lnTo>
                  <a:pt x="1195222" y="687997"/>
                </a:lnTo>
                <a:lnTo>
                  <a:pt x="1164170" y="715340"/>
                </a:lnTo>
                <a:lnTo>
                  <a:pt x="1132827" y="737971"/>
                </a:lnTo>
                <a:lnTo>
                  <a:pt x="1098689" y="755180"/>
                </a:lnTo>
                <a:lnTo>
                  <a:pt x="1048639" y="765314"/>
                </a:lnTo>
                <a:lnTo>
                  <a:pt x="1034630" y="765733"/>
                </a:lnTo>
                <a:lnTo>
                  <a:pt x="1013752" y="764413"/>
                </a:lnTo>
                <a:lnTo>
                  <a:pt x="974737" y="753897"/>
                </a:lnTo>
                <a:lnTo>
                  <a:pt x="939787" y="732891"/>
                </a:lnTo>
                <a:lnTo>
                  <a:pt x="911440" y="701624"/>
                </a:lnTo>
                <a:lnTo>
                  <a:pt x="890524" y="660590"/>
                </a:lnTo>
                <a:lnTo>
                  <a:pt x="879551" y="612660"/>
                </a:lnTo>
                <a:lnTo>
                  <a:pt x="877976" y="586282"/>
                </a:lnTo>
                <a:lnTo>
                  <a:pt x="1190117" y="586282"/>
                </a:lnTo>
                <a:lnTo>
                  <a:pt x="1219631" y="585165"/>
                </a:lnTo>
                <a:lnTo>
                  <a:pt x="1268145" y="576262"/>
                </a:lnTo>
                <a:lnTo>
                  <a:pt x="1302232" y="556895"/>
                </a:lnTo>
                <a:lnTo>
                  <a:pt x="1319479" y="517880"/>
                </a:lnTo>
                <a:lnTo>
                  <a:pt x="1321219" y="495681"/>
                </a:lnTo>
                <a:lnTo>
                  <a:pt x="1321638" y="490423"/>
                </a:lnTo>
                <a:close/>
              </a:path>
            </a:pathLst>
          </a:custGeom>
          <a:solidFill>
            <a:srgbClr val="0A6CB8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5" name="object 3">
            <a:extLst>
              <a:ext uri="{FF2B5EF4-FFF2-40B4-BE49-F238E27FC236}">
                <a16:creationId xmlns:a16="http://schemas.microsoft.com/office/drawing/2014/main" id="{DE6637B4-BC38-6729-624A-62F6BF1E27E6}"/>
              </a:ext>
            </a:extLst>
          </xdr:cNvPr>
          <xdr:cNvSpPr/>
        </xdr:nvSpPr>
        <xdr:spPr>
          <a:xfrm>
            <a:off x="4063619" y="1741876"/>
            <a:ext cx="913765" cy="648970"/>
          </a:xfrm>
          <a:custGeom>
            <a:avLst/>
            <a:gdLst/>
            <a:ahLst/>
            <a:cxnLst/>
            <a:rect l="l" t="t" r="r" b="b"/>
            <a:pathLst>
              <a:path w="913764" h="648969">
                <a:moveTo>
                  <a:pt x="75387" y="0"/>
                </a:moveTo>
                <a:lnTo>
                  <a:pt x="31935" y="13153"/>
                </a:lnTo>
                <a:lnTo>
                  <a:pt x="5183" y="52170"/>
                </a:lnTo>
                <a:lnTo>
                  <a:pt x="0" y="91770"/>
                </a:lnTo>
                <a:lnTo>
                  <a:pt x="0" y="548297"/>
                </a:lnTo>
                <a:lnTo>
                  <a:pt x="5765" y="591913"/>
                </a:lnTo>
                <a:lnTo>
                  <a:pt x="35441" y="634530"/>
                </a:lnTo>
                <a:lnTo>
                  <a:pt x="82410" y="648830"/>
                </a:lnTo>
                <a:lnTo>
                  <a:pt x="99932" y="647241"/>
                </a:lnTo>
                <a:lnTo>
                  <a:pt x="141744" y="623404"/>
                </a:lnTo>
                <a:lnTo>
                  <a:pt x="162829" y="571621"/>
                </a:lnTo>
                <a:lnTo>
                  <a:pt x="164236" y="548297"/>
                </a:lnTo>
                <a:lnTo>
                  <a:pt x="164236" y="332600"/>
                </a:lnTo>
                <a:lnTo>
                  <a:pt x="165790" y="285251"/>
                </a:lnTo>
                <a:lnTo>
                  <a:pt x="170451" y="243749"/>
                </a:lnTo>
                <a:lnTo>
                  <a:pt x="189077" y="178282"/>
                </a:lnTo>
                <a:lnTo>
                  <a:pt x="227296" y="137945"/>
                </a:lnTo>
                <a:lnTo>
                  <a:pt x="292252" y="124498"/>
                </a:lnTo>
                <a:lnTo>
                  <a:pt x="310513" y="125831"/>
                </a:lnTo>
                <a:lnTo>
                  <a:pt x="349529" y="145846"/>
                </a:lnTo>
                <a:lnTo>
                  <a:pt x="368828" y="184585"/>
                </a:lnTo>
                <a:lnTo>
                  <a:pt x="374823" y="240536"/>
                </a:lnTo>
                <a:lnTo>
                  <a:pt x="375843" y="294017"/>
                </a:lnTo>
                <a:lnTo>
                  <a:pt x="375843" y="548297"/>
                </a:lnTo>
                <a:lnTo>
                  <a:pt x="377249" y="571861"/>
                </a:lnTo>
                <a:lnTo>
                  <a:pt x="388498" y="609561"/>
                </a:lnTo>
                <a:lnTo>
                  <a:pt x="424291" y="642540"/>
                </a:lnTo>
                <a:lnTo>
                  <a:pt x="457111" y="648830"/>
                </a:lnTo>
                <a:lnTo>
                  <a:pt x="474896" y="647257"/>
                </a:lnTo>
                <a:lnTo>
                  <a:pt x="517309" y="623697"/>
                </a:lnTo>
                <a:lnTo>
                  <a:pt x="538677" y="571861"/>
                </a:lnTo>
                <a:lnTo>
                  <a:pt x="540105" y="548297"/>
                </a:lnTo>
                <a:lnTo>
                  <a:pt x="540105" y="336105"/>
                </a:lnTo>
                <a:lnTo>
                  <a:pt x="541199" y="288835"/>
                </a:lnTo>
                <a:lnTo>
                  <a:pt x="544483" y="249307"/>
                </a:lnTo>
                <a:lnTo>
                  <a:pt x="557644" y="193484"/>
                </a:lnTo>
                <a:lnTo>
                  <a:pt x="588376" y="153363"/>
                </a:lnTo>
                <a:lnTo>
                  <a:pt x="630921" y="129179"/>
                </a:lnTo>
                <a:lnTo>
                  <a:pt x="661670" y="124498"/>
                </a:lnTo>
                <a:lnTo>
                  <a:pt x="680016" y="125814"/>
                </a:lnTo>
                <a:lnTo>
                  <a:pt x="720140" y="145554"/>
                </a:lnTo>
                <a:lnTo>
                  <a:pt x="740679" y="182705"/>
                </a:lnTo>
                <a:lnTo>
                  <a:pt x="747098" y="233670"/>
                </a:lnTo>
                <a:lnTo>
                  <a:pt x="748195" y="279996"/>
                </a:lnTo>
                <a:lnTo>
                  <a:pt x="748195" y="548297"/>
                </a:lnTo>
                <a:lnTo>
                  <a:pt x="749636" y="571621"/>
                </a:lnTo>
                <a:lnTo>
                  <a:pt x="761177" y="609174"/>
                </a:lnTo>
                <a:lnTo>
                  <a:pt x="797650" y="642475"/>
                </a:lnTo>
                <a:lnTo>
                  <a:pt x="830618" y="648830"/>
                </a:lnTo>
                <a:lnTo>
                  <a:pt x="848403" y="647257"/>
                </a:lnTo>
                <a:lnTo>
                  <a:pt x="890816" y="623697"/>
                </a:lnTo>
                <a:lnTo>
                  <a:pt x="912188" y="571861"/>
                </a:lnTo>
                <a:lnTo>
                  <a:pt x="913612" y="548297"/>
                </a:lnTo>
                <a:lnTo>
                  <a:pt x="913612" y="236728"/>
                </a:lnTo>
                <a:lnTo>
                  <a:pt x="912333" y="193369"/>
                </a:lnTo>
                <a:lnTo>
                  <a:pt x="902104" y="125274"/>
                </a:lnTo>
                <a:lnTo>
                  <a:pt x="879965" y="77961"/>
                </a:lnTo>
                <a:lnTo>
                  <a:pt x="844600" y="41134"/>
                </a:lnTo>
                <a:lnTo>
                  <a:pt x="797616" y="15634"/>
                </a:lnTo>
                <a:lnTo>
                  <a:pt x="741214" y="2775"/>
                </a:lnTo>
                <a:lnTo>
                  <a:pt x="709625" y="1168"/>
                </a:lnTo>
                <a:lnTo>
                  <a:pt x="682186" y="2647"/>
                </a:lnTo>
                <a:lnTo>
                  <a:pt x="631036" y="14482"/>
                </a:lnTo>
                <a:lnTo>
                  <a:pt x="584602" y="38269"/>
                </a:lnTo>
                <a:lnTo>
                  <a:pt x="541339" y="74654"/>
                </a:lnTo>
                <a:lnTo>
                  <a:pt x="520801" y="97612"/>
                </a:lnTo>
                <a:lnTo>
                  <a:pt x="505830" y="74893"/>
                </a:lnTo>
                <a:lnTo>
                  <a:pt x="470177" y="38651"/>
                </a:lnTo>
                <a:lnTo>
                  <a:pt x="426802" y="14648"/>
                </a:lnTo>
                <a:lnTo>
                  <a:pt x="375076" y="2666"/>
                </a:lnTo>
                <a:lnTo>
                  <a:pt x="346036" y="1168"/>
                </a:lnTo>
                <a:lnTo>
                  <a:pt x="317764" y="2630"/>
                </a:lnTo>
                <a:lnTo>
                  <a:pt x="265153" y="14321"/>
                </a:lnTo>
                <a:lnTo>
                  <a:pt x="217504" y="37888"/>
                </a:lnTo>
                <a:lnTo>
                  <a:pt x="173080" y="74421"/>
                </a:lnTo>
                <a:lnTo>
                  <a:pt x="151968" y="97612"/>
                </a:lnTo>
                <a:lnTo>
                  <a:pt x="151968" y="82410"/>
                </a:lnTo>
                <a:lnTo>
                  <a:pt x="139634" y="33923"/>
                </a:lnTo>
                <a:lnTo>
                  <a:pt x="105427" y="5478"/>
                </a:lnTo>
                <a:lnTo>
                  <a:pt x="91084" y="1369"/>
                </a:lnTo>
                <a:lnTo>
                  <a:pt x="75387" y="0"/>
                </a:lnTo>
                <a:close/>
              </a:path>
            </a:pathLst>
          </a:custGeom>
          <a:solidFill>
            <a:srgbClr val="0A6CB8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6" name="object 4">
            <a:extLst>
              <a:ext uri="{FF2B5EF4-FFF2-40B4-BE49-F238E27FC236}">
                <a16:creationId xmlns:a16="http://schemas.microsoft.com/office/drawing/2014/main" id="{1A2690B3-00DF-EA67-D5FD-7AAB6CA08506}"/>
              </a:ext>
            </a:extLst>
          </xdr:cNvPr>
          <xdr:cNvSpPr/>
        </xdr:nvSpPr>
        <xdr:spPr>
          <a:xfrm>
            <a:off x="5128672" y="1741877"/>
            <a:ext cx="624205" cy="885825"/>
          </a:xfrm>
          <a:custGeom>
            <a:avLst/>
            <a:gdLst/>
            <a:ahLst/>
            <a:cxnLst/>
            <a:rect l="l" t="t" r="r" b="b"/>
            <a:pathLst>
              <a:path w="624204" h="885825">
                <a:moveTo>
                  <a:pt x="74187" y="0"/>
                </a:moveTo>
                <a:lnTo>
                  <a:pt x="57435" y="1443"/>
                </a:lnTo>
                <a:lnTo>
                  <a:pt x="57729" y="1443"/>
                </a:lnTo>
                <a:lnTo>
                  <a:pt x="43345" y="5627"/>
                </a:lnTo>
                <a:lnTo>
                  <a:pt x="11127" y="35196"/>
                </a:lnTo>
                <a:lnTo>
                  <a:pt x="1232" y="69069"/>
                </a:lnTo>
                <a:lnTo>
                  <a:pt x="1197" y="69244"/>
                </a:lnTo>
                <a:lnTo>
                  <a:pt x="24" y="89433"/>
                </a:lnTo>
                <a:lnTo>
                  <a:pt x="0" y="780351"/>
                </a:lnTo>
                <a:lnTo>
                  <a:pt x="868" y="803643"/>
                </a:lnTo>
                <a:lnTo>
                  <a:pt x="8169" y="843242"/>
                </a:lnTo>
                <a:lnTo>
                  <a:pt x="36768" y="878765"/>
                </a:lnTo>
                <a:lnTo>
                  <a:pt x="74187" y="885558"/>
                </a:lnTo>
                <a:lnTo>
                  <a:pt x="107684" y="878981"/>
                </a:lnTo>
                <a:lnTo>
                  <a:pt x="131612" y="859253"/>
                </a:lnTo>
                <a:lnTo>
                  <a:pt x="145970" y="826375"/>
                </a:lnTo>
                <a:lnTo>
                  <a:pt x="150756" y="780351"/>
                </a:lnTo>
                <a:lnTo>
                  <a:pt x="150756" y="540689"/>
                </a:lnTo>
                <a:lnTo>
                  <a:pt x="562441" y="540689"/>
                </a:lnTo>
                <a:lnTo>
                  <a:pt x="563059" y="539892"/>
                </a:lnTo>
                <a:lnTo>
                  <a:pt x="571960" y="525487"/>
                </a:lnTo>
                <a:lnTo>
                  <a:pt x="315018" y="525487"/>
                </a:lnTo>
                <a:lnTo>
                  <a:pt x="283050" y="522182"/>
                </a:lnTo>
                <a:lnTo>
                  <a:pt x="227224" y="495735"/>
                </a:lnTo>
                <a:lnTo>
                  <a:pt x="183673" y="443493"/>
                </a:lnTo>
                <a:lnTo>
                  <a:pt x="161174" y="369402"/>
                </a:lnTo>
                <a:lnTo>
                  <a:pt x="158363" y="324408"/>
                </a:lnTo>
                <a:lnTo>
                  <a:pt x="161193" y="276919"/>
                </a:lnTo>
                <a:lnTo>
                  <a:pt x="169683" y="235565"/>
                </a:lnTo>
                <a:lnTo>
                  <a:pt x="203664" y="171259"/>
                </a:lnTo>
                <a:lnTo>
                  <a:pt x="254145" y="132248"/>
                </a:lnTo>
                <a:lnTo>
                  <a:pt x="315018" y="119240"/>
                </a:lnTo>
                <a:lnTo>
                  <a:pt x="570012" y="119240"/>
                </a:lnTo>
                <a:lnTo>
                  <a:pt x="568097" y="115885"/>
                </a:lnTo>
                <a:lnTo>
                  <a:pt x="562634" y="108724"/>
                </a:lnTo>
                <a:lnTo>
                  <a:pt x="150756" y="108724"/>
                </a:lnTo>
                <a:lnTo>
                  <a:pt x="150756" y="89433"/>
                </a:lnTo>
                <a:lnTo>
                  <a:pt x="145422" y="51222"/>
                </a:lnTo>
                <a:lnTo>
                  <a:pt x="117966" y="12987"/>
                </a:lnTo>
                <a:lnTo>
                  <a:pt x="90349" y="1443"/>
                </a:lnTo>
                <a:lnTo>
                  <a:pt x="74187" y="0"/>
                </a:lnTo>
                <a:close/>
              </a:path>
              <a:path w="624204" h="885825">
                <a:moveTo>
                  <a:pt x="562441" y="540689"/>
                </a:moveTo>
                <a:lnTo>
                  <a:pt x="150756" y="540689"/>
                </a:lnTo>
                <a:lnTo>
                  <a:pt x="172078" y="565676"/>
                </a:lnTo>
                <a:lnTo>
                  <a:pt x="216360" y="606005"/>
                </a:lnTo>
                <a:lnTo>
                  <a:pt x="263928" y="633367"/>
                </a:lnTo>
                <a:lnTo>
                  <a:pt x="321359" y="647111"/>
                </a:lnTo>
                <a:lnTo>
                  <a:pt x="354184" y="648830"/>
                </a:lnTo>
                <a:lnTo>
                  <a:pt x="382068" y="647422"/>
                </a:lnTo>
                <a:lnTo>
                  <a:pt x="435112" y="636164"/>
                </a:lnTo>
                <a:lnTo>
                  <a:pt x="484142" y="613864"/>
                </a:lnTo>
                <a:lnTo>
                  <a:pt x="526958" y="581718"/>
                </a:lnTo>
                <a:lnTo>
                  <a:pt x="562441" y="540689"/>
                </a:lnTo>
                <a:close/>
              </a:path>
              <a:path w="624204" h="885825">
                <a:moveTo>
                  <a:pt x="570012" y="119240"/>
                </a:moveTo>
                <a:lnTo>
                  <a:pt x="315018" y="119240"/>
                </a:lnTo>
                <a:lnTo>
                  <a:pt x="335308" y="120756"/>
                </a:lnTo>
                <a:lnTo>
                  <a:pt x="354689" y="125306"/>
                </a:lnTo>
                <a:lnTo>
                  <a:pt x="390722" y="143497"/>
                </a:lnTo>
                <a:lnTo>
                  <a:pt x="421180" y="173018"/>
                </a:lnTo>
                <a:lnTo>
                  <a:pt x="444189" y="213055"/>
                </a:lnTo>
                <a:lnTo>
                  <a:pt x="458659" y="262813"/>
                </a:lnTo>
                <a:lnTo>
                  <a:pt x="463481" y="321487"/>
                </a:lnTo>
                <a:lnTo>
                  <a:pt x="462202" y="353019"/>
                </a:lnTo>
                <a:lnTo>
                  <a:pt x="451977" y="408845"/>
                </a:lnTo>
                <a:lnTo>
                  <a:pt x="431951" y="454779"/>
                </a:lnTo>
                <a:lnTo>
                  <a:pt x="404770" y="489411"/>
                </a:lnTo>
                <a:lnTo>
                  <a:pt x="371346" y="512505"/>
                </a:lnTo>
                <a:lnTo>
                  <a:pt x="334522" y="524046"/>
                </a:lnTo>
                <a:lnTo>
                  <a:pt x="315018" y="525487"/>
                </a:lnTo>
                <a:lnTo>
                  <a:pt x="571960" y="525487"/>
                </a:lnTo>
                <a:lnTo>
                  <a:pt x="591554" y="488157"/>
                </a:lnTo>
                <a:lnTo>
                  <a:pt x="611971" y="426976"/>
                </a:lnTo>
                <a:lnTo>
                  <a:pt x="622343" y="359316"/>
                </a:lnTo>
                <a:lnTo>
                  <a:pt x="623598" y="324408"/>
                </a:lnTo>
                <a:lnTo>
                  <a:pt x="623559" y="321487"/>
                </a:lnTo>
                <a:lnTo>
                  <a:pt x="621486" y="276919"/>
                </a:lnTo>
                <a:lnTo>
                  <a:pt x="621395" y="274945"/>
                </a:lnTo>
                <a:lnTo>
                  <a:pt x="614657" y="230014"/>
                </a:lnTo>
                <a:lnTo>
                  <a:pt x="603425" y="188443"/>
                </a:lnTo>
                <a:lnTo>
                  <a:pt x="587699" y="150228"/>
                </a:lnTo>
                <a:lnTo>
                  <a:pt x="570012" y="119240"/>
                </a:lnTo>
                <a:close/>
              </a:path>
              <a:path w="624204" h="885825">
                <a:moveTo>
                  <a:pt x="354184" y="1168"/>
                </a:moveTo>
                <a:lnTo>
                  <a:pt x="296017" y="7672"/>
                </a:lnTo>
                <a:lnTo>
                  <a:pt x="244279" y="27177"/>
                </a:lnTo>
                <a:lnTo>
                  <a:pt x="196636" y="60569"/>
                </a:lnTo>
                <a:lnTo>
                  <a:pt x="150756" y="108724"/>
                </a:lnTo>
                <a:lnTo>
                  <a:pt x="562634" y="108724"/>
                </a:lnTo>
                <a:lnTo>
                  <a:pt x="519135" y="60358"/>
                </a:lnTo>
                <a:lnTo>
                  <a:pt x="458071" y="22540"/>
                </a:lnTo>
                <a:lnTo>
                  <a:pt x="390275" y="3542"/>
                </a:lnTo>
                <a:lnTo>
                  <a:pt x="354184" y="1168"/>
                </a:lnTo>
                <a:close/>
              </a:path>
            </a:pathLst>
          </a:custGeom>
          <a:solidFill>
            <a:srgbClr val="0A6CB8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7" name="object 5">
            <a:extLst>
              <a:ext uri="{FF2B5EF4-FFF2-40B4-BE49-F238E27FC236}">
                <a16:creationId xmlns:a16="http://schemas.microsoft.com/office/drawing/2014/main" id="{259B6AC3-2CF6-3CEE-23A2-90AEE812A56A}"/>
              </a:ext>
            </a:extLst>
          </xdr:cNvPr>
          <xdr:cNvSpPr/>
        </xdr:nvSpPr>
        <xdr:spPr>
          <a:xfrm>
            <a:off x="5880336" y="1504555"/>
            <a:ext cx="160020" cy="886460"/>
          </a:xfrm>
          <a:custGeom>
            <a:avLst/>
            <a:gdLst/>
            <a:ahLst/>
            <a:cxnLst/>
            <a:rect l="l" t="t" r="r" b="b"/>
            <a:pathLst>
              <a:path w="160020" h="886460">
                <a:moveTo>
                  <a:pt x="78917" y="0"/>
                </a:moveTo>
                <a:lnTo>
                  <a:pt x="32942" y="13807"/>
                </a:lnTo>
                <a:lnTo>
                  <a:pt x="5335" y="54949"/>
                </a:lnTo>
                <a:lnTo>
                  <a:pt x="0" y="97027"/>
                </a:lnTo>
                <a:lnTo>
                  <a:pt x="0" y="789114"/>
                </a:lnTo>
                <a:lnTo>
                  <a:pt x="5484" y="830472"/>
                </a:lnTo>
                <a:lnTo>
                  <a:pt x="33710" y="872005"/>
                </a:lnTo>
                <a:lnTo>
                  <a:pt x="78917" y="886155"/>
                </a:lnTo>
                <a:lnTo>
                  <a:pt x="95919" y="884636"/>
                </a:lnTo>
                <a:lnTo>
                  <a:pt x="137083" y="861885"/>
                </a:lnTo>
                <a:lnTo>
                  <a:pt x="158170" y="811859"/>
                </a:lnTo>
                <a:lnTo>
                  <a:pt x="159575" y="789114"/>
                </a:lnTo>
                <a:lnTo>
                  <a:pt x="159575" y="97027"/>
                </a:lnTo>
                <a:lnTo>
                  <a:pt x="154022" y="54584"/>
                </a:lnTo>
                <a:lnTo>
                  <a:pt x="125380" y="13646"/>
                </a:lnTo>
                <a:lnTo>
                  <a:pt x="78917" y="0"/>
                </a:lnTo>
                <a:close/>
              </a:path>
            </a:pathLst>
          </a:custGeom>
          <a:solidFill>
            <a:srgbClr val="0A6CB8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8" name="object 6">
            <a:extLst>
              <a:ext uri="{FF2B5EF4-FFF2-40B4-BE49-F238E27FC236}">
                <a16:creationId xmlns:a16="http://schemas.microsoft.com/office/drawing/2014/main" id="{B1191619-BF35-B579-F98D-D54CAFA11F47}"/>
              </a:ext>
            </a:extLst>
          </xdr:cNvPr>
          <xdr:cNvSpPr/>
        </xdr:nvSpPr>
        <xdr:spPr>
          <a:xfrm>
            <a:off x="6174938" y="1740705"/>
            <a:ext cx="607060" cy="650240"/>
          </a:xfrm>
          <a:custGeom>
            <a:avLst/>
            <a:gdLst/>
            <a:ahLst/>
            <a:cxnLst/>
            <a:rect l="l" t="t" r="r" b="b"/>
            <a:pathLst>
              <a:path w="607059" h="650239">
                <a:moveTo>
                  <a:pt x="312724" y="0"/>
                </a:moveTo>
                <a:lnTo>
                  <a:pt x="244041" y="5772"/>
                </a:lnTo>
                <a:lnTo>
                  <a:pt x="181787" y="23088"/>
                </a:lnTo>
                <a:lnTo>
                  <a:pt x="127422" y="51222"/>
                </a:lnTo>
                <a:lnTo>
                  <a:pt x="82410" y="89433"/>
                </a:lnTo>
                <a:lnTo>
                  <a:pt x="46905" y="137001"/>
                </a:lnTo>
                <a:lnTo>
                  <a:pt x="21031" y="193179"/>
                </a:lnTo>
                <a:lnTo>
                  <a:pt x="5257" y="256241"/>
                </a:lnTo>
                <a:lnTo>
                  <a:pt x="0" y="324408"/>
                </a:lnTo>
                <a:lnTo>
                  <a:pt x="3412" y="382002"/>
                </a:lnTo>
                <a:lnTo>
                  <a:pt x="13567" y="434159"/>
                </a:lnTo>
                <a:lnTo>
                  <a:pt x="13651" y="434588"/>
                </a:lnTo>
                <a:lnTo>
                  <a:pt x="29973" y="480090"/>
                </a:lnTo>
                <a:lnTo>
                  <a:pt x="54615" y="524743"/>
                </a:lnTo>
                <a:lnTo>
                  <a:pt x="85344" y="562317"/>
                </a:lnTo>
                <a:lnTo>
                  <a:pt x="122210" y="593879"/>
                </a:lnTo>
                <a:lnTo>
                  <a:pt x="164551" y="618429"/>
                </a:lnTo>
                <a:lnTo>
                  <a:pt x="212365" y="635967"/>
                </a:lnTo>
                <a:lnTo>
                  <a:pt x="265651" y="646490"/>
                </a:lnTo>
                <a:lnTo>
                  <a:pt x="324408" y="649998"/>
                </a:lnTo>
                <a:lnTo>
                  <a:pt x="357047" y="648903"/>
                </a:lnTo>
                <a:lnTo>
                  <a:pt x="416525" y="640134"/>
                </a:lnTo>
                <a:lnTo>
                  <a:pt x="468129" y="623124"/>
                </a:lnTo>
                <a:lnTo>
                  <a:pt x="511097" y="601063"/>
                </a:lnTo>
                <a:lnTo>
                  <a:pt x="545316" y="574885"/>
                </a:lnTo>
                <a:lnTo>
                  <a:pt x="572841" y="544195"/>
                </a:lnTo>
                <a:lnTo>
                  <a:pt x="319735" y="544195"/>
                </a:lnTo>
                <a:lnTo>
                  <a:pt x="298856" y="542880"/>
                </a:lnTo>
                <a:lnTo>
                  <a:pt x="259836" y="532359"/>
                </a:lnTo>
                <a:lnTo>
                  <a:pt x="224891" y="511356"/>
                </a:lnTo>
                <a:lnTo>
                  <a:pt x="196550" y="480090"/>
                </a:lnTo>
                <a:lnTo>
                  <a:pt x="175628" y="439058"/>
                </a:lnTo>
                <a:lnTo>
                  <a:pt x="164664" y="391123"/>
                </a:lnTo>
                <a:lnTo>
                  <a:pt x="163080" y="364744"/>
                </a:lnTo>
                <a:lnTo>
                  <a:pt x="475221" y="364744"/>
                </a:lnTo>
                <a:lnTo>
                  <a:pt x="504737" y="363631"/>
                </a:lnTo>
                <a:lnTo>
                  <a:pt x="553254" y="354719"/>
                </a:lnTo>
                <a:lnTo>
                  <a:pt x="587341" y="335356"/>
                </a:lnTo>
                <a:lnTo>
                  <a:pt x="604585" y="296342"/>
                </a:lnTo>
                <a:lnTo>
                  <a:pt x="606329" y="274142"/>
                </a:lnTo>
                <a:lnTo>
                  <a:pt x="163080" y="274142"/>
                </a:lnTo>
                <a:lnTo>
                  <a:pt x="169006" y="236589"/>
                </a:lnTo>
                <a:lnTo>
                  <a:pt x="192287" y="175342"/>
                </a:lnTo>
                <a:lnTo>
                  <a:pt x="230028" y="134244"/>
                </a:lnTo>
                <a:lnTo>
                  <a:pt x="278987" y="113637"/>
                </a:lnTo>
                <a:lnTo>
                  <a:pt x="307467" y="111061"/>
                </a:lnTo>
                <a:lnTo>
                  <a:pt x="554184" y="111061"/>
                </a:lnTo>
                <a:lnTo>
                  <a:pt x="531704" y="84688"/>
                </a:lnTo>
                <a:lnTo>
                  <a:pt x="473176" y="39458"/>
                </a:lnTo>
                <a:lnTo>
                  <a:pt x="438044" y="22197"/>
                </a:lnTo>
                <a:lnTo>
                  <a:pt x="399589" y="9866"/>
                </a:lnTo>
                <a:lnTo>
                  <a:pt x="357815" y="2466"/>
                </a:lnTo>
                <a:lnTo>
                  <a:pt x="312724" y="0"/>
                </a:lnTo>
                <a:close/>
              </a:path>
              <a:path w="607059" h="650239">
                <a:moveTo>
                  <a:pt x="542442" y="430796"/>
                </a:moveTo>
                <a:lnTo>
                  <a:pt x="493158" y="454624"/>
                </a:lnTo>
                <a:lnTo>
                  <a:pt x="480336" y="466461"/>
                </a:lnTo>
                <a:lnTo>
                  <a:pt x="449278" y="493804"/>
                </a:lnTo>
                <a:lnTo>
                  <a:pt x="417931" y="516432"/>
                </a:lnTo>
                <a:lnTo>
                  <a:pt x="383793" y="533645"/>
                </a:lnTo>
                <a:lnTo>
                  <a:pt x="333743" y="543775"/>
                </a:lnTo>
                <a:lnTo>
                  <a:pt x="319735" y="544195"/>
                </a:lnTo>
                <a:lnTo>
                  <a:pt x="572841" y="544195"/>
                </a:lnTo>
                <a:lnTo>
                  <a:pt x="593145" y="505694"/>
                </a:lnTo>
                <a:lnTo>
                  <a:pt x="597382" y="482244"/>
                </a:lnTo>
                <a:lnTo>
                  <a:pt x="596434" y="470661"/>
                </a:lnTo>
                <a:lnTo>
                  <a:pt x="593629" y="460616"/>
                </a:lnTo>
                <a:lnTo>
                  <a:pt x="593588" y="460468"/>
                </a:lnTo>
                <a:lnTo>
                  <a:pt x="564651" y="434159"/>
                </a:lnTo>
                <a:lnTo>
                  <a:pt x="554132" y="431637"/>
                </a:lnTo>
                <a:lnTo>
                  <a:pt x="542442" y="430796"/>
                </a:lnTo>
                <a:close/>
              </a:path>
              <a:path w="607059" h="650239">
                <a:moveTo>
                  <a:pt x="554184" y="111061"/>
                </a:moveTo>
                <a:lnTo>
                  <a:pt x="307467" y="111061"/>
                </a:lnTo>
                <a:lnTo>
                  <a:pt x="337636" y="113637"/>
                </a:lnTo>
                <a:lnTo>
                  <a:pt x="337341" y="113637"/>
                </a:lnTo>
                <a:lnTo>
                  <a:pt x="387635" y="133917"/>
                </a:lnTo>
                <a:lnTo>
                  <a:pt x="425408" y="174579"/>
                </a:lnTo>
                <a:lnTo>
                  <a:pt x="447472" y="235806"/>
                </a:lnTo>
                <a:lnTo>
                  <a:pt x="452424" y="274142"/>
                </a:lnTo>
                <a:lnTo>
                  <a:pt x="606329" y="274142"/>
                </a:lnTo>
                <a:lnTo>
                  <a:pt x="598416" y="204587"/>
                </a:lnTo>
                <a:lnTo>
                  <a:pt x="573430" y="141452"/>
                </a:lnTo>
                <a:lnTo>
                  <a:pt x="554668" y="111630"/>
                </a:lnTo>
                <a:lnTo>
                  <a:pt x="554184" y="111061"/>
                </a:lnTo>
                <a:close/>
              </a:path>
            </a:pathLst>
          </a:custGeom>
          <a:solidFill>
            <a:srgbClr val="0A6CB8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9" name="object 7">
            <a:extLst>
              <a:ext uri="{FF2B5EF4-FFF2-40B4-BE49-F238E27FC236}">
                <a16:creationId xmlns:a16="http://schemas.microsoft.com/office/drawing/2014/main" id="{198E3EB3-719A-E616-B783-C4A8F1AD6FC7}"/>
              </a:ext>
            </a:extLst>
          </xdr:cNvPr>
          <xdr:cNvSpPr/>
        </xdr:nvSpPr>
        <xdr:spPr>
          <a:xfrm>
            <a:off x="6850074" y="1741873"/>
            <a:ext cx="559435" cy="648970"/>
          </a:xfrm>
          <a:custGeom>
            <a:avLst/>
            <a:gdLst/>
            <a:ahLst/>
            <a:cxnLst/>
            <a:rect l="l" t="t" r="r" b="b"/>
            <a:pathLst>
              <a:path w="559434" h="648969">
                <a:moveTo>
                  <a:pt x="470547" y="0"/>
                </a:moveTo>
                <a:lnTo>
                  <a:pt x="424662" y="15201"/>
                </a:lnTo>
                <a:lnTo>
                  <a:pt x="393260" y="49175"/>
                </a:lnTo>
                <a:lnTo>
                  <a:pt x="280581" y="206921"/>
                </a:lnTo>
                <a:lnTo>
                  <a:pt x="177114" y="65468"/>
                </a:lnTo>
                <a:lnTo>
                  <a:pt x="143736" y="24802"/>
                </a:lnTo>
                <a:lnTo>
                  <a:pt x="101108" y="985"/>
                </a:lnTo>
                <a:lnTo>
                  <a:pt x="87680" y="0"/>
                </a:lnTo>
                <a:lnTo>
                  <a:pt x="72371" y="1133"/>
                </a:lnTo>
                <a:lnTo>
                  <a:pt x="35661" y="18122"/>
                </a:lnTo>
                <a:lnTo>
                  <a:pt x="15786" y="60794"/>
                </a:lnTo>
                <a:lnTo>
                  <a:pt x="17867" y="77270"/>
                </a:lnTo>
                <a:lnTo>
                  <a:pt x="24112" y="95134"/>
                </a:lnTo>
                <a:lnTo>
                  <a:pt x="34522" y="114385"/>
                </a:lnTo>
                <a:lnTo>
                  <a:pt x="49098" y="135026"/>
                </a:lnTo>
                <a:lnTo>
                  <a:pt x="177114" y="307467"/>
                </a:lnTo>
                <a:lnTo>
                  <a:pt x="32740" y="514388"/>
                </a:lnTo>
                <a:lnTo>
                  <a:pt x="18409" y="536419"/>
                </a:lnTo>
                <a:lnTo>
                  <a:pt x="8178" y="555745"/>
                </a:lnTo>
                <a:lnTo>
                  <a:pt x="2043" y="572366"/>
                </a:lnTo>
                <a:lnTo>
                  <a:pt x="0" y="586282"/>
                </a:lnTo>
                <a:lnTo>
                  <a:pt x="1333" y="598212"/>
                </a:lnTo>
                <a:lnTo>
                  <a:pt x="32568" y="638141"/>
                </a:lnTo>
                <a:lnTo>
                  <a:pt x="73075" y="648830"/>
                </a:lnTo>
                <a:lnTo>
                  <a:pt x="86201" y="647880"/>
                </a:lnTo>
                <a:lnTo>
                  <a:pt x="127770" y="624756"/>
                </a:lnTo>
                <a:lnTo>
                  <a:pt x="161912" y="582777"/>
                </a:lnTo>
                <a:lnTo>
                  <a:pt x="280581" y="412673"/>
                </a:lnTo>
                <a:lnTo>
                  <a:pt x="396316" y="582777"/>
                </a:lnTo>
                <a:lnTo>
                  <a:pt x="430018" y="623988"/>
                </a:lnTo>
                <a:lnTo>
                  <a:pt x="473127" y="647844"/>
                </a:lnTo>
                <a:lnTo>
                  <a:pt x="486333" y="648830"/>
                </a:lnTo>
                <a:lnTo>
                  <a:pt x="501200" y="647697"/>
                </a:lnTo>
                <a:lnTo>
                  <a:pt x="538365" y="630707"/>
                </a:lnTo>
                <a:lnTo>
                  <a:pt x="559396" y="587451"/>
                </a:lnTo>
                <a:lnTo>
                  <a:pt x="557277" y="573683"/>
                </a:lnTo>
                <a:lnTo>
                  <a:pt x="550921" y="556915"/>
                </a:lnTo>
                <a:lnTo>
                  <a:pt x="540328" y="537150"/>
                </a:lnTo>
                <a:lnTo>
                  <a:pt x="525500" y="514388"/>
                </a:lnTo>
                <a:lnTo>
                  <a:pt x="381114" y="307467"/>
                </a:lnTo>
                <a:lnTo>
                  <a:pt x="517332" y="124010"/>
                </a:lnTo>
                <a:lnTo>
                  <a:pt x="538844" y="87149"/>
                </a:lnTo>
                <a:lnTo>
                  <a:pt x="543623" y="60794"/>
                </a:lnTo>
                <a:lnTo>
                  <a:pt x="542325" y="48686"/>
                </a:lnTo>
                <a:lnTo>
                  <a:pt x="511815" y="10029"/>
                </a:lnTo>
                <a:lnTo>
                  <a:pt x="485654" y="1114"/>
                </a:lnTo>
                <a:lnTo>
                  <a:pt x="470547" y="0"/>
                </a:lnTo>
                <a:close/>
              </a:path>
            </a:pathLst>
          </a:custGeom>
          <a:solidFill>
            <a:srgbClr val="0A6CB8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10" name="object 8">
            <a:extLst>
              <a:ext uri="{FF2B5EF4-FFF2-40B4-BE49-F238E27FC236}">
                <a16:creationId xmlns:a16="http://schemas.microsoft.com/office/drawing/2014/main" id="{876F5FDE-48A3-CEF9-BEDF-4CF3078CB737}"/>
              </a:ext>
            </a:extLst>
          </xdr:cNvPr>
          <xdr:cNvSpPr/>
        </xdr:nvSpPr>
        <xdr:spPr>
          <a:xfrm>
            <a:off x="2632798" y="796785"/>
            <a:ext cx="628015" cy="580390"/>
          </a:xfrm>
          <a:custGeom>
            <a:avLst/>
            <a:gdLst/>
            <a:ahLst/>
            <a:cxnLst/>
            <a:rect l="l" t="t" r="r" b="b"/>
            <a:pathLst>
              <a:path w="628014" h="580390">
                <a:moveTo>
                  <a:pt x="496150" y="11544"/>
                </a:moveTo>
                <a:lnTo>
                  <a:pt x="420319" y="11544"/>
                </a:lnTo>
                <a:lnTo>
                  <a:pt x="245605" y="526656"/>
                </a:lnTo>
                <a:lnTo>
                  <a:pt x="76644" y="11544"/>
                </a:lnTo>
                <a:lnTo>
                  <a:pt x="0" y="11544"/>
                </a:lnTo>
                <a:lnTo>
                  <a:pt x="196151" y="580224"/>
                </a:lnTo>
                <a:lnTo>
                  <a:pt x="291757" y="580224"/>
                </a:lnTo>
                <a:lnTo>
                  <a:pt x="496150" y="11544"/>
                </a:lnTo>
                <a:close/>
              </a:path>
              <a:path w="628014" h="580390">
                <a:moveTo>
                  <a:pt x="618083" y="143408"/>
                </a:moveTo>
                <a:lnTo>
                  <a:pt x="547204" y="143408"/>
                </a:lnTo>
                <a:lnTo>
                  <a:pt x="547204" y="580224"/>
                </a:lnTo>
                <a:lnTo>
                  <a:pt x="618083" y="580224"/>
                </a:lnTo>
                <a:lnTo>
                  <a:pt x="618083" y="143408"/>
                </a:lnTo>
                <a:close/>
              </a:path>
              <a:path w="628014" h="580390">
                <a:moveTo>
                  <a:pt x="627964" y="45339"/>
                </a:moveTo>
                <a:lnTo>
                  <a:pt x="624471" y="27482"/>
                </a:lnTo>
                <a:lnTo>
                  <a:pt x="614883" y="13093"/>
                </a:lnTo>
                <a:lnTo>
                  <a:pt x="600494" y="3492"/>
                </a:lnTo>
                <a:lnTo>
                  <a:pt x="582637" y="0"/>
                </a:lnTo>
                <a:lnTo>
                  <a:pt x="564769" y="3492"/>
                </a:lnTo>
                <a:lnTo>
                  <a:pt x="550392" y="13093"/>
                </a:lnTo>
                <a:lnTo>
                  <a:pt x="540791" y="27482"/>
                </a:lnTo>
                <a:lnTo>
                  <a:pt x="537311" y="45339"/>
                </a:lnTo>
                <a:lnTo>
                  <a:pt x="540791" y="63207"/>
                </a:lnTo>
                <a:lnTo>
                  <a:pt x="550392" y="77584"/>
                </a:lnTo>
                <a:lnTo>
                  <a:pt x="564769" y="87185"/>
                </a:lnTo>
                <a:lnTo>
                  <a:pt x="582637" y="90665"/>
                </a:lnTo>
                <a:lnTo>
                  <a:pt x="600494" y="87185"/>
                </a:lnTo>
                <a:lnTo>
                  <a:pt x="614883" y="77584"/>
                </a:lnTo>
                <a:lnTo>
                  <a:pt x="624471" y="63207"/>
                </a:lnTo>
                <a:lnTo>
                  <a:pt x="627964" y="45339"/>
                </a:lnTo>
                <a:close/>
              </a:path>
            </a:pathLst>
          </a:custGeom>
          <a:solidFill>
            <a:srgbClr val="0A6CB8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11" name="object 9">
            <a:extLst>
              <a:ext uri="{FF2B5EF4-FFF2-40B4-BE49-F238E27FC236}">
                <a16:creationId xmlns:a16="http://schemas.microsoft.com/office/drawing/2014/main" id="{C04EBDD7-9E72-D135-CC64-55F53E3534EA}"/>
              </a:ext>
            </a:extLst>
          </xdr:cNvPr>
          <xdr:cNvSpPr/>
        </xdr:nvSpPr>
        <xdr:spPr>
          <a:xfrm>
            <a:off x="3339867" y="771241"/>
            <a:ext cx="418465" cy="617855"/>
          </a:xfrm>
          <a:custGeom>
            <a:avLst/>
            <a:gdLst/>
            <a:ahLst/>
            <a:cxnLst/>
            <a:rect l="l" t="t" r="r" b="b"/>
            <a:pathLst>
              <a:path w="418464" h="617855">
                <a:moveTo>
                  <a:pt x="213461" y="157416"/>
                </a:moveTo>
                <a:lnTo>
                  <a:pt x="171870" y="160954"/>
                </a:lnTo>
                <a:lnTo>
                  <a:pt x="132471" y="171658"/>
                </a:lnTo>
                <a:lnTo>
                  <a:pt x="96299" y="189663"/>
                </a:lnTo>
                <a:lnTo>
                  <a:pt x="64387" y="215106"/>
                </a:lnTo>
                <a:lnTo>
                  <a:pt x="37767" y="248121"/>
                </a:lnTo>
                <a:lnTo>
                  <a:pt x="17474" y="288843"/>
                </a:lnTo>
                <a:lnTo>
                  <a:pt x="4540" y="337409"/>
                </a:lnTo>
                <a:lnTo>
                  <a:pt x="0" y="393953"/>
                </a:lnTo>
                <a:lnTo>
                  <a:pt x="4298" y="446550"/>
                </a:lnTo>
                <a:lnTo>
                  <a:pt x="17031" y="494101"/>
                </a:lnTo>
                <a:lnTo>
                  <a:pt x="37952" y="535495"/>
                </a:lnTo>
                <a:lnTo>
                  <a:pt x="66818" y="569623"/>
                </a:lnTo>
                <a:lnTo>
                  <a:pt x="103382" y="595375"/>
                </a:lnTo>
                <a:lnTo>
                  <a:pt x="147401" y="611640"/>
                </a:lnTo>
                <a:lnTo>
                  <a:pt x="198628" y="617308"/>
                </a:lnTo>
                <a:lnTo>
                  <a:pt x="231952" y="614796"/>
                </a:lnTo>
                <a:lnTo>
                  <a:pt x="263732" y="607723"/>
                </a:lnTo>
                <a:lnTo>
                  <a:pt x="291805" y="596788"/>
                </a:lnTo>
                <a:lnTo>
                  <a:pt x="314007" y="582688"/>
                </a:lnTo>
                <a:lnTo>
                  <a:pt x="327885" y="562914"/>
                </a:lnTo>
                <a:lnTo>
                  <a:pt x="209334" y="562914"/>
                </a:lnTo>
                <a:lnTo>
                  <a:pt x="162072" y="553979"/>
                </a:lnTo>
                <a:lnTo>
                  <a:pt x="125176" y="529021"/>
                </a:lnTo>
                <a:lnTo>
                  <a:pt x="98725" y="490809"/>
                </a:lnTo>
                <a:lnTo>
                  <a:pt x="82796" y="442116"/>
                </a:lnTo>
                <a:lnTo>
                  <a:pt x="77470" y="385711"/>
                </a:lnTo>
                <a:lnTo>
                  <a:pt x="84255" y="323632"/>
                </a:lnTo>
                <a:lnTo>
                  <a:pt x="103265" y="275005"/>
                </a:lnTo>
                <a:lnTo>
                  <a:pt x="132482" y="240028"/>
                </a:lnTo>
                <a:lnTo>
                  <a:pt x="169886" y="218897"/>
                </a:lnTo>
                <a:lnTo>
                  <a:pt x="213461" y="211810"/>
                </a:lnTo>
                <a:lnTo>
                  <a:pt x="335328" y="211810"/>
                </a:lnTo>
                <a:lnTo>
                  <a:pt x="318135" y="186258"/>
                </a:lnTo>
                <a:lnTo>
                  <a:pt x="297491" y="174106"/>
                </a:lnTo>
                <a:lnTo>
                  <a:pt x="271051" y="165041"/>
                </a:lnTo>
                <a:lnTo>
                  <a:pt x="241984" y="159374"/>
                </a:lnTo>
                <a:lnTo>
                  <a:pt x="213461" y="157416"/>
                </a:lnTo>
                <a:close/>
              </a:path>
              <a:path w="418464" h="617855">
                <a:moveTo>
                  <a:pt x="417855" y="535711"/>
                </a:moveTo>
                <a:lnTo>
                  <a:pt x="346976" y="535711"/>
                </a:lnTo>
                <a:lnTo>
                  <a:pt x="346976" y="605764"/>
                </a:lnTo>
                <a:lnTo>
                  <a:pt x="417855" y="605764"/>
                </a:lnTo>
                <a:lnTo>
                  <a:pt x="417855" y="535711"/>
                </a:lnTo>
                <a:close/>
              </a:path>
              <a:path w="418464" h="617855">
                <a:moveTo>
                  <a:pt x="335328" y="211810"/>
                </a:moveTo>
                <a:lnTo>
                  <a:pt x="213461" y="211810"/>
                </a:lnTo>
                <a:lnTo>
                  <a:pt x="251399" y="217171"/>
                </a:lnTo>
                <a:lnTo>
                  <a:pt x="287517" y="234123"/>
                </a:lnTo>
                <a:lnTo>
                  <a:pt x="318018" y="263972"/>
                </a:lnTo>
                <a:lnTo>
                  <a:pt x="339104" y="308021"/>
                </a:lnTo>
                <a:lnTo>
                  <a:pt x="346976" y="367576"/>
                </a:lnTo>
                <a:lnTo>
                  <a:pt x="346976" y="391477"/>
                </a:lnTo>
                <a:lnTo>
                  <a:pt x="339624" y="457411"/>
                </a:lnTo>
                <a:lnTo>
                  <a:pt x="319415" y="505941"/>
                </a:lnTo>
                <a:lnTo>
                  <a:pt x="289117" y="538647"/>
                </a:lnTo>
                <a:lnTo>
                  <a:pt x="251500" y="557111"/>
                </a:lnTo>
                <a:lnTo>
                  <a:pt x="209334" y="562914"/>
                </a:lnTo>
                <a:lnTo>
                  <a:pt x="327885" y="562914"/>
                </a:lnTo>
                <a:lnTo>
                  <a:pt x="346976" y="535711"/>
                </a:lnTo>
                <a:lnTo>
                  <a:pt x="417855" y="535711"/>
                </a:lnTo>
                <a:lnTo>
                  <a:pt x="417855" y="229120"/>
                </a:lnTo>
                <a:lnTo>
                  <a:pt x="346976" y="229120"/>
                </a:lnTo>
                <a:lnTo>
                  <a:pt x="335328" y="211810"/>
                </a:lnTo>
                <a:close/>
              </a:path>
              <a:path w="418464" h="617855">
                <a:moveTo>
                  <a:pt x="417855" y="0"/>
                </a:moveTo>
                <a:lnTo>
                  <a:pt x="346976" y="0"/>
                </a:lnTo>
                <a:lnTo>
                  <a:pt x="346976" y="229120"/>
                </a:lnTo>
                <a:lnTo>
                  <a:pt x="417855" y="229120"/>
                </a:lnTo>
                <a:lnTo>
                  <a:pt x="417855" y="0"/>
                </a:lnTo>
                <a:close/>
              </a:path>
            </a:pathLst>
          </a:custGeom>
          <a:solidFill>
            <a:srgbClr val="0A6CB8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12" name="object 10">
            <a:extLst>
              <a:ext uri="{FF2B5EF4-FFF2-40B4-BE49-F238E27FC236}">
                <a16:creationId xmlns:a16="http://schemas.microsoft.com/office/drawing/2014/main" id="{79A72894-A9A7-5CFF-F6DC-7DD86B4BF882}"/>
              </a:ext>
            </a:extLst>
          </xdr:cNvPr>
          <xdr:cNvSpPr/>
        </xdr:nvSpPr>
        <xdr:spPr>
          <a:xfrm>
            <a:off x="3882937" y="930306"/>
            <a:ext cx="201295" cy="447040"/>
          </a:xfrm>
          <a:custGeom>
            <a:avLst/>
            <a:gdLst/>
            <a:ahLst/>
            <a:cxnLst/>
            <a:rect l="l" t="t" r="r" b="b"/>
            <a:pathLst>
              <a:path w="201295" h="447040">
                <a:moveTo>
                  <a:pt x="171424" y="0"/>
                </a:moveTo>
                <a:lnTo>
                  <a:pt x="124716" y="11476"/>
                </a:lnTo>
                <a:lnTo>
                  <a:pt x="70878" y="78295"/>
                </a:lnTo>
                <a:lnTo>
                  <a:pt x="70878" y="9893"/>
                </a:lnTo>
                <a:lnTo>
                  <a:pt x="0" y="9893"/>
                </a:lnTo>
                <a:lnTo>
                  <a:pt x="0" y="446697"/>
                </a:lnTo>
                <a:lnTo>
                  <a:pt x="70878" y="446697"/>
                </a:lnTo>
                <a:lnTo>
                  <a:pt x="70878" y="197802"/>
                </a:lnTo>
                <a:lnTo>
                  <a:pt x="77300" y="144634"/>
                </a:lnTo>
                <a:lnTo>
                  <a:pt x="95353" y="104559"/>
                </a:lnTo>
                <a:lnTo>
                  <a:pt x="123216" y="77221"/>
                </a:lnTo>
                <a:lnTo>
                  <a:pt x="159069" y="62264"/>
                </a:lnTo>
                <a:lnTo>
                  <a:pt x="201091" y="59334"/>
                </a:lnTo>
                <a:lnTo>
                  <a:pt x="201091" y="5765"/>
                </a:lnTo>
                <a:lnTo>
                  <a:pt x="194606" y="3128"/>
                </a:lnTo>
                <a:lnTo>
                  <a:pt x="187496" y="1339"/>
                </a:lnTo>
                <a:lnTo>
                  <a:pt x="179767" y="322"/>
                </a:lnTo>
                <a:lnTo>
                  <a:pt x="171424" y="0"/>
                </a:lnTo>
                <a:close/>
              </a:path>
            </a:pathLst>
          </a:custGeom>
          <a:solidFill>
            <a:srgbClr val="0A6CB8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13" name="object 11">
            <a:extLst>
              <a:ext uri="{FF2B5EF4-FFF2-40B4-BE49-F238E27FC236}">
                <a16:creationId xmlns:a16="http://schemas.microsoft.com/office/drawing/2014/main" id="{04514672-47F4-31D7-80DC-2CF38272B564}"/>
              </a:ext>
            </a:extLst>
          </xdr:cNvPr>
          <xdr:cNvSpPr/>
        </xdr:nvSpPr>
        <xdr:spPr>
          <a:xfrm>
            <a:off x="4144988" y="796785"/>
            <a:ext cx="90805" cy="580390"/>
          </a:xfrm>
          <a:custGeom>
            <a:avLst/>
            <a:gdLst/>
            <a:ahLst/>
            <a:cxnLst/>
            <a:rect l="l" t="t" r="r" b="b"/>
            <a:pathLst>
              <a:path w="90804" h="580390">
                <a:moveTo>
                  <a:pt x="80772" y="143408"/>
                </a:moveTo>
                <a:lnTo>
                  <a:pt x="9893" y="143408"/>
                </a:lnTo>
                <a:lnTo>
                  <a:pt x="9893" y="580224"/>
                </a:lnTo>
                <a:lnTo>
                  <a:pt x="80772" y="580224"/>
                </a:lnTo>
                <a:lnTo>
                  <a:pt x="80772" y="143408"/>
                </a:lnTo>
                <a:close/>
              </a:path>
              <a:path w="90804" h="580390">
                <a:moveTo>
                  <a:pt x="45326" y="0"/>
                </a:moveTo>
                <a:lnTo>
                  <a:pt x="27469" y="3490"/>
                </a:lnTo>
                <a:lnTo>
                  <a:pt x="13085" y="13087"/>
                </a:lnTo>
                <a:lnTo>
                  <a:pt x="3490" y="27474"/>
                </a:lnTo>
                <a:lnTo>
                  <a:pt x="0" y="45339"/>
                </a:lnTo>
                <a:lnTo>
                  <a:pt x="3490" y="63195"/>
                </a:lnTo>
                <a:lnTo>
                  <a:pt x="13085" y="77579"/>
                </a:lnTo>
                <a:lnTo>
                  <a:pt x="27469" y="87174"/>
                </a:lnTo>
                <a:lnTo>
                  <a:pt x="45326" y="90665"/>
                </a:lnTo>
                <a:lnTo>
                  <a:pt x="63190" y="87174"/>
                </a:lnTo>
                <a:lnTo>
                  <a:pt x="77577" y="77579"/>
                </a:lnTo>
                <a:lnTo>
                  <a:pt x="87174" y="63195"/>
                </a:lnTo>
                <a:lnTo>
                  <a:pt x="90665" y="45339"/>
                </a:lnTo>
                <a:lnTo>
                  <a:pt x="87174" y="27474"/>
                </a:lnTo>
                <a:lnTo>
                  <a:pt x="77577" y="13087"/>
                </a:lnTo>
                <a:lnTo>
                  <a:pt x="63190" y="3490"/>
                </a:lnTo>
                <a:lnTo>
                  <a:pt x="45326" y="0"/>
                </a:lnTo>
                <a:close/>
              </a:path>
            </a:pathLst>
          </a:custGeom>
          <a:solidFill>
            <a:srgbClr val="0A6CB8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14" name="object 12">
            <a:extLst>
              <a:ext uri="{FF2B5EF4-FFF2-40B4-BE49-F238E27FC236}">
                <a16:creationId xmlns:a16="http://schemas.microsoft.com/office/drawing/2014/main" id="{F183A34E-77A0-A9E3-D4E0-BAE58ABA7270}"/>
              </a:ext>
            </a:extLst>
          </xdr:cNvPr>
          <xdr:cNvSpPr/>
        </xdr:nvSpPr>
        <xdr:spPr>
          <a:xfrm>
            <a:off x="4314752" y="928655"/>
            <a:ext cx="433705" cy="460375"/>
          </a:xfrm>
          <a:custGeom>
            <a:avLst/>
            <a:gdLst/>
            <a:ahLst/>
            <a:cxnLst/>
            <a:rect l="l" t="t" r="r" b="b"/>
            <a:pathLst>
              <a:path w="433704" h="460375">
                <a:moveTo>
                  <a:pt x="216750" y="0"/>
                </a:moveTo>
                <a:lnTo>
                  <a:pt x="164845" y="4810"/>
                </a:lnTo>
                <a:lnTo>
                  <a:pt x="120298" y="18544"/>
                </a:lnTo>
                <a:lnTo>
                  <a:pt x="82977" y="40160"/>
                </a:lnTo>
                <a:lnTo>
                  <a:pt x="52744" y="68614"/>
                </a:lnTo>
                <a:lnTo>
                  <a:pt x="29465" y="102863"/>
                </a:lnTo>
                <a:lnTo>
                  <a:pt x="13005" y="141864"/>
                </a:lnTo>
                <a:lnTo>
                  <a:pt x="3228" y="184572"/>
                </a:lnTo>
                <a:lnTo>
                  <a:pt x="0" y="229946"/>
                </a:lnTo>
                <a:lnTo>
                  <a:pt x="3228" y="275082"/>
                </a:lnTo>
                <a:lnTo>
                  <a:pt x="13005" y="317679"/>
                </a:lnTo>
                <a:lnTo>
                  <a:pt x="29465" y="356665"/>
                </a:lnTo>
                <a:lnTo>
                  <a:pt x="52744" y="390967"/>
                </a:lnTo>
                <a:lnTo>
                  <a:pt x="82977" y="419513"/>
                </a:lnTo>
                <a:lnTo>
                  <a:pt x="120298" y="441231"/>
                </a:lnTo>
                <a:lnTo>
                  <a:pt x="164845" y="455048"/>
                </a:lnTo>
                <a:lnTo>
                  <a:pt x="216750" y="459892"/>
                </a:lnTo>
                <a:lnTo>
                  <a:pt x="268657" y="455048"/>
                </a:lnTo>
                <a:lnTo>
                  <a:pt x="313204" y="441231"/>
                </a:lnTo>
                <a:lnTo>
                  <a:pt x="350528" y="419513"/>
                </a:lnTo>
                <a:lnTo>
                  <a:pt x="365373" y="405498"/>
                </a:lnTo>
                <a:lnTo>
                  <a:pt x="216750" y="405498"/>
                </a:lnTo>
                <a:lnTo>
                  <a:pt x="175811" y="399591"/>
                </a:lnTo>
                <a:lnTo>
                  <a:pt x="141442" y="382695"/>
                </a:lnTo>
                <a:lnTo>
                  <a:pt x="114033" y="356046"/>
                </a:lnTo>
                <a:lnTo>
                  <a:pt x="93972" y="320880"/>
                </a:lnTo>
                <a:lnTo>
                  <a:pt x="81651" y="278435"/>
                </a:lnTo>
                <a:lnTo>
                  <a:pt x="77457" y="229946"/>
                </a:lnTo>
                <a:lnTo>
                  <a:pt x="81651" y="181170"/>
                </a:lnTo>
                <a:lnTo>
                  <a:pt x="93972" y="138644"/>
                </a:lnTo>
                <a:lnTo>
                  <a:pt x="114033" y="103536"/>
                </a:lnTo>
                <a:lnTo>
                  <a:pt x="141442" y="77013"/>
                </a:lnTo>
                <a:lnTo>
                  <a:pt x="175811" y="60243"/>
                </a:lnTo>
                <a:lnTo>
                  <a:pt x="216750" y="54394"/>
                </a:lnTo>
                <a:lnTo>
                  <a:pt x="365652" y="54394"/>
                </a:lnTo>
                <a:lnTo>
                  <a:pt x="350528" y="40160"/>
                </a:lnTo>
                <a:lnTo>
                  <a:pt x="313204" y="18544"/>
                </a:lnTo>
                <a:lnTo>
                  <a:pt x="268657" y="4810"/>
                </a:lnTo>
                <a:lnTo>
                  <a:pt x="216750" y="0"/>
                </a:lnTo>
                <a:close/>
              </a:path>
              <a:path w="433704" h="460375">
                <a:moveTo>
                  <a:pt x="365652" y="54394"/>
                </a:moveTo>
                <a:lnTo>
                  <a:pt x="216750" y="54394"/>
                </a:lnTo>
                <a:lnTo>
                  <a:pt x="257689" y="60243"/>
                </a:lnTo>
                <a:lnTo>
                  <a:pt x="292055" y="77013"/>
                </a:lnTo>
                <a:lnTo>
                  <a:pt x="319462" y="103536"/>
                </a:lnTo>
                <a:lnTo>
                  <a:pt x="339519" y="138644"/>
                </a:lnTo>
                <a:lnTo>
                  <a:pt x="351838" y="181170"/>
                </a:lnTo>
                <a:lnTo>
                  <a:pt x="356031" y="229946"/>
                </a:lnTo>
                <a:lnTo>
                  <a:pt x="351838" y="278435"/>
                </a:lnTo>
                <a:lnTo>
                  <a:pt x="339519" y="320880"/>
                </a:lnTo>
                <a:lnTo>
                  <a:pt x="319462" y="356046"/>
                </a:lnTo>
                <a:lnTo>
                  <a:pt x="292055" y="382695"/>
                </a:lnTo>
                <a:lnTo>
                  <a:pt x="257689" y="399591"/>
                </a:lnTo>
                <a:lnTo>
                  <a:pt x="216750" y="405498"/>
                </a:lnTo>
                <a:lnTo>
                  <a:pt x="365373" y="405498"/>
                </a:lnTo>
                <a:lnTo>
                  <a:pt x="404044" y="356665"/>
                </a:lnTo>
                <a:lnTo>
                  <a:pt x="420506" y="317679"/>
                </a:lnTo>
                <a:lnTo>
                  <a:pt x="430285" y="275082"/>
                </a:lnTo>
                <a:lnTo>
                  <a:pt x="433514" y="229946"/>
                </a:lnTo>
                <a:lnTo>
                  <a:pt x="430285" y="184572"/>
                </a:lnTo>
                <a:lnTo>
                  <a:pt x="420506" y="141864"/>
                </a:lnTo>
                <a:lnTo>
                  <a:pt x="404044" y="102863"/>
                </a:lnTo>
                <a:lnTo>
                  <a:pt x="380763" y="68614"/>
                </a:lnTo>
                <a:lnTo>
                  <a:pt x="365652" y="54394"/>
                </a:lnTo>
                <a:close/>
              </a:path>
            </a:pathLst>
          </a:custGeom>
          <a:solidFill>
            <a:srgbClr val="0A6CB8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15" name="object 13">
            <a:extLst>
              <a:ext uri="{FF2B5EF4-FFF2-40B4-BE49-F238E27FC236}">
                <a16:creationId xmlns:a16="http://schemas.microsoft.com/office/drawing/2014/main" id="{56E8CFA7-4A3E-37AC-72F4-6A50ACE30B42}"/>
              </a:ext>
            </a:extLst>
          </xdr:cNvPr>
          <xdr:cNvSpPr/>
        </xdr:nvSpPr>
        <xdr:spPr>
          <a:xfrm>
            <a:off x="4792718" y="928655"/>
            <a:ext cx="334010" cy="460375"/>
          </a:xfrm>
          <a:custGeom>
            <a:avLst/>
            <a:gdLst/>
            <a:ahLst/>
            <a:cxnLst/>
            <a:rect l="l" t="t" r="r" b="b"/>
            <a:pathLst>
              <a:path w="334010" h="460375">
                <a:moveTo>
                  <a:pt x="168135" y="0"/>
                </a:moveTo>
                <a:lnTo>
                  <a:pt x="117950" y="5611"/>
                </a:lnTo>
                <a:lnTo>
                  <a:pt x="76234" y="21943"/>
                </a:lnTo>
                <a:lnTo>
                  <a:pt x="44526" y="48244"/>
                </a:lnTo>
                <a:lnTo>
                  <a:pt x="24371" y="83763"/>
                </a:lnTo>
                <a:lnTo>
                  <a:pt x="17310" y="127749"/>
                </a:lnTo>
                <a:lnTo>
                  <a:pt x="28320" y="177416"/>
                </a:lnTo>
                <a:lnTo>
                  <a:pt x="58415" y="213563"/>
                </a:lnTo>
                <a:lnTo>
                  <a:pt x="103190" y="239356"/>
                </a:lnTo>
                <a:lnTo>
                  <a:pt x="158242" y="257962"/>
                </a:lnTo>
                <a:lnTo>
                  <a:pt x="205287" y="273534"/>
                </a:lnTo>
                <a:lnTo>
                  <a:pt x="237267" y="291655"/>
                </a:lnTo>
                <a:lnTo>
                  <a:pt x="255493" y="313947"/>
                </a:lnTo>
                <a:lnTo>
                  <a:pt x="261277" y="342036"/>
                </a:lnTo>
                <a:lnTo>
                  <a:pt x="254617" y="369681"/>
                </a:lnTo>
                <a:lnTo>
                  <a:pt x="236443" y="389526"/>
                </a:lnTo>
                <a:lnTo>
                  <a:pt x="209461" y="401492"/>
                </a:lnTo>
                <a:lnTo>
                  <a:pt x="176377" y="405498"/>
                </a:lnTo>
                <a:lnTo>
                  <a:pt x="140819" y="401028"/>
                </a:lnTo>
                <a:lnTo>
                  <a:pt x="110748" y="386435"/>
                </a:lnTo>
                <a:lnTo>
                  <a:pt x="87943" y="359946"/>
                </a:lnTo>
                <a:lnTo>
                  <a:pt x="74180" y="319786"/>
                </a:lnTo>
                <a:lnTo>
                  <a:pt x="0" y="319786"/>
                </a:lnTo>
                <a:lnTo>
                  <a:pt x="14271" y="372332"/>
                </a:lnTo>
                <a:lnTo>
                  <a:pt x="40171" y="411826"/>
                </a:lnTo>
                <a:lnTo>
                  <a:pt x="76078" y="439056"/>
                </a:lnTo>
                <a:lnTo>
                  <a:pt x="120369" y="454815"/>
                </a:lnTo>
                <a:lnTo>
                  <a:pt x="171424" y="459892"/>
                </a:lnTo>
                <a:lnTo>
                  <a:pt x="223760" y="454947"/>
                </a:lnTo>
                <a:lnTo>
                  <a:pt x="268459" y="440111"/>
                </a:lnTo>
                <a:lnTo>
                  <a:pt x="303227" y="415386"/>
                </a:lnTo>
                <a:lnTo>
                  <a:pt x="325770" y="380772"/>
                </a:lnTo>
                <a:lnTo>
                  <a:pt x="333794" y="336270"/>
                </a:lnTo>
                <a:lnTo>
                  <a:pt x="328018" y="295745"/>
                </a:lnTo>
                <a:lnTo>
                  <a:pt x="281099" y="235504"/>
                </a:lnTo>
                <a:lnTo>
                  <a:pt x="239483" y="213731"/>
                </a:lnTo>
                <a:lnTo>
                  <a:pt x="185445" y="196151"/>
                </a:lnTo>
                <a:lnTo>
                  <a:pt x="145469" y="183711"/>
                </a:lnTo>
                <a:lnTo>
                  <a:pt x="115387" y="168335"/>
                </a:lnTo>
                <a:lnTo>
                  <a:pt x="96432" y="147706"/>
                </a:lnTo>
                <a:lnTo>
                  <a:pt x="89839" y="119506"/>
                </a:lnTo>
                <a:lnTo>
                  <a:pt x="94218" y="93340"/>
                </a:lnTo>
                <a:lnTo>
                  <a:pt x="107559" y="72734"/>
                </a:lnTo>
                <a:lnTo>
                  <a:pt x="130173" y="59236"/>
                </a:lnTo>
                <a:lnTo>
                  <a:pt x="162369" y="54394"/>
                </a:lnTo>
                <a:lnTo>
                  <a:pt x="196955" y="59957"/>
                </a:lnTo>
                <a:lnTo>
                  <a:pt x="223970" y="76028"/>
                </a:lnTo>
                <a:lnTo>
                  <a:pt x="243261" y="101682"/>
                </a:lnTo>
                <a:lnTo>
                  <a:pt x="254673" y="135991"/>
                </a:lnTo>
                <a:lnTo>
                  <a:pt x="328853" y="135991"/>
                </a:lnTo>
                <a:lnTo>
                  <a:pt x="318071" y="91149"/>
                </a:lnTo>
                <a:lnTo>
                  <a:pt x="296607" y="53585"/>
                </a:lnTo>
                <a:lnTo>
                  <a:pt x="264462" y="24844"/>
                </a:lnTo>
                <a:lnTo>
                  <a:pt x="221638" y="6468"/>
                </a:lnTo>
                <a:lnTo>
                  <a:pt x="168135" y="0"/>
                </a:lnTo>
                <a:close/>
              </a:path>
            </a:pathLst>
          </a:custGeom>
          <a:solidFill>
            <a:srgbClr val="0A6CB8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pic>
        <xdr:nvPicPr>
          <xdr:cNvPr id="16" name="object 14">
            <a:extLst>
              <a:ext uri="{FF2B5EF4-FFF2-40B4-BE49-F238E27FC236}">
                <a16:creationId xmlns:a16="http://schemas.microsoft.com/office/drawing/2014/main" id="{5386A851-7092-34CE-3BFC-E16789754058}"/>
              </a:ext>
            </a:extLst>
          </xdr:cNvPr>
          <xdr:cNvPicPr/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4639331" y="2760983"/>
            <a:ext cx="1213373" cy="256524"/>
          </a:xfrm>
          <a:prstGeom prst="rect">
            <a:avLst/>
          </a:prstGeom>
        </xdr:spPr>
      </xdr:pic>
      <xdr:pic>
        <xdr:nvPicPr>
          <xdr:cNvPr id="17" name="object 15">
            <a:extLst>
              <a:ext uri="{FF2B5EF4-FFF2-40B4-BE49-F238E27FC236}">
                <a16:creationId xmlns:a16="http://schemas.microsoft.com/office/drawing/2014/main" id="{2EFE7049-B687-E6C6-12D6-561B56B56815}"/>
              </a:ext>
            </a:extLst>
          </xdr:cNvPr>
          <xdr:cNvPicPr/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5933614" y="2815198"/>
            <a:ext cx="137947" cy="202310"/>
          </a:xfrm>
          <a:prstGeom prst="rect">
            <a:avLst/>
          </a:prstGeom>
        </xdr:spPr>
      </xdr:pic>
      <xdr:pic>
        <xdr:nvPicPr>
          <xdr:cNvPr id="18" name="object 16">
            <a:extLst>
              <a:ext uri="{FF2B5EF4-FFF2-40B4-BE49-F238E27FC236}">
                <a16:creationId xmlns:a16="http://schemas.microsoft.com/office/drawing/2014/main" id="{5A78C891-B583-C7AA-0475-D89945CAB99C}"/>
              </a:ext>
            </a:extLst>
          </xdr:cNvPr>
          <xdr:cNvPicPr/>
        </xdr:nvPicPr>
        <xdr:blipFill>
          <a:blip xmlns:r="http://schemas.openxmlformats.org/officeDocument/2006/relationships" r:embed="rId3" cstate="print"/>
          <a:stretch>
            <a:fillRect/>
          </a:stretch>
        </xdr:blipFill>
        <xdr:spPr>
          <a:xfrm>
            <a:off x="6159295" y="2760990"/>
            <a:ext cx="1270787" cy="202438"/>
          </a:xfrm>
          <a:prstGeom prst="rect">
            <a:avLst/>
          </a:prstGeom>
        </xdr:spPr>
      </xdr:pic>
      <xdr:grpSp>
        <xdr:nvGrpSpPr>
          <xdr:cNvPr id="19" name="object 17">
            <a:extLst>
              <a:ext uri="{FF2B5EF4-FFF2-40B4-BE49-F238E27FC236}">
                <a16:creationId xmlns:a16="http://schemas.microsoft.com/office/drawing/2014/main" id="{5201A626-0D23-46DA-8C41-77C9C83CEB76}"/>
              </a:ext>
            </a:extLst>
          </xdr:cNvPr>
          <xdr:cNvGrpSpPr/>
        </xdr:nvGrpSpPr>
        <xdr:grpSpPr>
          <a:xfrm>
            <a:off x="490118" y="642315"/>
            <a:ext cx="1951317" cy="1910926"/>
            <a:chOff x="490118" y="642315"/>
            <a:chExt cx="1951317" cy="1910926"/>
          </a:xfrm>
        </xdr:grpSpPr>
        <xdr:sp macro="" textlink="">
          <xdr:nvSpPr>
            <xdr:cNvPr id="20" name="object 18">
              <a:extLst>
                <a:ext uri="{FF2B5EF4-FFF2-40B4-BE49-F238E27FC236}">
                  <a16:creationId xmlns:a16="http://schemas.microsoft.com/office/drawing/2014/main" id="{F6196B3F-2B74-E709-7413-B0EAA8FE92FA}"/>
                </a:ext>
              </a:extLst>
            </xdr:cNvPr>
            <xdr:cNvSpPr/>
          </xdr:nvSpPr>
          <xdr:spPr>
            <a:xfrm>
              <a:off x="490129" y="1325786"/>
              <a:ext cx="562610" cy="1227455"/>
            </a:xfrm>
            <a:custGeom>
              <a:avLst/>
              <a:gdLst/>
              <a:ahLst/>
              <a:cxnLst/>
              <a:rect l="l" t="t" r="r" b="b"/>
              <a:pathLst>
                <a:path w="562610" h="1227455">
                  <a:moveTo>
                    <a:pt x="9705" y="0"/>
                  </a:moveTo>
                  <a:lnTo>
                    <a:pt x="2878" y="4305"/>
                  </a:lnTo>
                  <a:lnTo>
                    <a:pt x="0" y="12592"/>
                  </a:lnTo>
                  <a:lnTo>
                    <a:pt x="0" y="894467"/>
                  </a:lnTo>
                  <a:lnTo>
                    <a:pt x="8359" y="959132"/>
                  </a:lnTo>
                  <a:lnTo>
                    <a:pt x="32893" y="1019549"/>
                  </a:lnTo>
                  <a:lnTo>
                    <a:pt x="117157" y="1168711"/>
                  </a:lnTo>
                  <a:lnTo>
                    <a:pt x="159477" y="1211633"/>
                  </a:lnTo>
                  <a:lnTo>
                    <a:pt x="217665" y="1227372"/>
                  </a:lnTo>
                  <a:lnTo>
                    <a:pt x="350304" y="1227372"/>
                  </a:lnTo>
                  <a:lnTo>
                    <a:pt x="397159" y="1222323"/>
                  </a:lnTo>
                  <a:lnTo>
                    <a:pt x="439662" y="1208011"/>
                  </a:lnTo>
                  <a:lnTo>
                    <a:pt x="477081" y="1185690"/>
                  </a:lnTo>
                  <a:lnTo>
                    <a:pt x="508686" y="1156614"/>
                  </a:lnTo>
                  <a:lnTo>
                    <a:pt x="533744" y="1122037"/>
                  </a:lnTo>
                  <a:lnTo>
                    <a:pt x="551524" y="1083211"/>
                  </a:lnTo>
                  <a:lnTo>
                    <a:pt x="561294" y="1041392"/>
                  </a:lnTo>
                  <a:lnTo>
                    <a:pt x="562322" y="997832"/>
                  </a:lnTo>
                  <a:lnTo>
                    <a:pt x="553878" y="953786"/>
                  </a:lnTo>
                  <a:lnTo>
                    <a:pt x="535228" y="910507"/>
                  </a:lnTo>
                  <a:lnTo>
                    <a:pt x="24345" y="6191"/>
                  </a:lnTo>
                  <a:lnTo>
                    <a:pt x="17766" y="390"/>
                  </a:lnTo>
                  <a:lnTo>
                    <a:pt x="9705" y="0"/>
                  </a:lnTo>
                  <a:close/>
                </a:path>
              </a:pathLst>
            </a:custGeom>
            <a:solidFill>
              <a:srgbClr val="0A6CB8"/>
            </a:solidFill>
          </xdr:spPr>
          <xdr:txBody>
            <a:bodyPr wrap="square" lIns="0" tIns="0" rIns="0" bIns="0" rtlCol="0"/>
            <a:lstStyle>
              <a:defPPr>
                <a:defRPr kern="0"/>
              </a:defPPr>
            </a:lstStyle>
            <a:p>
              <a:endParaRPr/>
            </a:p>
          </xdr:txBody>
        </xdr:sp>
        <xdr:pic>
          <xdr:nvPicPr>
            <xdr:cNvPr id="21" name="object 19">
              <a:extLst>
                <a:ext uri="{FF2B5EF4-FFF2-40B4-BE49-F238E27FC236}">
                  <a16:creationId xmlns:a16="http://schemas.microsoft.com/office/drawing/2014/main" id="{48A3F336-9DFA-13CD-BE2F-EEE8C63ABE5E}"/>
                </a:ext>
              </a:extLst>
            </xdr:cNvPr>
            <xdr:cNvPicPr/>
          </xdr:nvPicPr>
          <xdr:blipFill>
            <a:blip xmlns:r="http://schemas.openxmlformats.org/officeDocument/2006/relationships" r:embed="rId4" cstate="print"/>
            <a:stretch>
              <a:fillRect/>
            </a:stretch>
          </xdr:blipFill>
          <xdr:spPr>
            <a:xfrm>
              <a:off x="673823" y="642315"/>
              <a:ext cx="1608531" cy="1715300"/>
            </a:xfrm>
            <a:prstGeom prst="rect">
              <a:avLst/>
            </a:prstGeom>
          </xdr:spPr>
        </xdr:pic>
        <xdr:sp macro="" textlink="">
          <xdr:nvSpPr>
            <xdr:cNvPr id="22" name="object 20">
              <a:extLst>
                <a:ext uri="{FF2B5EF4-FFF2-40B4-BE49-F238E27FC236}">
                  <a16:creationId xmlns:a16="http://schemas.microsoft.com/office/drawing/2014/main" id="{5595BE0D-45FF-273E-F14C-516701CE8B0D}"/>
                </a:ext>
              </a:extLst>
            </xdr:cNvPr>
            <xdr:cNvSpPr/>
          </xdr:nvSpPr>
          <xdr:spPr>
            <a:xfrm>
              <a:off x="490118" y="1297571"/>
              <a:ext cx="535305" cy="939165"/>
            </a:xfrm>
            <a:custGeom>
              <a:avLst/>
              <a:gdLst/>
              <a:ahLst/>
              <a:cxnLst/>
              <a:rect l="l" t="t" r="r" b="b"/>
              <a:pathLst>
                <a:path w="535305" h="939164">
                  <a:moveTo>
                    <a:pt x="535228" y="938733"/>
                  </a:moveTo>
                  <a:lnTo>
                    <a:pt x="513651" y="896188"/>
                  </a:lnTo>
                  <a:lnTo>
                    <a:pt x="469722" y="811530"/>
                  </a:lnTo>
                  <a:lnTo>
                    <a:pt x="403402" y="684784"/>
                  </a:lnTo>
                  <a:lnTo>
                    <a:pt x="267754" y="432981"/>
                  </a:lnTo>
                  <a:lnTo>
                    <a:pt x="242100" y="385787"/>
                  </a:lnTo>
                  <a:lnTo>
                    <a:pt x="217411" y="341096"/>
                  </a:lnTo>
                  <a:lnTo>
                    <a:pt x="169900" y="256768"/>
                  </a:lnTo>
                  <a:lnTo>
                    <a:pt x="49682" y="46774"/>
                  </a:lnTo>
                  <a:lnTo>
                    <a:pt x="23279" y="0"/>
                  </a:lnTo>
                  <a:lnTo>
                    <a:pt x="0" y="16624"/>
                  </a:lnTo>
                  <a:lnTo>
                    <a:pt x="508" y="24384"/>
                  </a:lnTo>
                  <a:lnTo>
                    <a:pt x="2006" y="31991"/>
                  </a:lnTo>
                  <a:lnTo>
                    <a:pt x="110274" y="225577"/>
                  </a:lnTo>
                  <a:lnTo>
                    <a:pt x="187845" y="359587"/>
                  </a:lnTo>
                  <a:lnTo>
                    <a:pt x="240106" y="448614"/>
                  </a:lnTo>
                  <a:lnTo>
                    <a:pt x="385762" y="694740"/>
                  </a:lnTo>
                  <a:lnTo>
                    <a:pt x="484911" y="857681"/>
                  </a:lnTo>
                  <a:lnTo>
                    <a:pt x="509930" y="898296"/>
                  </a:lnTo>
                  <a:lnTo>
                    <a:pt x="535228" y="938733"/>
                  </a:lnTo>
                  <a:close/>
                </a:path>
              </a:pathLst>
            </a:custGeom>
            <a:solidFill>
              <a:srgbClr val="0A6CB8"/>
            </a:solidFill>
          </xdr:spPr>
          <xdr:txBody>
            <a:bodyPr wrap="square" lIns="0" tIns="0" rIns="0" bIns="0" rtlCol="0"/>
            <a:lstStyle>
              <a:defPPr>
                <a:defRPr kern="0"/>
              </a:defPPr>
            </a:lstStyle>
            <a:p>
              <a:endParaRPr/>
            </a:p>
          </xdr:txBody>
        </xdr:sp>
        <xdr:pic>
          <xdr:nvPicPr>
            <xdr:cNvPr id="23" name="object 21">
              <a:extLst>
                <a:ext uri="{FF2B5EF4-FFF2-40B4-BE49-F238E27FC236}">
                  <a16:creationId xmlns:a16="http://schemas.microsoft.com/office/drawing/2014/main" id="{E4E18EA9-7599-3F94-2C5F-CCC7819D2A78}"/>
                </a:ext>
              </a:extLst>
            </xdr:cNvPr>
            <xdr:cNvPicPr/>
          </xdr:nvPicPr>
          <xdr:blipFill>
            <a:blip xmlns:r="http://schemas.openxmlformats.org/officeDocument/2006/relationships" r:embed="rId5" cstate="print"/>
            <a:stretch>
              <a:fillRect/>
            </a:stretch>
          </xdr:blipFill>
          <xdr:spPr>
            <a:xfrm>
              <a:off x="669697" y="642315"/>
              <a:ext cx="1771738" cy="1910854"/>
            </a:xfrm>
            <a:prstGeom prst="rect">
              <a:avLst/>
            </a:prstGeom>
          </xdr:spPr>
        </xdr:pic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</xdr:colOff>
      <xdr:row>0</xdr:row>
      <xdr:rowOff>59531</xdr:rowOff>
    </xdr:from>
    <xdr:to>
      <xdr:col>2</xdr:col>
      <xdr:colOff>1089937</xdr:colOff>
      <xdr:row>1</xdr:row>
      <xdr:rowOff>233428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3966A30F-A28A-4F4B-A37A-1E7D9BCE6C0D}"/>
            </a:ext>
          </a:extLst>
        </xdr:cNvPr>
        <xdr:cNvGrpSpPr/>
      </xdr:nvGrpSpPr>
      <xdr:grpSpPr>
        <a:xfrm>
          <a:off x="1234281" y="59531"/>
          <a:ext cx="2014656" cy="470230"/>
          <a:chOff x="490118" y="642315"/>
          <a:chExt cx="6939964" cy="2375193"/>
        </a:xfrm>
      </xdr:grpSpPr>
      <xdr:sp macro="" textlink="">
        <xdr:nvSpPr>
          <xdr:cNvPr id="3" name="object 2">
            <a:extLst>
              <a:ext uri="{FF2B5EF4-FFF2-40B4-BE49-F238E27FC236}">
                <a16:creationId xmlns:a16="http://schemas.microsoft.com/office/drawing/2014/main" id="{CECDB3F8-64F5-6F79-5344-185C2E43FD7C}"/>
              </a:ext>
            </a:extLst>
          </xdr:cNvPr>
          <xdr:cNvSpPr/>
        </xdr:nvSpPr>
        <xdr:spPr>
          <a:xfrm>
            <a:off x="2616886" y="1519174"/>
            <a:ext cx="1322070" cy="871855"/>
          </a:xfrm>
          <a:custGeom>
            <a:avLst/>
            <a:gdLst/>
            <a:ahLst/>
            <a:cxnLst/>
            <a:rect l="l" t="t" r="r" b="b"/>
            <a:pathLst>
              <a:path w="1322070" h="871855">
                <a:moveTo>
                  <a:pt x="728332" y="71894"/>
                </a:moveTo>
                <a:lnTo>
                  <a:pt x="716000" y="30581"/>
                </a:lnTo>
                <a:lnTo>
                  <a:pt x="678713" y="4978"/>
                </a:lnTo>
                <a:lnTo>
                  <a:pt x="639483" y="0"/>
                </a:lnTo>
                <a:lnTo>
                  <a:pt x="87680" y="0"/>
                </a:lnTo>
                <a:lnTo>
                  <a:pt x="35013" y="10845"/>
                </a:lnTo>
                <a:lnTo>
                  <a:pt x="5626" y="42087"/>
                </a:lnTo>
                <a:lnTo>
                  <a:pt x="0" y="71894"/>
                </a:lnTo>
                <a:lnTo>
                  <a:pt x="1358" y="87185"/>
                </a:lnTo>
                <a:lnTo>
                  <a:pt x="21628" y="123621"/>
                </a:lnTo>
                <a:lnTo>
                  <a:pt x="66890" y="141986"/>
                </a:lnTo>
                <a:lnTo>
                  <a:pt x="87680" y="143205"/>
                </a:lnTo>
                <a:lnTo>
                  <a:pt x="277075" y="143205"/>
                </a:lnTo>
                <a:lnTo>
                  <a:pt x="277075" y="765733"/>
                </a:lnTo>
                <a:lnTo>
                  <a:pt x="283133" y="812203"/>
                </a:lnTo>
                <a:lnTo>
                  <a:pt x="314350" y="856742"/>
                </a:lnTo>
                <a:lnTo>
                  <a:pt x="364172" y="871537"/>
                </a:lnTo>
                <a:lnTo>
                  <a:pt x="382295" y="869911"/>
                </a:lnTo>
                <a:lnTo>
                  <a:pt x="426123" y="845515"/>
                </a:lnTo>
                <a:lnTo>
                  <a:pt x="448589" y="790892"/>
                </a:lnTo>
                <a:lnTo>
                  <a:pt x="450088" y="765733"/>
                </a:lnTo>
                <a:lnTo>
                  <a:pt x="450088" y="143205"/>
                </a:lnTo>
                <a:lnTo>
                  <a:pt x="639483" y="143205"/>
                </a:lnTo>
                <a:lnTo>
                  <a:pt x="678357" y="138315"/>
                </a:lnTo>
                <a:lnTo>
                  <a:pt x="715835" y="113055"/>
                </a:lnTo>
                <a:lnTo>
                  <a:pt x="726948" y="87185"/>
                </a:lnTo>
                <a:lnTo>
                  <a:pt x="728332" y="71894"/>
                </a:lnTo>
                <a:close/>
              </a:path>
              <a:path w="1322070" h="871855">
                <a:moveTo>
                  <a:pt x="1321638" y="490423"/>
                </a:moveTo>
                <a:lnTo>
                  <a:pt x="1313307" y="426123"/>
                </a:lnTo>
                <a:lnTo>
                  <a:pt x="1288326" y="362991"/>
                </a:lnTo>
                <a:lnTo>
                  <a:pt x="1246593" y="306222"/>
                </a:lnTo>
                <a:lnTo>
                  <a:pt x="1188072" y="260997"/>
                </a:lnTo>
                <a:lnTo>
                  <a:pt x="1167320" y="250812"/>
                </a:lnTo>
                <a:lnTo>
                  <a:pt x="1167320" y="495681"/>
                </a:lnTo>
                <a:lnTo>
                  <a:pt x="877976" y="495681"/>
                </a:lnTo>
                <a:lnTo>
                  <a:pt x="883945" y="457809"/>
                </a:lnTo>
                <a:lnTo>
                  <a:pt x="907173" y="396875"/>
                </a:lnTo>
                <a:lnTo>
                  <a:pt x="944918" y="355777"/>
                </a:lnTo>
                <a:lnTo>
                  <a:pt x="993876" y="335178"/>
                </a:lnTo>
                <a:lnTo>
                  <a:pt x="1022362" y="332600"/>
                </a:lnTo>
                <a:lnTo>
                  <a:pt x="1052525" y="335178"/>
                </a:lnTo>
                <a:lnTo>
                  <a:pt x="1052233" y="335178"/>
                </a:lnTo>
                <a:lnTo>
                  <a:pt x="1078826" y="342760"/>
                </a:lnTo>
                <a:lnTo>
                  <a:pt x="1123188" y="373227"/>
                </a:lnTo>
                <a:lnTo>
                  <a:pt x="1153350" y="424154"/>
                </a:lnTo>
                <a:lnTo>
                  <a:pt x="1167320" y="495681"/>
                </a:lnTo>
                <a:lnTo>
                  <a:pt x="1167320" y="250812"/>
                </a:lnTo>
                <a:lnTo>
                  <a:pt x="1152931" y="243738"/>
                </a:lnTo>
                <a:lnTo>
                  <a:pt x="1114488" y="231406"/>
                </a:lnTo>
                <a:lnTo>
                  <a:pt x="1072705" y="224002"/>
                </a:lnTo>
                <a:lnTo>
                  <a:pt x="1027620" y="221538"/>
                </a:lnTo>
                <a:lnTo>
                  <a:pt x="992466" y="222986"/>
                </a:lnTo>
                <a:lnTo>
                  <a:pt x="926998" y="234530"/>
                </a:lnTo>
                <a:lnTo>
                  <a:pt x="868324" y="257429"/>
                </a:lnTo>
                <a:lnTo>
                  <a:pt x="818642" y="290601"/>
                </a:lnTo>
                <a:lnTo>
                  <a:pt x="778344" y="333679"/>
                </a:lnTo>
                <a:lnTo>
                  <a:pt x="747661" y="385546"/>
                </a:lnTo>
                <a:lnTo>
                  <a:pt x="726719" y="445604"/>
                </a:lnTo>
                <a:lnTo>
                  <a:pt x="716203" y="511225"/>
                </a:lnTo>
                <a:lnTo>
                  <a:pt x="714895" y="545947"/>
                </a:lnTo>
                <a:lnTo>
                  <a:pt x="718299" y="603542"/>
                </a:lnTo>
                <a:lnTo>
                  <a:pt x="728459" y="655701"/>
                </a:lnTo>
                <a:lnTo>
                  <a:pt x="728535" y="656120"/>
                </a:lnTo>
                <a:lnTo>
                  <a:pt x="744867" y="701624"/>
                </a:lnTo>
                <a:lnTo>
                  <a:pt x="769505" y="746277"/>
                </a:lnTo>
                <a:lnTo>
                  <a:pt x="800239" y="783856"/>
                </a:lnTo>
                <a:lnTo>
                  <a:pt x="837095" y="815416"/>
                </a:lnTo>
                <a:lnTo>
                  <a:pt x="879436" y="839965"/>
                </a:lnTo>
                <a:lnTo>
                  <a:pt x="927252" y="857504"/>
                </a:lnTo>
                <a:lnTo>
                  <a:pt x="980541" y="868032"/>
                </a:lnTo>
                <a:lnTo>
                  <a:pt x="1039317" y="871537"/>
                </a:lnTo>
                <a:lnTo>
                  <a:pt x="1071943" y="870445"/>
                </a:lnTo>
                <a:lnTo>
                  <a:pt x="1131417" y="861669"/>
                </a:lnTo>
                <a:lnTo>
                  <a:pt x="1183030" y="844664"/>
                </a:lnTo>
                <a:lnTo>
                  <a:pt x="1225981" y="822604"/>
                </a:lnTo>
                <a:lnTo>
                  <a:pt x="1260195" y="796417"/>
                </a:lnTo>
                <a:lnTo>
                  <a:pt x="1287729" y="765733"/>
                </a:lnTo>
                <a:lnTo>
                  <a:pt x="1295336" y="754341"/>
                </a:lnTo>
                <a:lnTo>
                  <a:pt x="1311148" y="715340"/>
                </a:lnTo>
                <a:lnTo>
                  <a:pt x="1312291" y="703783"/>
                </a:lnTo>
                <a:lnTo>
                  <a:pt x="1311338" y="692200"/>
                </a:lnTo>
                <a:lnTo>
                  <a:pt x="1308519" y="682155"/>
                </a:lnTo>
                <a:lnTo>
                  <a:pt x="1308481" y="682002"/>
                </a:lnTo>
                <a:lnTo>
                  <a:pt x="1279550" y="655701"/>
                </a:lnTo>
                <a:lnTo>
                  <a:pt x="1257338" y="652335"/>
                </a:lnTo>
                <a:lnTo>
                  <a:pt x="1246593" y="652995"/>
                </a:lnTo>
                <a:lnTo>
                  <a:pt x="1237170" y="654964"/>
                </a:lnTo>
                <a:lnTo>
                  <a:pt x="1229055" y="658253"/>
                </a:lnTo>
                <a:lnTo>
                  <a:pt x="1222260" y="662863"/>
                </a:lnTo>
                <a:lnTo>
                  <a:pt x="1208049" y="676160"/>
                </a:lnTo>
                <a:lnTo>
                  <a:pt x="1195222" y="687997"/>
                </a:lnTo>
                <a:lnTo>
                  <a:pt x="1164170" y="715340"/>
                </a:lnTo>
                <a:lnTo>
                  <a:pt x="1132827" y="737971"/>
                </a:lnTo>
                <a:lnTo>
                  <a:pt x="1098689" y="755180"/>
                </a:lnTo>
                <a:lnTo>
                  <a:pt x="1048639" y="765314"/>
                </a:lnTo>
                <a:lnTo>
                  <a:pt x="1034630" y="765733"/>
                </a:lnTo>
                <a:lnTo>
                  <a:pt x="1013752" y="764413"/>
                </a:lnTo>
                <a:lnTo>
                  <a:pt x="974737" y="753897"/>
                </a:lnTo>
                <a:lnTo>
                  <a:pt x="939787" y="732891"/>
                </a:lnTo>
                <a:lnTo>
                  <a:pt x="911440" y="701624"/>
                </a:lnTo>
                <a:lnTo>
                  <a:pt x="890524" y="660590"/>
                </a:lnTo>
                <a:lnTo>
                  <a:pt x="879551" y="612660"/>
                </a:lnTo>
                <a:lnTo>
                  <a:pt x="877976" y="586282"/>
                </a:lnTo>
                <a:lnTo>
                  <a:pt x="1190117" y="586282"/>
                </a:lnTo>
                <a:lnTo>
                  <a:pt x="1219631" y="585165"/>
                </a:lnTo>
                <a:lnTo>
                  <a:pt x="1268145" y="576262"/>
                </a:lnTo>
                <a:lnTo>
                  <a:pt x="1302232" y="556895"/>
                </a:lnTo>
                <a:lnTo>
                  <a:pt x="1319479" y="517880"/>
                </a:lnTo>
                <a:lnTo>
                  <a:pt x="1321219" y="495681"/>
                </a:lnTo>
                <a:lnTo>
                  <a:pt x="1321638" y="490423"/>
                </a:lnTo>
                <a:close/>
              </a:path>
            </a:pathLst>
          </a:custGeom>
          <a:solidFill>
            <a:srgbClr val="0A6CB8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4" name="object 3">
            <a:extLst>
              <a:ext uri="{FF2B5EF4-FFF2-40B4-BE49-F238E27FC236}">
                <a16:creationId xmlns:a16="http://schemas.microsoft.com/office/drawing/2014/main" id="{28CD71C9-8DDF-CA8F-390B-6EADBC011F8F}"/>
              </a:ext>
            </a:extLst>
          </xdr:cNvPr>
          <xdr:cNvSpPr/>
        </xdr:nvSpPr>
        <xdr:spPr>
          <a:xfrm>
            <a:off x="4063619" y="1741876"/>
            <a:ext cx="913765" cy="648970"/>
          </a:xfrm>
          <a:custGeom>
            <a:avLst/>
            <a:gdLst/>
            <a:ahLst/>
            <a:cxnLst/>
            <a:rect l="l" t="t" r="r" b="b"/>
            <a:pathLst>
              <a:path w="913764" h="648969">
                <a:moveTo>
                  <a:pt x="75387" y="0"/>
                </a:moveTo>
                <a:lnTo>
                  <a:pt x="31935" y="13153"/>
                </a:lnTo>
                <a:lnTo>
                  <a:pt x="5183" y="52170"/>
                </a:lnTo>
                <a:lnTo>
                  <a:pt x="0" y="91770"/>
                </a:lnTo>
                <a:lnTo>
                  <a:pt x="0" y="548297"/>
                </a:lnTo>
                <a:lnTo>
                  <a:pt x="5765" y="591913"/>
                </a:lnTo>
                <a:lnTo>
                  <a:pt x="35441" y="634530"/>
                </a:lnTo>
                <a:lnTo>
                  <a:pt x="82410" y="648830"/>
                </a:lnTo>
                <a:lnTo>
                  <a:pt x="99932" y="647241"/>
                </a:lnTo>
                <a:lnTo>
                  <a:pt x="141744" y="623404"/>
                </a:lnTo>
                <a:lnTo>
                  <a:pt x="162829" y="571621"/>
                </a:lnTo>
                <a:lnTo>
                  <a:pt x="164236" y="548297"/>
                </a:lnTo>
                <a:lnTo>
                  <a:pt x="164236" y="332600"/>
                </a:lnTo>
                <a:lnTo>
                  <a:pt x="165790" y="285251"/>
                </a:lnTo>
                <a:lnTo>
                  <a:pt x="170451" y="243749"/>
                </a:lnTo>
                <a:lnTo>
                  <a:pt x="189077" y="178282"/>
                </a:lnTo>
                <a:lnTo>
                  <a:pt x="227296" y="137945"/>
                </a:lnTo>
                <a:lnTo>
                  <a:pt x="292252" y="124498"/>
                </a:lnTo>
                <a:lnTo>
                  <a:pt x="310513" y="125831"/>
                </a:lnTo>
                <a:lnTo>
                  <a:pt x="349529" y="145846"/>
                </a:lnTo>
                <a:lnTo>
                  <a:pt x="368828" y="184585"/>
                </a:lnTo>
                <a:lnTo>
                  <a:pt x="374823" y="240536"/>
                </a:lnTo>
                <a:lnTo>
                  <a:pt x="375843" y="294017"/>
                </a:lnTo>
                <a:lnTo>
                  <a:pt x="375843" y="548297"/>
                </a:lnTo>
                <a:lnTo>
                  <a:pt x="377249" y="571861"/>
                </a:lnTo>
                <a:lnTo>
                  <a:pt x="388498" y="609561"/>
                </a:lnTo>
                <a:lnTo>
                  <a:pt x="424291" y="642540"/>
                </a:lnTo>
                <a:lnTo>
                  <a:pt x="457111" y="648830"/>
                </a:lnTo>
                <a:lnTo>
                  <a:pt x="474896" y="647257"/>
                </a:lnTo>
                <a:lnTo>
                  <a:pt x="517309" y="623697"/>
                </a:lnTo>
                <a:lnTo>
                  <a:pt x="538677" y="571861"/>
                </a:lnTo>
                <a:lnTo>
                  <a:pt x="540105" y="548297"/>
                </a:lnTo>
                <a:lnTo>
                  <a:pt x="540105" y="336105"/>
                </a:lnTo>
                <a:lnTo>
                  <a:pt x="541199" y="288835"/>
                </a:lnTo>
                <a:lnTo>
                  <a:pt x="544483" y="249307"/>
                </a:lnTo>
                <a:lnTo>
                  <a:pt x="557644" y="193484"/>
                </a:lnTo>
                <a:lnTo>
                  <a:pt x="588376" y="153363"/>
                </a:lnTo>
                <a:lnTo>
                  <a:pt x="630921" y="129179"/>
                </a:lnTo>
                <a:lnTo>
                  <a:pt x="661670" y="124498"/>
                </a:lnTo>
                <a:lnTo>
                  <a:pt x="680016" y="125814"/>
                </a:lnTo>
                <a:lnTo>
                  <a:pt x="720140" y="145554"/>
                </a:lnTo>
                <a:lnTo>
                  <a:pt x="740679" y="182705"/>
                </a:lnTo>
                <a:lnTo>
                  <a:pt x="747098" y="233670"/>
                </a:lnTo>
                <a:lnTo>
                  <a:pt x="748195" y="279996"/>
                </a:lnTo>
                <a:lnTo>
                  <a:pt x="748195" y="548297"/>
                </a:lnTo>
                <a:lnTo>
                  <a:pt x="749636" y="571621"/>
                </a:lnTo>
                <a:lnTo>
                  <a:pt x="761177" y="609174"/>
                </a:lnTo>
                <a:lnTo>
                  <a:pt x="797650" y="642475"/>
                </a:lnTo>
                <a:lnTo>
                  <a:pt x="830618" y="648830"/>
                </a:lnTo>
                <a:lnTo>
                  <a:pt x="848403" y="647257"/>
                </a:lnTo>
                <a:lnTo>
                  <a:pt x="890816" y="623697"/>
                </a:lnTo>
                <a:lnTo>
                  <a:pt x="912188" y="571861"/>
                </a:lnTo>
                <a:lnTo>
                  <a:pt x="913612" y="548297"/>
                </a:lnTo>
                <a:lnTo>
                  <a:pt x="913612" y="236728"/>
                </a:lnTo>
                <a:lnTo>
                  <a:pt x="912333" y="193369"/>
                </a:lnTo>
                <a:lnTo>
                  <a:pt x="902104" y="125274"/>
                </a:lnTo>
                <a:lnTo>
                  <a:pt x="879965" y="77961"/>
                </a:lnTo>
                <a:lnTo>
                  <a:pt x="844600" y="41134"/>
                </a:lnTo>
                <a:lnTo>
                  <a:pt x="797616" y="15634"/>
                </a:lnTo>
                <a:lnTo>
                  <a:pt x="741214" y="2775"/>
                </a:lnTo>
                <a:lnTo>
                  <a:pt x="709625" y="1168"/>
                </a:lnTo>
                <a:lnTo>
                  <a:pt x="682186" y="2647"/>
                </a:lnTo>
                <a:lnTo>
                  <a:pt x="631036" y="14482"/>
                </a:lnTo>
                <a:lnTo>
                  <a:pt x="584602" y="38269"/>
                </a:lnTo>
                <a:lnTo>
                  <a:pt x="541339" y="74654"/>
                </a:lnTo>
                <a:lnTo>
                  <a:pt x="520801" y="97612"/>
                </a:lnTo>
                <a:lnTo>
                  <a:pt x="505830" y="74893"/>
                </a:lnTo>
                <a:lnTo>
                  <a:pt x="470177" y="38651"/>
                </a:lnTo>
                <a:lnTo>
                  <a:pt x="426802" y="14648"/>
                </a:lnTo>
                <a:lnTo>
                  <a:pt x="375076" y="2666"/>
                </a:lnTo>
                <a:lnTo>
                  <a:pt x="346036" y="1168"/>
                </a:lnTo>
                <a:lnTo>
                  <a:pt x="317764" y="2630"/>
                </a:lnTo>
                <a:lnTo>
                  <a:pt x="265153" y="14321"/>
                </a:lnTo>
                <a:lnTo>
                  <a:pt x="217504" y="37888"/>
                </a:lnTo>
                <a:lnTo>
                  <a:pt x="173080" y="74421"/>
                </a:lnTo>
                <a:lnTo>
                  <a:pt x="151968" y="97612"/>
                </a:lnTo>
                <a:lnTo>
                  <a:pt x="151968" y="82410"/>
                </a:lnTo>
                <a:lnTo>
                  <a:pt x="139634" y="33923"/>
                </a:lnTo>
                <a:lnTo>
                  <a:pt x="105427" y="5478"/>
                </a:lnTo>
                <a:lnTo>
                  <a:pt x="91084" y="1369"/>
                </a:lnTo>
                <a:lnTo>
                  <a:pt x="75387" y="0"/>
                </a:lnTo>
                <a:close/>
              </a:path>
            </a:pathLst>
          </a:custGeom>
          <a:solidFill>
            <a:srgbClr val="0A6CB8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5" name="object 4">
            <a:extLst>
              <a:ext uri="{FF2B5EF4-FFF2-40B4-BE49-F238E27FC236}">
                <a16:creationId xmlns:a16="http://schemas.microsoft.com/office/drawing/2014/main" id="{E022F25F-1EDA-DCF3-F935-9FCF5C651A7C}"/>
              </a:ext>
            </a:extLst>
          </xdr:cNvPr>
          <xdr:cNvSpPr/>
        </xdr:nvSpPr>
        <xdr:spPr>
          <a:xfrm>
            <a:off x="5128672" y="1741877"/>
            <a:ext cx="624205" cy="885825"/>
          </a:xfrm>
          <a:custGeom>
            <a:avLst/>
            <a:gdLst/>
            <a:ahLst/>
            <a:cxnLst/>
            <a:rect l="l" t="t" r="r" b="b"/>
            <a:pathLst>
              <a:path w="624204" h="885825">
                <a:moveTo>
                  <a:pt x="74187" y="0"/>
                </a:moveTo>
                <a:lnTo>
                  <a:pt x="57435" y="1443"/>
                </a:lnTo>
                <a:lnTo>
                  <a:pt x="57729" y="1443"/>
                </a:lnTo>
                <a:lnTo>
                  <a:pt x="43345" y="5627"/>
                </a:lnTo>
                <a:lnTo>
                  <a:pt x="11127" y="35196"/>
                </a:lnTo>
                <a:lnTo>
                  <a:pt x="1232" y="69069"/>
                </a:lnTo>
                <a:lnTo>
                  <a:pt x="1197" y="69244"/>
                </a:lnTo>
                <a:lnTo>
                  <a:pt x="24" y="89433"/>
                </a:lnTo>
                <a:lnTo>
                  <a:pt x="0" y="780351"/>
                </a:lnTo>
                <a:lnTo>
                  <a:pt x="868" y="803643"/>
                </a:lnTo>
                <a:lnTo>
                  <a:pt x="8169" y="843242"/>
                </a:lnTo>
                <a:lnTo>
                  <a:pt x="36768" y="878765"/>
                </a:lnTo>
                <a:lnTo>
                  <a:pt x="74187" y="885558"/>
                </a:lnTo>
                <a:lnTo>
                  <a:pt x="107684" y="878981"/>
                </a:lnTo>
                <a:lnTo>
                  <a:pt x="131612" y="859253"/>
                </a:lnTo>
                <a:lnTo>
                  <a:pt x="145970" y="826375"/>
                </a:lnTo>
                <a:lnTo>
                  <a:pt x="150756" y="780351"/>
                </a:lnTo>
                <a:lnTo>
                  <a:pt x="150756" y="540689"/>
                </a:lnTo>
                <a:lnTo>
                  <a:pt x="562441" y="540689"/>
                </a:lnTo>
                <a:lnTo>
                  <a:pt x="563059" y="539892"/>
                </a:lnTo>
                <a:lnTo>
                  <a:pt x="571960" y="525487"/>
                </a:lnTo>
                <a:lnTo>
                  <a:pt x="315018" y="525487"/>
                </a:lnTo>
                <a:lnTo>
                  <a:pt x="283050" y="522182"/>
                </a:lnTo>
                <a:lnTo>
                  <a:pt x="227224" y="495735"/>
                </a:lnTo>
                <a:lnTo>
                  <a:pt x="183673" y="443493"/>
                </a:lnTo>
                <a:lnTo>
                  <a:pt x="161174" y="369402"/>
                </a:lnTo>
                <a:lnTo>
                  <a:pt x="158363" y="324408"/>
                </a:lnTo>
                <a:lnTo>
                  <a:pt x="161193" y="276919"/>
                </a:lnTo>
                <a:lnTo>
                  <a:pt x="169683" y="235565"/>
                </a:lnTo>
                <a:lnTo>
                  <a:pt x="203664" y="171259"/>
                </a:lnTo>
                <a:lnTo>
                  <a:pt x="254145" y="132248"/>
                </a:lnTo>
                <a:lnTo>
                  <a:pt x="315018" y="119240"/>
                </a:lnTo>
                <a:lnTo>
                  <a:pt x="570012" y="119240"/>
                </a:lnTo>
                <a:lnTo>
                  <a:pt x="568097" y="115885"/>
                </a:lnTo>
                <a:lnTo>
                  <a:pt x="562634" y="108724"/>
                </a:lnTo>
                <a:lnTo>
                  <a:pt x="150756" y="108724"/>
                </a:lnTo>
                <a:lnTo>
                  <a:pt x="150756" y="89433"/>
                </a:lnTo>
                <a:lnTo>
                  <a:pt x="145422" y="51222"/>
                </a:lnTo>
                <a:lnTo>
                  <a:pt x="117966" y="12987"/>
                </a:lnTo>
                <a:lnTo>
                  <a:pt x="90349" y="1443"/>
                </a:lnTo>
                <a:lnTo>
                  <a:pt x="74187" y="0"/>
                </a:lnTo>
                <a:close/>
              </a:path>
              <a:path w="624204" h="885825">
                <a:moveTo>
                  <a:pt x="562441" y="540689"/>
                </a:moveTo>
                <a:lnTo>
                  <a:pt x="150756" y="540689"/>
                </a:lnTo>
                <a:lnTo>
                  <a:pt x="172078" y="565676"/>
                </a:lnTo>
                <a:lnTo>
                  <a:pt x="216360" y="606005"/>
                </a:lnTo>
                <a:lnTo>
                  <a:pt x="263928" y="633367"/>
                </a:lnTo>
                <a:lnTo>
                  <a:pt x="321359" y="647111"/>
                </a:lnTo>
                <a:lnTo>
                  <a:pt x="354184" y="648830"/>
                </a:lnTo>
                <a:lnTo>
                  <a:pt x="382068" y="647422"/>
                </a:lnTo>
                <a:lnTo>
                  <a:pt x="435112" y="636164"/>
                </a:lnTo>
                <a:lnTo>
                  <a:pt x="484142" y="613864"/>
                </a:lnTo>
                <a:lnTo>
                  <a:pt x="526958" y="581718"/>
                </a:lnTo>
                <a:lnTo>
                  <a:pt x="562441" y="540689"/>
                </a:lnTo>
                <a:close/>
              </a:path>
              <a:path w="624204" h="885825">
                <a:moveTo>
                  <a:pt x="570012" y="119240"/>
                </a:moveTo>
                <a:lnTo>
                  <a:pt x="315018" y="119240"/>
                </a:lnTo>
                <a:lnTo>
                  <a:pt x="335308" y="120756"/>
                </a:lnTo>
                <a:lnTo>
                  <a:pt x="354689" y="125306"/>
                </a:lnTo>
                <a:lnTo>
                  <a:pt x="390722" y="143497"/>
                </a:lnTo>
                <a:lnTo>
                  <a:pt x="421180" y="173018"/>
                </a:lnTo>
                <a:lnTo>
                  <a:pt x="444189" y="213055"/>
                </a:lnTo>
                <a:lnTo>
                  <a:pt x="458659" y="262813"/>
                </a:lnTo>
                <a:lnTo>
                  <a:pt x="463481" y="321487"/>
                </a:lnTo>
                <a:lnTo>
                  <a:pt x="462202" y="353019"/>
                </a:lnTo>
                <a:lnTo>
                  <a:pt x="451977" y="408845"/>
                </a:lnTo>
                <a:lnTo>
                  <a:pt x="431951" y="454779"/>
                </a:lnTo>
                <a:lnTo>
                  <a:pt x="404770" y="489411"/>
                </a:lnTo>
                <a:lnTo>
                  <a:pt x="371346" y="512505"/>
                </a:lnTo>
                <a:lnTo>
                  <a:pt x="334522" y="524046"/>
                </a:lnTo>
                <a:lnTo>
                  <a:pt x="315018" y="525487"/>
                </a:lnTo>
                <a:lnTo>
                  <a:pt x="571960" y="525487"/>
                </a:lnTo>
                <a:lnTo>
                  <a:pt x="591554" y="488157"/>
                </a:lnTo>
                <a:lnTo>
                  <a:pt x="611971" y="426976"/>
                </a:lnTo>
                <a:lnTo>
                  <a:pt x="622343" y="359316"/>
                </a:lnTo>
                <a:lnTo>
                  <a:pt x="623598" y="324408"/>
                </a:lnTo>
                <a:lnTo>
                  <a:pt x="623559" y="321487"/>
                </a:lnTo>
                <a:lnTo>
                  <a:pt x="621486" y="276919"/>
                </a:lnTo>
                <a:lnTo>
                  <a:pt x="621395" y="274945"/>
                </a:lnTo>
                <a:lnTo>
                  <a:pt x="614657" y="230014"/>
                </a:lnTo>
                <a:lnTo>
                  <a:pt x="603425" y="188443"/>
                </a:lnTo>
                <a:lnTo>
                  <a:pt x="587699" y="150228"/>
                </a:lnTo>
                <a:lnTo>
                  <a:pt x="570012" y="119240"/>
                </a:lnTo>
                <a:close/>
              </a:path>
              <a:path w="624204" h="885825">
                <a:moveTo>
                  <a:pt x="354184" y="1168"/>
                </a:moveTo>
                <a:lnTo>
                  <a:pt x="296017" y="7672"/>
                </a:lnTo>
                <a:lnTo>
                  <a:pt x="244279" y="27177"/>
                </a:lnTo>
                <a:lnTo>
                  <a:pt x="196636" y="60569"/>
                </a:lnTo>
                <a:lnTo>
                  <a:pt x="150756" y="108724"/>
                </a:lnTo>
                <a:lnTo>
                  <a:pt x="562634" y="108724"/>
                </a:lnTo>
                <a:lnTo>
                  <a:pt x="519135" y="60358"/>
                </a:lnTo>
                <a:lnTo>
                  <a:pt x="458071" y="22540"/>
                </a:lnTo>
                <a:lnTo>
                  <a:pt x="390275" y="3542"/>
                </a:lnTo>
                <a:lnTo>
                  <a:pt x="354184" y="1168"/>
                </a:lnTo>
                <a:close/>
              </a:path>
            </a:pathLst>
          </a:custGeom>
          <a:solidFill>
            <a:srgbClr val="0A6CB8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6" name="object 5">
            <a:extLst>
              <a:ext uri="{FF2B5EF4-FFF2-40B4-BE49-F238E27FC236}">
                <a16:creationId xmlns:a16="http://schemas.microsoft.com/office/drawing/2014/main" id="{D1F43684-F04A-BDEB-5CF9-A347849A359E}"/>
              </a:ext>
            </a:extLst>
          </xdr:cNvPr>
          <xdr:cNvSpPr/>
        </xdr:nvSpPr>
        <xdr:spPr>
          <a:xfrm>
            <a:off x="5880336" y="1504555"/>
            <a:ext cx="160020" cy="886460"/>
          </a:xfrm>
          <a:custGeom>
            <a:avLst/>
            <a:gdLst/>
            <a:ahLst/>
            <a:cxnLst/>
            <a:rect l="l" t="t" r="r" b="b"/>
            <a:pathLst>
              <a:path w="160020" h="886460">
                <a:moveTo>
                  <a:pt x="78917" y="0"/>
                </a:moveTo>
                <a:lnTo>
                  <a:pt x="32942" y="13807"/>
                </a:lnTo>
                <a:lnTo>
                  <a:pt x="5335" y="54949"/>
                </a:lnTo>
                <a:lnTo>
                  <a:pt x="0" y="97027"/>
                </a:lnTo>
                <a:lnTo>
                  <a:pt x="0" y="789114"/>
                </a:lnTo>
                <a:lnTo>
                  <a:pt x="5484" y="830472"/>
                </a:lnTo>
                <a:lnTo>
                  <a:pt x="33710" y="872005"/>
                </a:lnTo>
                <a:lnTo>
                  <a:pt x="78917" y="886155"/>
                </a:lnTo>
                <a:lnTo>
                  <a:pt x="95919" y="884636"/>
                </a:lnTo>
                <a:lnTo>
                  <a:pt x="137083" y="861885"/>
                </a:lnTo>
                <a:lnTo>
                  <a:pt x="158170" y="811859"/>
                </a:lnTo>
                <a:lnTo>
                  <a:pt x="159575" y="789114"/>
                </a:lnTo>
                <a:lnTo>
                  <a:pt x="159575" y="97027"/>
                </a:lnTo>
                <a:lnTo>
                  <a:pt x="154022" y="54584"/>
                </a:lnTo>
                <a:lnTo>
                  <a:pt x="125380" y="13646"/>
                </a:lnTo>
                <a:lnTo>
                  <a:pt x="78917" y="0"/>
                </a:lnTo>
                <a:close/>
              </a:path>
            </a:pathLst>
          </a:custGeom>
          <a:solidFill>
            <a:srgbClr val="0A6CB8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7" name="object 6">
            <a:extLst>
              <a:ext uri="{FF2B5EF4-FFF2-40B4-BE49-F238E27FC236}">
                <a16:creationId xmlns:a16="http://schemas.microsoft.com/office/drawing/2014/main" id="{87E8D2C5-3E82-83D8-7A2F-17024010C44F}"/>
              </a:ext>
            </a:extLst>
          </xdr:cNvPr>
          <xdr:cNvSpPr/>
        </xdr:nvSpPr>
        <xdr:spPr>
          <a:xfrm>
            <a:off x="6174938" y="1740705"/>
            <a:ext cx="607060" cy="650240"/>
          </a:xfrm>
          <a:custGeom>
            <a:avLst/>
            <a:gdLst/>
            <a:ahLst/>
            <a:cxnLst/>
            <a:rect l="l" t="t" r="r" b="b"/>
            <a:pathLst>
              <a:path w="607059" h="650239">
                <a:moveTo>
                  <a:pt x="312724" y="0"/>
                </a:moveTo>
                <a:lnTo>
                  <a:pt x="244041" y="5772"/>
                </a:lnTo>
                <a:lnTo>
                  <a:pt x="181787" y="23088"/>
                </a:lnTo>
                <a:lnTo>
                  <a:pt x="127422" y="51222"/>
                </a:lnTo>
                <a:lnTo>
                  <a:pt x="82410" y="89433"/>
                </a:lnTo>
                <a:lnTo>
                  <a:pt x="46905" y="137001"/>
                </a:lnTo>
                <a:lnTo>
                  <a:pt x="21031" y="193179"/>
                </a:lnTo>
                <a:lnTo>
                  <a:pt x="5257" y="256241"/>
                </a:lnTo>
                <a:lnTo>
                  <a:pt x="0" y="324408"/>
                </a:lnTo>
                <a:lnTo>
                  <a:pt x="3412" y="382002"/>
                </a:lnTo>
                <a:lnTo>
                  <a:pt x="13567" y="434159"/>
                </a:lnTo>
                <a:lnTo>
                  <a:pt x="13651" y="434588"/>
                </a:lnTo>
                <a:lnTo>
                  <a:pt x="29973" y="480090"/>
                </a:lnTo>
                <a:lnTo>
                  <a:pt x="54615" y="524743"/>
                </a:lnTo>
                <a:lnTo>
                  <a:pt x="85344" y="562317"/>
                </a:lnTo>
                <a:lnTo>
                  <a:pt x="122210" y="593879"/>
                </a:lnTo>
                <a:lnTo>
                  <a:pt x="164551" y="618429"/>
                </a:lnTo>
                <a:lnTo>
                  <a:pt x="212365" y="635967"/>
                </a:lnTo>
                <a:lnTo>
                  <a:pt x="265651" y="646490"/>
                </a:lnTo>
                <a:lnTo>
                  <a:pt x="324408" y="649998"/>
                </a:lnTo>
                <a:lnTo>
                  <a:pt x="357047" y="648903"/>
                </a:lnTo>
                <a:lnTo>
                  <a:pt x="416525" y="640134"/>
                </a:lnTo>
                <a:lnTo>
                  <a:pt x="468129" y="623124"/>
                </a:lnTo>
                <a:lnTo>
                  <a:pt x="511097" y="601063"/>
                </a:lnTo>
                <a:lnTo>
                  <a:pt x="545316" y="574885"/>
                </a:lnTo>
                <a:lnTo>
                  <a:pt x="572841" y="544195"/>
                </a:lnTo>
                <a:lnTo>
                  <a:pt x="319735" y="544195"/>
                </a:lnTo>
                <a:lnTo>
                  <a:pt x="298856" y="542880"/>
                </a:lnTo>
                <a:lnTo>
                  <a:pt x="259836" y="532359"/>
                </a:lnTo>
                <a:lnTo>
                  <a:pt x="224891" y="511356"/>
                </a:lnTo>
                <a:lnTo>
                  <a:pt x="196550" y="480090"/>
                </a:lnTo>
                <a:lnTo>
                  <a:pt x="175628" y="439058"/>
                </a:lnTo>
                <a:lnTo>
                  <a:pt x="164664" y="391123"/>
                </a:lnTo>
                <a:lnTo>
                  <a:pt x="163080" y="364744"/>
                </a:lnTo>
                <a:lnTo>
                  <a:pt x="475221" y="364744"/>
                </a:lnTo>
                <a:lnTo>
                  <a:pt x="504737" y="363631"/>
                </a:lnTo>
                <a:lnTo>
                  <a:pt x="553254" y="354719"/>
                </a:lnTo>
                <a:lnTo>
                  <a:pt x="587341" y="335356"/>
                </a:lnTo>
                <a:lnTo>
                  <a:pt x="604585" y="296342"/>
                </a:lnTo>
                <a:lnTo>
                  <a:pt x="606329" y="274142"/>
                </a:lnTo>
                <a:lnTo>
                  <a:pt x="163080" y="274142"/>
                </a:lnTo>
                <a:lnTo>
                  <a:pt x="169006" y="236589"/>
                </a:lnTo>
                <a:lnTo>
                  <a:pt x="192287" y="175342"/>
                </a:lnTo>
                <a:lnTo>
                  <a:pt x="230028" y="134244"/>
                </a:lnTo>
                <a:lnTo>
                  <a:pt x="278987" y="113637"/>
                </a:lnTo>
                <a:lnTo>
                  <a:pt x="307467" y="111061"/>
                </a:lnTo>
                <a:lnTo>
                  <a:pt x="554184" y="111061"/>
                </a:lnTo>
                <a:lnTo>
                  <a:pt x="531704" y="84688"/>
                </a:lnTo>
                <a:lnTo>
                  <a:pt x="473176" y="39458"/>
                </a:lnTo>
                <a:lnTo>
                  <a:pt x="438044" y="22197"/>
                </a:lnTo>
                <a:lnTo>
                  <a:pt x="399589" y="9866"/>
                </a:lnTo>
                <a:lnTo>
                  <a:pt x="357815" y="2466"/>
                </a:lnTo>
                <a:lnTo>
                  <a:pt x="312724" y="0"/>
                </a:lnTo>
                <a:close/>
              </a:path>
              <a:path w="607059" h="650239">
                <a:moveTo>
                  <a:pt x="542442" y="430796"/>
                </a:moveTo>
                <a:lnTo>
                  <a:pt x="493158" y="454624"/>
                </a:lnTo>
                <a:lnTo>
                  <a:pt x="480336" y="466461"/>
                </a:lnTo>
                <a:lnTo>
                  <a:pt x="449278" y="493804"/>
                </a:lnTo>
                <a:lnTo>
                  <a:pt x="417931" y="516432"/>
                </a:lnTo>
                <a:lnTo>
                  <a:pt x="383793" y="533645"/>
                </a:lnTo>
                <a:lnTo>
                  <a:pt x="333743" y="543775"/>
                </a:lnTo>
                <a:lnTo>
                  <a:pt x="319735" y="544195"/>
                </a:lnTo>
                <a:lnTo>
                  <a:pt x="572841" y="544195"/>
                </a:lnTo>
                <a:lnTo>
                  <a:pt x="593145" y="505694"/>
                </a:lnTo>
                <a:lnTo>
                  <a:pt x="597382" y="482244"/>
                </a:lnTo>
                <a:lnTo>
                  <a:pt x="596434" y="470661"/>
                </a:lnTo>
                <a:lnTo>
                  <a:pt x="593629" y="460616"/>
                </a:lnTo>
                <a:lnTo>
                  <a:pt x="593588" y="460468"/>
                </a:lnTo>
                <a:lnTo>
                  <a:pt x="564651" y="434159"/>
                </a:lnTo>
                <a:lnTo>
                  <a:pt x="554132" y="431637"/>
                </a:lnTo>
                <a:lnTo>
                  <a:pt x="542442" y="430796"/>
                </a:lnTo>
                <a:close/>
              </a:path>
              <a:path w="607059" h="650239">
                <a:moveTo>
                  <a:pt x="554184" y="111061"/>
                </a:moveTo>
                <a:lnTo>
                  <a:pt x="307467" y="111061"/>
                </a:lnTo>
                <a:lnTo>
                  <a:pt x="337636" y="113637"/>
                </a:lnTo>
                <a:lnTo>
                  <a:pt x="337341" y="113637"/>
                </a:lnTo>
                <a:lnTo>
                  <a:pt x="387635" y="133917"/>
                </a:lnTo>
                <a:lnTo>
                  <a:pt x="425408" y="174579"/>
                </a:lnTo>
                <a:lnTo>
                  <a:pt x="447472" y="235806"/>
                </a:lnTo>
                <a:lnTo>
                  <a:pt x="452424" y="274142"/>
                </a:lnTo>
                <a:lnTo>
                  <a:pt x="606329" y="274142"/>
                </a:lnTo>
                <a:lnTo>
                  <a:pt x="598416" y="204587"/>
                </a:lnTo>
                <a:lnTo>
                  <a:pt x="573430" y="141452"/>
                </a:lnTo>
                <a:lnTo>
                  <a:pt x="554668" y="111630"/>
                </a:lnTo>
                <a:lnTo>
                  <a:pt x="554184" y="111061"/>
                </a:lnTo>
                <a:close/>
              </a:path>
            </a:pathLst>
          </a:custGeom>
          <a:solidFill>
            <a:srgbClr val="0A6CB8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8" name="object 7">
            <a:extLst>
              <a:ext uri="{FF2B5EF4-FFF2-40B4-BE49-F238E27FC236}">
                <a16:creationId xmlns:a16="http://schemas.microsoft.com/office/drawing/2014/main" id="{C07997F5-204A-B4FC-386E-E85FF856C2AA}"/>
              </a:ext>
            </a:extLst>
          </xdr:cNvPr>
          <xdr:cNvSpPr/>
        </xdr:nvSpPr>
        <xdr:spPr>
          <a:xfrm>
            <a:off x="6850074" y="1741873"/>
            <a:ext cx="559435" cy="648970"/>
          </a:xfrm>
          <a:custGeom>
            <a:avLst/>
            <a:gdLst/>
            <a:ahLst/>
            <a:cxnLst/>
            <a:rect l="l" t="t" r="r" b="b"/>
            <a:pathLst>
              <a:path w="559434" h="648969">
                <a:moveTo>
                  <a:pt x="470547" y="0"/>
                </a:moveTo>
                <a:lnTo>
                  <a:pt x="424662" y="15201"/>
                </a:lnTo>
                <a:lnTo>
                  <a:pt x="393260" y="49175"/>
                </a:lnTo>
                <a:lnTo>
                  <a:pt x="280581" y="206921"/>
                </a:lnTo>
                <a:lnTo>
                  <a:pt x="177114" y="65468"/>
                </a:lnTo>
                <a:lnTo>
                  <a:pt x="143736" y="24802"/>
                </a:lnTo>
                <a:lnTo>
                  <a:pt x="101108" y="985"/>
                </a:lnTo>
                <a:lnTo>
                  <a:pt x="87680" y="0"/>
                </a:lnTo>
                <a:lnTo>
                  <a:pt x="72371" y="1133"/>
                </a:lnTo>
                <a:lnTo>
                  <a:pt x="35661" y="18122"/>
                </a:lnTo>
                <a:lnTo>
                  <a:pt x="15786" y="60794"/>
                </a:lnTo>
                <a:lnTo>
                  <a:pt x="17867" y="77270"/>
                </a:lnTo>
                <a:lnTo>
                  <a:pt x="24112" y="95134"/>
                </a:lnTo>
                <a:lnTo>
                  <a:pt x="34522" y="114385"/>
                </a:lnTo>
                <a:lnTo>
                  <a:pt x="49098" y="135026"/>
                </a:lnTo>
                <a:lnTo>
                  <a:pt x="177114" y="307467"/>
                </a:lnTo>
                <a:lnTo>
                  <a:pt x="32740" y="514388"/>
                </a:lnTo>
                <a:lnTo>
                  <a:pt x="18409" y="536419"/>
                </a:lnTo>
                <a:lnTo>
                  <a:pt x="8178" y="555745"/>
                </a:lnTo>
                <a:lnTo>
                  <a:pt x="2043" y="572366"/>
                </a:lnTo>
                <a:lnTo>
                  <a:pt x="0" y="586282"/>
                </a:lnTo>
                <a:lnTo>
                  <a:pt x="1333" y="598212"/>
                </a:lnTo>
                <a:lnTo>
                  <a:pt x="32568" y="638141"/>
                </a:lnTo>
                <a:lnTo>
                  <a:pt x="73075" y="648830"/>
                </a:lnTo>
                <a:lnTo>
                  <a:pt x="86201" y="647880"/>
                </a:lnTo>
                <a:lnTo>
                  <a:pt x="127770" y="624756"/>
                </a:lnTo>
                <a:lnTo>
                  <a:pt x="161912" y="582777"/>
                </a:lnTo>
                <a:lnTo>
                  <a:pt x="280581" y="412673"/>
                </a:lnTo>
                <a:lnTo>
                  <a:pt x="396316" y="582777"/>
                </a:lnTo>
                <a:lnTo>
                  <a:pt x="430018" y="623988"/>
                </a:lnTo>
                <a:lnTo>
                  <a:pt x="473127" y="647844"/>
                </a:lnTo>
                <a:lnTo>
                  <a:pt x="486333" y="648830"/>
                </a:lnTo>
                <a:lnTo>
                  <a:pt x="501200" y="647697"/>
                </a:lnTo>
                <a:lnTo>
                  <a:pt x="538365" y="630707"/>
                </a:lnTo>
                <a:lnTo>
                  <a:pt x="559396" y="587451"/>
                </a:lnTo>
                <a:lnTo>
                  <a:pt x="557277" y="573683"/>
                </a:lnTo>
                <a:lnTo>
                  <a:pt x="550921" y="556915"/>
                </a:lnTo>
                <a:lnTo>
                  <a:pt x="540328" y="537150"/>
                </a:lnTo>
                <a:lnTo>
                  <a:pt x="525500" y="514388"/>
                </a:lnTo>
                <a:lnTo>
                  <a:pt x="381114" y="307467"/>
                </a:lnTo>
                <a:lnTo>
                  <a:pt x="517332" y="124010"/>
                </a:lnTo>
                <a:lnTo>
                  <a:pt x="538844" y="87149"/>
                </a:lnTo>
                <a:lnTo>
                  <a:pt x="543623" y="60794"/>
                </a:lnTo>
                <a:lnTo>
                  <a:pt x="542325" y="48686"/>
                </a:lnTo>
                <a:lnTo>
                  <a:pt x="511815" y="10029"/>
                </a:lnTo>
                <a:lnTo>
                  <a:pt x="485654" y="1114"/>
                </a:lnTo>
                <a:lnTo>
                  <a:pt x="470547" y="0"/>
                </a:lnTo>
                <a:close/>
              </a:path>
            </a:pathLst>
          </a:custGeom>
          <a:solidFill>
            <a:srgbClr val="0A6CB8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9" name="object 8">
            <a:extLst>
              <a:ext uri="{FF2B5EF4-FFF2-40B4-BE49-F238E27FC236}">
                <a16:creationId xmlns:a16="http://schemas.microsoft.com/office/drawing/2014/main" id="{D2918A38-E598-4868-3F03-34803817E87A}"/>
              </a:ext>
            </a:extLst>
          </xdr:cNvPr>
          <xdr:cNvSpPr/>
        </xdr:nvSpPr>
        <xdr:spPr>
          <a:xfrm>
            <a:off x="2632798" y="796785"/>
            <a:ext cx="628015" cy="580390"/>
          </a:xfrm>
          <a:custGeom>
            <a:avLst/>
            <a:gdLst/>
            <a:ahLst/>
            <a:cxnLst/>
            <a:rect l="l" t="t" r="r" b="b"/>
            <a:pathLst>
              <a:path w="628014" h="580390">
                <a:moveTo>
                  <a:pt x="496150" y="11544"/>
                </a:moveTo>
                <a:lnTo>
                  <a:pt x="420319" y="11544"/>
                </a:lnTo>
                <a:lnTo>
                  <a:pt x="245605" y="526656"/>
                </a:lnTo>
                <a:lnTo>
                  <a:pt x="76644" y="11544"/>
                </a:lnTo>
                <a:lnTo>
                  <a:pt x="0" y="11544"/>
                </a:lnTo>
                <a:lnTo>
                  <a:pt x="196151" y="580224"/>
                </a:lnTo>
                <a:lnTo>
                  <a:pt x="291757" y="580224"/>
                </a:lnTo>
                <a:lnTo>
                  <a:pt x="496150" y="11544"/>
                </a:lnTo>
                <a:close/>
              </a:path>
              <a:path w="628014" h="580390">
                <a:moveTo>
                  <a:pt x="618083" y="143408"/>
                </a:moveTo>
                <a:lnTo>
                  <a:pt x="547204" y="143408"/>
                </a:lnTo>
                <a:lnTo>
                  <a:pt x="547204" y="580224"/>
                </a:lnTo>
                <a:lnTo>
                  <a:pt x="618083" y="580224"/>
                </a:lnTo>
                <a:lnTo>
                  <a:pt x="618083" y="143408"/>
                </a:lnTo>
                <a:close/>
              </a:path>
              <a:path w="628014" h="580390">
                <a:moveTo>
                  <a:pt x="627964" y="45339"/>
                </a:moveTo>
                <a:lnTo>
                  <a:pt x="624471" y="27482"/>
                </a:lnTo>
                <a:lnTo>
                  <a:pt x="614883" y="13093"/>
                </a:lnTo>
                <a:lnTo>
                  <a:pt x="600494" y="3492"/>
                </a:lnTo>
                <a:lnTo>
                  <a:pt x="582637" y="0"/>
                </a:lnTo>
                <a:lnTo>
                  <a:pt x="564769" y="3492"/>
                </a:lnTo>
                <a:lnTo>
                  <a:pt x="550392" y="13093"/>
                </a:lnTo>
                <a:lnTo>
                  <a:pt x="540791" y="27482"/>
                </a:lnTo>
                <a:lnTo>
                  <a:pt x="537311" y="45339"/>
                </a:lnTo>
                <a:lnTo>
                  <a:pt x="540791" y="63207"/>
                </a:lnTo>
                <a:lnTo>
                  <a:pt x="550392" y="77584"/>
                </a:lnTo>
                <a:lnTo>
                  <a:pt x="564769" y="87185"/>
                </a:lnTo>
                <a:lnTo>
                  <a:pt x="582637" y="90665"/>
                </a:lnTo>
                <a:lnTo>
                  <a:pt x="600494" y="87185"/>
                </a:lnTo>
                <a:lnTo>
                  <a:pt x="614883" y="77584"/>
                </a:lnTo>
                <a:lnTo>
                  <a:pt x="624471" y="63207"/>
                </a:lnTo>
                <a:lnTo>
                  <a:pt x="627964" y="45339"/>
                </a:lnTo>
                <a:close/>
              </a:path>
            </a:pathLst>
          </a:custGeom>
          <a:solidFill>
            <a:srgbClr val="0A6CB8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10" name="object 9">
            <a:extLst>
              <a:ext uri="{FF2B5EF4-FFF2-40B4-BE49-F238E27FC236}">
                <a16:creationId xmlns:a16="http://schemas.microsoft.com/office/drawing/2014/main" id="{00F67550-2858-E17B-7375-AF87C95FF326}"/>
              </a:ext>
            </a:extLst>
          </xdr:cNvPr>
          <xdr:cNvSpPr/>
        </xdr:nvSpPr>
        <xdr:spPr>
          <a:xfrm>
            <a:off x="3339867" y="771241"/>
            <a:ext cx="418465" cy="617855"/>
          </a:xfrm>
          <a:custGeom>
            <a:avLst/>
            <a:gdLst/>
            <a:ahLst/>
            <a:cxnLst/>
            <a:rect l="l" t="t" r="r" b="b"/>
            <a:pathLst>
              <a:path w="418464" h="617855">
                <a:moveTo>
                  <a:pt x="213461" y="157416"/>
                </a:moveTo>
                <a:lnTo>
                  <a:pt x="171870" y="160954"/>
                </a:lnTo>
                <a:lnTo>
                  <a:pt x="132471" y="171658"/>
                </a:lnTo>
                <a:lnTo>
                  <a:pt x="96299" y="189663"/>
                </a:lnTo>
                <a:lnTo>
                  <a:pt x="64387" y="215106"/>
                </a:lnTo>
                <a:lnTo>
                  <a:pt x="37767" y="248121"/>
                </a:lnTo>
                <a:lnTo>
                  <a:pt x="17474" y="288843"/>
                </a:lnTo>
                <a:lnTo>
                  <a:pt x="4540" y="337409"/>
                </a:lnTo>
                <a:lnTo>
                  <a:pt x="0" y="393953"/>
                </a:lnTo>
                <a:lnTo>
                  <a:pt x="4298" y="446550"/>
                </a:lnTo>
                <a:lnTo>
                  <a:pt x="17031" y="494101"/>
                </a:lnTo>
                <a:lnTo>
                  <a:pt x="37952" y="535495"/>
                </a:lnTo>
                <a:lnTo>
                  <a:pt x="66818" y="569623"/>
                </a:lnTo>
                <a:lnTo>
                  <a:pt x="103382" y="595375"/>
                </a:lnTo>
                <a:lnTo>
                  <a:pt x="147401" y="611640"/>
                </a:lnTo>
                <a:lnTo>
                  <a:pt x="198628" y="617308"/>
                </a:lnTo>
                <a:lnTo>
                  <a:pt x="231952" y="614796"/>
                </a:lnTo>
                <a:lnTo>
                  <a:pt x="263732" y="607723"/>
                </a:lnTo>
                <a:lnTo>
                  <a:pt x="291805" y="596788"/>
                </a:lnTo>
                <a:lnTo>
                  <a:pt x="314007" y="582688"/>
                </a:lnTo>
                <a:lnTo>
                  <a:pt x="327885" y="562914"/>
                </a:lnTo>
                <a:lnTo>
                  <a:pt x="209334" y="562914"/>
                </a:lnTo>
                <a:lnTo>
                  <a:pt x="162072" y="553979"/>
                </a:lnTo>
                <a:lnTo>
                  <a:pt x="125176" y="529021"/>
                </a:lnTo>
                <a:lnTo>
                  <a:pt x="98725" y="490809"/>
                </a:lnTo>
                <a:lnTo>
                  <a:pt x="82796" y="442116"/>
                </a:lnTo>
                <a:lnTo>
                  <a:pt x="77470" y="385711"/>
                </a:lnTo>
                <a:lnTo>
                  <a:pt x="84255" y="323632"/>
                </a:lnTo>
                <a:lnTo>
                  <a:pt x="103265" y="275005"/>
                </a:lnTo>
                <a:lnTo>
                  <a:pt x="132482" y="240028"/>
                </a:lnTo>
                <a:lnTo>
                  <a:pt x="169886" y="218897"/>
                </a:lnTo>
                <a:lnTo>
                  <a:pt x="213461" y="211810"/>
                </a:lnTo>
                <a:lnTo>
                  <a:pt x="335328" y="211810"/>
                </a:lnTo>
                <a:lnTo>
                  <a:pt x="318135" y="186258"/>
                </a:lnTo>
                <a:lnTo>
                  <a:pt x="297491" y="174106"/>
                </a:lnTo>
                <a:lnTo>
                  <a:pt x="271051" y="165041"/>
                </a:lnTo>
                <a:lnTo>
                  <a:pt x="241984" y="159374"/>
                </a:lnTo>
                <a:lnTo>
                  <a:pt x="213461" y="157416"/>
                </a:lnTo>
                <a:close/>
              </a:path>
              <a:path w="418464" h="617855">
                <a:moveTo>
                  <a:pt x="417855" y="535711"/>
                </a:moveTo>
                <a:lnTo>
                  <a:pt x="346976" y="535711"/>
                </a:lnTo>
                <a:lnTo>
                  <a:pt x="346976" y="605764"/>
                </a:lnTo>
                <a:lnTo>
                  <a:pt x="417855" y="605764"/>
                </a:lnTo>
                <a:lnTo>
                  <a:pt x="417855" y="535711"/>
                </a:lnTo>
                <a:close/>
              </a:path>
              <a:path w="418464" h="617855">
                <a:moveTo>
                  <a:pt x="335328" y="211810"/>
                </a:moveTo>
                <a:lnTo>
                  <a:pt x="213461" y="211810"/>
                </a:lnTo>
                <a:lnTo>
                  <a:pt x="251399" y="217171"/>
                </a:lnTo>
                <a:lnTo>
                  <a:pt x="287517" y="234123"/>
                </a:lnTo>
                <a:lnTo>
                  <a:pt x="318018" y="263972"/>
                </a:lnTo>
                <a:lnTo>
                  <a:pt x="339104" y="308021"/>
                </a:lnTo>
                <a:lnTo>
                  <a:pt x="346976" y="367576"/>
                </a:lnTo>
                <a:lnTo>
                  <a:pt x="346976" y="391477"/>
                </a:lnTo>
                <a:lnTo>
                  <a:pt x="339624" y="457411"/>
                </a:lnTo>
                <a:lnTo>
                  <a:pt x="319415" y="505941"/>
                </a:lnTo>
                <a:lnTo>
                  <a:pt x="289117" y="538647"/>
                </a:lnTo>
                <a:lnTo>
                  <a:pt x="251500" y="557111"/>
                </a:lnTo>
                <a:lnTo>
                  <a:pt x="209334" y="562914"/>
                </a:lnTo>
                <a:lnTo>
                  <a:pt x="327885" y="562914"/>
                </a:lnTo>
                <a:lnTo>
                  <a:pt x="346976" y="535711"/>
                </a:lnTo>
                <a:lnTo>
                  <a:pt x="417855" y="535711"/>
                </a:lnTo>
                <a:lnTo>
                  <a:pt x="417855" y="229120"/>
                </a:lnTo>
                <a:lnTo>
                  <a:pt x="346976" y="229120"/>
                </a:lnTo>
                <a:lnTo>
                  <a:pt x="335328" y="211810"/>
                </a:lnTo>
                <a:close/>
              </a:path>
              <a:path w="418464" h="617855">
                <a:moveTo>
                  <a:pt x="417855" y="0"/>
                </a:moveTo>
                <a:lnTo>
                  <a:pt x="346976" y="0"/>
                </a:lnTo>
                <a:lnTo>
                  <a:pt x="346976" y="229120"/>
                </a:lnTo>
                <a:lnTo>
                  <a:pt x="417855" y="229120"/>
                </a:lnTo>
                <a:lnTo>
                  <a:pt x="417855" y="0"/>
                </a:lnTo>
                <a:close/>
              </a:path>
            </a:pathLst>
          </a:custGeom>
          <a:solidFill>
            <a:srgbClr val="0A6CB8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11" name="object 10">
            <a:extLst>
              <a:ext uri="{FF2B5EF4-FFF2-40B4-BE49-F238E27FC236}">
                <a16:creationId xmlns:a16="http://schemas.microsoft.com/office/drawing/2014/main" id="{DFCF010E-9139-297E-AD79-8C23913686E7}"/>
              </a:ext>
            </a:extLst>
          </xdr:cNvPr>
          <xdr:cNvSpPr/>
        </xdr:nvSpPr>
        <xdr:spPr>
          <a:xfrm>
            <a:off x="3882937" y="930306"/>
            <a:ext cx="201295" cy="447040"/>
          </a:xfrm>
          <a:custGeom>
            <a:avLst/>
            <a:gdLst/>
            <a:ahLst/>
            <a:cxnLst/>
            <a:rect l="l" t="t" r="r" b="b"/>
            <a:pathLst>
              <a:path w="201295" h="447040">
                <a:moveTo>
                  <a:pt x="171424" y="0"/>
                </a:moveTo>
                <a:lnTo>
                  <a:pt x="124716" y="11476"/>
                </a:lnTo>
                <a:lnTo>
                  <a:pt x="70878" y="78295"/>
                </a:lnTo>
                <a:lnTo>
                  <a:pt x="70878" y="9893"/>
                </a:lnTo>
                <a:lnTo>
                  <a:pt x="0" y="9893"/>
                </a:lnTo>
                <a:lnTo>
                  <a:pt x="0" y="446697"/>
                </a:lnTo>
                <a:lnTo>
                  <a:pt x="70878" y="446697"/>
                </a:lnTo>
                <a:lnTo>
                  <a:pt x="70878" y="197802"/>
                </a:lnTo>
                <a:lnTo>
                  <a:pt x="77300" y="144634"/>
                </a:lnTo>
                <a:lnTo>
                  <a:pt x="95353" y="104559"/>
                </a:lnTo>
                <a:lnTo>
                  <a:pt x="123216" y="77221"/>
                </a:lnTo>
                <a:lnTo>
                  <a:pt x="159069" y="62264"/>
                </a:lnTo>
                <a:lnTo>
                  <a:pt x="201091" y="59334"/>
                </a:lnTo>
                <a:lnTo>
                  <a:pt x="201091" y="5765"/>
                </a:lnTo>
                <a:lnTo>
                  <a:pt x="194606" y="3128"/>
                </a:lnTo>
                <a:lnTo>
                  <a:pt x="187496" y="1339"/>
                </a:lnTo>
                <a:lnTo>
                  <a:pt x="179767" y="322"/>
                </a:lnTo>
                <a:lnTo>
                  <a:pt x="171424" y="0"/>
                </a:lnTo>
                <a:close/>
              </a:path>
            </a:pathLst>
          </a:custGeom>
          <a:solidFill>
            <a:srgbClr val="0A6CB8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12" name="object 11">
            <a:extLst>
              <a:ext uri="{FF2B5EF4-FFF2-40B4-BE49-F238E27FC236}">
                <a16:creationId xmlns:a16="http://schemas.microsoft.com/office/drawing/2014/main" id="{42C789B7-E2AC-3C2D-A614-D5E75261AF12}"/>
              </a:ext>
            </a:extLst>
          </xdr:cNvPr>
          <xdr:cNvSpPr/>
        </xdr:nvSpPr>
        <xdr:spPr>
          <a:xfrm>
            <a:off x="4144988" y="796785"/>
            <a:ext cx="90805" cy="580390"/>
          </a:xfrm>
          <a:custGeom>
            <a:avLst/>
            <a:gdLst/>
            <a:ahLst/>
            <a:cxnLst/>
            <a:rect l="l" t="t" r="r" b="b"/>
            <a:pathLst>
              <a:path w="90804" h="580390">
                <a:moveTo>
                  <a:pt x="80772" y="143408"/>
                </a:moveTo>
                <a:lnTo>
                  <a:pt x="9893" y="143408"/>
                </a:lnTo>
                <a:lnTo>
                  <a:pt x="9893" y="580224"/>
                </a:lnTo>
                <a:lnTo>
                  <a:pt x="80772" y="580224"/>
                </a:lnTo>
                <a:lnTo>
                  <a:pt x="80772" y="143408"/>
                </a:lnTo>
                <a:close/>
              </a:path>
              <a:path w="90804" h="580390">
                <a:moveTo>
                  <a:pt x="45326" y="0"/>
                </a:moveTo>
                <a:lnTo>
                  <a:pt x="27469" y="3490"/>
                </a:lnTo>
                <a:lnTo>
                  <a:pt x="13085" y="13087"/>
                </a:lnTo>
                <a:lnTo>
                  <a:pt x="3490" y="27474"/>
                </a:lnTo>
                <a:lnTo>
                  <a:pt x="0" y="45339"/>
                </a:lnTo>
                <a:lnTo>
                  <a:pt x="3490" y="63195"/>
                </a:lnTo>
                <a:lnTo>
                  <a:pt x="13085" y="77579"/>
                </a:lnTo>
                <a:lnTo>
                  <a:pt x="27469" y="87174"/>
                </a:lnTo>
                <a:lnTo>
                  <a:pt x="45326" y="90665"/>
                </a:lnTo>
                <a:lnTo>
                  <a:pt x="63190" y="87174"/>
                </a:lnTo>
                <a:lnTo>
                  <a:pt x="77577" y="77579"/>
                </a:lnTo>
                <a:lnTo>
                  <a:pt x="87174" y="63195"/>
                </a:lnTo>
                <a:lnTo>
                  <a:pt x="90665" y="45339"/>
                </a:lnTo>
                <a:lnTo>
                  <a:pt x="87174" y="27474"/>
                </a:lnTo>
                <a:lnTo>
                  <a:pt x="77577" y="13087"/>
                </a:lnTo>
                <a:lnTo>
                  <a:pt x="63190" y="3490"/>
                </a:lnTo>
                <a:lnTo>
                  <a:pt x="45326" y="0"/>
                </a:lnTo>
                <a:close/>
              </a:path>
            </a:pathLst>
          </a:custGeom>
          <a:solidFill>
            <a:srgbClr val="0A6CB8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13" name="object 12">
            <a:extLst>
              <a:ext uri="{FF2B5EF4-FFF2-40B4-BE49-F238E27FC236}">
                <a16:creationId xmlns:a16="http://schemas.microsoft.com/office/drawing/2014/main" id="{4AF1FC6B-C6A6-3039-3F35-4D10ACB66C6F}"/>
              </a:ext>
            </a:extLst>
          </xdr:cNvPr>
          <xdr:cNvSpPr/>
        </xdr:nvSpPr>
        <xdr:spPr>
          <a:xfrm>
            <a:off x="4314752" y="928655"/>
            <a:ext cx="433705" cy="460375"/>
          </a:xfrm>
          <a:custGeom>
            <a:avLst/>
            <a:gdLst/>
            <a:ahLst/>
            <a:cxnLst/>
            <a:rect l="l" t="t" r="r" b="b"/>
            <a:pathLst>
              <a:path w="433704" h="460375">
                <a:moveTo>
                  <a:pt x="216750" y="0"/>
                </a:moveTo>
                <a:lnTo>
                  <a:pt x="164845" y="4810"/>
                </a:lnTo>
                <a:lnTo>
                  <a:pt x="120298" y="18544"/>
                </a:lnTo>
                <a:lnTo>
                  <a:pt x="82977" y="40160"/>
                </a:lnTo>
                <a:lnTo>
                  <a:pt x="52744" y="68614"/>
                </a:lnTo>
                <a:lnTo>
                  <a:pt x="29465" y="102863"/>
                </a:lnTo>
                <a:lnTo>
                  <a:pt x="13005" y="141864"/>
                </a:lnTo>
                <a:lnTo>
                  <a:pt x="3228" y="184572"/>
                </a:lnTo>
                <a:lnTo>
                  <a:pt x="0" y="229946"/>
                </a:lnTo>
                <a:lnTo>
                  <a:pt x="3228" y="275082"/>
                </a:lnTo>
                <a:lnTo>
                  <a:pt x="13005" y="317679"/>
                </a:lnTo>
                <a:lnTo>
                  <a:pt x="29465" y="356665"/>
                </a:lnTo>
                <a:lnTo>
                  <a:pt x="52744" y="390967"/>
                </a:lnTo>
                <a:lnTo>
                  <a:pt x="82977" y="419513"/>
                </a:lnTo>
                <a:lnTo>
                  <a:pt x="120298" y="441231"/>
                </a:lnTo>
                <a:lnTo>
                  <a:pt x="164845" y="455048"/>
                </a:lnTo>
                <a:lnTo>
                  <a:pt x="216750" y="459892"/>
                </a:lnTo>
                <a:lnTo>
                  <a:pt x="268657" y="455048"/>
                </a:lnTo>
                <a:lnTo>
                  <a:pt x="313204" y="441231"/>
                </a:lnTo>
                <a:lnTo>
                  <a:pt x="350528" y="419513"/>
                </a:lnTo>
                <a:lnTo>
                  <a:pt x="365373" y="405498"/>
                </a:lnTo>
                <a:lnTo>
                  <a:pt x="216750" y="405498"/>
                </a:lnTo>
                <a:lnTo>
                  <a:pt x="175811" y="399591"/>
                </a:lnTo>
                <a:lnTo>
                  <a:pt x="141442" y="382695"/>
                </a:lnTo>
                <a:lnTo>
                  <a:pt x="114033" y="356046"/>
                </a:lnTo>
                <a:lnTo>
                  <a:pt x="93972" y="320880"/>
                </a:lnTo>
                <a:lnTo>
                  <a:pt x="81651" y="278435"/>
                </a:lnTo>
                <a:lnTo>
                  <a:pt x="77457" y="229946"/>
                </a:lnTo>
                <a:lnTo>
                  <a:pt x="81651" y="181170"/>
                </a:lnTo>
                <a:lnTo>
                  <a:pt x="93972" y="138644"/>
                </a:lnTo>
                <a:lnTo>
                  <a:pt x="114033" y="103536"/>
                </a:lnTo>
                <a:lnTo>
                  <a:pt x="141442" y="77013"/>
                </a:lnTo>
                <a:lnTo>
                  <a:pt x="175811" y="60243"/>
                </a:lnTo>
                <a:lnTo>
                  <a:pt x="216750" y="54394"/>
                </a:lnTo>
                <a:lnTo>
                  <a:pt x="365652" y="54394"/>
                </a:lnTo>
                <a:lnTo>
                  <a:pt x="350528" y="40160"/>
                </a:lnTo>
                <a:lnTo>
                  <a:pt x="313204" y="18544"/>
                </a:lnTo>
                <a:lnTo>
                  <a:pt x="268657" y="4810"/>
                </a:lnTo>
                <a:lnTo>
                  <a:pt x="216750" y="0"/>
                </a:lnTo>
                <a:close/>
              </a:path>
              <a:path w="433704" h="460375">
                <a:moveTo>
                  <a:pt x="365652" y="54394"/>
                </a:moveTo>
                <a:lnTo>
                  <a:pt x="216750" y="54394"/>
                </a:lnTo>
                <a:lnTo>
                  <a:pt x="257689" y="60243"/>
                </a:lnTo>
                <a:lnTo>
                  <a:pt x="292055" y="77013"/>
                </a:lnTo>
                <a:lnTo>
                  <a:pt x="319462" y="103536"/>
                </a:lnTo>
                <a:lnTo>
                  <a:pt x="339519" y="138644"/>
                </a:lnTo>
                <a:lnTo>
                  <a:pt x="351838" y="181170"/>
                </a:lnTo>
                <a:lnTo>
                  <a:pt x="356031" y="229946"/>
                </a:lnTo>
                <a:lnTo>
                  <a:pt x="351838" y="278435"/>
                </a:lnTo>
                <a:lnTo>
                  <a:pt x="339519" y="320880"/>
                </a:lnTo>
                <a:lnTo>
                  <a:pt x="319462" y="356046"/>
                </a:lnTo>
                <a:lnTo>
                  <a:pt x="292055" y="382695"/>
                </a:lnTo>
                <a:lnTo>
                  <a:pt x="257689" y="399591"/>
                </a:lnTo>
                <a:lnTo>
                  <a:pt x="216750" y="405498"/>
                </a:lnTo>
                <a:lnTo>
                  <a:pt x="365373" y="405498"/>
                </a:lnTo>
                <a:lnTo>
                  <a:pt x="404044" y="356665"/>
                </a:lnTo>
                <a:lnTo>
                  <a:pt x="420506" y="317679"/>
                </a:lnTo>
                <a:lnTo>
                  <a:pt x="430285" y="275082"/>
                </a:lnTo>
                <a:lnTo>
                  <a:pt x="433514" y="229946"/>
                </a:lnTo>
                <a:lnTo>
                  <a:pt x="430285" y="184572"/>
                </a:lnTo>
                <a:lnTo>
                  <a:pt x="420506" y="141864"/>
                </a:lnTo>
                <a:lnTo>
                  <a:pt x="404044" y="102863"/>
                </a:lnTo>
                <a:lnTo>
                  <a:pt x="380763" y="68614"/>
                </a:lnTo>
                <a:lnTo>
                  <a:pt x="365652" y="54394"/>
                </a:lnTo>
                <a:close/>
              </a:path>
            </a:pathLst>
          </a:custGeom>
          <a:solidFill>
            <a:srgbClr val="0A6CB8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14" name="object 13">
            <a:extLst>
              <a:ext uri="{FF2B5EF4-FFF2-40B4-BE49-F238E27FC236}">
                <a16:creationId xmlns:a16="http://schemas.microsoft.com/office/drawing/2014/main" id="{B0E03FEE-82AF-4E4B-87B9-964D1B0A11C8}"/>
              </a:ext>
            </a:extLst>
          </xdr:cNvPr>
          <xdr:cNvSpPr/>
        </xdr:nvSpPr>
        <xdr:spPr>
          <a:xfrm>
            <a:off x="4792718" y="928655"/>
            <a:ext cx="334010" cy="460375"/>
          </a:xfrm>
          <a:custGeom>
            <a:avLst/>
            <a:gdLst/>
            <a:ahLst/>
            <a:cxnLst/>
            <a:rect l="l" t="t" r="r" b="b"/>
            <a:pathLst>
              <a:path w="334010" h="460375">
                <a:moveTo>
                  <a:pt x="168135" y="0"/>
                </a:moveTo>
                <a:lnTo>
                  <a:pt x="117950" y="5611"/>
                </a:lnTo>
                <a:lnTo>
                  <a:pt x="76234" y="21943"/>
                </a:lnTo>
                <a:lnTo>
                  <a:pt x="44526" y="48244"/>
                </a:lnTo>
                <a:lnTo>
                  <a:pt x="24371" y="83763"/>
                </a:lnTo>
                <a:lnTo>
                  <a:pt x="17310" y="127749"/>
                </a:lnTo>
                <a:lnTo>
                  <a:pt x="28320" y="177416"/>
                </a:lnTo>
                <a:lnTo>
                  <a:pt x="58415" y="213563"/>
                </a:lnTo>
                <a:lnTo>
                  <a:pt x="103190" y="239356"/>
                </a:lnTo>
                <a:lnTo>
                  <a:pt x="158242" y="257962"/>
                </a:lnTo>
                <a:lnTo>
                  <a:pt x="205287" y="273534"/>
                </a:lnTo>
                <a:lnTo>
                  <a:pt x="237267" y="291655"/>
                </a:lnTo>
                <a:lnTo>
                  <a:pt x="255493" y="313947"/>
                </a:lnTo>
                <a:lnTo>
                  <a:pt x="261277" y="342036"/>
                </a:lnTo>
                <a:lnTo>
                  <a:pt x="254617" y="369681"/>
                </a:lnTo>
                <a:lnTo>
                  <a:pt x="236443" y="389526"/>
                </a:lnTo>
                <a:lnTo>
                  <a:pt x="209461" y="401492"/>
                </a:lnTo>
                <a:lnTo>
                  <a:pt x="176377" y="405498"/>
                </a:lnTo>
                <a:lnTo>
                  <a:pt x="140819" y="401028"/>
                </a:lnTo>
                <a:lnTo>
                  <a:pt x="110748" y="386435"/>
                </a:lnTo>
                <a:lnTo>
                  <a:pt x="87943" y="359946"/>
                </a:lnTo>
                <a:lnTo>
                  <a:pt x="74180" y="319786"/>
                </a:lnTo>
                <a:lnTo>
                  <a:pt x="0" y="319786"/>
                </a:lnTo>
                <a:lnTo>
                  <a:pt x="14271" y="372332"/>
                </a:lnTo>
                <a:lnTo>
                  <a:pt x="40171" y="411826"/>
                </a:lnTo>
                <a:lnTo>
                  <a:pt x="76078" y="439056"/>
                </a:lnTo>
                <a:lnTo>
                  <a:pt x="120369" y="454815"/>
                </a:lnTo>
                <a:lnTo>
                  <a:pt x="171424" y="459892"/>
                </a:lnTo>
                <a:lnTo>
                  <a:pt x="223760" y="454947"/>
                </a:lnTo>
                <a:lnTo>
                  <a:pt x="268459" y="440111"/>
                </a:lnTo>
                <a:lnTo>
                  <a:pt x="303227" y="415386"/>
                </a:lnTo>
                <a:lnTo>
                  <a:pt x="325770" y="380772"/>
                </a:lnTo>
                <a:lnTo>
                  <a:pt x="333794" y="336270"/>
                </a:lnTo>
                <a:lnTo>
                  <a:pt x="328018" y="295745"/>
                </a:lnTo>
                <a:lnTo>
                  <a:pt x="281099" y="235504"/>
                </a:lnTo>
                <a:lnTo>
                  <a:pt x="239483" y="213731"/>
                </a:lnTo>
                <a:lnTo>
                  <a:pt x="185445" y="196151"/>
                </a:lnTo>
                <a:lnTo>
                  <a:pt x="145469" y="183711"/>
                </a:lnTo>
                <a:lnTo>
                  <a:pt x="115387" y="168335"/>
                </a:lnTo>
                <a:lnTo>
                  <a:pt x="96432" y="147706"/>
                </a:lnTo>
                <a:lnTo>
                  <a:pt x="89839" y="119506"/>
                </a:lnTo>
                <a:lnTo>
                  <a:pt x="94218" y="93340"/>
                </a:lnTo>
                <a:lnTo>
                  <a:pt x="107559" y="72734"/>
                </a:lnTo>
                <a:lnTo>
                  <a:pt x="130173" y="59236"/>
                </a:lnTo>
                <a:lnTo>
                  <a:pt x="162369" y="54394"/>
                </a:lnTo>
                <a:lnTo>
                  <a:pt x="196955" y="59957"/>
                </a:lnTo>
                <a:lnTo>
                  <a:pt x="223970" y="76028"/>
                </a:lnTo>
                <a:lnTo>
                  <a:pt x="243261" y="101682"/>
                </a:lnTo>
                <a:lnTo>
                  <a:pt x="254673" y="135991"/>
                </a:lnTo>
                <a:lnTo>
                  <a:pt x="328853" y="135991"/>
                </a:lnTo>
                <a:lnTo>
                  <a:pt x="318071" y="91149"/>
                </a:lnTo>
                <a:lnTo>
                  <a:pt x="296607" y="53585"/>
                </a:lnTo>
                <a:lnTo>
                  <a:pt x="264462" y="24844"/>
                </a:lnTo>
                <a:lnTo>
                  <a:pt x="221638" y="6468"/>
                </a:lnTo>
                <a:lnTo>
                  <a:pt x="168135" y="0"/>
                </a:lnTo>
                <a:close/>
              </a:path>
            </a:pathLst>
          </a:custGeom>
          <a:solidFill>
            <a:srgbClr val="0A6CB8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pic>
        <xdr:nvPicPr>
          <xdr:cNvPr id="15" name="object 14">
            <a:extLst>
              <a:ext uri="{FF2B5EF4-FFF2-40B4-BE49-F238E27FC236}">
                <a16:creationId xmlns:a16="http://schemas.microsoft.com/office/drawing/2014/main" id="{20A6EF6C-542F-62F8-BC1D-30535304384F}"/>
              </a:ext>
            </a:extLst>
          </xdr:cNvPr>
          <xdr:cNvPicPr/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4639331" y="2760983"/>
            <a:ext cx="1213373" cy="256524"/>
          </a:xfrm>
          <a:prstGeom prst="rect">
            <a:avLst/>
          </a:prstGeom>
        </xdr:spPr>
      </xdr:pic>
      <xdr:pic>
        <xdr:nvPicPr>
          <xdr:cNvPr id="16" name="object 15">
            <a:extLst>
              <a:ext uri="{FF2B5EF4-FFF2-40B4-BE49-F238E27FC236}">
                <a16:creationId xmlns:a16="http://schemas.microsoft.com/office/drawing/2014/main" id="{8E9F30DB-A5A9-01AC-7272-5D187E330597}"/>
              </a:ext>
            </a:extLst>
          </xdr:cNvPr>
          <xdr:cNvPicPr/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5933614" y="2815198"/>
            <a:ext cx="137947" cy="202310"/>
          </a:xfrm>
          <a:prstGeom prst="rect">
            <a:avLst/>
          </a:prstGeom>
        </xdr:spPr>
      </xdr:pic>
      <xdr:pic>
        <xdr:nvPicPr>
          <xdr:cNvPr id="17" name="object 16">
            <a:extLst>
              <a:ext uri="{FF2B5EF4-FFF2-40B4-BE49-F238E27FC236}">
                <a16:creationId xmlns:a16="http://schemas.microsoft.com/office/drawing/2014/main" id="{D6F37E72-1D1B-7805-52C7-1EB7876B6435}"/>
              </a:ext>
            </a:extLst>
          </xdr:cNvPr>
          <xdr:cNvPicPr/>
        </xdr:nvPicPr>
        <xdr:blipFill>
          <a:blip xmlns:r="http://schemas.openxmlformats.org/officeDocument/2006/relationships" r:embed="rId3" cstate="print"/>
          <a:stretch>
            <a:fillRect/>
          </a:stretch>
        </xdr:blipFill>
        <xdr:spPr>
          <a:xfrm>
            <a:off x="6159295" y="2760990"/>
            <a:ext cx="1270787" cy="202438"/>
          </a:xfrm>
          <a:prstGeom prst="rect">
            <a:avLst/>
          </a:prstGeom>
        </xdr:spPr>
      </xdr:pic>
      <xdr:grpSp>
        <xdr:nvGrpSpPr>
          <xdr:cNvPr id="18" name="object 17">
            <a:extLst>
              <a:ext uri="{FF2B5EF4-FFF2-40B4-BE49-F238E27FC236}">
                <a16:creationId xmlns:a16="http://schemas.microsoft.com/office/drawing/2014/main" id="{6D422E20-8D20-786B-D427-02F3011091EC}"/>
              </a:ext>
            </a:extLst>
          </xdr:cNvPr>
          <xdr:cNvGrpSpPr/>
        </xdr:nvGrpSpPr>
        <xdr:grpSpPr>
          <a:xfrm>
            <a:off x="490118" y="642315"/>
            <a:ext cx="1951317" cy="1910926"/>
            <a:chOff x="490118" y="642315"/>
            <a:chExt cx="1951317" cy="1910926"/>
          </a:xfrm>
        </xdr:grpSpPr>
        <xdr:sp macro="" textlink="">
          <xdr:nvSpPr>
            <xdr:cNvPr id="19" name="object 18">
              <a:extLst>
                <a:ext uri="{FF2B5EF4-FFF2-40B4-BE49-F238E27FC236}">
                  <a16:creationId xmlns:a16="http://schemas.microsoft.com/office/drawing/2014/main" id="{A410BB73-195C-E173-00E9-E30446C130BA}"/>
                </a:ext>
              </a:extLst>
            </xdr:cNvPr>
            <xdr:cNvSpPr/>
          </xdr:nvSpPr>
          <xdr:spPr>
            <a:xfrm>
              <a:off x="490129" y="1325786"/>
              <a:ext cx="562610" cy="1227455"/>
            </a:xfrm>
            <a:custGeom>
              <a:avLst/>
              <a:gdLst/>
              <a:ahLst/>
              <a:cxnLst/>
              <a:rect l="l" t="t" r="r" b="b"/>
              <a:pathLst>
                <a:path w="562610" h="1227455">
                  <a:moveTo>
                    <a:pt x="9705" y="0"/>
                  </a:moveTo>
                  <a:lnTo>
                    <a:pt x="2878" y="4305"/>
                  </a:lnTo>
                  <a:lnTo>
                    <a:pt x="0" y="12592"/>
                  </a:lnTo>
                  <a:lnTo>
                    <a:pt x="0" y="894467"/>
                  </a:lnTo>
                  <a:lnTo>
                    <a:pt x="8359" y="959132"/>
                  </a:lnTo>
                  <a:lnTo>
                    <a:pt x="32893" y="1019549"/>
                  </a:lnTo>
                  <a:lnTo>
                    <a:pt x="117157" y="1168711"/>
                  </a:lnTo>
                  <a:lnTo>
                    <a:pt x="159477" y="1211633"/>
                  </a:lnTo>
                  <a:lnTo>
                    <a:pt x="217665" y="1227372"/>
                  </a:lnTo>
                  <a:lnTo>
                    <a:pt x="350304" y="1227372"/>
                  </a:lnTo>
                  <a:lnTo>
                    <a:pt x="397159" y="1222323"/>
                  </a:lnTo>
                  <a:lnTo>
                    <a:pt x="439662" y="1208011"/>
                  </a:lnTo>
                  <a:lnTo>
                    <a:pt x="477081" y="1185690"/>
                  </a:lnTo>
                  <a:lnTo>
                    <a:pt x="508686" y="1156614"/>
                  </a:lnTo>
                  <a:lnTo>
                    <a:pt x="533744" y="1122037"/>
                  </a:lnTo>
                  <a:lnTo>
                    <a:pt x="551524" y="1083211"/>
                  </a:lnTo>
                  <a:lnTo>
                    <a:pt x="561294" y="1041392"/>
                  </a:lnTo>
                  <a:lnTo>
                    <a:pt x="562322" y="997832"/>
                  </a:lnTo>
                  <a:lnTo>
                    <a:pt x="553878" y="953786"/>
                  </a:lnTo>
                  <a:lnTo>
                    <a:pt x="535228" y="910507"/>
                  </a:lnTo>
                  <a:lnTo>
                    <a:pt x="24345" y="6191"/>
                  </a:lnTo>
                  <a:lnTo>
                    <a:pt x="17766" y="390"/>
                  </a:lnTo>
                  <a:lnTo>
                    <a:pt x="9705" y="0"/>
                  </a:lnTo>
                  <a:close/>
                </a:path>
              </a:pathLst>
            </a:custGeom>
            <a:solidFill>
              <a:srgbClr val="0A6CB8"/>
            </a:solidFill>
          </xdr:spPr>
          <xdr:txBody>
            <a:bodyPr wrap="square" lIns="0" tIns="0" rIns="0" bIns="0" rtlCol="0"/>
            <a:lstStyle>
              <a:defPPr>
                <a:defRPr kern="0"/>
              </a:defPPr>
            </a:lstStyle>
            <a:p>
              <a:endParaRPr/>
            </a:p>
          </xdr:txBody>
        </xdr:sp>
        <xdr:pic>
          <xdr:nvPicPr>
            <xdr:cNvPr id="20" name="object 19">
              <a:extLst>
                <a:ext uri="{FF2B5EF4-FFF2-40B4-BE49-F238E27FC236}">
                  <a16:creationId xmlns:a16="http://schemas.microsoft.com/office/drawing/2014/main" id="{6CB432B5-3C36-6313-FE05-F83B92847D97}"/>
                </a:ext>
              </a:extLst>
            </xdr:cNvPr>
            <xdr:cNvPicPr/>
          </xdr:nvPicPr>
          <xdr:blipFill>
            <a:blip xmlns:r="http://schemas.openxmlformats.org/officeDocument/2006/relationships" r:embed="rId4" cstate="print"/>
            <a:stretch>
              <a:fillRect/>
            </a:stretch>
          </xdr:blipFill>
          <xdr:spPr>
            <a:xfrm>
              <a:off x="673823" y="642315"/>
              <a:ext cx="1608531" cy="1715300"/>
            </a:xfrm>
            <a:prstGeom prst="rect">
              <a:avLst/>
            </a:prstGeom>
          </xdr:spPr>
        </xdr:pic>
        <xdr:sp macro="" textlink="">
          <xdr:nvSpPr>
            <xdr:cNvPr id="21" name="object 20">
              <a:extLst>
                <a:ext uri="{FF2B5EF4-FFF2-40B4-BE49-F238E27FC236}">
                  <a16:creationId xmlns:a16="http://schemas.microsoft.com/office/drawing/2014/main" id="{CFE8B117-632C-3714-8081-4C48990449A9}"/>
                </a:ext>
              </a:extLst>
            </xdr:cNvPr>
            <xdr:cNvSpPr/>
          </xdr:nvSpPr>
          <xdr:spPr>
            <a:xfrm>
              <a:off x="490118" y="1297571"/>
              <a:ext cx="535305" cy="939165"/>
            </a:xfrm>
            <a:custGeom>
              <a:avLst/>
              <a:gdLst/>
              <a:ahLst/>
              <a:cxnLst/>
              <a:rect l="l" t="t" r="r" b="b"/>
              <a:pathLst>
                <a:path w="535305" h="939164">
                  <a:moveTo>
                    <a:pt x="535228" y="938733"/>
                  </a:moveTo>
                  <a:lnTo>
                    <a:pt x="513651" y="896188"/>
                  </a:lnTo>
                  <a:lnTo>
                    <a:pt x="469722" y="811530"/>
                  </a:lnTo>
                  <a:lnTo>
                    <a:pt x="403402" y="684784"/>
                  </a:lnTo>
                  <a:lnTo>
                    <a:pt x="267754" y="432981"/>
                  </a:lnTo>
                  <a:lnTo>
                    <a:pt x="242100" y="385787"/>
                  </a:lnTo>
                  <a:lnTo>
                    <a:pt x="217411" y="341096"/>
                  </a:lnTo>
                  <a:lnTo>
                    <a:pt x="169900" y="256768"/>
                  </a:lnTo>
                  <a:lnTo>
                    <a:pt x="49682" y="46774"/>
                  </a:lnTo>
                  <a:lnTo>
                    <a:pt x="23279" y="0"/>
                  </a:lnTo>
                  <a:lnTo>
                    <a:pt x="0" y="16624"/>
                  </a:lnTo>
                  <a:lnTo>
                    <a:pt x="508" y="24384"/>
                  </a:lnTo>
                  <a:lnTo>
                    <a:pt x="2006" y="31991"/>
                  </a:lnTo>
                  <a:lnTo>
                    <a:pt x="110274" y="225577"/>
                  </a:lnTo>
                  <a:lnTo>
                    <a:pt x="187845" y="359587"/>
                  </a:lnTo>
                  <a:lnTo>
                    <a:pt x="240106" y="448614"/>
                  </a:lnTo>
                  <a:lnTo>
                    <a:pt x="385762" y="694740"/>
                  </a:lnTo>
                  <a:lnTo>
                    <a:pt x="484911" y="857681"/>
                  </a:lnTo>
                  <a:lnTo>
                    <a:pt x="509930" y="898296"/>
                  </a:lnTo>
                  <a:lnTo>
                    <a:pt x="535228" y="938733"/>
                  </a:lnTo>
                  <a:close/>
                </a:path>
              </a:pathLst>
            </a:custGeom>
            <a:solidFill>
              <a:srgbClr val="0A6CB8"/>
            </a:solidFill>
          </xdr:spPr>
          <xdr:txBody>
            <a:bodyPr wrap="square" lIns="0" tIns="0" rIns="0" bIns="0" rtlCol="0"/>
            <a:lstStyle>
              <a:defPPr>
                <a:defRPr kern="0"/>
              </a:defPPr>
            </a:lstStyle>
            <a:p>
              <a:endParaRPr/>
            </a:p>
          </xdr:txBody>
        </xdr:sp>
        <xdr:pic>
          <xdr:nvPicPr>
            <xdr:cNvPr id="22" name="object 21">
              <a:extLst>
                <a:ext uri="{FF2B5EF4-FFF2-40B4-BE49-F238E27FC236}">
                  <a16:creationId xmlns:a16="http://schemas.microsoft.com/office/drawing/2014/main" id="{DC56E36F-1FE4-F633-2C44-2BBD9043B215}"/>
                </a:ext>
              </a:extLst>
            </xdr:cNvPr>
            <xdr:cNvPicPr/>
          </xdr:nvPicPr>
          <xdr:blipFill>
            <a:blip xmlns:r="http://schemas.openxmlformats.org/officeDocument/2006/relationships" r:embed="rId5" cstate="print"/>
            <a:stretch>
              <a:fillRect/>
            </a:stretch>
          </xdr:blipFill>
          <xdr:spPr>
            <a:xfrm>
              <a:off x="669697" y="642315"/>
              <a:ext cx="1771738" cy="1910854"/>
            </a:xfrm>
            <a:prstGeom prst="rect">
              <a:avLst/>
            </a:prstGeom>
          </xdr:spPr>
        </xdr:pic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</xdr:colOff>
      <xdr:row>0</xdr:row>
      <xdr:rowOff>59531</xdr:rowOff>
    </xdr:from>
    <xdr:to>
      <xdr:col>2</xdr:col>
      <xdr:colOff>1089937</xdr:colOff>
      <xdr:row>1</xdr:row>
      <xdr:rowOff>233428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E24F9A0F-D353-482F-911A-9753EF3EBB0C}"/>
            </a:ext>
          </a:extLst>
        </xdr:cNvPr>
        <xdr:cNvGrpSpPr/>
      </xdr:nvGrpSpPr>
      <xdr:grpSpPr>
        <a:xfrm>
          <a:off x="1234281" y="59531"/>
          <a:ext cx="2014656" cy="470230"/>
          <a:chOff x="490118" y="642315"/>
          <a:chExt cx="6939964" cy="2375193"/>
        </a:xfrm>
      </xdr:grpSpPr>
      <xdr:sp macro="" textlink="">
        <xdr:nvSpPr>
          <xdr:cNvPr id="3" name="object 2">
            <a:extLst>
              <a:ext uri="{FF2B5EF4-FFF2-40B4-BE49-F238E27FC236}">
                <a16:creationId xmlns:a16="http://schemas.microsoft.com/office/drawing/2014/main" id="{9EB0F267-95A7-BC33-DE1F-F04080866DD4}"/>
              </a:ext>
            </a:extLst>
          </xdr:cNvPr>
          <xdr:cNvSpPr/>
        </xdr:nvSpPr>
        <xdr:spPr>
          <a:xfrm>
            <a:off x="2616886" y="1519174"/>
            <a:ext cx="1322070" cy="871855"/>
          </a:xfrm>
          <a:custGeom>
            <a:avLst/>
            <a:gdLst/>
            <a:ahLst/>
            <a:cxnLst/>
            <a:rect l="l" t="t" r="r" b="b"/>
            <a:pathLst>
              <a:path w="1322070" h="871855">
                <a:moveTo>
                  <a:pt x="728332" y="71894"/>
                </a:moveTo>
                <a:lnTo>
                  <a:pt x="716000" y="30581"/>
                </a:lnTo>
                <a:lnTo>
                  <a:pt x="678713" y="4978"/>
                </a:lnTo>
                <a:lnTo>
                  <a:pt x="639483" y="0"/>
                </a:lnTo>
                <a:lnTo>
                  <a:pt x="87680" y="0"/>
                </a:lnTo>
                <a:lnTo>
                  <a:pt x="35013" y="10845"/>
                </a:lnTo>
                <a:lnTo>
                  <a:pt x="5626" y="42087"/>
                </a:lnTo>
                <a:lnTo>
                  <a:pt x="0" y="71894"/>
                </a:lnTo>
                <a:lnTo>
                  <a:pt x="1358" y="87185"/>
                </a:lnTo>
                <a:lnTo>
                  <a:pt x="21628" y="123621"/>
                </a:lnTo>
                <a:lnTo>
                  <a:pt x="66890" y="141986"/>
                </a:lnTo>
                <a:lnTo>
                  <a:pt x="87680" y="143205"/>
                </a:lnTo>
                <a:lnTo>
                  <a:pt x="277075" y="143205"/>
                </a:lnTo>
                <a:lnTo>
                  <a:pt x="277075" y="765733"/>
                </a:lnTo>
                <a:lnTo>
                  <a:pt x="283133" y="812203"/>
                </a:lnTo>
                <a:lnTo>
                  <a:pt x="314350" y="856742"/>
                </a:lnTo>
                <a:lnTo>
                  <a:pt x="364172" y="871537"/>
                </a:lnTo>
                <a:lnTo>
                  <a:pt x="382295" y="869911"/>
                </a:lnTo>
                <a:lnTo>
                  <a:pt x="426123" y="845515"/>
                </a:lnTo>
                <a:lnTo>
                  <a:pt x="448589" y="790892"/>
                </a:lnTo>
                <a:lnTo>
                  <a:pt x="450088" y="765733"/>
                </a:lnTo>
                <a:lnTo>
                  <a:pt x="450088" y="143205"/>
                </a:lnTo>
                <a:lnTo>
                  <a:pt x="639483" y="143205"/>
                </a:lnTo>
                <a:lnTo>
                  <a:pt x="678357" y="138315"/>
                </a:lnTo>
                <a:lnTo>
                  <a:pt x="715835" y="113055"/>
                </a:lnTo>
                <a:lnTo>
                  <a:pt x="726948" y="87185"/>
                </a:lnTo>
                <a:lnTo>
                  <a:pt x="728332" y="71894"/>
                </a:lnTo>
                <a:close/>
              </a:path>
              <a:path w="1322070" h="871855">
                <a:moveTo>
                  <a:pt x="1321638" y="490423"/>
                </a:moveTo>
                <a:lnTo>
                  <a:pt x="1313307" y="426123"/>
                </a:lnTo>
                <a:lnTo>
                  <a:pt x="1288326" y="362991"/>
                </a:lnTo>
                <a:lnTo>
                  <a:pt x="1246593" y="306222"/>
                </a:lnTo>
                <a:lnTo>
                  <a:pt x="1188072" y="260997"/>
                </a:lnTo>
                <a:lnTo>
                  <a:pt x="1167320" y="250812"/>
                </a:lnTo>
                <a:lnTo>
                  <a:pt x="1167320" y="495681"/>
                </a:lnTo>
                <a:lnTo>
                  <a:pt x="877976" y="495681"/>
                </a:lnTo>
                <a:lnTo>
                  <a:pt x="883945" y="457809"/>
                </a:lnTo>
                <a:lnTo>
                  <a:pt x="907173" y="396875"/>
                </a:lnTo>
                <a:lnTo>
                  <a:pt x="944918" y="355777"/>
                </a:lnTo>
                <a:lnTo>
                  <a:pt x="993876" y="335178"/>
                </a:lnTo>
                <a:lnTo>
                  <a:pt x="1022362" y="332600"/>
                </a:lnTo>
                <a:lnTo>
                  <a:pt x="1052525" y="335178"/>
                </a:lnTo>
                <a:lnTo>
                  <a:pt x="1052233" y="335178"/>
                </a:lnTo>
                <a:lnTo>
                  <a:pt x="1078826" y="342760"/>
                </a:lnTo>
                <a:lnTo>
                  <a:pt x="1123188" y="373227"/>
                </a:lnTo>
                <a:lnTo>
                  <a:pt x="1153350" y="424154"/>
                </a:lnTo>
                <a:lnTo>
                  <a:pt x="1167320" y="495681"/>
                </a:lnTo>
                <a:lnTo>
                  <a:pt x="1167320" y="250812"/>
                </a:lnTo>
                <a:lnTo>
                  <a:pt x="1152931" y="243738"/>
                </a:lnTo>
                <a:lnTo>
                  <a:pt x="1114488" y="231406"/>
                </a:lnTo>
                <a:lnTo>
                  <a:pt x="1072705" y="224002"/>
                </a:lnTo>
                <a:lnTo>
                  <a:pt x="1027620" y="221538"/>
                </a:lnTo>
                <a:lnTo>
                  <a:pt x="992466" y="222986"/>
                </a:lnTo>
                <a:lnTo>
                  <a:pt x="926998" y="234530"/>
                </a:lnTo>
                <a:lnTo>
                  <a:pt x="868324" y="257429"/>
                </a:lnTo>
                <a:lnTo>
                  <a:pt x="818642" y="290601"/>
                </a:lnTo>
                <a:lnTo>
                  <a:pt x="778344" y="333679"/>
                </a:lnTo>
                <a:lnTo>
                  <a:pt x="747661" y="385546"/>
                </a:lnTo>
                <a:lnTo>
                  <a:pt x="726719" y="445604"/>
                </a:lnTo>
                <a:lnTo>
                  <a:pt x="716203" y="511225"/>
                </a:lnTo>
                <a:lnTo>
                  <a:pt x="714895" y="545947"/>
                </a:lnTo>
                <a:lnTo>
                  <a:pt x="718299" y="603542"/>
                </a:lnTo>
                <a:lnTo>
                  <a:pt x="728459" y="655701"/>
                </a:lnTo>
                <a:lnTo>
                  <a:pt x="728535" y="656120"/>
                </a:lnTo>
                <a:lnTo>
                  <a:pt x="744867" y="701624"/>
                </a:lnTo>
                <a:lnTo>
                  <a:pt x="769505" y="746277"/>
                </a:lnTo>
                <a:lnTo>
                  <a:pt x="800239" y="783856"/>
                </a:lnTo>
                <a:lnTo>
                  <a:pt x="837095" y="815416"/>
                </a:lnTo>
                <a:lnTo>
                  <a:pt x="879436" y="839965"/>
                </a:lnTo>
                <a:lnTo>
                  <a:pt x="927252" y="857504"/>
                </a:lnTo>
                <a:lnTo>
                  <a:pt x="980541" y="868032"/>
                </a:lnTo>
                <a:lnTo>
                  <a:pt x="1039317" y="871537"/>
                </a:lnTo>
                <a:lnTo>
                  <a:pt x="1071943" y="870445"/>
                </a:lnTo>
                <a:lnTo>
                  <a:pt x="1131417" y="861669"/>
                </a:lnTo>
                <a:lnTo>
                  <a:pt x="1183030" y="844664"/>
                </a:lnTo>
                <a:lnTo>
                  <a:pt x="1225981" y="822604"/>
                </a:lnTo>
                <a:lnTo>
                  <a:pt x="1260195" y="796417"/>
                </a:lnTo>
                <a:lnTo>
                  <a:pt x="1287729" y="765733"/>
                </a:lnTo>
                <a:lnTo>
                  <a:pt x="1295336" y="754341"/>
                </a:lnTo>
                <a:lnTo>
                  <a:pt x="1311148" y="715340"/>
                </a:lnTo>
                <a:lnTo>
                  <a:pt x="1312291" y="703783"/>
                </a:lnTo>
                <a:lnTo>
                  <a:pt x="1311338" y="692200"/>
                </a:lnTo>
                <a:lnTo>
                  <a:pt x="1308519" y="682155"/>
                </a:lnTo>
                <a:lnTo>
                  <a:pt x="1308481" y="682002"/>
                </a:lnTo>
                <a:lnTo>
                  <a:pt x="1279550" y="655701"/>
                </a:lnTo>
                <a:lnTo>
                  <a:pt x="1257338" y="652335"/>
                </a:lnTo>
                <a:lnTo>
                  <a:pt x="1246593" y="652995"/>
                </a:lnTo>
                <a:lnTo>
                  <a:pt x="1237170" y="654964"/>
                </a:lnTo>
                <a:lnTo>
                  <a:pt x="1229055" y="658253"/>
                </a:lnTo>
                <a:lnTo>
                  <a:pt x="1222260" y="662863"/>
                </a:lnTo>
                <a:lnTo>
                  <a:pt x="1208049" y="676160"/>
                </a:lnTo>
                <a:lnTo>
                  <a:pt x="1195222" y="687997"/>
                </a:lnTo>
                <a:lnTo>
                  <a:pt x="1164170" y="715340"/>
                </a:lnTo>
                <a:lnTo>
                  <a:pt x="1132827" y="737971"/>
                </a:lnTo>
                <a:lnTo>
                  <a:pt x="1098689" y="755180"/>
                </a:lnTo>
                <a:lnTo>
                  <a:pt x="1048639" y="765314"/>
                </a:lnTo>
                <a:lnTo>
                  <a:pt x="1034630" y="765733"/>
                </a:lnTo>
                <a:lnTo>
                  <a:pt x="1013752" y="764413"/>
                </a:lnTo>
                <a:lnTo>
                  <a:pt x="974737" y="753897"/>
                </a:lnTo>
                <a:lnTo>
                  <a:pt x="939787" y="732891"/>
                </a:lnTo>
                <a:lnTo>
                  <a:pt x="911440" y="701624"/>
                </a:lnTo>
                <a:lnTo>
                  <a:pt x="890524" y="660590"/>
                </a:lnTo>
                <a:lnTo>
                  <a:pt x="879551" y="612660"/>
                </a:lnTo>
                <a:lnTo>
                  <a:pt x="877976" y="586282"/>
                </a:lnTo>
                <a:lnTo>
                  <a:pt x="1190117" y="586282"/>
                </a:lnTo>
                <a:lnTo>
                  <a:pt x="1219631" y="585165"/>
                </a:lnTo>
                <a:lnTo>
                  <a:pt x="1268145" y="576262"/>
                </a:lnTo>
                <a:lnTo>
                  <a:pt x="1302232" y="556895"/>
                </a:lnTo>
                <a:lnTo>
                  <a:pt x="1319479" y="517880"/>
                </a:lnTo>
                <a:lnTo>
                  <a:pt x="1321219" y="495681"/>
                </a:lnTo>
                <a:lnTo>
                  <a:pt x="1321638" y="490423"/>
                </a:lnTo>
                <a:close/>
              </a:path>
            </a:pathLst>
          </a:custGeom>
          <a:solidFill>
            <a:srgbClr val="0A6CB8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4" name="object 3">
            <a:extLst>
              <a:ext uri="{FF2B5EF4-FFF2-40B4-BE49-F238E27FC236}">
                <a16:creationId xmlns:a16="http://schemas.microsoft.com/office/drawing/2014/main" id="{0AB8BE83-A365-00AA-7F4A-5DC8257D3562}"/>
              </a:ext>
            </a:extLst>
          </xdr:cNvPr>
          <xdr:cNvSpPr/>
        </xdr:nvSpPr>
        <xdr:spPr>
          <a:xfrm>
            <a:off x="4063619" y="1741876"/>
            <a:ext cx="913765" cy="648970"/>
          </a:xfrm>
          <a:custGeom>
            <a:avLst/>
            <a:gdLst/>
            <a:ahLst/>
            <a:cxnLst/>
            <a:rect l="l" t="t" r="r" b="b"/>
            <a:pathLst>
              <a:path w="913764" h="648969">
                <a:moveTo>
                  <a:pt x="75387" y="0"/>
                </a:moveTo>
                <a:lnTo>
                  <a:pt x="31935" y="13153"/>
                </a:lnTo>
                <a:lnTo>
                  <a:pt x="5183" y="52170"/>
                </a:lnTo>
                <a:lnTo>
                  <a:pt x="0" y="91770"/>
                </a:lnTo>
                <a:lnTo>
                  <a:pt x="0" y="548297"/>
                </a:lnTo>
                <a:lnTo>
                  <a:pt x="5765" y="591913"/>
                </a:lnTo>
                <a:lnTo>
                  <a:pt x="35441" y="634530"/>
                </a:lnTo>
                <a:lnTo>
                  <a:pt x="82410" y="648830"/>
                </a:lnTo>
                <a:lnTo>
                  <a:pt x="99932" y="647241"/>
                </a:lnTo>
                <a:lnTo>
                  <a:pt x="141744" y="623404"/>
                </a:lnTo>
                <a:lnTo>
                  <a:pt x="162829" y="571621"/>
                </a:lnTo>
                <a:lnTo>
                  <a:pt x="164236" y="548297"/>
                </a:lnTo>
                <a:lnTo>
                  <a:pt x="164236" y="332600"/>
                </a:lnTo>
                <a:lnTo>
                  <a:pt x="165790" y="285251"/>
                </a:lnTo>
                <a:lnTo>
                  <a:pt x="170451" y="243749"/>
                </a:lnTo>
                <a:lnTo>
                  <a:pt x="189077" y="178282"/>
                </a:lnTo>
                <a:lnTo>
                  <a:pt x="227296" y="137945"/>
                </a:lnTo>
                <a:lnTo>
                  <a:pt x="292252" y="124498"/>
                </a:lnTo>
                <a:lnTo>
                  <a:pt x="310513" y="125831"/>
                </a:lnTo>
                <a:lnTo>
                  <a:pt x="349529" y="145846"/>
                </a:lnTo>
                <a:lnTo>
                  <a:pt x="368828" y="184585"/>
                </a:lnTo>
                <a:lnTo>
                  <a:pt x="374823" y="240536"/>
                </a:lnTo>
                <a:lnTo>
                  <a:pt x="375843" y="294017"/>
                </a:lnTo>
                <a:lnTo>
                  <a:pt x="375843" y="548297"/>
                </a:lnTo>
                <a:lnTo>
                  <a:pt x="377249" y="571861"/>
                </a:lnTo>
                <a:lnTo>
                  <a:pt x="388498" y="609561"/>
                </a:lnTo>
                <a:lnTo>
                  <a:pt x="424291" y="642540"/>
                </a:lnTo>
                <a:lnTo>
                  <a:pt x="457111" y="648830"/>
                </a:lnTo>
                <a:lnTo>
                  <a:pt x="474896" y="647257"/>
                </a:lnTo>
                <a:lnTo>
                  <a:pt x="517309" y="623697"/>
                </a:lnTo>
                <a:lnTo>
                  <a:pt x="538677" y="571861"/>
                </a:lnTo>
                <a:lnTo>
                  <a:pt x="540105" y="548297"/>
                </a:lnTo>
                <a:lnTo>
                  <a:pt x="540105" y="336105"/>
                </a:lnTo>
                <a:lnTo>
                  <a:pt x="541199" y="288835"/>
                </a:lnTo>
                <a:lnTo>
                  <a:pt x="544483" y="249307"/>
                </a:lnTo>
                <a:lnTo>
                  <a:pt x="557644" y="193484"/>
                </a:lnTo>
                <a:lnTo>
                  <a:pt x="588376" y="153363"/>
                </a:lnTo>
                <a:lnTo>
                  <a:pt x="630921" y="129179"/>
                </a:lnTo>
                <a:lnTo>
                  <a:pt x="661670" y="124498"/>
                </a:lnTo>
                <a:lnTo>
                  <a:pt x="680016" y="125814"/>
                </a:lnTo>
                <a:lnTo>
                  <a:pt x="720140" y="145554"/>
                </a:lnTo>
                <a:lnTo>
                  <a:pt x="740679" y="182705"/>
                </a:lnTo>
                <a:lnTo>
                  <a:pt x="747098" y="233670"/>
                </a:lnTo>
                <a:lnTo>
                  <a:pt x="748195" y="279996"/>
                </a:lnTo>
                <a:lnTo>
                  <a:pt x="748195" y="548297"/>
                </a:lnTo>
                <a:lnTo>
                  <a:pt x="749636" y="571621"/>
                </a:lnTo>
                <a:lnTo>
                  <a:pt x="761177" y="609174"/>
                </a:lnTo>
                <a:lnTo>
                  <a:pt x="797650" y="642475"/>
                </a:lnTo>
                <a:lnTo>
                  <a:pt x="830618" y="648830"/>
                </a:lnTo>
                <a:lnTo>
                  <a:pt x="848403" y="647257"/>
                </a:lnTo>
                <a:lnTo>
                  <a:pt x="890816" y="623697"/>
                </a:lnTo>
                <a:lnTo>
                  <a:pt x="912188" y="571861"/>
                </a:lnTo>
                <a:lnTo>
                  <a:pt x="913612" y="548297"/>
                </a:lnTo>
                <a:lnTo>
                  <a:pt x="913612" y="236728"/>
                </a:lnTo>
                <a:lnTo>
                  <a:pt x="912333" y="193369"/>
                </a:lnTo>
                <a:lnTo>
                  <a:pt x="902104" y="125274"/>
                </a:lnTo>
                <a:lnTo>
                  <a:pt x="879965" y="77961"/>
                </a:lnTo>
                <a:lnTo>
                  <a:pt x="844600" y="41134"/>
                </a:lnTo>
                <a:lnTo>
                  <a:pt x="797616" y="15634"/>
                </a:lnTo>
                <a:lnTo>
                  <a:pt x="741214" y="2775"/>
                </a:lnTo>
                <a:lnTo>
                  <a:pt x="709625" y="1168"/>
                </a:lnTo>
                <a:lnTo>
                  <a:pt x="682186" y="2647"/>
                </a:lnTo>
                <a:lnTo>
                  <a:pt x="631036" y="14482"/>
                </a:lnTo>
                <a:lnTo>
                  <a:pt x="584602" y="38269"/>
                </a:lnTo>
                <a:lnTo>
                  <a:pt x="541339" y="74654"/>
                </a:lnTo>
                <a:lnTo>
                  <a:pt x="520801" y="97612"/>
                </a:lnTo>
                <a:lnTo>
                  <a:pt x="505830" y="74893"/>
                </a:lnTo>
                <a:lnTo>
                  <a:pt x="470177" y="38651"/>
                </a:lnTo>
                <a:lnTo>
                  <a:pt x="426802" y="14648"/>
                </a:lnTo>
                <a:lnTo>
                  <a:pt x="375076" y="2666"/>
                </a:lnTo>
                <a:lnTo>
                  <a:pt x="346036" y="1168"/>
                </a:lnTo>
                <a:lnTo>
                  <a:pt x="317764" y="2630"/>
                </a:lnTo>
                <a:lnTo>
                  <a:pt x="265153" y="14321"/>
                </a:lnTo>
                <a:lnTo>
                  <a:pt x="217504" y="37888"/>
                </a:lnTo>
                <a:lnTo>
                  <a:pt x="173080" y="74421"/>
                </a:lnTo>
                <a:lnTo>
                  <a:pt x="151968" y="97612"/>
                </a:lnTo>
                <a:lnTo>
                  <a:pt x="151968" y="82410"/>
                </a:lnTo>
                <a:lnTo>
                  <a:pt x="139634" y="33923"/>
                </a:lnTo>
                <a:lnTo>
                  <a:pt x="105427" y="5478"/>
                </a:lnTo>
                <a:lnTo>
                  <a:pt x="91084" y="1369"/>
                </a:lnTo>
                <a:lnTo>
                  <a:pt x="75387" y="0"/>
                </a:lnTo>
                <a:close/>
              </a:path>
            </a:pathLst>
          </a:custGeom>
          <a:solidFill>
            <a:srgbClr val="0A6CB8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5" name="object 4">
            <a:extLst>
              <a:ext uri="{FF2B5EF4-FFF2-40B4-BE49-F238E27FC236}">
                <a16:creationId xmlns:a16="http://schemas.microsoft.com/office/drawing/2014/main" id="{3D4F1448-84D9-5CA6-199A-02217045CFF1}"/>
              </a:ext>
            </a:extLst>
          </xdr:cNvPr>
          <xdr:cNvSpPr/>
        </xdr:nvSpPr>
        <xdr:spPr>
          <a:xfrm>
            <a:off x="5128672" y="1741877"/>
            <a:ext cx="624205" cy="885825"/>
          </a:xfrm>
          <a:custGeom>
            <a:avLst/>
            <a:gdLst/>
            <a:ahLst/>
            <a:cxnLst/>
            <a:rect l="l" t="t" r="r" b="b"/>
            <a:pathLst>
              <a:path w="624204" h="885825">
                <a:moveTo>
                  <a:pt x="74187" y="0"/>
                </a:moveTo>
                <a:lnTo>
                  <a:pt x="57435" y="1443"/>
                </a:lnTo>
                <a:lnTo>
                  <a:pt x="57729" y="1443"/>
                </a:lnTo>
                <a:lnTo>
                  <a:pt x="43345" y="5627"/>
                </a:lnTo>
                <a:lnTo>
                  <a:pt x="11127" y="35196"/>
                </a:lnTo>
                <a:lnTo>
                  <a:pt x="1232" y="69069"/>
                </a:lnTo>
                <a:lnTo>
                  <a:pt x="1197" y="69244"/>
                </a:lnTo>
                <a:lnTo>
                  <a:pt x="24" y="89433"/>
                </a:lnTo>
                <a:lnTo>
                  <a:pt x="0" y="780351"/>
                </a:lnTo>
                <a:lnTo>
                  <a:pt x="868" y="803643"/>
                </a:lnTo>
                <a:lnTo>
                  <a:pt x="8169" y="843242"/>
                </a:lnTo>
                <a:lnTo>
                  <a:pt x="36768" y="878765"/>
                </a:lnTo>
                <a:lnTo>
                  <a:pt x="74187" y="885558"/>
                </a:lnTo>
                <a:lnTo>
                  <a:pt x="107684" y="878981"/>
                </a:lnTo>
                <a:lnTo>
                  <a:pt x="131612" y="859253"/>
                </a:lnTo>
                <a:lnTo>
                  <a:pt x="145970" y="826375"/>
                </a:lnTo>
                <a:lnTo>
                  <a:pt x="150756" y="780351"/>
                </a:lnTo>
                <a:lnTo>
                  <a:pt x="150756" y="540689"/>
                </a:lnTo>
                <a:lnTo>
                  <a:pt x="562441" y="540689"/>
                </a:lnTo>
                <a:lnTo>
                  <a:pt x="563059" y="539892"/>
                </a:lnTo>
                <a:lnTo>
                  <a:pt x="571960" y="525487"/>
                </a:lnTo>
                <a:lnTo>
                  <a:pt x="315018" y="525487"/>
                </a:lnTo>
                <a:lnTo>
                  <a:pt x="283050" y="522182"/>
                </a:lnTo>
                <a:lnTo>
                  <a:pt x="227224" y="495735"/>
                </a:lnTo>
                <a:lnTo>
                  <a:pt x="183673" y="443493"/>
                </a:lnTo>
                <a:lnTo>
                  <a:pt x="161174" y="369402"/>
                </a:lnTo>
                <a:lnTo>
                  <a:pt x="158363" y="324408"/>
                </a:lnTo>
                <a:lnTo>
                  <a:pt x="161193" y="276919"/>
                </a:lnTo>
                <a:lnTo>
                  <a:pt x="169683" y="235565"/>
                </a:lnTo>
                <a:lnTo>
                  <a:pt x="203664" y="171259"/>
                </a:lnTo>
                <a:lnTo>
                  <a:pt x="254145" y="132248"/>
                </a:lnTo>
                <a:lnTo>
                  <a:pt x="315018" y="119240"/>
                </a:lnTo>
                <a:lnTo>
                  <a:pt x="570012" y="119240"/>
                </a:lnTo>
                <a:lnTo>
                  <a:pt x="568097" y="115885"/>
                </a:lnTo>
                <a:lnTo>
                  <a:pt x="562634" y="108724"/>
                </a:lnTo>
                <a:lnTo>
                  <a:pt x="150756" y="108724"/>
                </a:lnTo>
                <a:lnTo>
                  <a:pt x="150756" y="89433"/>
                </a:lnTo>
                <a:lnTo>
                  <a:pt x="145422" y="51222"/>
                </a:lnTo>
                <a:lnTo>
                  <a:pt x="117966" y="12987"/>
                </a:lnTo>
                <a:lnTo>
                  <a:pt x="90349" y="1443"/>
                </a:lnTo>
                <a:lnTo>
                  <a:pt x="74187" y="0"/>
                </a:lnTo>
                <a:close/>
              </a:path>
              <a:path w="624204" h="885825">
                <a:moveTo>
                  <a:pt x="562441" y="540689"/>
                </a:moveTo>
                <a:lnTo>
                  <a:pt x="150756" y="540689"/>
                </a:lnTo>
                <a:lnTo>
                  <a:pt x="172078" y="565676"/>
                </a:lnTo>
                <a:lnTo>
                  <a:pt x="216360" y="606005"/>
                </a:lnTo>
                <a:lnTo>
                  <a:pt x="263928" y="633367"/>
                </a:lnTo>
                <a:lnTo>
                  <a:pt x="321359" y="647111"/>
                </a:lnTo>
                <a:lnTo>
                  <a:pt x="354184" y="648830"/>
                </a:lnTo>
                <a:lnTo>
                  <a:pt x="382068" y="647422"/>
                </a:lnTo>
                <a:lnTo>
                  <a:pt x="435112" y="636164"/>
                </a:lnTo>
                <a:lnTo>
                  <a:pt x="484142" y="613864"/>
                </a:lnTo>
                <a:lnTo>
                  <a:pt x="526958" y="581718"/>
                </a:lnTo>
                <a:lnTo>
                  <a:pt x="562441" y="540689"/>
                </a:lnTo>
                <a:close/>
              </a:path>
              <a:path w="624204" h="885825">
                <a:moveTo>
                  <a:pt x="570012" y="119240"/>
                </a:moveTo>
                <a:lnTo>
                  <a:pt x="315018" y="119240"/>
                </a:lnTo>
                <a:lnTo>
                  <a:pt x="335308" y="120756"/>
                </a:lnTo>
                <a:lnTo>
                  <a:pt x="354689" y="125306"/>
                </a:lnTo>
                <a:lnTo>
                  <a:pt x="390722" y="143497"/>
                </a:lnTo>
                <a:lnTo>
                  <a:pt x="421180" y="173018"/>
                </a:lnTo>
                <a:lnTo>
                  <a:pt x="444189" y="213055"/>
                </a:lnTo>
                <a:lnTo>
                  <a:pt x="458659" y="262813"/>
                </a:lnTo>
                <a:lnTo>
                  <a:pt x="463481" y="321487"/>
                </a:lnTo>
                <a:lnTo>
                  <a:pt x="462202" y="353019"/>
                </a:lnTo>
                <a:lnTo>
                  <a:pt x="451977" y="408845"/>
                </a:lnTo>
                <a:lnTo>
                  <a:pt x="431951" y="454779"/>
                </a:lnTo>
                <a:lnTo>
                  <a:pt x="404770" y="489411"/>
                </a:lnTo>
                <a:lnTo>
                  <a:pt x="371346" y="512505"/>
                </a:lnTo>
                <a:lnTo>
                  <a:pt x="334522" y="524046"/>
                </a:lnTo>
                <a:lnTo>
                  <a:pt x="315018" y="525487"/>
                </a:lnTo>
                <a:lnTo>
                  <a:pt x="571960" y="525487"/>
                </a:lnTo>
                <a:lnTo>
                  <a:pt x="591554" y="488157"/>
                </a:lnTo>
                <a:lnTo>
                  <a:pt x="611971" y="426976"/>
                </a:lnTo>
                <a:lnTo>
                  <a:pt x="622343" y="359316"/>
                </a:lnTo>
                <a:lnTo>
                  <a:pt x="623598" y="324408"/>
                </a:lnTo>
                <a:lnTo>
                  <a:pt x="623559" y="321487"/>
                </a:lnTo>
                <a:lnTo>
                  <a:pt x="621486" y="276919"/>
                </a:lnTo>
                <a:lnTo>
                  <a:pt x="621395" y="274945"/>
                </a:lnTo>
                <a:lnTo>
                  <a:pt x="614657" y="230014"/>
                </a:lnTo>
                <a:lnTo>
                  <a:pt x="603425" y="188443"/>
                </a:lnTo>
                <a:lnTo>
                  <a:pt x="587699" y="150228"/>
                </a:lnTo>
                <a:lnTo>
                  <a:pt x="570012" y="119240"/>
                </a:lnTo>
                <a:close/>
              </a:path>
              <a:path w="624204" h="885825">
                <a:moveTo>
                  <a:pt x="354184" y="1168"/>
                </a:moveTo>
                <a:lnTo>
                  <a:pt x="296017" y="7672"/>
                </a:lnTo>
                <a:lnTo>
                  <a:pt x="244279" y="27177"/>
                </a:lnTo>
                <a:lnTo>
                  <a:pt x="196636" y="60569"/>
                </a:lnTo>
                <a:lnTo>
                  <a:pt x="150756" y="108724"/>
                </a:lnTo>
                <a:lnTo>
                  <a:pt x="562634" y="108724"/>
                </a:lnTo>
                <a:lnTo>
                  <a:pt x="519135" y="60358"/>
                </a:lnTo>
                <a:lnTo>
                  <a:pt x="458071" y="22540"/>
                </a:lnTo>
                <a:lnTo>
                  <a:pt x="390275" y="3542"/>
                </a:lnTo>
                <a:lnTo>
                  <a:pt x="354184" y="1168"/>
                </a:lnTo>
                <a:close/>
              </a:path>
            </a:pathLst>
          </a:custGeom>
          <a:solidFill>
            <a:srgbClr val="0A6CB8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6" name="object 5">
            <a:extLst>
              <a:ext uri="{FF2B5EF4-FFF2-40B4-BE49-F238E27FC236}">
                <a16:creationId xmlns:a16="http://schemas.microsoft.com/office/drawing/2014/main" id="{5E63BECA-9CB1-05C7-929B-5DABC635182A}"/>
              </a:ext>
            </a:extLst>
          </xdr:cNvPr>
          <xdr:cNvSpPr/>
        </xdr:nvSpPr>
        <xdr:spPr>
          <a:xfrm>
            <a:off x="5880336" y="1504555"/>
            <a:ext cx="160020" cy="886460"/>
          </a:xfrm>
          <a:custGeom>
            <a:avLst/>
            <a:gdLst/>
            <a:ahLst/>
            <a:cxnLst/>
            <a:rect l="l" t="t" r="r" b="b"/>
            <a:pathLst>
              <a:path w="160020" h="886460">
                <a:moveTo>
                  <a:pt x="78917" y="0"/>
                </a:moveTo>
                <a:lnTo>
                  <a:pt x="32942" y="13807"/>
                </a:lnTo>
                <a:lnTo>
                  <a:pt x="5335" y="54949"/>
                </a:lnTo>
                <a:lnTo>
                  <a:pt x="0" y="97027"/>
                </a:lnTo>
                <a:lnTo>
                  <a:pt x="0" y="789114"/>
                </a:lnTo>
                <a:lnTo>
                  <a:pt x="5484" y="830472"/>
                </a:lnTo>
                <a:lnTo>
                  <a:pt x="33710" y="872005"/>
                </a:lnTo>
                <a:lnTo>
                  <a:pt x="78917" y="886155"/>
                </a:lnTo>
                <a:lnTo>
                  <a:pt x="95919" y="884636"/>
                </a:lnTo>
                <a:lnTo>
                  <a:pt x="137083" y="861885"/>
                </a:lnTo>
                <a:lnTo>
                  <a:pt x="158170" y="811859"/>
                </a:lnTo>
                <a:lnTo>
                  <a:pt x="159575" y="789114"/>
                </a:lnTo>
                <a:lnTo>
                  <a:pt x="159575" y="97027"/>
                </a:lnTo>
                <a:lnTo>
                  <a:pt x="154022" y="54584"/>
                </a:lnTo>
                <a:lnTo>
                  <a:pt x="125380" y="13646"/>
                </a:lnTo>
                <a:lnTo>
                  <a:pt x="78917" y="0"/>
                </a:lnTo>
                <a:close/>
              </a:path>
            </a:pathLst>
          </a:custGeom>
          <a:solidFill>
            <a:srgbClr val="0A6CB8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7" name="object 6">
            <a:extLst>
              <a:ext uri="{FF2B5EF4-FFF2-40B4-BE49-F238E27FC236}">
                <a16:creationId xmlns:a16="http://schemas.microsoft.com/office/drawing/2014/main" id="{FE00E24C-5794-1EE1-0931-74E45E5AFA83}"/>
              </a:ext>
            </a:extLst>
          </xdr:cNvPr>
          <xdr:cNvSpPr/>
        </xdr:nvSpPr>
        <xdr:spPr>
          <a:xfrm>
            <a:off x="6174938" y="1740705"/>
            <a:ext cx="607060" cy="650240"/>
          </a:xfrm>
          <a:custGeom>
            <a:avLst/>
            <a:gdLst/>
            <a:ahLst/>
            <a:cxnLst/>
            <a:rect l="l" t="t" r="r" b="b"/>
            <a:pathLst>
              <a:path w="607059" h="650239">
                <a:moveTo>
                  <a:pt x="312724" y="0"/>
                </a:moveTo>
                <a:lnTo>
                  <a:pt x="244041" y="5772"/>
                </a:lnTo>
                <a:lnTo>
                  <a:pt x="181787" y="23088"/>
                </a:lnTo>
                <a:lnTo>
                  <a:pt x="127422" y="51222"/>
                </a:lnTo>
                <a:lnTo>
                  <a:pt x="82410" y="89433"/>
                </a:lnTo>
                <a:lnTo>
                  <a:pt x="46905" y="137001"/>
                </a:lnTo>
                <a:lnTo>
                  <a:pt x="21031" y="193179"/>
                </a:lnTo>
                <a:lnTo>
                  <a:pt x="5257" y="256241"/>
                </a:lnTo>
                <a:lnTo>
                  <a:pt x="0" y="324408"/>
                </a:lnTo>
                <a:lnTo>
                  <a:pt x="3412" y="382002"/>
                </a:lnTo>
                <a:lnTo>
                  <a:pt x="13567" y="434159"/>
                </a:lnTo>
                <a:lnTo>
                  <a:pt x="13651" y="434588"/>
                </a:lnTo>
                <a:lnTo>
                  <a:pt x="29973" y="480090"/>
                </a:lnTo>
                <a:lnTo>
                  <a:pt x="54615" y="524743"/>
                </a:lnTo>
                <a:lnTo>
                  <a:pt x="85344" y="562317"/>
                </a:lnTo>
                <a:lnTo>
                  <a:pt x="122210" y="593879"/>
                </a:lnTo>
                <a:lnTo>
                  <a:pt x="164551" y="618429"/>
                </a:lnTo>
                <a:lnTo>
                  <a:pt x="212365" y="635967"/>
                </a:lnTo>
                <a:lnTo>
                  <a:pt x="265651" y="646490"/>
                </a:lnTo>
                <a:lnTo>
                  <a:pt x="324408" y="649998"/>
                </a:lnTo>
                <a:lnTo>
                  <a:pt x="357047" y="648903"/>
                </a:lnTo>
                <a:lnTo>
                  <a:pt x="416525" y="640134"/>
                </a:lnTo>
                <a:lnTo>
                  <a:pt x="468129" y="623124"/>
                </a:lnTo>
                <a:lnTo>
                  <a:pt x="511097" y="601063"/>
                </a:lnTo>
                <a:lnTo>
                  <a:pt x="545316" y="574885"/>
                </a:lnTo>
                <a:lnTo>
                  <a:pt x="572841" y="544195"/>
                </a:lnTo>
                <a:lnTo>
                  <a:pt x="319735" y="544195"/>
                </a:lnTo>
                <a:lnTo>
                  <a:pt x="298856" y="542880"/>
                </a:lnTo>
                <a:lnTo>
                  <a:pt x="259836" y="532359"/>
                </a:lnTo>
                <a:lnTo>
                  <a:pt x="224891" y="511356"/>
                </a:lnTo>
                <a:lnTo>
                  <a:pt x="196550" y="480090"/>
                </a:lnTo>
                <a:lnTo>
                  <a:pt x="175628" y="439058"/>
                </a:lnTo>
                <a:lnTo>
                  <a:pt x="164664" y="391123"/>
                </a:lnTo>
                <a:lnTo>
                  <a:pt x="163080" y="364744"/>
                </a:lnTo>
                <a:lnTo>
                  <a:pt x="475221" y="364744"/>
                </a:lnTo>
                <a:lnTo>
                  <a:pt x="504737" y="363631"/>
                </a:lnTo>
                <a:lnTo>
                  <a:pt x="553254" y="354719"/>
                </a:lnTo>
                <a:lnTo>
                  <a:pt x="587341" y="335356"/>
                </a:lnTo>
                <a:lnTo>
                  <a:pt x="604585" y="296342"/>
                </a:lnTo>
                <a:lnTo>
                  <a:pt x="606329" y="274142"/>
                </a:lnTo>
                <a:lnTo>
                  <a:pt x="163080" y="274142"/>
                </a:lnTo>
                <a:lnTo>
                  <a:pt x="169006" y="236589"/>
                </a:lnTo>
                <a:lnTo>
                  <a:pt x="192287" y="175342"/>
                </a:lnTo>
                <a:lnTo>
                  <a:pt x="230028" y="134244"/>
                </a:lnTo>
                <a:lnTo>
                  <a:pt x="278987" y="113637"/>
                </a:lnTo>
                <a:lnTo>
                  <a:pt x="307467" y="111061"/>
                </a:lnTo>
                <a:lnTo>
                  <a:pt x="554184" y="111061"/>
                </a:lnTo>
                <a:lnTo>
                  <a:pt x="531704" y="84688"/>
                </a:lnTo>
                <a:lnTo>
                  <a:pt x="473176" y="39458"/>
                </a:lnTo>
                <a:lnTo>
                  <a:pt x="438044" y="22197"/>
                </a:lnTo>
                <a:lnTo>
                  <a:pt x="399589" y="9866"/>
                </a:lnTo>
                <a:lnTo>
                  <a:pt x="357815" y="2466"/>
                </a:lnTo>
                <a:lnTo>
                  <a:pt x="312724" y="0"/>
                </a:lnTo>
                <a:close/>
              </a:path>
              <a:path w="607059" h="650239">
                <a:moveTo>
                  <a:pt x="542442" y="430796"/>
                </a:moveTo>
                <a:lnTo>
                  <a:pt x="493158" y="454624"/>
                </a:lnTo>
                <a:lnTo>
                  <a:pt x="480336" y="466461"/>
                </a:lnTo>
                <a:lnTo>
                  <a:pt x="449278" y="493804"/>
                </a:lnTo>
                <a:lnTo>
                  <a:pt x="417931" y="516432"/>
                </a:lnTo>
                <a:lnTo>
                  <a:pt x="383793" y="533645"/>
                </a:lnTo>
                <a:lnTo>
                  <a:pt x="333743" y="543775"/>
                </a:lnTo>
                <a:lnTo>
                  <a:pt x="319735" y="544195"/>
                </a:lnTo>
                <a:lnTo>
                  <a:pt x="572841" y="544195"/>
                </a:lnTo>
                <a:lnTo>
                  <a:pt x="593145" y="505694"/>
                </a:lnTo>
                <a:lnTo>
                  <a:pt x="597382" y="482244"/>
                </a:lnTo>
                <a:lnTo>
                  <a:pt x="596434" y="470661"/>
                </a:lnTo>
                <a:lnTo>
                  <a:pt x="593629" y="460616"/>
                </a:lnTo>
                <a:lnTo>
                  <a:pt x="593588" y="460468"/>
                </a:lnTo>
                <a:lnTo>
                  <a:pt x="564651" y="434159"/>
                </a:lnTo>
                <a:lnTo>
                  <a:pt x="554132" y="431637"/>
                </a:lnTo>
                <a:lnTo>
                  <a:pt x="542442" y="430796"/>
                </a:lnTo>
                <a:close/>
              </a:path>
              <a:path w="607059" h="650239">
                <a:moveTo>
                  <a:pt x="554184" y="111061"/>
                </a:moveTo>
                <a:lnTo>
                  <a:pt x="307467" y="111061"/>
                </a:lnTo>
                <a:lnTo>
                  <a:pt x="337636" y="113637"/>
                </a:lnTo>
                <a:lnTo>
                  <a:pt x="337341" y="113637"/>
                </a:lnTo>
                <a:lnTo>
                  <a:pt x="387635" y="133917"/>
                </a:lnTo>
                <a:lnTo>
                  <a:pt x="425408" y="174579"/>
                </a:lnTo>
                <a:lnTo>
                  <a:pt x="447472" y="235806"/>
                </a:lnTo>
                <a:lnTo>
                  <a:pt x="452424" y="274142"/>
                </a:lnTo>
                <a:lnTo>
                  <a:pt x="606329" y="274142"/>
                </a:lnTo>
                <a:lnTo>
                  <a:pt x="598416" y="204587"/>
                </a:lnTo>
                <a:lnTo>
                  <a:pt x="573430" y="141452"/>
                </a:lnTo>
                <a:lnTo>
                  <a:pt x="554668" y="111630"/>
                </a:lnTo>
                <a:lnTo>
                  <a:pt x="554184" y="111061"/>
                </a:lnTo>
                <a:close/>
              </a:path>
            </a:pathLst>
          </a:custGeom>
          <a:solidFill>
            <a:srgbClr val="0A6CB8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8" name="object 7">
            <a:extLst>
              <a:ext uri="{FF2B5EF4-FFF2-40B4-BE49-F238E27FC236}">
                <a16:creationId xmlns:a16="http://schemas.microsoft.com/office/drawing/2014/main" id="{74C9F850-34CD-3399-7213-2241A47B1A75}"/>
              </a:ext>
            </a:extLst>
          </xdr:cNvPr>
          <xdr:cNvSpPr/>
        </xdr:nvSpPr>
        <xdr:spPr>
          <a:xfrm>
            <a:off x="6850074" y="1741873"/>
            <a:ext cx="559435" cy="648970"/>
          </a:xfrm>
          <a:custGeom>
            <a:avLst/>
            <a:gdLst/>
            <a:ahLst/>
            <a:cxnLst/>
            <a:rect l="l" t="t" r="r" b="b"/>
            <a:pathLst>
              <a:path w="559434" h="648969">
                <a:moveTo>
                  <a:pt x="470547" y="0"/>
                </a:moveTo>
                <a:lnTo>
                  <a:pt x="424662" y="15201"/>
                </a:lnTo>
                <a:lnTo>
                  <a:pt x="393260" y="49175"/>
                </a:lnTo>
                <a:lnTo>
                  <a:pt x="280581" y="206921"/>
                </a:lnTo>
                <a:lnTo>
                  <a:pt x="177114" y="65468"/>
                </a:lnTo>
                <a:lnTo>
                  <a:pt x="143736" y="24802"/>
                </a:lnTo>
                <a:lnTo>
                  <a:pt x="101108" y="985"/>
                </a:lnTo>
                <a:lnTo>
                  <a:pt x="87680" y="0"/>
                </a:lnTo>
                <a:lnTo>
                  <a:pt x="72371" y="1133"/>
                </a:lnTo>
                <a:lnTo>
                  <a:pt x="35661" y="18122"/>
                </a:lnTo>
                <a:lnTo>
                  <a:pt x="15786" y="60794"/>
                </a:lnTo>
                <a:lnTo>
                  <a:pt x="17867" y="77270"/>
                </a:lnTo>
                <a:lnTo>
                  <a:pt x="24112" y="95134"/>
                </a:lnTo>
                <a:lnTo>
                  <a:pt x="34522" y="114385"/>
                </a:lnTo>
                <a:lnTo>
                  <a:pt x="49098" y="135026"/>
                </a:lnTo>
                <a:lnTo>
                  <a:pt x="177114" y="307467"/>
                </a:lnTo>
                <a:lnTo>
                  <a:pt x="32740" y="514388"/>
                </a:lnTo>
                <a:lnTo>
                  <a:pt x="18409" y="536419"/>
                </a:lnTo>
                <a:lnTo>
                  <a:pt x="8178" y="555745"/>
                </a:lnTo>
                <a:lnTo>
                  <a:pt x="2043" y="572366"/>
                </a:lnTo>
                <a:lnTo>
                  <a:pt x="0" y="586282"/>
                </a:lnTo>
                <a:lnTo>
                  <a:pt x="1333" y="598212"/>
                </a:lnTo>
                <a:lnTo>
                  <a:pt x="32568" y="638141"/>
                </a:lnTo>
                <a:lnTo>
                  <a:pt x="73075" y="648830"/>
                </a:lnTo>
                <a:lnTo>
                  <a:pt x="86201" y="647880"/>
                </a:lnTo>
                <a:lnTo>
                  <a:pt x="127770" y="624756"/>
                </a:lnTo>
                <a:lnTo>
                  <a:pt x="161912" y="582777"/>
                </a:lnTo>
                <a:lnTo>
                  <a:pt x="280581" y="412673"/>
                </a:lnTo>
                <a:lnTo>
                  <a:pt x="396316" y="582777"/>
                </a:lnTo>
                <a:lnTo>
                  <a:pt x="430018" y="623988"/>
                </a:lnTo>
                <a:lnTo>
                  <a:pt x="473127" y="647844"/>
                </a:lnTo>
                <a:lnTo>
                  <a:pt x="486333" y="648830"/>
                </a:lnTo>
                <a:lnTo>
                  <a:pt x="501200" y="647697"/>
                </a:lnTo>
                <a:lnTo>
                  <a:pt x="538365" y="630707"/>
                </a:lnTo>
                <a:lnTo>
                  <a:pt x="559396" y="587451"/>
                </a:lnTo>
                <a:lnTo>
                  <a:pt x="557277" y="573683"/>
                </a:lnTo>
                <a:lnTo>
                  <a:pt x="550921" y="556915"/>
                </a:lnTo>
                <a:lnTo>
                  <a:pt x="540328" y="537150"/>
                </a:lnTo>
                <a:lnTo>
                  <a:pt x="525500" y="514388"/>
                </a:lnTo>
                <a:lnTo>
                  <a:pt x="381114" y="307467"/>
                </a:lnTo>
                <a:lnTo>
                  <a:pt x="517332" y="124010"/>
                </a:lnTo>
                <a:lnTo>
                  <a:pt x="538844" y="87149"/>
                </a:lnTo>
                <a:lnTo>
                  <a:pt x="543623" y="60794"/>
                </a:lnTo>
                <a:lnTo>
                  <a:pt x="542325" y="48686"/>
                </a:lnTo>
                <a:lnTo>
                  <a:pt x="511815" y="10029"/>
                </a:lnTo>
                <a:lnTo>
                  <a:pt x="485654" y="1114"/>
                </a:lnTo>
                <a:lnTo>
                  <a:pt x="470547" y="0"/>
                </a:lnTo>
                <a:close/>
              </a:path>
            </a:pathLst>
          </a:custGeom>
          <a:solidFill>
            <a:srgbClr val="0A6CB8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9" name="object 8">
            <a:extLst>
              <a:ext uri="{FF2B5EF4-FFF2-40B4-BE49-F238E27FC236}">
                <a16:creationId xmlns:a16="http://schemas.microsoft.com/office/drawing/2014/main" id="{F613386C-3A68-15A3-1748-3B754577B742}"/>
              </a:ext>
            </a:extLst>
          </xdr:cNvPr>
          <xdr:cNvSpPr/>
        </xdr:nvSpPr>
        <xdr:spPr>
          <a:xfrm>
            <a:off x="2632798" y="796785"/>
            <a:ext cx="628015" cy="580390"/>
          </a:xfrm>
          <a:custGeom>
            <a:avLst/>
            <a:gdLst/>
            <a:ahLst/>
            <a:cxnLst/>
            <a:rect l="l" t="t" r="r" b="b"/>
            <a:pathLst>
              <a:path w="628014" h="580390">
                <a:moveTo>
                  <a:pt x="496150" y="11544"/>
                </a:moveTo>
                <a:lnTo>
                  <a:pt x="420319" y="11544"/>
                </a:lnTo>
                <a:lnTo>
                  <a:pt x="245605" y="526656"/>
                </a:lnTo>
                <a:lnTo>
                  <a:pt x="76644" y="11544"/>
                </a:lnTo>
                <a:lnTo>
                  <a:pt x="0" y="11544"/>
                </a:lnTo>
                <a:lnTo>
                  <a:pt x="196151" y="580224"/>
                </a:lnTo>
                <a:lnTo>
                  <a:pt x="291757" y="580224"/>
                </a:lnTo>
                <a:lnTo>
                  <a:pt x="496150" y="11544"/>
                </a:lnTo>
                <a:close/>
              </a:path>
              <a:path w="628014" h="580390">
                <a:moveTo>
                  <a:pt x="618083" y="143408"/>
                </a:moveTo>
                <a:lnTo>
                  <a:pt x="547204" y="143408"/>
                </a:lnTo>
                <a:lnTo>
                  <a:pt x="547204" y="580224"/>
                </a:lnTo>
                <a:lnTo>
                  <a:pt x="618083" y="580224"/>
                </a:lnTo>
                <a:lnTo>
                  <a:pt x="618083" y="143408"/>
                </a:lnTo>
                <a:close/>
              </a:path>
              <a:path w="628014" h="580390">
                <a:moveTo>
                  <a:pt x="627964" y="45339"/>
                </a:moveTo>
                <a:lnTo>
                  <a:pt x="624471" y="27482"/>
                </a:lnTo>
                <a:lnTo>
                  <a:pt x="614883" y="13093"/>
                </a:lnTo>
                <a:lnTo>
                  <a:pt x="600494" y="3492"/>
                </a:lnTo>
                <a:lnTo>
                  <a:pt x="582637" y="0"/>
                </a:lnTo>
                <a:lnTo>
                  <a:pt x="564769" y="3492"/>
                </a:lnTo>
                <a:lnTo>
                  <a:pt x="550392" y="13093"/>
                </a:lnTo>
                <a:lnTo>
                  <a:pt x="540791" y="27482"/>
                </a:lnTo>
                <a:lnTo>
                  <a:pt x="537311" y="45339"/>
                </a:lnTo>
                <a:lnTo>
                  <a:pt x="540791" y="63207"/>
                </a:lnTo>
                <a:lnTo>
                  <a:pt x="550392" y="77584"/>
                </a:lnTo>
                <a:lnTo>
                  <a:pt x="564769" y="87185"/>
                </a:lnTo>
                <a:lnTo>
                  <a:pt x="582637" y="90665"/>
                </a:lnTo>
                <a:lnTo>
                  <a:pt x="600494" y="87185"/>
                </a:lnTo>
                <a:lnTo>
                  <a:pt x="614883" y="77584"/>
                </a:lnTo>
                <a:lnTo>
                  <a:pt x="624471" y="63207"/>
                </a:lnTo>
                <a:lnTo>
                  <a:pt x="627964" y="45339"/>
                </a:lnTo>
                <a:close/>
              </a:path>
            </a:pathLst>
          </a:custGeom>
          <a:solidFill>
            <a:srgbClr val="0A6CB8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10" name="object 9">
            <a:extLst>
              <a:ext uri="{FF2B5EF4-FFF2-40B4-BE49-F238E27FC236}">
                <a16:creationId xmlns:a16="http://schemas.microsoft.com/office/drawing/2014/main" id="{66E35005-124E-437A-81DE-CD0FCCA3C9EA}"/>
              </a:ext>
            </a:extLst>
          </xdr:cNvPr>
          <xdr:cNvSpPr/>
        </xdr:nvSpPr>
        <xdr:spPr>
          <a:xfrm>
            <a:off x="3339867" y="771241"/>
            <a:ext cx="418465" cy="617855"/>
          </a:xfrm>
          <a:custGeom>
            <a:avLst/>
            <a:gdLst/>
            <a:ahLst/>
            <a:cxnLst/>
            <a:rect l="l" t="t" r="r" b="b"/>
            <a:pathLst>
              <a:path w="418464" h="617855">
                <a:moveTo>
                  <a:pt x="213461" y="157416"/>
                </a:moveTo>
                <a:lnTo>
                  <a:pt x="171870" y="160954"/>
                </a:lnTo>
                <a:lnTo>
                  <a:pt x="132471" y="171658"/>
                </a:lnTo>
                <a:lnTo>
                  <a:pt x="96299" y="189663"/>
                </a:lnTo>
                <a:lnTo>
                  <a:pt x="64387" y="215106"/>
                </a:lnTo>
                <a:lnTo>
                  <a:pt x="37767" y="248121"/>
                </a:lnTo>
                <a:lnTo>
                  <a:pt x="17474" y="288843"/>
                </a:lnTo>
                <a:lnTo>
                  <a:pt x="4540" y="337409"/>
                </a:lnTo>
                <a:lnTo>
                  <a:pt x="0" y="393953"/>
                </a:lnTo>
                <a:lnTo>
                  <a:pt x="4298" y="446550"/>
                </a:lnTo>
                <a:lnTo>
                  <a:pt x="17031" y="494101"/>
                </a:lnTo>
                <a:lnTo>
                  <a:pt x="37952" y="535495"/>
                </a:lnTo>
                <a:lnTo>
                  <a:pt x="66818" y="569623"/>
                </a:lnTo>
                <a:lnTo>
                  <a:pt x="103382" y="595375"/>
                </a:lnTo>
                <a:lnTo>
                  <a:pt x="147401" y="611640"/>
                </a:lnTo>
                <a:lnTo>
                  <a:pt x="198628" y="617308"/>
                </a:lnTo>
                <a:lnTo>
                  <a:pt x="231952" y="614796"/>
                </a:lnTo>
                <a:lnTo>
                  <a:pt x="263732" y="607723"/>
                </a:lnTo>
                <a:lnTo>
                  <a:pt x="291805" y="596788"/>
                </a:lnTo>
                <a:lnTo>
                  <a:pt x="314007" y="582688"/>
                </a:lnTo>
                <a:lnTo>
                  <a:pt x="327885" y="562914"/>
                </a:lnTo>
                <a:lnTo>
                  <a:pt x="209334" y="562914"/>
                </a:lnTo>
                <a:lnTo>
                  <a:pt x="162072" y="553979"/>
                </a:lnTo>
                <a:lnTo>
                  <a:pt x="125176" y="529021"/>
                </a:lnTo>
                <a:lnTo>
                  <a:pt x="98725" y="490809"/>
                </a:lnTo>
                <a:lnTo>
                  <a:pt x="82796" y="442116"/>
                </a:lnTo>
                <a:lnTo>
                  <a:pt x="77470" y="385711"/>
                </a:lnTo>
                <a:lnTo>
                  <a:pt x="84255" y="323632"/>
                </a:lnTo>
                <a:lnTo>
                  <a:pt x="103265" y="275005"/>
                </a:lnTo>
                <a:lnTo>
                  <a:pt x="132482" y="240028"/>
                </a:lnTo>
                <a:lnTo>
                  <a:pt x="169886" y="218897"/>
                </a:lnTo>
                <a:lnTo>
                  <a:pt x="213461" y="211810"/>
                </a:lnTo>
                <a:lnTo>
                  <a:pt x="335328" y="211810"/>
                </a:lnTo>
                <a:lnTo>
                  <a:pt x="318135" y="186258"/>
                </a:lnTo>
                <a:lnTo>
                  <a:pt x="297491" y="174106"/>
                </a:lnTo>
                <a:lnTo>
                  <a:pt x="271051" y="165041"/>
                </a:lnTo>
                <a:lnTo>
                  <a:pt x="241984" y="159374"/>
                </a:lnTo>
                <a:lnTo>
                  <a:pt x="213461" y="157416"/>
                </a:lnTo>
                <a:close/>
              </a:path>
              <a:path w="418464" h="617855">
                <a:moveTo>
                  <a:pt x="417855" y="535711"/>
                </a:moveTo>
                <a:lnTo>
                  <a:pt x="346976" y="535711"/>
                </a:lnTo>
                <a:lnTo>
                  <a:pt x="346976" y="605764"/>
                </a:lnTo>
                <a:lnTo>
                  <a:pt x="417855" y="605764"/>
                </a:lnTo>
                <a:lnTo>
                  <a:pt x="417855" y="535711"/>
                </a:lnTo>
                <a:close/>
              </a:path>
              <a:path w="418464" h="617855">
                <a:moveTo>
                  <a:pt x="335328" y="211810"/>
                </a:moveTo>
                <a:lnTo>
                  <a:pt x="213461" y="211810"/>
                </a:lnTo>
                <a:lnTo>
                  <a:pt x="251399" y="217171"/>
                </a:lnTo>
                <a:lnTo>
                  <a:pt x="287517" y="234123"/>
                </a:lnTo>
                <a:lnTo>
                  <a:pt x="318018" y="263972"/>
                </a:lnTo>
                <a:lnTo>
                  <a:pt x="339104" y="308021"/>
                </a:lnTo>
                <a:lnTo>
                  <a:pt x="346976" y="367576"/>
                </a:lnTo>
                <a:lnTo>
                  <a:pt x="346976" y="391477"/>
                </a:lnTo>
                <a:lnTo>
                  <a:pt x="339624" y="457411"/>
                </a:lnTo>
                <a:lnTo>
                  <a:pt x="319415" y="505941"/>
                </a:lnTo>
                <a:lnTo>
                  <a:pt x="289117" y="538647"/>
                </a:lnTo>
                <a:lnTo>
                  <a:pt x="251500" y="557111"/>
                </a:lnTo>
                <a:lnTo>
                  <a:pt x="209334" y="562914"/>
                </a:lnTo>
                <a:lnTo>
                  <a:pt x="327885" y="562914"/>
                </a:lnTo>
                <a:lnTo>
                  <a:pt x="346976" y="535711"/>
                </a:lnTo>
                <a:lnTo>
                  <a:pt x="417855" y="535711"/>
                </a:lnTo>
                <a:lnTo>
                  <a:pt x="417855" y="229120"/>
                </a:lnTo>
                <a:lnTo>
                  <a:pt x="346976" y="229120"/>
                </a:lnTo>
                <a:lnTo>
                  <a:pt x="335328" y="211810"/>
                </a:lnTo>
                <a:close/>
              </a:path>
              <a:path w="418464" h="617855">
                <a:moveTo>
                  <a:pt x="417855" y="0"/>
                </a:moveTo>
                <a:lnTo>
                  <a:pt x="346976" y="0"/>
                </a:lnTo>
                <a:lnTo>
                  <a:pt x="346976" y="229120"/>
                </a:lnTo>
                <a:lnTo>
                  <a:pt x="417855" y="229120"/>
                </a:lnTo>
                <a:lnTo>
                  <a:pt x="417855" y="0"/>
                </a:lnTo>
                <a:close/>
              </a:path>
            </a:pathLst>
          </a:custGeom>
          <a:solidFill>
            <a:srgbClr val="0A6CB8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11" name="object 10">
            <a:extLst>
              <a:ext uri="{FF2B5EF4-FFF2-40B4-BE49-F238E27FC236}">
                <a16:creationId xmlns:a16="http://schemas.microsoft.com/office/drawing/2014/main" id="{8EE2FB91-D3BF-2A91-7C63-2BD53EA3E777}"/>
              </a:ext>
            </a:extLst>
          </xdr:cNvPr>
          <xdr:cNvSpPr/>
        </xdr:nvSpPr>
        <xdr:spPr>
          <a:xfrm>
            <a:off x="3882937" y="930306"/>
            <a:ext cx="201295" cy="447040"/>
          </a:xfrm>
          <a:custGeom>
            <a:avLst/>
            <a:gdLst/>
            <a:ahLst/>
            <a:cxnLst/>
            <a:rect l="l" t="t" r="r" b="b"/>
            <a:pathLst>
              <a:path w="201295" h="447040">
                <a:moveTo>
                  <a:pt x="171424" y="0"/>
                </a:moveTo>
                <a:lnTo>
                  <a:pt x="124716" y="11476"/>
                </a:lnTo>
                <a:lnTo>
                  <a:pt x="70878" y="78295"/>
                </a:lnTo>
                <a:lnTo>
                  <a:pt x="70878" y="9893"/>
                </a:lnTo>
                <a:lnTo>
                  <a:pt x="0" y="9893"/>
                </a:lnTo>
                <a:lnTo>
                  <a:pt x="0" y="446697"/>
                </a:lnTo>
                <a:lnTo>
                  <a:pt x="70878" y="446697"/>
                </a:lnTo>
                <a:lnTo>
                  <a:pt x="70878" y="197802"/>
                </a:lnTo>
                <a:lnTo>
                  <a:pt x="77300" y="144634"/>
                </a:lnTo>
                <a:lnTo>
                  <a:pt x="95353" y="104559"/>
                </a:lnTo>
                <a:lnTo>
                  <a:pt x="123216" y="77221"/>
                </a:lnTo>
                <a:lnTo>
                  <a:pt x="159069" y="62264"/>
                </a:lnTo>
                <a:lnTo>
                  <a:pt x="201091" y="59334"/>
                </a:lnTo>
                <a:lnTo>
                  <a:pt x="201091" y="5765"/>
                </a:lnTo>
                <a:lnTo>
                  <a:pt x="194606" y="3128"/>
                </a:lnTo>
                <a:lnTo>
                  <a:pt x="187496" y="1339"/>
                </a:lnTo>
                <a:lnTo>
                  <a:pt x="179767" y="322"/>
                </a:lnTo>
                <a:lnTo>
                  <a:pt x="171424" y="0"/>
                </a:lnTo>
                <a:close/>
              </a:path>
            </a:pathLst>
          </a:custGeom>
          <a:solidFill>
            <a:srgbClr val="0A6CB8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12" name="object 11">
            <a:extLst>
              <a:ext uri="{FF2B5EF4-FFF2-40B4-BE49-F238E27FC236}">
                <a16:creationId xmlns:a16="http://schemas.microsoft.com/office/drawing/2014/main" id="{6F4AA6B3-13EB-34BE-AF9D-4CE0D52FCBEB}"/>
              </a:ext>
            </a:extLst>
          </xdr:cNvPr>
          <xdr:cNvSpPr/>
        </xdr:nvSpPr>
        <xdr:spPr>
          <a:xfrm>
            <a:off x="4144988" y="796785"/>
            <a:ext cx="90805" cy="580390"/>
          </a:xfrm>
          <a:custGeom>
            <a:avLst/>
            <a:gdLst/>
            <a:ahLst/>
            <a:cxnLst/>
            <a:rect l="l" t="t" r="r" b="b"/>
            <a:pathLst>
              <a:path w="90804" h="580390">
                <a:moveTo>
                  <a:pt x="80772" y="143408"/>
                </a:moveTo>
                <a:lnTo>
                  <a:pt x="9893" y="143408"/>
                </a:lnTo>
                <a:lnTo>
                  <a:pt x="9893" y="580224"/>
                </a:lnTo>
                <a:lnTo>
                  <a:pt x="80772" y="580224"/>
                </a:lnTo>
                <a:lnTo>
                  <a:pt x="80772" y="143408"/>
                </a:lnTo>
                <a:close/>
              </a:path>
              <a:path w="90804" h="580390">
                <a:moveTo>
                  <a:pt x="45326" y="0"/>
                </a:moveTo>
                <a:lnTo>
                  <a:pt x="27469" y="3490"/>
                </a:lnTo>
                <a:lnTo>
                  <a:pt x="13085" y="13087"/>
                </a:lnTo>
                <a:lnTo>
                  <a:pt x="3490" y="27474"/>
                </a:lnTo>
                <a:lnTo>
                  <a:pt x="0" y="45339"/>
                </a:lnTo>
                <a:lnTo>
                  <a:pt x="3490" y="63195"/>
                </a:lnTo>
                <a:lnTo>
                  <a:pt x="13085" y="77579"/>
                </a:lnTo>
                <a:lnTo>
                  <a:pt x="27469" y="87174"/>
                </a:lnTo>
                <a:lnTo>
                  <a:pt x="45326" y="90665"/>
                </a:lnTo>
                <a:lnTo>
                  <a:pt x="63190" y="87174"/>
                </a:lnTo>
                <a:lnTo>
                  <a:pt x="77577" y="77579"/>
                </a:lnTo>
                <a:lnTo>
                  <a:pt x="87174" y="63195"/>
                </a:lnTo>
                <a:lnTo>
                  <a:pt x="90665" y="45339"/>
                </a:lnTo>
                <a:lnTo>
                  <a:pt x="87174" y="27474"/>
                </a:lnTo>
                <a:lnTo>
                  <a:pt x="77577" y="13087"/>
                </a:lnTo>
                <a:lnTo>
                  <a:pt x="63190" y="3490"/>
                </a:lnTo>
                <a:lnTo>
                  <a:pt x="45326" y="0"/>
                </a:lnTo>
                <a:close/>
              </a:path>
            </a:pathLst>
          </a:custGeom>
          <a:solidFill>
            <a:srgbClr val="0A6CB8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13" name="object 12">
            <a:extLst>
              <a:ext uri="{FF2B5EF4-FFF2-40B4-BE49-F238E27FC236}">
                <a16:creationId xmlns:a16="http://schemas.microsoft.com/office/drawing/2014/main" id="{38EA3AB1-DFF3-D522-81E3-F459FE633E3E}"/>
              </a:ext>
            </a:extLst>
          </xdr:cNvPr>
          <xdr:cNvSpPr/>
        </xdr:nvSpPr>
        <xdr:spPr>
          <a:xfrm>
            <a:off x="4314752" y="928655"/>
            <a:ext cx="433705" cy="460375"/>
          </a:xfrm>
          <a:custGeom>
            <a:avLst/>
            <a:gdLst/>
            <a:ahLst/>
            <a:cxnLst/>
            <a:rect l="l" t="t" r="r" b="b"/>
            <a:pathLst>
              <a:path w="433704" h="460375">
                <a:moveTo>
                  <a:pt x="216750" y="0"/>
                </a:moveTo>
                <a:lnTo>
                  <a:pt x="164845" y="4810"/>
                </a:lnTo>
                <a:lnTo>
                  <a:pt x="120298" y="18544"/>
                </a:lnTo>
                <a:lnTo>
                  <a:pt x="82977" y="40160"/>
                </a:lnTo>
                <a:lnTo>
                  <a:pt x="52744" y="68614"/>
                </a:lnTo>
                <a:lnTo>
                  <a:pt x="29465" y="102863"/>
                </a:lnTo>
                <a:lnTo>
                  <a:pt x="13005" y="141864"/>
                </a:lnTo>
                <a:lnTo>
                  <a:pt x="3228" y="184572"/>
                </a:lnTo>
                <a:lnTo>
                  <a:pt x="0" y="229946"/>
                </a:lnTo>
                <a:lnTo>
                  <a:pt x="3228" y="275082"/>
                </a:lnTo>
                <a:lnTo>
                  <a:pt x="13005" y="317679"/>
                </a:lnTo>
                <a:lnTo>
                  <a:pt x="29465" y="356665"/>
                </a:lnTo>
                <a:lnTo>
                  <a:pt x="52744" y="390967"/>
                </a:lnTo>
                <a:lnTo>
                  <a:pt x="82977" y="419513"/>
                </a:lnTo>
                <a:lnTo>
                  <a:pt x="120298" y="441231"/>
                </a:lnTo>
                <a:lnTo>
                  <a:pt x="164845" y="455048"/>
                </a:lnTo>
                <a:lnTo>
                  <a:pt x="216750" y="459892"/>
                </a:lnTo>
                <a:lnTo>
                  <a:pt x="268657" y="455048"/>
                </a:lnTo>
                <a:lnTo>
                  <a:pt x="313204" y="441231"/>
                </a:lnTo>
                <a:lnTo>
                  <a:pt x="350528" y="419513"/>
                </a:lnTo>
                <a:lnTo>
                  <a:pt x="365373" y="405498"/>
                </a:lnTo>
                <a:lnTo>
                  <a:pt x="216750" y="405498"/>
                </a:lnTo>
                <a:lnTo>
                  <a:pt x="175811" y="399591"/>
                </a:lnTo>
                <a:lnTo>
                  <a:pt x="141442" y="382695"/>
                </a:lnTo>
                <a:lnTo>
                  <a:pt x="114033" y="356046"/>
                </a:lnTo>
                <a:lnTo>
                  <a:pt x="93972" y="320880"/>
                </a:lnTo>
                <a:lnTo>
                  <a:pt x="81651" y="278435"/>
                </a:lnTo>
                <a:lnTo>
                  <a:pt x="77457" y="229946"/>
                </a:lnTo>
                <a:lnTo>
                  <a:pt x="81651" y="181170"/>
                </a:lnTo>
                <a:lnTo>
                  <a:pt x="93972" y="138644"/>
                </a:lnTo>
                <a:lnTo>
                  <a:pt x="114033" y="103536"/>
                </a:lnTo>
                <a:lnTo>
                  <a:pt x="141442" y="77013"/>
                </a:lnTo>
                <a:lnTo>
                  <a:pt x="175811" y="60243"/>
                </a:lnTo>
                <a:lnTo>
                  <a:pt x="216750" y="54394"/>
                </a:lnTo>
                <a:lnTo>
                  <a:pt x="365652" y="54394"/>
                </a:lnTo>
                <a:lnTo>
                  <a:pt x="350528" y="40160"/>
                </a:lnTo>
                <a:lnTo>
                  <a:pt x="313204" y="18544"/>
                </a:lnTo>
                <a:lnTo>
                  <a:pt x="268657" y="4810"/>
                </a:lnTo>
                <a:lnTo>
                  <a:pt x="216750" y="0"/>
                </a:lnTo>
                <a:close/>
              </a:path>
              <a:path w="433704" h="460375">
                <a:moveTo>
                  <a:pt x="365652" y="54394"/>
                </a:moveTo>
                <a:lnTo>
                  <a:pt x="216750" y="54394"/>
                </a:lnTo>
                <a:lnTo>
                  <a:pt x="257689" y="60243"/>
                </a:lnTo>
                <a:lnTo>
                  <a:pt x="292055" y="77013"/>
                </a:lnTo>
                <a:lnTo>
                  <a:pt x="319462" y="103536"/>
                </a:lnTo>
                <a:lnTo>
                  <a:pt x="339519" y="138644"/>
                </a:lnTo>
                <a:lnTo>
                  <a:pt x="351838" y="181170"/>
                </a:lnTo>
                <a:lnTo>
                  <a:pt x="356031" y="229946"/>
                </a:lnTo>
                <a:lnTo>
                  <a:pt x="351838" y="278435"/>
                </a:lnTo>
                <a:lnTo>
                  <a:pt x="339519" y="320880"/>
                </a:lnTo>
                <a:lnTo>
                  <a:pt x="319462" y="356046"/>
                </a:lnTo>
                <a:lnTo>
                  <a:pt x="292055" y="382695"/>
                </a:lnTo>
                <a:lnTo>
                  <a:pt x="257689" y="399591"/>
                </a:lnTo>
                <a:lnTo>
                  <a:pt x="216750" y="405498"/>
                </a:lnTo>
                <a:lnTo>
                  <a:pt x="365373" y="405498"/>
                </a:lnTo>
                <a:lnTo>
                  <a:pt x="404044" y="356665"/>
                </a:lnTo>
                <a:lnTo>
                  <a:pt x="420506" y="317679"/>
                </a:lnTo>
                <a:lnTo>
                  <a:pt x="430285" y="275082"/>
                </a:lnTo>
                <a:lnTo>
                  <a:pt x="433514" y="229946"/>
                </a:lnTo>
                <a:lnTo>
                  <a:pt x="430285" y="184572"/>
                </a:lnTo>
                <a:lnTo>
                  <a:pt x="420506" y="141864"/>
                </a:lnTo>
                <a:lnTo>
                  <a:pt x="404044" y="102863"/>
                </a:lnTo>
                <a:lnTo>
                  <a:pt x="380763" y="68614"/>
                </a:lnTo>
                <a:lnTo>
                  <a:pt x="365652" y="54394"/>
                </a:lnTo>
                <a:close/>
              </a:path>
            </a:pathLst>
          </a:custGeom>
          <a:solidFill>
            <a:srgbClr val="0A6CB8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14" name="object 13">
            <a:extLst>
              <a:ext uri="{FF2B5EF4-FFF2-40B4-BE49-F238E27FC236}">
                <a16:creationId xmlns:a16="http://schemas.microsoft.com/office/drawing/2014/main" id="{F63C5A3A-5595-DC7C-4811-D83A74028C66}"/>
              </a:ext>
            </a:extLst>
          </xdr:cNvPr>
          <xdr:cNvSpPr/>
        </xdr:nvSpPr>
        <xdr:spPr>
          <a:xfrm>
            <a:off x="4792718" y="928655"/>
            <a:ext cx="334010" cy="460375"/>
          </a:xfrm>
          <a:custGeom>
            <a:avLst/>
            <a:gdLst/>
            <a:ahLst/>
            <a:cxnLst/>
            <a:rect l="l" t="t" r="r" b="b"/>
            <a:pathLst>
              <a:path w="334010" h="460375">
                <a:moveTo>
                  <a:pt x="168135" y="0"/>
                </a:moveTo>
                <a:lnTo>
                  <a:pt x="117950" y="5611"/>
                </a:lnTo>
                <a:lnTo>
                  <a:pt x="76234" y="21943"/>
                </a:lnTo>
                <a:lnTo>
                  <a:pt x="44526" y="48244"/>
                </a:lnTo>
                <a:lnTo>
                  <a:pt x="24371" y="83763"/>
                </a:lnTo>
                <a:lnTo>
                  <a:pt x="17310" y="127749"/>
                </a:lnTo>
                <a:lnTo>
                  <a:pt x="28320" y="177416"/>
                </a:lnTo>
                <a:lnTo>
                  <a:pt x="58415" y="213563"/>
                </a:lnTo>
                <a:lnTo>
                  <a:pt x="103190" y="239356"/>
                </a:lnTo>
                <a:lnTo>
                  <a:pt x="158242" y="257962"/>
                </a:lnTo>
                <a:lnTo>
                  <a:pt x="205287" y="273534"/>
                </a:lnTo>
                <a:lnTo>
                  <a:pt x="237267" y="291655"/>
                </a:lnTo>
                <a:lnTo>
                  <a:pt x="255493" y="313947"/>
                </a:lnTo>
                <a:lnTo>
                  <a:pt x="261277" y="342036"/>
                </a:lnTo>
                <a:lnTo>
                  <a:pt x="254617" y="369681"/>
                </a:lnTo>
                <a:lnTo>
                  <a:pt x="236443" y="389526"/>
                </a:lnTo>
                <a:lnTo>
                  <a:pt x="209461" y="401492"/>
                </a:lnTo>
                <a:lnTo>
                  <a:pt x="176377" y="405498"/>
                </a:lnTo>
                <a:lnTo>
                  <a:pt x="140819" y="401028"/>
                </a:lnTo>
                <a:lnTo>
                  <a:pt x="110748" y="386435"/>
                </a:lnTo>
                <a:lnTo>
                  <a:pt x="87943" y="359946"/>
                </a:lnTo>
                <a:lnTo>
                  <a:pt x="74180" y="319786"/>
                </a:lnTo>
                <a:lnTo>
                  <a:pt x="0" y="319786"/>
                </a:lnTo>
                <a:lnTo>
                  <a:pt x="14271" y="372332"/>
                </a:lnTo>
                <a:lnTo>
                  <a:pt x="40171" y="411826"/>
                </a:lnTo>
                <a:lnTo>
                  <a:pt x="76078" y="439056"/>
                </a:lnTo>
                <a:lnTo>
                  <a:pt x="120369" y="454815"/>
                </a:lnTo>
                <a:lnTo>
                  <a:pt x="171424" y="459892"/>
                </a:lnTo>
                <a:lnTo>
                  <a:pt x="223760" y="454947"/>
                </a:lnTo>
                <a:lnTo>
                  <a:pt x="268459" y="440111"/>
                </a:lnTo>
                <a:lnTo>
                  <a:pt x="303227" y="415386"/>
                </a:lnTo>
                <a:lnTo>
                  <a:pt x="325770" y="380772"/>
                </a:lnTo>
                <a:lnTo>
                  <a:pt x="333794" y="336270"/>
                </a:lnTo>
                <a:lnTo>
                  <a:pt x="328018" y="295745"/>
                </a:lnTo>
                <a:lnTo>
                  <a:pt x="281099" y="235504"/>
                </a:lnTo>
                <a:lnTo>
                  <a:pt x="239483" y="213731"/>
                </a:lnTo>
                <a:lnTo>
                  <a:pt x="185445" y="196151"/>
                </a:lnTo>
                <a:lnTo>
                  <a:pt x="145469" y="183711"/>
                </a:lnTo>
                <a:lnTo>
                  <a:pt x="115387" y="168335"/>
                </a:lnTo>
                <a:lnTo>
                  <a:pt x="96432" y="147706"/>
                </a:lnTo>
                <a:lnTo>
                  <a:pt x="89839" y="119506"/>
                </a:lnTo>
                <a:lnTo>
                  <a:pt x="94218" y="93340"/>
                </a:lnTo>
                <a:lnTo>
                  <a:pt x="107559" y="72734"/>
                </a:lnTo>
                <a:lnTo>
                  <a:pt x="130173" y="59236"/>
                </a:lnTo>
                <a:lnTo>
                  <a:pt x="162369" y="54394"/>
                </a:lnTo>
                <a:lnTo>
                  <a:pt x="196955" y="59957"/>
                </a:lnTo>
                <a:lnTo>
                  <a:pt x="223970" y="76028"/>
                </a:lnTo>
                <a:lnTo>
                  <a:pt x="243261" y="101682"/>
                </a:lnTo>
                <a:lnTo>
                  <a:pt x="254673" y="135991"/>
                </a:lnTo>
                <a:lnTo>
                  <a:pt x="328853" y="135991"/>
                </a:lnTo>
                <a:lnTo>
                  <a:pt x="318071" y="91149"/>
                </a:lnTo>
                <a:lnTo>
                  <a:pt x="296607" y="53585"/>
                </a:lnTo>
                <a:lnTo>
                  <a:pt x="264462" y="24844"/>
                </a:lnTo>
                <a:lnTo>
                  <a:pt x="221638" y="6468"/>
                </a:lnTo>
                <a:lnTo>
                  <a:pt x="168135" y="0"/>
                </a:lnTo>
                <a:close/>
              </a:path>
            </a:pathLst>
          </a:custGeom>
          <a:solidFill>
            <a:srgbClr val="0A6CB8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pic>
        <xdr:nvPicPr>
          <xdr:cNvPr id="15" name="object 14">
            <a:extLst>
              <a:ext uri="{FF2B5EF4-FFF2-40B4-BE49-F238E27FC236}">
                <a16:creationId xmlns:a16="http://schemas.microsoft.com/office/drawing/2014/main" id="{F5B888A0-A87C-BAF6-6722-78EDC8D312C6}"/>
              </a:ext>
            </a:extLst>
          </xdr:cNvPr>
          <xdr:cNvPicPr/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4639331" y="2760983"/>
            <a:ext cx="1213373" cy="256524"/>
          </a:xfrm>
          <a:prstGeom prst="rect">
            <a:avLst/>
          </a:prstGeom>
        </xdr:spPr>
      </xdr:pic>
      <xdr:pic>
        <xdr:nvPicPr>
          <xdr:cNvPr id="16" name="object 15">
            <a:extLst>
              <a:ext uri="{FF2B5EF4-FFF2-40B4-BE49-F238E27FC236}">
                <a16:creationId xmlns:a16="http://schemas.microsoft.com/office/drawing/2014/main" id="{487C2D12-EE77-3D25-806D-1148A03BAC5A}"/>
              </a:ext>
            </a:extLst>
          </xdr:cNvPr>
          <xdr:cNvPicPr/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5933614" y="2815198"/>
            <a:ext cx="137947" cy="202310"/>
          </a:xfrm>
          <a:prstGeom prst="rect">
            <a:avLst/>
          </a:prstGeom>
        </xdr:spPr>
      </xdr:pic>
      <xdr:pic>
        <xdr:nvPicPr>
          <xdr:cNvPr id="17" name="object 16">
            <a:extLst>
              <a:ext uri="{FF2B5EF4-FFF2-40B4-BE49-F238E27FC236}">
                <a16:creationId xmlns:a16="http://schemas.microsoft.com/office/drawing/2014/main" id="{A626C39E-BC9C-F5CE-0143-3D5130AB59DC}"/>
              </a:ext>
            </a:extLst>
          </xdr:cNvPr>
          <xdr:cNvPicPr/>
        </xdr:nvPicPr>
        <xdr:blipFill>
          <a:blip xmlns:r="http://schemas.openxmlformats.org/officeDocument/2006/relationships" r:embed="rId3" cstate="print"/>
          <a:stretch>
            <a:fillRect/>
          </a:stretch>
        </xdr:blipFill>
        <xdr:spPr>
          <a:xfrm>
            <a:off x="6159295" y="2760990"/>
            <a:ext cx="1270787" cy="202438"/>
          </a:xfrm>
          <a:prstGeom prst="rect">
            <a:avLst/>
          </a:prstGeom>
        </xdr:spPr>
      </xdr:pic>
      <xdr:grpSp>
        <xdr:nvGrpSpPr>
          <xdr:cNvPr id="18" name="object 17">
            <a:extLst>
              <a:ext uri="{FF2B5EF4-FFF2-40B4-BE49-F238E27FC236}">
                <a16:creationId xmlns:a16="http://schemas.microsoft.com/office/drawing/2014/main" id="{8841B02F-A47A-737D-2C53-897D7F2EFF51}"/>
              </a:ext>
            </a:extLst>
          </xdr:cNvPr>
          <xdr:cNvGrpSpPr/>
        </xdr:nvGrpSpPr>
        <xdr:grpSpPr>
          <a:xfrm>
            <a:off x="490118" y="642315"/>
            <a:ext cx="1951317" cy="1910926"/>
            <a:chOff x="490118" y="642315"/>
            <a:chExt cx="1951317" cy="1910926"/>
          </a:xfrm>
        </xdr:grpSpPr>
        <xdr:sp macro="" textlink="">
          <xdr:nvSpPr>
            <xdr:cNvPr id="19" name="object 18">
              <a:extLst>
                <a:ext uri="{FF2B5EF4-FFF2-40B4-BE49-F238E27FC236}">
                  <a16:creationId xmlns:a16="http://schemas.microsoft.com/office/drawing/2014/main" id="{8CFC67C9-F0F0-BCCE-5D2E-46CE8D7D06CA}"/>
                </a:ext>
              </a:extLst>
            </xdr:cNvPr>
            <xdr:cNvSpPr/>
          </xdr:nvSpPr>
          <xdr:spPr>
            <a:xfrm>
              <a:off x="490129" y="1325786"/>
              <a:ext cx="562610" cy="1227455"/>
            </a:xfrm>
            <a:custGeom>
              <a:avLst/>
              <a:gdLst/>
              <a:ahLst/>
              <a:cxnLst/>
              <a:rect l="l" t="t" r="r" b="b"/>
              <a:pathLst>
                <a:path w="562610" h="1227455">
                  <a:moveTo>
                    <a:pt x="9705" y="0"/>
                  </a:moveTo>
                  <a:lnTo>
                    <a:pt x="2878" y="4305"/>
                  </a:lnTo>
                  <a:lnTo>
                    <a:pt x="0" y="12592"/>
                  </a:lnTo>
                  <a:lnTo>
                    <a:pt x="0" y="894467"/>
                  </a:lnTo>
                  <a:lnTo>
                    <a:pt x="8359" y="959132"/>
                  </a:lnTo>
                  <a:lnTo>
                    <a:pt x="32893" y="1019549"/>
                  </a:lnTo>
                  <a:lnTo>
                    <a:pt x="117157" y="1168711"/>
                  </a:lnTo>
                  <a:lnTo>
                    <a:pt x="159477" y="1211633"/>
                  </a:lnTo>
                  <a:lnTo>
                    <a:pt x="217665" y="1227372"/>
                  </a:lnTo>
                  <a:lnTo>
                    <a:pt x="350304" y="1227372"/>
                  </a:lnTo>
                  <a:lnTo>
                    <a:pt x="397159" y="1222323"/>
                  </a:lnTo>
                  <a:lnTo>
                    <a:pt x="439662" y="1208011"/>
                  </a:lnTo>
                  <a:lnTo>
                    <a:pt x="477081" y="1185690"/>
                  </a:lnTo>
                  <a:lnTo>
                    <a:pt x="508686" y="1156614"/>
                  </a:lnTo>
                  <a:lnTo>
                    <a:pt x="533744" y="1122037"/>
                  </a:lnTo>
                  <a:lnTo>
                    <a:pt x="551524" y="1083211"/>
                  </a:lnTo>
                  <a:lnTo>
                    <a:pt x="561294" y="1041392"/>
                  </a:lnTo>
                  <a:lnTo>
                    <a:pt x="562322" y="997832"/>
                  </a:lnTo>
                  <a:lnTo>
                    <a:pt x="553878" y="953786"/>
                  </a:lnTo>
                  <a:lnTo>
                    <a:pt x="535228" y="910507"/>
                  </a:lnTo>
                  <a:lnTo>
                    <a:pt x="24345" y="6191"/>
                  </a:lnTo>
                  <a:lnTo>
                    <a:pt x="17766" y="390"/>
                  </a:lnTo>
                  <a:lnTo>
                    <a:pt x="9705" y="0"/>
                  </a:lnTo>
                  <a:close/>
                </a:path>
              </a:pathLst>
            </a:custGeom>
            <a:solidFill>
              <a:srgbClr val="0A6CB8"/>
            </a:solidFill>
          </xdr:spPr>
          <xdr:txBody>
            <a:bodyPr wrap="square" lIns="0" tIns="0" rIns="0" bIns="0" rtlCol="0"/>
            <a:lstStyle>
              <a:defPPr>
                <a:defRPr kern="0"/>
              </a:defPPr>
            </a:lstStyle>
            <a:p>
              <a:endParaRPr/>
            </a:p>
          </xdr:txBody>
        </xdr:sp>
        <xdr:pic>
          <xdr:nvPicPr>
            <xdr:cNvPr id="20" name="object 19">
              <a:extLst>
                <a:ext uri="{FF2B5EF4-FFF2-40B4-BE49-F238E27FC236}">
                  <a16:creationId xmlns:a16="http://schemas.microsoft.com/office/drawing/2014/main" id="{2282363F-09DA-1BAF-D1D3-0997B0A76798}"/>
                </a:ext>
              </a:extLst>
            </xdr:cNvPr>
            <xdr:cNvPicPr/>
          </xdr:nvPicPr>
          <xdr:blipFill>
            <a:blip xmlns:r="http://schemas.openxmlformats.org/officeDocument/2006/relationships" r:embed="rId4" cstate="print"/>
            <a:stretch>
              <a:fillRect/>
            </a:stretch>
          </xdr:blipFill>
          <xdr:spPr>
            <a:xfrm>
              <a:off x="673823" y="642315"/>
              <a:ext cx="1608531" cy="1715300"/>
            </a:xfrm>
            <a:prstGeom prst="rect">
              <a:avLst/>
            </a:prstGeom>
          </xdr:spPr>
        </xdr:pic>
        <xdr:sp macro="" textlink="">
          <xdr:nvSpPr>
            <xdr:cNvPr id="21" name="object 20">
              <a:extLst>
                <a:ext uri="{FF2B5EF4-FFF2-40B4-BE49-F238E27FC236}">
                  <a16:creationId xmlns:a16="http://schemas.microsoft.com/office/drawing/2014/main" id="{AB552450-CFB9-1D72-23F2-81686FE9C43C}"/>
                </a:ext>
              </a:extLst>
            </xdr:cNvPr>
            <xdr:cNvSpPr/>
          </xdr:nvSpPr>
          <xdr:spPr>
            <a:xfrm>
              <a:off x="490118" y="1297571"/>
              <a:ext cx="535305" cy="939165"/>
            </a:xfrm>
            <a:custGeom>
              <a:avLst/>
              <a:gdLst/>
              <a:ahLst/>
              <a:cxnLst/>
              <a:rect l="l" t="t" r="r" b="b"/>
              <a:pathLst>
                <a:path w="535305" h="939164">
                  <a:moveTo>
                    <a:pt x="535228" y="938733"/>
                  </a:moveTo>
                  <a:lnTo>
                    <a:pt x="513651" y="896188"/>
                  </a:lnTo>
                  <a:lnTo>
                    <a:pt x="469722" y="811530"/>
                  </a:lnTo>
                  <a:lnTo>
                    <a:pt x="403402" y="684784"/>
                  </a:lnTo>
                  <a:lnTo>
                    <a:pt x="267754" y="432981"/>
                  </a:lnTo>
                  <a:lnTo>
                    <a:pt x="242100" y="385787"/>
                  </a:lnTo>
                  <a:lnTo>
                    <a:pt x="217411" y="341096"/>
                  </a:lnTo>
                  <a:lnTo>
                    <a:pt x="169900" y="256768"/>
                  </a:lnTo>
                  <a:lnTo>
                    <a:pt x="49682" y="46774"/>
                  </a:lnTo>
                  <a:lnTo>
                    <a:pt x="23279" y="0"/>
                  </a:lnTo>
                  <a:lnTo>
                    <a:pt x="0" y="16624"/>
                  </a:lnTo>
                  <a:lnTo>
                    <a:pt x="508" y="24384"/>
                  </a:lnTo>
                  <a:lnTo>
                    <a:pt x="2006" y="31991"/>
                  </a:lnTo>
                  <a:lnTo>
                    <a:pt x="110274" y="225577"/>
                  </a:lnTo>
                  <a:lnTo>
                    <a:pt x="187845" y="359587"/>
                  </a:lnTo>
                  <a:lnTo>
                    <a:pt x="240106" y="448614"/>
                  </a:lnTo>
                  <a:lnTo>
                    <a:pt x="385762" y="694740"/>
                  </a:lnTo>
                  <a:lnTo>
                    <a:pt x="484911" y="857681"/>
                  </a:lnTo>
                  <a:lnTo>
                    <a:pt x="509930" y="898296"/>
                  </a:lnTo>
                  <a:lnTo>
                    <a:pt x="535228" y="938733"/>
                  </a:lnTo>
                  <a:close/>
                </a:path>
              </a:pathLst>
            </a:custGeom>
            <a:solidFill>
              <a:srgbClr val="0A6CB8"/>
            </a:solidFill>
          </xdr:spPr>
          <xdr:txBody>
            <a:bodyPr wrap="square" lIns="0" tIns="0" rIns="0" bIns="0" rtlCol="0"/>
            <a:lstStyle>
              <a:defPPr>
                <a:defRPr kern="0"/>
              </a:defPPr>
            </a:lstStyle>
            <a:p>
              <a:endParaRPr/>
            </a:p>
          </xdr:txBody>
        </xdr:sp>
        <xdr:pic>
          <xdr:nvPicPr>
            <xdr:cNvPr id="22" name="object 21">
              <a:extLst>
                <a:ext uri="{FF2B5EF4-FFF2-40B4-BE49-F238E27FC236}">
                  <a16:creationId xmlns:a16="http://schemas.microsoft.com/office/drawing/2014/main" id="{47AA0505-E123-5F96-23D5-4A15023D9E2D}"/>
                </a:ext>
              </a:extLst>
            </xdr:cNvPr>
            <xdr:cNvPicPr/>
          </xdr:nvPicPr>
          <xdr:blipFill>
            <a:blip xmlns:r="http://schemas.openxmlformats.org/officeDocument/2006/relationships" r:embed="rId5" cstate="print"/>
            <a:stretch>
              <a:fillRect/>
            </a:stretch>
          </xdr:blipFill>
          <xdr:spPr>
            <a:xfrm>
              <a:off x="669697" y="642315"/>
              <a:ext cx="1771738" cy="1910854"/>
            </a:xfrm>
            <a:prstGeom prst="rect">
              <a:avLst/>
            </a:prstGeom>
          </xdr:spPr>
        </xdr:pic>
      </xdr:grp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</xdr:colOff>
      <xdr:row>0</xdr:row>
      <xdr:rowOff>59531</xdr:rowOff>
    </xdr:from>
    <xdr:to>
      <xdr:col>2</xdr:col>
      <xdr:colOff>1089937</xdr:colOff>
      <xdr:row>1</xdr:row>
      <xdr:rowOff>233428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9711A200-BD9B-43C6-99ED-EB54AFBECC20}"/>
            </a:ext>
          </a:extLst>
        </xdr:cNvPr>
        <xdr:cNvGrpSpPr/>
      </xdr:nvGrpSpPr>
      <xdr:grpSpPr>
        <a:xfrm>
          <a:off x="1234281" y="59531"/>
          <a:ext cx="2014656" cy="470230"/>
          <a:chOff x="490118" y="642315"/>
          <a:chExt cx="6939964" cy="2375193"/>
        </a:xfrm>
      </xdr:grpSpPr>
      <xdr:sp macro="" textlink="">
        <xdr:nvSpPr>
          <xdr:cNvPr id="3" name="object 2">
            <a:extLst>
              <a:ext uri="{FF2B5EF4-FFF2-40B4-BE49-F238E27FC236}">
                <a16:creationId xmlns:a16="http://schemas.microsoft.com/office/drawing/2014/main" id="{1C040A06-6F77-4368-2069-D57A16CC33D2}"/>
              </a:ext>
            </a:extLst>
          </xdr:cNvPr>
          <xdr:cNvSpPr/>
        </xdr:nvSpPr>
        <xdr:spPr>
          <a:xfrm>
            <a:off x="2616886" y="1519174"/>
            <a:ext cx="1322070" cy="871855"/>
          </a:xfrm>
          <a:custGeom>
            <a:avLst/>
            <a:gdLst/>
            <a:ahLst/>
            <a:cxnLst/>
            <a:rect l="l" t="t" r="r" b="b"/>
            <a:pathLst>
              <a:path w="1322070" h="871855">
                <a:moveTo>
                  <a:pt x="728332" y="71894"/>
                </a:moveTo>
                <a:lnTo>
                  <a:pt x="716000" y="30581"/>
                </a:lnTo>
                <a:lnTo>
                  <a:pt x="678713" y="4978"/>
                </a:lnTo>
                <a:lnTo>
                  <a:pt x="639483" y="0"/>
                </a:lnTo>
                <a:lnTo>
                  <a:pt x="87680" y="0"/>
                </a:lnTo>
                <a:lnTo>
                  <a:pt x="35013" y="10845"/>
                </a:lnTo>
                <a:lnTo>
                  <a:pt x="5626" y="42087"/>
                </a:lnTo>
                <a:lnTo>
                  <a:pt x="0" y="71894"/>
                </a:lnTo>
                <a:lnTo>
                  <a:pt x="1358" y="87185"/>
                </a:lnTo>
                <a:lnTo>
                  <a:pt x="21628" y="123621"/>
                </a:lnTo>
                <a:lnTo>
                  <a:pt x="66890" y="141986"/>
                </a:lnTo>
                <a:lnTo>
                  <a:pt x="87680" y="143205"/>
                </a:lnTo>
                <a:lnTo>
                  <a:pt x="277075" y="143205"/>
                </a:lnTo>
                <a:lnTo>
                  <a:pt x="277075" y="765733"/>
                </a:lnTo>
                <a:lnTo>
                  <a:pt x="283133" y="812203"/>
                </a:lnTo>
                <a:lnTo>
                  <a:pt x="314350" y="856742"/>
                </a:lnTo>
                <a:lnTo>
                  <a:pt x="364172" y="871537"/>
                </a:lnTo>
                <a:lnTo>
                  <a:pt x="382295" y="869911"/>
                </a:lnTo>
                <a:lnTo>
                  <a:pt x="426123" y="845515"/>
                </a:lnTo>
                <a:lnTo>
                  <a:pt x="448589" y="790892"/>
                </a:lnTo>
                <a:lnTo>
                  <a:pt x="450088" y="765733"/>
                </a:lnTo>
                <a:lnTo>
                  <a:pt x="450088" y="143205"/>
                </a:lnTo>
                <a:lnTo>
                  <a:pt x="639483" y="143205"/>
                </a:lnTo>
                <a:lnTo>
                  <a:pt x="678357" y="138315"/>
                </a:lnTo>
                <a:lnTo>
                  <a:pt x="715835" y="113055"/>
                </a:lnTo>
                <a:lnTo>
                  <a:pt x="726948" y="87185"/>
                </a:lnTo>
                <a:lnTo>
                  <a:pt x="728332" y="71894"/>
                </a:lnTo>
                <a:close/>
              </a:path>
              <a:path w="1322070" h="871855">
                <a:moveTo>
                  <a:pt x="1321638" y="490423"/>
                </a:moveTo>
                <a:lnTo>
                  <a:pt x="1313307" y="426123"/>
                </a:lnTo>
                <a:lnTo>
                  <a:pt x="1288326" y="362991"/>
                </a:lnTo>
                <a:lnTo>
                  <a:pt x="1246593" y="306222"/>
                </a:lnTo>
                <a:lnTo>
                  <a:pt x="1188072" y="260997"/>
                </a:lnTo>
                <a:lnTo>
                  <a:pt x="1167320" y="250812"/>
                </a:lnTo>
                <a:lnTo>
                  <a:pt x="1167320" y="495681"/>
                </a:lnTo>
                <a:lnTo>
                  <a:pt x="877976" y="495681"/>
                </a:lnTo>
                <a:lnTo>
                  <a:pt x="883945" y="457809"/>
                </a:lnTo>
                <a:lnTo>
                  <a:pt x="907173" y="396875"/>
                </a:lnTo>
                <a:lnTo>
                  <a:pt x="944918" y="355777"/>
                </a:lnTo>
                <a:lnTo>
                  <a:pt x="993876" y="335178"/>
                </a:lnTo>
                <a:lnTo>
                  <a:pt x="1022362" y="332600"/>
                </a:lnTo>
                <a:lnTo>
                  <a:pt x="1052525" y="335178"/>
                </a:lnTo>
                <a:lnTo>
                  <a:pt x="1052233" y="335178"/>
                </a:lnTo>
                <a:lnTo>
                  <a:pt x="1078826" y="342760"/>
                </a:lnTo>
                <a:lnTo>
                  <a:pt x="1123188" y="373227"/>
                </a:lnTo>
                <a:lnTo>
                  <a:pt x="1153350" y="424154"/>
                </a:lnTo>
                <a:lnTo>
                  <a:pt x="1167320" y="495681"/>
                </a:lnTo>
                <a:lnTo>
                  <a:pt x="1167320" y="250812"/>
                </a:lnTo>
                <a:lnTo>
                  <a:pt x="1152931" y="243738"/>
                </a:lnTo>
                <a:lnTo>
                  <a:pt x="1114488" y="231406"/>
                </a:lnTo>
                <a:lnTo>
                  <a:pt x="1072705" y="224002"/>
                </a:lnTo>
                <a:lnTo>
                  <a:pt x="1027620" y="221538"/>
                </a:lnTo>
                <a:lnTo>
                  <a:pt x="992466" y="222986"/>
                </a:lnTo>
                <a:lnTo>
                  <a:pt x="926998" y="234530"/>
                </a:lnTo>
                <a:lnTo>
                  <a:pt x="868324" y="257429"/>
                </a:lnTo>
                <a:lnTo>
                  <a:pt x="818642" y="290601"/>
                </a:lnTo>
                <a:lnTo>
                  <a:pt x="778344" y="333679"/>
                </a:lnTo>
                <a:lnTo>
                  <a:pt x="747661" y="385546"/>
                </a:lnTo>
                <a:lnTo>
                  <a:pt x="726719" y="445604"/>
                </a:lnTo>
                <a:lnTo>
                  <a:pt x="716203" y="511225"/>
                </a:lnTo>
                <a:lnTo>
                  <a:pt x="714895" y="545947"/>
                </a:lnTo>
                <a:lnTo>
                  <a:pt x="718299" y="603542"/>
                </a:lnTo>
                <a:lnTo>
                  <a:pt x="728459" y="655701"/>
                </a:lnTo>
                <a:lnTo>
                  <a:pt x="728535" y="656120"/>
                </a:lnTo>
                <a:lnTo>
                  <a:pt x="744867" y="701624"/>
                </a:lnTo>
                <a:lnTo>
                  <a:pt x="769505" y="746277"/>
                </a:lnTo>
                <a:lnTo>
                  <a:pt x="800239" y="783856"/>
                </a:lnTo>
                <a:lnTo>
                  <a:pt x="837095" y="815416"/>
                </a:lnTo>
                <a:lnTo>
                  <a:pt x="879436" y="839965"/>
                </a:lnTo>
                <a:lnTo>
                  <a:pt x="927252" y="857504"/>
                </a:lnTo>
                <a:lnTo>
                  <a:pt x="980541" y="868032"/>
                </a:lnTo>
                <a:lnTo>
                  <a:pt x="1039317" y="871537"/>
                </a:lnTo>
                <a:lnTo>
                  <a:pt x="1071943" y="870445"/>
                </a:lnTo>
                <a:lnTo>
                  <a:pt x="1131417" y="861669"/>
                </a:lnTo>
                <a:lnTo>
                  <a:pt x="1183030" y="844664"/>
                </a:lnTo>
                <a:lnTo>
                  <a:pt x="1225981" y="822604"/>
                </a:lnTo>
                <a:lnTo>
                  <a:pt x="1260195" y="796417"/>
                </a:lnTo>
                <a:lnTo>
                  <a:pt x="1287729" y="765733"/>
                </a:lnTo>
                <a:lnTo>
                  <a:pt x="1295336" y="754341"/>
                </a:lnTo>
                <a:lnTo>
                  <a:pt x="1311148" y="715340"/>
                </a:lnTo>
                <a:lnTo>
                  <a:pt x="1312291" y="703783"/>
                </a:lnTo>
                <a:lnTo>
                  <a:pt x="1311338" y="692200"/>
                </a:lnTo>
                <a:lnTo>
                  <a:pt x="1308519" y="682155"/>
                </a:lnTo>
                <a:lnTo>
                  <a:pt x="1308481" y="682002"/>
                </a:lnTo>
                <a:lnTo>
                  <a:pt x="1279550" y="655701"/>
                </a:lnTo>
                <a:lnTo>
                  <a:pt x="1257338" y="652335"/>
                </a:lnTo>
                <a:lnTo>
                  <a:pt x="1246593" y="652995"/>
                </a:lnTo>
                <a:lnTo>
                  <a:pt x="1237170" y="654964"/>
                </a:lnTo>
                <a:lnTo>
                  <a:pt x="1229055" y="658253"/>
                </a:lnTo>
                <a:lnTo>
                  <a:pt x="1222260" y="662863"/>
                </a:lnTo>
                <a:lnTo>
                  <a:pt x="1208049" y="676160"/>
                </a:lnTo>
                <a:lnTo>
                  <a:pt x="1195222" y="687997"/>
                </a:lnTo>
                <a:lnTo>
                  <a:pt x="1164170" y="715340"/>
                </a:lnTo>
                <a:lnTo>
                  <a:pt x="1132827" y="737971"/>
                </a:lnTo>
                <a:lnTo>
                  <a:pt x="1098689" y="755180"/>
                </a:lnTo>
                <a:lnTo>
                  <a:pt x="1048639" y="765314"/>
                </a:lnTo>
                <a:lnTo>
                  <a:pt x="1034630" y="765733"/>
                </a:lnTo>
                <a:lnTo>
                  <a:pt x="1013752" y="764413"/>
                </a:lnTo>
                <a:lnTo>
                  <a:pt x="974737" y="753897"/>
                </a:lnTo>
                <a:lnTo>
                  <a:pt x="939787" y="732891"/>
                </a:lnTo>
                <a:lnTo>
                  <a:pt x="911440" y="701624"/>
                </a:lnTo>
                <a:lnTo>
                  <a:pt x="890524" y="660590"/>
                </a:lnTo>
                <a:lnTo>
                  <a:pt x="879551" y="612660"/>
                </a:lnTo>
                <a:lnTo>
                  <a:pt x="877976" y="586282"/>
                </a:lnTo>
                <a:lnTo>
                  <a:pt x="1190117" y="586282"/>
                </a:lnTo>
                <a:lnTo>
                  <a:pt x="1219631" y="585165"/>
                </a:lnTo>
                <a:lnTo>
                  <a:pt x="1268145" y="576262"/>
                </a:lnTo>
                <a:lnTo>
                  <a:pt x="1302232" y="556895"/>
                </a:lnTo>
                <a:lnTo>
                  <a:pt x="1319479" y="517880"/>
                </a:lnTo>
                <a:lnTo>
                  <a:pt x="1321219" y="495681"/>
                </a:lnTo>
                <a:lnTo>
                  <a:pt x="1321638" y="490423"/>
                </a:lnTo>
                <a:close/>
              </a:path>
            </a:pathLst>
          </a:custGeom>
          <a:solidFill>
            <a:srgbClr val="0A6CB8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4" name="object 3">
            <a:extLst>
              <a:ext uri="{FF2B5EF4-FFF2-40B4-BE49-F238E27FC236}">
                <a16:creationId xmlns:a16="http://schemas.microsoft.com/office/drawing/2014/main" id="{F1FC31F7-7AE5-246D-E97F-9C3796CBBC6A}"/>
              </a:ext>
            </a:extLst>
          </xdr:cNvPr>
          <xdr:cNvSpPr/>
        </xdr:nvSpPr>
        <xdr:spPr>
          <a:xfrm>
            <a:off x="4063619" y="1741876"/>
            <a:ext cx="913765" cy="648970"/>
          </a:xfrm>
          <a:custGeom>
            <a:avLst/>
            <a:gdLst/>
            <a:ahLst/>
            <a:cxnLst/>
            <a:rect l="l" t="t" r="r" b="b"/>
            <a:pathLst>
              <a:path w="913764" h="648969">
                <a:moveTo>
                  <a:pt x="75387" y="0"/>
                </a:moveTo>
                <a:lnTo>
                  <a:pt x="31935" y="13153"/>
                </a:lnTo>
                <a:lnTo>
                  <a:pt x="5183" y="52170"/>
                </a:lnTo>
                <a:lnTo>
                  <a:pt x="0" y="91770"/>
                </a:lnTo>
                <a:lnTo>
                  <a:pt x="0" y="548297"/>
                </a:lnTo>
                <a:lnTo>
                  <a:pt x="5765" y="591913"/>
                </a:lnTo>
                <a:lnTo>
                  <a:pt x="35441" y="634530"/>
                </a:lnTo>
                <a:lnTo>
                  <a:pt x="82410" y="648830"/>
                </a:lnTo>
                <a:lnTo>
                  <a:pt x="99932" y="647241"/>
                </a:lnTo>
                <a:lnTo>
                  <a:pt x="141744" y="623404"/>
                </a:lnTo>
                <a:lnTo>
                  <a:pt x="162829" y="571621"/>
                </a:lnTo>
                <a:lnTo>
                  <a:pt x="164236" y="548297"/>
                </a:lnTo>
                <a:lnTo>
                  <a:pt x="164236" y="332600"/>
                </a:lnTo>
                <a:lnTo>
                  <a:pt x="165790" y="285251"/>
                </a:lnTo>
                <a:lnTo>
                  <a:pt x="170451" y="243749"/>
                </a:lnTo>
                <a:lnTo>
                  <a:pt x="189077" y="178282"/>
                </a:lnTo>
                <a:lnTo>
                  <a:pt x="227296" y="137945"/>
                </a:lnTo>
                <a:lnTo>
                  <a:pt x="292252" y="124498"/>
                </a:lnTo>
                <a:lnTo>
                  <a:pt x="310513" y="125831"/>
                </a:lnTo>
                <a:lnTo>
                  <a:pt x="349529" y="145846"/>
                </a:lnTo>
                <a:lnTo>
                  <a:pt x="368828" y="184585"/>
                </a:lnTo>
                <a:lnTo>
                  <a:pt x="374823" y="240536"/>
                </a:lnTo>
                <a:lnTo>
                  <a:pt x="375843" y="294017"/>
                </a:lnTo>
                <a:lnTo>
                  <a:pt x="375843" y="548297"/>
                </a:lnTo>
                <a:lnTo>
                  <a:pt x="377249" y="571861"/>
                </a:lnTo>
                <a:lnTo>
                  <a:pt x="388498" y="609561"/>
                </a:lnTo>
                <a:lnTo>
                  <a:pt x="424291" y="642540"/>
                </a:lnTo>
                <a:lnTo>
                  <a:pt x="457111" y="648830"/>
                </a:lnTo>
                <a:lnTo>
                  <a:pt x="474896" y="647257"/>
                </a:lnTo>
                <a:lnTo>
                  <a:pt x="517309" y="623697"/>
                </a:lnTo>
                <a:lnTo>
                  <a:pt x="538677" y="571861"/>
                </a:lnTo>
                <a:lnTo>
                  <a:pt x="540105" y="548297"/>
                </a:lnTo>
                <a:lnTo>
                  <a:pt x="540105" y="336105"/>
                </a:lnTo>
                <a:lnTo>
                  <a:pt x="541199" y="288835"/>
                </a:lnTo>
                <a:lnTo>
                  <a:pt x="544483" y="249307"/>
                </a:lnTo>
                <a:lnTo>
                  <a:pt x="557644" y="193484"/>
                </a:lnTo>
                <a:lnTo>
                  <a:pt x="588376" y="153363"/>
                </a:lnTo>
                <a:lnTo>
                  <a:pt x="630921" y="129179"/>
                </a:lnTo>
                <a:lnTo>
                  <a:pt x="661670" y="124498"/>
                </a:lnTo>
                <a:lnTo>
                  <a:pt x="680016" y="125814"/>
                </a:lnTo>
                <a:lnTo>
                  <a:pt x="720140" y="145554"/>
                </a:lnTo>
                <a:lnTo>
                  <a:pt x="740679" y="182705"/>
                </a:lnTo>
                <a:lnTo>
                  <a:pt x="747098" y="233670"/>
                </a:lnTo>
                <a:lnTo>
                  <a:pt x="748195" y="279996"/>
                </a:lnTo>
                <a:lnTo>
                  <a:pt x="748195" y="548297"/>
                </a:lnTo>
                <a:lnTo>
                  <a:pt x="749636" y="571621"/>
                </a:lnTo>
                <a:lnTo>
                  <a:pt x="761177" y="609174"/>
                </a:lnTo>
                <a:lnTo>
                  <a:pt x="797650" y="642475"/>
                </a:lnTo>
                <a:lnTo>
                  <a:pt x="830618" y="648830"/>
                </a:lnTo>
                <a:lnTo>
                  <a:pt x="848403" y="647257"/>
                </a:lnTo>
                <a:lnTo>
                  <a:pt x="890816" y="623697"/>
                </a:lnTo>
                <a:lnTo>
                  <a:pt x="912188" y="571861"/>
                </a:lnTo>
                <a:lnTo>
                  <a:pt x="913612" y="548297"/>
                </a:lnTo>
                <a:lnTo>
                  <a:pt x="913612" y="236728"/>
                </a:lnTo>
                <a:lnTo>
                  <a:pt x="912333" y="193369"/>
                </a:lnTo>
                <a:lnTo>
                  <a:pt x="902104" y="125274"/>
                </a:lnTo>
                <a:lnTo>
                  <a:pt x="879965" y="77961"/>
                </a:lnTo>
                <a:lnTo>
                  <a:pt x="844600" y="41134"/>
                </a:lnTo>
                <a:lnTo>
                  <a:pt x="797616" y="15634"/>
                </a:lnTo>
                <a:lnTo>
                  <a:pt x="741214" y="2775"/>
                </a:lnTo>
                <a:lnTo>
                  <a:pt x="709625" y="1168"/>
                </a:lnTo>
                <a:lnTo>
                  <a:pt x="682186" y="2647"/>
                </a:lnTo>
                <a:lnTo>
                  <a:pt x="631036" y="14482"/>
                </a:lnTo>
                <a:lnTo>
                  <a:pt x="584602" y="38269"/>
                </a:lnTo>
                <a:lnTo>
                  <a:pt x="541339" y="74654"/>
                </a:lnTo>
                <a:lnTo>
                  <a:pt x="520801" y="97612"/>
                </a:lnTo>
                <a:lnTo>
                  <a:pt x="505830" y="74893"/>
                </a:lnTo>
                <a:lnTo>
                  <a:pt x="470177" y="38651"/>
                </a:lnTo>
                <a:lnTo>
                  <a:pt x="426802" y="14648"/>
                </a:lnTo>
                <a:lnTo>
                  <a:pt x="375076" y="2666"/>
                </a:lnTo>
                <a:lnTo>
                  <a:pt x="346036" y="1168"/>
                </a:lnTo>
                <a:lnTo>
                  <a:pt x="317764" y="2630"/>
                </a:lnTo>
                <a:lnTo>
                  <a:pt x="265153" y="14321"/>
                </a:lnTo>
                <a:lnTo>
                  <a:pt x="217504" y="37888"/>
                </a:lnTo>
                <a:lnTo>
                  <a:pt x="173080" y="74421"/>
                </a:lnTo>
                <a:lnTo>
                  <a:pt x="151968" y="97612"/>
                </a:lnTo>
                <a:lnTo>
                  <a:pt x="151968" y="82410"/>
                </a:lnTo>
                <a:lnTo>
                  <a:pt x="139634" y="33923"/>
                </a:lnTo>
                <a:lnTo>
                  <a:pt x="105427" y="5478"/>
                </a:lnTo>
                <a:lnTo>
                  <a:pt x="91084" y="1369"/>
                </a:lnTo>
                <a:lnTo>
                  <a:pt x="75387" y="0"/>
                </a:lnTo>
                <a:close/>
              </a:path>
            </a:pathLst>
          </a:custGeom>
          <a:solidFill>
            <a:srgbClr val="0A6CB8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5" name="object 4">
            <a:extLst>
              <a:ext uri="{FF2B5EF4-FFF2-40B4-BE49-F238E27FC236}">
                <a16:creationId xmlns:a16="http://schemas.microsoft.com/office/drawing/2014/main" id="{CF3DC2CA-A2ED-5159-13D7-DAFDEC59E2E9}"/>
              </a:ext>
            </a:extLst>
          </xdr:cNvPr>
          <xdr:cNvSpPr/>
        </xdr:nvSpPr>
        <xdr:spPr>
          <a:xfrm>
            <a:off x="5128672" y="1741877"/>
            <a:ext cx="624205" cy="885825"/>
          </a:xfrm>
          <a:custGeom>
            <a:avLst/>
            <a:gdLst/>
            <a:ahLst/>
            <a:cxnLst/>
            <a:rect l="l" t="t" r="r" b="b"/>
            <a:pathLst>
              <a:path w="624204" h="885825">
                <a:moveTo>
                  <a:pt x="74187" y="0"/>
                </a:moveTo>
                <a:lnTo>
                  <a:pt x="57435" y="1443"/>
                </a:lnTo>
                <a:lnTo>
                  <a:pt x="57729" y="1443"/>
                </a:lnTo>
                <a:lnTo>
                  <a:pt x="43345" y="5627"/>
                </a:lnTo>
                <a:lnTo>
                  <a:pt x="11127" y="35196"/>
                </a:lnTo>
                <a:lnTo>
                  <a:pt x="1232" y="69069"/>
                </a:lnTo>
                <a:lnTo>
                  <a:pt x="1197" y="69244"/>
                </a:lnTo>
                <a:lnTo>
                  <a:pt x="24" y="89433"/>
                </a:lnTo>
                <a:lnTo>
                  <a:pt x="0" y="780351"/>
                </a:lnTo>
                <a:lnTo>
                  <a:pt x="868" y="803643"/>
                </a:lnTo>
                <a:lnTo>
                  <a:pt x="8169" y="843242"/>
                </a:lnTo>
                <a:lnTo>
                  <a:pt x="36768" y="878765"/>
                </a:lnTo>
                <a:lnTo>
                  <a:pt x="74187" y="885558"/>
                </a:lnTo>
                <a:lnTo>
                  <a:pt x="107684" y="878981"/>
                </a:lnTo>
                <a:lnTo>
                  <a:pt x="131612" y="859253"/>
                </a:lnTo>
                <a:lnTo>
                  <a:pt x="145970" y="826375"/>
                </a:lnTo>
                <a:lnTo>
                  <a:pt x="150756" y="780351"/>
                </a:lnTo>
                <a:lnTo>
                  <a:pt x="150756" y="540689"/>
                </a:lnTo>
                <a:lnTo>
                  <a:pt x="562441" y="540689"/>
                </a:lnTo>
                <a:lnTo>
                  <a:pt x="563059" y="539892"/>
                </a:lnTo>
                <a:lnTo>
                  <a:pt x="571960" y="525487"/>
                </a:lnTo>
                <a:lnTo>
                  <a:pt x="315018" y="525487"/>
                </a:lnTo>
                <a:lnTo>
                  <a:pt x="283050" y="522182"/>
                </a:lnTo>
                <a:lnTo>
                  <a:pt x="227224" y="495735"/>
                </a:lnTo>
                <a:lnTo>
                  <a:pt x="183673" y="443493"/>
                </a:lnTo>
                <a:lnTo>
                  <a:pt x="161174" y="369402"/>
                </a:lnTo>
                <a:lnTo>
                  <a:pt x="158363" y="324408"/>
                </a:lnTo>
                <a:lnTo>
                  <a:pt x="161193" y="276919"/>
                </a:lnTo>
                <a:lnTo>
                  <a:pt x="169683" y="235565"/>
                </a:lnTo>
                <a:lnTo>
                  <a:pt x="203664" y="171259"/>
                </a:lnTo>
                <a:lnTo>
                  <a:pt x="254145" y="132248"/>
                </a:lnTo>
                <a:lnTo>
                  <a:pt x="315018" y="119240"/>
                </a:lnTo>
                <a:lnTo>
                  <a:pt x="570012" y="119240"/>
                </a:lnTo>
                <a:lnTo>
                  <a:pt x="568097" y="115885"/>
                </a:lnTo>
                <a:lnTo>
                  <a:pt x="562634" y="108724"/>
                </a:lnTo>
                <a:lnTo>
                  <a:pt x="150756" y="108724"/>
                </a:lnTo>
                <a:lnTo>
                  <a:pt x="150756" y="89433"/>
                </a:lnTo>
                <a:lnTo>
                  <a:pt x="145422" y="51222"/>
                </a:lnTo>
                <a:lnTo>
                  <a:pt x="117966" y="12987"/>
                </a:lnTo>
                <a:lnTo>
                  <a:pt x="90349" y="1443"/>
                </a:lnTo>
                <a:lnTo>
                  <a:pt x="74187" y="0"/>
                </a:lnTo>
                <a:close/>
              </a:path>
              <a:path w="624204" h="885825">
                <a:moveTo>
                  <a:pt x="562441" y="540689"/>
                </a:moveTo>
                <a:lnTo>
                  <a:pt x="150756" y="540689"/>
                </a:lnTo>
                <a:lnTo>
                  <a:pt x="172078" y="565676"/>
                </a:lnTo>
                <a:lnTo>
                  <a:pt x="216360" y="606005"/>
                </a:lnTo>
                <a:lnTo>
                  <a:pt x="263928" y="633367"/>
                </a:lnTo>
                <a:lnTo>
                  <a:pt x="321359" y="647111"/>
                </a:lnTo>
                <a:lnTo>
                  <a:pt x="354184" y="648830"/>
                </a:lnTo>
                <a:lnTo>
                  <a:pt x="382068" y="647422"/>
                </a:lnTo>
                <a:lnTo>
                  <a:pt x="435112" y="636164"/>
                </a:lnTo>
                <a:lnTo>
                  <a:pt x="484142" y="613864"/>
                </a:lnTo>
                <a:lnTo>
                  <a:pt x="526958" y="581718"/>
                </a:lnTo>
                <a:lnTo>
                  <a:pt x="562441" y="540689"/>
                </a:lnTo>
                <a:close/>
              </a:path>
              <a:path w="624204" h="885825">
                <a:moveTo>
                  <a:pt x="570012" y="119240"/>
                </a:moveTo>
                <a:lnTo>
                  <a:pt x="315018" y="119240"/>
                </a:lnTo>
                <a:lnTo>
                  <a:pt x="335308" y="120756"/>
                </a:lnTo>
                <a:lnTo>
                  <a:pt x="354689" y="125306"/>
                </a:lnTo>
                <a:lnTo>
                  <a:pt x="390722" y="143497"/>
                </a:lnTo>
                <a:lnTo>
                  <a:pt x="421180" y="173018"/>
                </a:lnTo>
                <a:lnTo>
                  <a:pt x="444189" y="213055"/>
                </a:lnTo>
                <a:lnTo>
                  <a:pt x="458659" y="262813"/>
                </a:lnTo>
                <a:lnTo>
                  <a:pt x="463481" y="321487"/>
                </a:lnTo>
                <a:lnTo>
                  <a:pt x="462202" y="353019"/>
                </a:lnTo>
                <a:lnTo>
                  <a:pt x="451977" y="408845"/>
                </a:lnTo>
                <a:lnTo>
                  <a:pt x="431951" y="454779"/>
                </a:lnTo>
                <a:lnTo>
                  <a:pt x="404770" y="489411"/>
                </a:lnTo>
                <a:lnTo>
                  <a:pt x="371346" y="512505"/>
                </a:lnTo>
                <a:lnTo>
                  <a:pt x="334522" y="524046"/>
                </a:lnTo>
                <a:lnTo>
                  <a:pt x="315018" y="525487"/>
                </a:lnTo>
                <a:lnTo>
                  <a:pt x="571960" y="525487"/>
                </a:lnTo>
                <a:lnTo>
                  <a:pt x="591554" y="488157"/>
                </a:lnTo>
                <a:lnTo>
                  <a:pt x="611971" y="426976"/>
                </a:lnTo>
                <a:lnTo>
                  <a:pt x="622343" y="359316"/>
                </a:lnTo>
                <a:lnTo>
                  <a:pt x="623598" y="324408"/>
                </a:lnTo>
                <a:lnTo>
                  <a:pt x="623559" y="321487"/>
                </a:lnTo>
                <a:lnTo>
                  <a:pt x="621486" y="276919"/>
                </a:lnTo>
                <a:lnTo>
                  <a:pt x="621395" y="274945"/>
                </a:lnTo>
                <a:lnTo>
                  <a:pt x="614657" y="230014"/>
                </a:lnTo>
                <a:lnTo>
                  <a:pt x="603425" y="188443"/>
                </a:lnTo>
                <a:lnTo>
                  <a:pt x="587699" y="150228"/>
                </a:lnTo>
                <a:lnTo>
                  <a:pt x="570012" y="119240"/>
                </a:lnTo>
                <a:close/>
              </a:path>
              <a:path w="624204" h="885825">
                <a:moveTo>
                  <a:pt x="354184" y="1168"/>
                </a:moveTo>
                <a:lnTo>
                  <a:pt x="296017" y="7672"/>
                </a:lnTo>
                <a:lnTo>
                  <a:pt x="244279" y="27177"/>
                </a:lnTo>
                <a:lnTo>
                  <a:pt x="196636" y="60569"/>
                </a:lnTo>
                <a:lnTo>
                  <a:pt x="150756" y="108724"/>
                </a:lnTo>
                <a:lnTo>
                  <a:pt x="562634" y="108724"/>
                </a:lnTo>
                <a:lnTo>
                  <a:pt x="519135" y="60358"/>
                </a:lnTo>
                <a:lnTo>
                  <a:pt x="458071" y="22540"/>
                </a:lnTo>
                <a:lnTo>
                  <a:pt x="390275" y="3542"/>
                </a:lnTo>
                <a:lnTo>
                  <a:pt x="354184" y="1168"/>
                </a:lnTo>
                <a:close/>
              </a:path>
            </a:pathLst>
          </a:custGeom>
          <a:solidFill>
            <a:srgbClr val="0A6CB8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6" name="object 5">
            <a:extLst>
              <a:ext uri="{FF2B5EF4-FFF2-40B4-BE49-F238E27FC236}">
                <a16:creationId xmlns:a16="http://schemas.microsoft.com/office/drawing/2014/main" id="{4B50D65F-4952-D7F6-049F-6F4B97D487F9}"/>
              </a:ext>
            </a:extLst>
          </xdr:cNvPr>
          <xdr:cNvSpPr/>
        </xdr:nvSpPr>
        <xdr:spPr>
          <a:xfrm>
            <a:off x="5880336" y="1504555"/>
            <a:ext cx="160020" cy="886460"/>
          </a:xfrm>
          <a:custGeom>
            <a:avLst/>
            <a:gdLst/>
            <a:ahLst/>
            <a:cxnLst/>
            <a:rect l="l" t="t" r="r" b="b"/>
            <a:pathLst>
              <a:path w="160020" h="886460">
                <a:moveTo>
                  <a:pt x="78917" y="0"/>
                </a:moveTo>
                <a:lnTo>
                  <a:pt x="32942" y="13807"/>
                </a:lnTo>
                <a:lnTo>
                  <a:pt x="5335" y="54949"/>
                </a:lnTo>
                <a:lnTo>
                  <a:pt x="0" y="97027"/>
                </a:lnTo>
                <a:lnTo>
                  <a:pt x="0" y="789114"/>
                </a:lnTo>
                <a:lnTo>
                  <a:pt x="5484" y="830472"/>
                </a:lnTo>
                <a:lnTo>
                  <a:pt x="33710" y="872005"/>
                </a:lnTo>
                <a:lnTo>
                  <a:pt x="78917" y="886155"/>
                </a:lnTo>
                <a:lnTo>
                  <a:pt x="95919" y="884636"/>
                </a:lnTo>
                <a:lnTo>
                  <a:pt x="137083" y="861885"/>
                </a:lnTo>
                <a:lnTo>
                  <a:pt x="158170" y="811859"/>
                </a:lnTo>
                <a:lnTo>
                  <a:pt x="159575" y="789114"/>
                </a:lnTo>
                <a:lnTo>
                  <a:pt x="159575" y="97027"/>
                </a:lnTo>
                <a:lnTo>
                  <a:pt x="154022" y="54584"/>
                </a:lnTo>
                <a:lnTo>
                  <a:pt x="125380" y="13646"/>
                </a:lnTo>
                <a:lnTo>
                  <a:pt x="78917" y="0"/>
                </a:lnTo>
                <a:close/>
              </a:path>
            </a:pathLst>
          </a:custGeom>
          <a:solidFill>
            <a:srgbClr val="0A6CB8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7" name="object 6">
            <a:extLst>
              <a:ext uri="{FF2B5EF4-FFF2-40B4-BE49-F238E27FC236}">
                <a16:creationId xmlns:a16="http://schemas.microsoft.com/office/drawing/2014/main" id="{34DBC6BE-E1BC-6359-7DD0-DD9A1D7DB7E3}"/>
              </a:ext>
            </a:extLst>
          </xdr:cNvPr>
          <xdr:cNvSpPr/>
        </xdr:nvSpPr>
        <xdr:spPr>
          <a:xfrm>
            <a:off x="6174938" y="1740705"/>
            <a:ext cx="607060" cy="650240"/>
          </a:xfrm>
          <a:custGeom>
            <a:avLst/>
            <a:gdLst/>
            <a:ahLst/>
            <a:cxnLst/>
            <a:rect l="l" t="t" r="r" b="b"/>
            <a:pathLst>
              <a:path w="607059" h="650239">
                <a:moveTo>
                  <a:pt x="312724" y="0"/>
                </a:moveTo>
                <a:lnTo>
                  <a:pt x="244041" y="5772"/>
                </a:lnTo>
                <a:lnTo>
                  <a:pt x="181787" y="23088"/>
                </a:lnTo>
                <a:lnTo>
                  <a:pt x="127422" y="51222"/>
                </a:lnTo>
                <a:lnTo>
                  <a:pt x="82410" y="89433"/>
                </a:lnTo>
                <a:lnTo>
                  <a:pt x="46905" y="137001"/>
                </a:lnTo>
                <a:lnTo>
                  <a:pt x="21031" y="193179"/>
                </a:lnTo>
                <a:lnTo>
                  <a:pt x="5257" y="256241"/>
                </a:lnTo>
                <a:lnTo>
                  <a:pt x="0" y="324408"/>
                </a:lnTo>
                <a:lnTo>
                  <a:pt x="3412" y="382002"/>
                </a:lnTo>
                <a:lnTo>
                  <a:pt x="13567" y="434159"/>
                </a:lnTo>
                <a:lnTo>
                  <a:pt x="13651" y="434588"/>
                </a:lnTo>
                <a:lnTo>
                  <a:pt x="29973" y="480090"/>
                </a:lnTo>
                <a:lnTo>
                  <a:pt x="54615" y="524743"/>
                </a:lnTo>
                <a:lnTo>
                  <a:pt x="85344" y="562317"/>
                </a:lnTo>
                <a:lnTo>
                  <a:pt x="122210" y="593879"/>
                </a:lnTo>
                <a:lnTo>
                  <a:pt x="164551" y="618429"/>
                </a:lnTo>
                <a:lnTo>
                  <a:pt x="212365" y="635967"/>
                </a:lnTo>
                <a:lnTo>
                  <a:pt x="265651" y="646490"/>
                </a:lnTo>
                <a:lnTo>
                  <a:pt x="324408" y="649998"/>
                </a:lnTo>
                <a:lnTo>
                  <a:pt x="357047" y="648903"/>
                </a:lnTo>
                <a:lnTo>
                  <a:pt x="416525" y="640134"/>
                </a:lnTo>
                <a:lnTo>
                  <a:pt x="468129" y="623124"/>
                </a:lnTo>
                <a:lnTo>
                  <a:pt x="511097" y="601063"/>
                </a:lnTo>
                <a:lnTo>
                  <a:pt x="545316" y="574885"/>
                </a:lnTo>
                <a:lnTo>
                  <a:pt x="572841" y="544195"/>
                </a:lnTo>
                <a:lnTo>
                  <a:pt x="319735" y="544195"/>
                </a:lnTo>
                <a:lnTo>
                  <a:pt x="298856" y="542880"/>
                </a:lnTo>
                <a:lnTo>
                  <a:pt x="259836" y="532359"/>
                </a:lnTo>
                <a:lnTo>
                  <a:pt x="224891" y="511356"/>
                </a:lnTo>
                <a:lnTo>
                  <a:pt x="196550" y="480090"/>
                </a:lnTo>
                <a:lnTo>
                  <a:pt x="175628" y="439058"/>
                </a:lnTo>
                <a:lnTo>
                  <a:pt x="164664" y="391123"/>
                </a:lnTo>
                <a:lnTo>
                  <a:pt x="163080" y="364744"/>
                </a:lnTo>
                <a:lnTo>
                  <a:pt x="475221" y="364744"/>
                </a:lnTo>
                <a:lnTo>
                  <a:pt x="504737" y="363631"/>
                </a:lnTo>
                <a:lnTo>
                  <a:pt x="553254" y="354719"/>
                </a:lnTo>
                <a:lnTo>
                  <a:pt x="587341" y="335356"/>
                </a:lnTo>
                <a:lnTo>
                  <a:pt x="604585" y="296342"/>
                </a:lnTo>
                <a:lnTo>
                  <a:pt x="606329" y="274142"/>
                </a:lnTo>
                <a:lnTo>
                  <a:pt x="163080" y="274142"/>
                </a:lnTo>
                <a:lnTo>
                  <a:pt x="169006" y="236589"/>
                </a:lnTo>
                <a:lnTo>
                  <a:pt x="192287" y="175342"/>
                </a:lnTo>
                <a:lnTo>
                  <a:pt x="230028" y="134244"/>
                </a:lnTo>
                <a:lnTo>
                  <a:pt x="278987" y="113637"/>
                </a:lnTo>
                <a:lnTo>
                  <a:pt x="307467" y="111061"/>
                </a:lnTo>
                <a:lnTo>
                  <a:pt x="554184" y="111061"/>
                </a:lnTo>
                <a:lnTo>
                  <a:pt x="531704" y="84688"/>
                </a:lnTo>
                <a:lnTo>
                  <a:pt x="473176" y="39458"/>
                </a:lnTo>
                <a:lnTo>
                  <a:pt x="438044" y="22197"/>
                </a:lnTo>
                <a:lnTo>
                  <a:pt x="399589" y="9866"/>
                </a:lnTo>
                <a:lnTo>
                  <a:pt x="357815" y="2466"/>
                </a:lnTo>
                <a:lnTo>
                  <a:pt x="312724" y="0"/>
                </a:lnTo>
                <a:close/>
              </a:path>
              <a:path w="607059" h="650239">
                <a:moveTo>
                  <a:pt x="542442" y="430796"/>
                </a:moveTo>
                <a:lnTo>
                  <a:pt x="493158" y="454624"/>
                </a:lnTo>
                <a:lnTo>
                  <a:pt x="480336" y="466461"/>
                </a:lnTo>
                <a:lnTo>
                  <a:pt x="449278" y="493804"/>
                </a:lnTo>
                <a:lnTo>
                  <a:pt x="417931" y="516432"/>
                </a:lnTo>
                <a:lnTo>
                  <a:pt x="383793" y="533645"/>
                </a:lnTo>
                <a:lnTo>
                  <a:pt x="333743" y="543775"/>
                </a:lnTo>
                <a:lnTo>
                  <a:pt x="319735" y="544195"/>
                </a:lnTo>
                <a:lnTo>
                  <a:pt x="572841" y="544195"/>
                </a:lnTo>
                <a:lnTo>
                  <a:pt x="593145" y="505694"/>
                </a:lnTo>
                <a:lnTo>
                  <a:pt x="597382" y="482244"/>
                </a:lnTo>
                <a:lnTo>
                  <a:pt x="596434" y="470661"/>
                </a:lnTo>
                <a:lnTo>
                  <a:pt x="593629" y="460616"/>
                </a:lnTo>
                <a:lnTo>
                  <a:pt x="593588" y="460468"/>
                </a:lnTo>
                <a:lnTo>
                  <a:pt x="564651" y="434159"/>
                </a:lnTo>
                <a:lnTo>
                  <a:pt x="554132" y="431637"/>
                </a:lnTo>
                <a:lnTo>
                  <a:pt x="542442" y="430796"/>
                </a:lnTo>
                <a:close/>
              </a:path>
              <a:path w="607059" h="650239">
                <a:moveTo>
                  <a:pt x="554184" y="111061"/>
                </a:moveTo>
                <a:lnTo>
                  <a:pt x="307467" y="111061"/>
                </a:lnTo>
                <a:lnTo>
                  <a:pt x="337636" y="113637"/>
                </a:lnTo>
                <a:lnTo>
                  <a:pt x="337341" y="113637"/>
                </a:lnTo>
                <a:lnTo>
                  <a:pt x="387635" y="133917"/>
                </a:lnTo>
                <a:lnTo>
                  <a:pt x="425408" y="174579"/>
                </a:lnTo>
                <a:lnTo>
                  <a:pt x="447472" y="235806"/>
                </a:lnTo>
                <a:lnTo>
                  <a:pt x="452424" y="274142"/>
                </a:lnTo>
                <a:lnTo>
                  <a:pt x="606329" y="274142"/>
                </a:lnTo>
                <a:lnTo>
                  <a:pt x="598416" y="204587"/>
                </a:lnTo>
                <a:lnTo>
                  <a:pt x="573430" y="141452"/>
                </a:lnTo>
                <a:lnTo>
                  <a:pt x="554668" y="111630"/>
                </a:lnTo>
                <a:lnTo>
                  <a:pt x="554184" y="111061"/>
                </a:lnTo>
                <a:close/>
              </a:path>
            </a:pathLst>
          </a:custGeom>
          <a:solidFill>
            <a:srgbClr val="0A6CB8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8" name="object 7">
            <a:extLst>
              <a:ext uri="{FF2B5EF4-FFF2-40B4-BE49-F238E27FC236}">
                <a16:creationId xmlns:a16="http://schemas.microsoft.com/office/drawing/2014/main" id="{27286E32-223C-A487-1583-FFD872591AE0}"/>
              </a:ext>
            </a:extLst>
          </xdr:cNvPr>
          <xdr:cNvSpPr/>
        </xdr:nvSpPr>
        <xdr:spPr>
          <a:xfrm>
            <a:off x="6850074" y="1741873"/>
            <a:ext cx="559435" cy="648970"/>
          </a:xfrm>
          <a:custGeom>
            <a:avLst/>
            <a:gdLst/>
            <a:ahLst/>
            <a:cxnLst/>
            <a:rect l="l" t="t" r="r" b="b"/>
            <a:pathLst>
              <a:path w="559434" h="648969">
                <a:moveTo>
                  <a:pt x="470547" y="0"/>
                </a:moveTo>
                <a:lnTo>
                  <a:pt x="424662" y="15201"/>
                </a:lnTo>
                <a:lnTo>
                  <a:pt x="393260" y="49175"/>
                </a:lnTo>
                <a:lnTo>
                  <a:pt x="280581" y="206921"/>
                </a:lnTo>
                <a:lnTo>
                  <a:pt x="177114" y="65468"/>
                </a:lnTo>
                <a:lnTo>
                  <a:pt x="143736" y="24802"/>
                </a:lnTo>
                <a:lnTo>
                  <a:pt x="101108" y="985"/>
                </a:lnTo>
                <a:lnTo>
                  <a:pt x="87680" y="0"/>
                </a:lnTo>
                <a:lnTo>
                  <a:pt x="72371" y="1133"/>
                </a:lnTo>
                <a:lnTo>
                  <a:pt x="35661" y="18122"/>
                </a:lnTo>
                <a:lnTo>
                  <a:pt x="15786" y="60794"/>
                </a:lnTo>
                <a:lnTo>
                  <a:pt x="17867" y="77270"/>
                </a:lnTo>
                <a:lnTo>
                  <a:pt x="24112" y="95134"/>
                </a:lnTo>
                <a:lnTo>
                  <a:pt x="34522" y="114385"/>
                </a:lnTo>
                <a:lnTo>
                  <a:pt x="49098" y="135026"/>
                </a:lnTo>
                <a:lnTo>
                  <a:pt x="177114" y="307467"/>
                </a:lnTo>
                <a:lnTo>
                  <a:pt x="32740" y="514388"/>
                </a:lnTo>
                <a:lnTo>
                  <a:pt x="18409" y="536419"/>
                </a:lnTo>
                <a:lnTo>
                  <a:pt x="8178" y="555745"/>
                </a:lnTo>
                <a:lnTo>
                  <a:pt x="2043" y="572366"/>
                </a:lnTo>
                <a:lnTo>
                  <a:pt x="0" y="586282"/>
                </a:lnTo>
                <a:lnTo>
                  <a:pt x="1333" y="598212"/>
                </a:lnTo>
                <a:lnTo>
                  <a:pt x="32568" y="638141"/>
                </a:lnTo>
                <a:lnTo>
                  <a:pt x="73075" y="648830"/>
                </a:lnTo>
                <a:lnTo>
                  <a:pt x="86201" y="647880"/>
                </a:lnTo>
                <a:lnTo>
                  <a:pt x="127770" y="624756"/>
                </a:lnTo>
                <a:lnTo>
                  <a:pt x="161912" y="582777"/>
                </a:lnTo>
                <a:lnTo>
                  <a:pt x="280581" y="412673"/>
                </a:lnTo>
                <a:lnTo>
                  <a:pt x="396316" y="582777"/>
                </a:lnTo>
                <a:lnTo>
                  <a:pt x="430018" y="623988"/>
                </a:lnTo>
                <a:lnTo>
                  <a:pt x="473127" y="647844"/>
                </a:lnTo>
                <a:lnTo>
                  <a:pt x="486333" y="648830"/>
                </a:lnTo>
                <a:lnTo>
                  <a:pt x="501200" y="647697"/>
                </a:lnTo>
                <a:lnTo>
                  <a:pt x="538365" y="630707"/>
                </a:lnTo>
                <a:lnTo>
                  <a:pt x="559396" y="587451"/>
                </a:lnTo>
                <a:lnTo>
                  <a:pt x="557277" y="573683"/>
                </a:lnTo>
                <a:lnTo>
                  <a:pt x="550921" y="556915"/>
                </a:lnTo>
                <a:lnTo>
                  <a:pt x="540328" y="537150"/>
                </a:lnTo>
                <a:lnTo>
                  <a:pt x="525500" y="514388"/>
                </a:lnTo>
                <a:lnTo>
                  <a:pt x="381114" y="307467"/>
                </a:lnTo>
                <a:lnTo>
                  <a:pt x="517332" y="124010"/>
                </a:lnTo>
                <a:lnTo>
                  <a:pt x="538844" y="87149"/>
                </a:lnTo>
                <a:lnTo>
                  <a:pt x="543623" y="60794"/>
                </a:lnTo>
                <a:lnTo>
                  <a:pt x="542325" y="48686"/>
                </a:lnTo>
                <a:lnTo>
                  <a:pt x="511815" y="10029"/>
                </a:lnTo>
                <a:lnTo>
                  <a:pt x="485654" y="1114"/>
                </a:lnTo>
                <a:lnTo>
                  <a:pt x="470547" y="0"/>
                </a:lnTo>
                <a:close/>
              </a:path>
            </a:pathLst>
          </a:custGeom>
          <a:solidFill>
            <a:srgbClr val="0A6CB8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9" name="object 8">
            <a:extLst>
              <a:ext uri="{FF2B5EF4-FFF2-40B4-BE49-F238E27FC236}">
                <a16:creationId xmlns:a16="http://schemas.microsoft.com/office/drawing/2014/main" id="{8B1AA86F-52FC-C07C-7265-67A0938A62B3}"/>
              </a:ext>
            </a:extLst>
          </xdr:cNvPr>
          <xdr:cNvSpPr/>
        </xdr:nvSpPr>
        <xdr:spPr>
          <a:xfrm>
            <a:off x="2632798" y="796785"/>
            <a:ext cx="628015" cy="580390"/>
          </a:xfrm>
          <a:custGeom>
            <a:avLst/>
            <a:gdLst/>
            <a:ahLst/>
            <a:cxnLst/>
            <a:rect l="l" t="t" r="r" b="b"/>
            <a:pathLst>
              <a:path w="628014" h="580390">
                <a:moveTo>
                  <a:pt x="496150" y="11544"/>
                </a:moveTo>
                <a:lnTo>
                  <a:pt x="420319" y="11544"/>
                </a:lnTo>
                <a:lnTo>
                  <a:pt x="245605" y="526656"/>
                </a:lnTo>
                <a:lnTo>
                  <a:pt x="76644" y="11544"/>
                </a:lnTo>
                <a:lnTo>
                  <a:pt x="0" y="11544"/>
                </a:lnTo>
                <a:lnTo>
                  <a:pt x="196151" y="580224"/>
                </a:lnTo>
                <a:lnTo>
                  <a:pt x="291757" y="580224"/>
                </a:lnTo>
                <a:lnTo>
                  <a:pt x="496150" y="11544"/>
                </a:lnTo>
                <a:close/>
              </a:path>
              <a:path w="628014" h="580390">
                <a:moveTo>
                  <a:pt x="618083" y="143408"/>
                </a:moveTo>
                <a:lnTo>
                  <a:pt x="547204" y="143408"/>
                </a:lnTo>
                <a:lnTo>
                  <a:pt x="547204" y="580224"/>
                </a:lnTo>
                <a:lnTo>
                  <a:pt x="618083" y="580224"/>
                </a:lnTo>
                <a:lnTo>
                  <a:pt x="618083" y="143408"/>
                </a:lnTo>
                <a:close/>
              </a:path>
              <a:path w="628014" h="580390">
                <a:moveTo>
                  <a:pt x="627964" y="45339"/>
                </a:moveTo>
                <a:lnTo>
                  <a:pt x="624471" y="27482"/>
                </a:lnTo>
                <a:lnTo>
                  <a:pt x="614883" y="13093"/>
                </a:lnTo>
                <a:lnTo>
                  <a:pt x="600494" y="3492"/>
                </a:lnTo>
                <a:lnTo>
                  <a:pt x="582637" y="0"/>
                </a:lnTo>
                <a:lnTo>
                  <a:pt x="564769" y="3492"/>
                </a:lnTo>
                <a:lnTo>
                  <a:pt x="550392" y="13093"/>
                </a:lnTo>
                <a:lnTo>
                  <a:pt x="540791" y="27482"/>
                </a:lnTo>
                <a:lnTo>
                  <a:pt x="537311" y="45339"/>
                </a:lnTo>
                <a:lnTo>
                  <a:pt x="540791" y="63207"/>
                </a:lnTo>
                <a:lnTo>
                  <a:pt x="550392" y="77584"/>
                </a:lnTo>
                <a:lnTo>
                  <a:pt x="564769" y="87185"/>
                </a:lnTo>
                <a:lnTo>
                  <a:pt x="582637" y="90665"/>
                </a:lnTo>
                <a:lnTo>
                  <a:pt x="600494" y="87185"/>
                </a:lnTo>
                <a:lnTo>
                  <a:pt x="614883" y="77584"/>
                </a:lnTo>
                <a:lnTo>
                  <a:pt x="624471" y="63207"/>
                </a:lnTo>
                <a:lnTo>
                  <a:pt x="627964" y="45339"/>
                </a:lnTo>
                <a:close/>
              </a:path>
            </a:pathLst>
          </a:custGeom>
          <a:solidFill>
            <a:srgbClr val="0A6CB8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10" name="object 9">
            <a:extLst>
              <a:ext uri="{FF2B5EF4-FFF2-40B4-BE49-F238E27FC236}">
                <a16:creationId xmlns:a16="http://schemas.microsoft.com/office/drawing/2014/main" id="{D824C4D8-A77B-D42E-63CB-84A6881314F0}"/>
              </a:ext>
            </a:extLst>
          </xdr:cNvPr>
          <xdr:cNvSpPr/>
        </xdr:nvSpPr>
        <xdr:spPr>
          <a:xfrm>
            <a:off x="3339867" y="771241"/>
            <a:ext cx="418465" cy="617855"/>
          </a:xfrm>
          <a:custGeom>
            <a:avLst/>
            <a:gdLst/>
            <a:ahLst/>
            <a:cxnLst/>
            <a:rect l="l" t="t" r="r" b="b"/>
            <a:pathLst>
              <a:path w="418464" h="617855">
                <a:moveTo>
                  <a:pt x="213461" y="157416"/>
                </a:moveTo>
                <a:lnTo>
                  <a:pt x="171870" y="160954"/>
                </a:lnTo>
                <a:lnTo>
                  <a:pt x="132471" y="171658"/>
                </a:lnTo>
                <a:lnTo>
                  <a:pt x="96299" y="189663"/>
                </a:lnTo>
                <a:lnTo>
                  <a:pt x="64387" y="215106"/>
                </a:lnTo>
                <a:lnTo>
                  <a:pt x="37767" y="248121"/>
                </a:lnTo>
                <a:lnTo>
                  <a:pt x="17474" y="288843"/>
                </a:lnTo>
                <a:lnTo>
                  <a:pt x="4540" y="337409"/>
                </a:lnTo>
                <a:lnTo>
                  <a:pt x="0" y="393953"/>
                </a:lnTo>
                <a:lnTo>
                  <a:pt x="4298" y="446550"/>
                </a:lnTo>
                <a:lnTo>
                  <a:pt x="17031" y="494101"/>
                </a:lnTo>
                <a:lnTo>
                  <a:pt x="37952" y="535495"/>
                </a:lnTo>
                <a:lnTo>
                  <a:pt x="66818" y="569623"/>
                </a:lnTo>
                <a:lnTo>
                  <a:pt x="103382" y="595375"/>
                </a:lnTo>
                <a:lnTo>
                  <a:pt x="147401" y="611640"/>
                </a:lnTo>
                <a:lnTo>
                  <a:pt x="198628" y="617308"/>
                </a:lnTo>
                <a:lnTo>
                  <a:pt x="231952" y="614796"/>
                </a:lnTo>
                <a:lnTo>
                  <a:pt x="263732" y="607723"/>
                </a:lnTo>
                <a:lnTo>
                  <a:pt x="291805" y="596788"/>
                </a:lnTo>
                <a:lnTo>
                  <a:pt x="314007" y="582688"/>
                </a:lnTo>
                <a:lnTo>
                  <a:pt x="327885" y="562914"/>
                </a:lnTo>
                <a:lnTo>
                  <a:pt x="209334" y="562914"/>
                </a:lnTo>
                <a:lnTo>
                  <a:pt x="162072" y="553979"/>
                </a:lnTo>
                <a:lnTo>
                  <a:pt x="125176" y="529021"/>
                </a:lnTo>
                <a:lnTo>
                  <a:pt x="98725" y="490809"/>
                </a:lnTo>
                <a:lnTo>
                  <a:pt x="82796" y="442116"/>
                </a:lnTo>
                <a:lnTo>
                  <a:pt x="77470" y="385711"/>
                </a:lnTo>
                <a:lnTo>
                  <a:pt x="84255" y="323632"/>
                </a:lnTo>
                <a:lnTo>
                  <a:pt x="103265" y="275005"/>
                </a:lnTo>
                <a:lnTo>
                  <a:pt x="132482" y="240028"/>
                </a:lnTo>
                <a:lnTo>
                  <a:pt x="169886" y="218897"/>
                </a:lnTo>
                <a:lnTo>
                  <a:pt x="213461" y="211810"/>
                </a:lnTo>
                <a:lnTo>
                  <a:pt x="335328" y="211810"/>
                </a:lnTo>
                <a:lnTo>
                  <a:pt x="318135" y="186258"/>
                </a:lnTo>
                <a:lnTo>
                  <a:pt x="297491" y="174106"/>
                </a:lnTo>
                <a:lnTo>
                  <a:pt x="271051" y="165041"/>
                </a:lnTo>
                <a:lnTo>
                  <a:pt x="241984" y="159374"/>
                </a:lnTo>
                <a:lnTo>
                  <a:pt x="213461" y="157416"/>
                </a:lnTo>
                <a:close/>
              </a:path>
              <a:path w="418464" h="617855">
                <a:moveTo>
                  <a:pt x="417855" y="535711"/>
                </a:moveTo>
                <a:lnTo>
                  <a:pt x="346976" y="535711"/>
                </a:lnTo>
                <a:lnTo>
                  <a:pt x="346976" y="605764"/>
                </a:lnTo>
                <a:lnTo>
                  <a:pt x="417855" y="605764"/>
                </a:lnTo>
                <a:lnTo>
                  <a:pt x="417855" y="535711"/>
                </a:lnTo>
                <a:close/>
              </a:path>
              <a:path w="418464" h="617855">
                <a:moveTo>
                  <a:pt x="335328" y="211810"/>
                </a:moveTo>
                <a:lnTo>
                  <a:pt x="213461" y="211810"/>
                </a:lnTo>
                <a:lnTo>
                  <a:pt x="251399" y="217171"/>
                </a:lnTo>
                <a:lnTo>
                  <a:pt x="287517" y="234123"/>
                </a:lnTo>
                <a:lnTo>
                  <a:pt x="318018" y="263972"/>
                </a:lnTo>
                <a:lnTo>
                  <a:pt x="339104" y="308021"/>
                </a:lnTo>
                <a:lnTo>
                  <a:pt x="346976" y="367576"/>
                </a:lnTo>
                <a:lnTo>
                  <a:pt x="346976" y="391477"/>
                </a:lnTo>
                <a:lnTo>
                  <a:pt x="339624" y="457411"/>
                </a:lnTo>
                <a:lnTo>
                  <a:pt x="319415" y="505941"/>
                </a:lnTo>
                <a:lnTo>
                  <a:pt x="289117" y="538647"/>
                </a:lnTo>
                <a:lnTo>
                  <a:pt x="251500" y="557111"/>
                </a:lnTo>
                <a:lnTo>
                  <a:pt x="209334" y="562914"/>
                </a:lnTo>
                <a:lnTo>
                  <a:pt x="327885" y="562914"/>
                </a:lnTo>
                <a:lnTo>
                  <a:pt x="346976" y="535711"/>
                </a:lnTo>
                <a:lnTo>
                  <a:pt x="417855" y="535711"/>
                </a:lnTo>
                <a:lnTo>
                  <a:pt x="417855" y="229120"/>
                </a:lnTo>
                <a:lnTo>
                  <a:pt x="346976" y="229120"/>
                </a:lnTo>
                <a:lnTo>
                  <a:pt x="335328" y="211810"/>
                </a:lnTo>
                <a:close/>
              </a:path>
              <a:path w="418464" h="617855">
                <a:moveTo>
                  <a:pt x="417855" y="0"/>
                </a:moveTo>
                <a:lnTo>
                  <a:pt x="346976" y="0"/>
                </a:lnTo>
                <a:lnTo>
                  <a:pt x="346976" y="229120"/>
                </a:lnTo>
                <a:lnTo>
                  <a:pt x="417855" y="229120"/>
                </a:lnTo>
                <a:lnTo>
                  <a:pt x="417855" y="0"/>
                </a:lnTo>
                <a:close/>
              </a:path>
            </a:pathLst>
          </a:custGeom>
          <a:solidFill>
            <a:srgbClr val="0A6CB8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11" name="object 10">
            <a:extLst>
              <a:ext uri="{FF2B5EF4-FFF2-40B4-BE49-F238E27FC236}">
                <a16:creationId xmlns:a16="http://schemas.microsoft.com/office/drawing/2014/main" id="{05CD7DE0-8C3B-E165-8088-9CF1107B8E51}"/>
              </a:ext>
            </a:extLst>
          </xdr:cNvPr>
          <xdr:cNvSpPr/>
        </xdr:nvSpPr>
        <xdr:spPr>
          <a:xfrm>
            <a:off x="3882937" y="930306"/>
            <a:ext cx="201295" cy="447040"/>
          </a:xfrm>
          <a:custGeom>
            <a:avLst/>
            <a:gdLst/>
            <a:ahLst/>
            <a:cxnLst/>
            <a:rect l="l" t="t" r="r" b="b"/>
            <a:pathLst>
              <a:path w="201295" h="447040">
                <a:moveTo>
                  <a:pt x="171424" y="0"/>
                </a:moveTo>
                <a:lnTo>
                  <a:pt x="124716" y="11476"/>
                </a:lnTo>
                <a:lnTo>
                  <a:pt x="70878" y="78295"/>
                </a:lnTo>
                <a:lnTo>
                  <a:pt x="70878" y="9893"/>
                </a:lnTo>
                <a:lnTo>
                  <a:pt x="0" y="9893"/>
                </a:lnTo>
                <a:lnTo>
                  <a:pt x="0" y="446697"/>
                </a:lnTo>
                <a:lnTo>
                  <a:pt x="70878" y="446697"/>
                </a:lnTo>
                <a:lnTo>
                  <a:pt x="70878" y="197802"/>
                </a:lnTo>
                <a:lnTo>
                  <a:pt x="77300" y="144634"/>
                </a:lnTo>
                <a:lnTo>
                  <a:pt x="95353" y="104559"/>
                </a:lnTo>
                <a:lnTo>
                  <a:pt x="123216" y="77221"/>
                </a:lnTo>
                <a:lnTo>
                  <a:pt x="159069" y="62264"/>
                </a:lnTo>
                <a:lnTo>
                  <a:pt x="201091" y="59334"/>
                </a:lnTo>
                <a:lnTo>
                  <a:pt x="201091" y="5765"/>
                </a:lnTo>
                <a:lnTo>
                  <a:pt x="194606" y="3128"/>
                </a:lnTo>
                <a:lnTo>
                  <a:pt x="187496" y="1339"/>
                </a:lnTo>
                <a:lnTo>
                  <a:pt x="179767" y="322"/>
                </a:lnTo>
                <a:lnTo>
                  <a:pt x="171424" y="0"/>
                </a:lnTo>
                <a:close/>
              </a:path>
            </a:pathLst>
          </a:custGeom>
          <a:solidFill>
            <a:srgbClr val="0A6CB8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12" name="object 11">
            <a:extLst>
              <a:ext uri="{FF2B5EF4-FFF2-40B4-BE49-F238E27FC236}">
                <a16:creationId xmlns:a16="http://schemas.microsoft.com/office/drawing/2014/main" id="{00A36012-941F-7ADD-3B94-7F55085F30E5}"/>
              </a:ext>
            </a:extLst>
          </xdr:cNvPr>
          <xdr:cNvSpPr/>
        </xdr:nvSpPr>
        <xdr:spPr>
          <a:xfrm>
            <a:off x="4144988" y="796785"/>
            <a:ext cx="90805" cy="580390"/>
          </a:xfrm>
          <a:custGeom>
            <a:avLst/>
            <a:gdLst/>
            <a:ahLst/>
            <a:cxnLst/>
            <a:rect l="l" t="t" r="r" b="b"/>
            <a:pathLst>
              <a:path w="90804" h="580390">
                <a:moveTo>
                  <a:pt x="80772" y="143408"/>
                </a:moveTo>
                <a:lnTo>
                  <a:pt x="9893" y="143408"/>
                </a:lnTo>
                <a:lnTo>
                  <a:pt x="9893" y="580224"/>
                </a:lnTo>
                <a:lnTo>
                  <a:pt x="80772" y="580224"/>
                </a:lnTo>
                <a:lnTo>
                  <a:pt x="80772" y="143408"/>
                </a:lnTo>
                <a:close/>
              </a:path>
              <a:path w="90804" h="580390">
                <a:moveTo>
                  <a:pt x="45326" y="0"/>
                </a:moveTo>
                <a:lnTo>
                  <a:pt x="27469" y="3490"/>
                </a:lnTo>
                <a:lnTo>
                  <a:pt x="13085" y="13087"/>
                </a:lnTo>
                <a:lnTo>
                  <a:pt x="3490" y="27474"/>
                </a:lnTo>
                <a:lnTo>
                  <a:pt x="0" y="45339"/>
                </a:lnTo>
                <a:lnTo>
                  <a:pt x="3490" y="63195"/>
                </a:lnTo>
                <a:lnTo>
                  <a:pt x="13085" y="77579"/>
                </a:lnTo>
                <a:lnTo>
                  <a:pt x="27469" y="87174"/>
                </a:lnTo>
                <a:lnTo>
                  <a:pt x="45326" y="90665"/>
                </a:lnTo>
                <a:lnTo>
                  <a:pt x="63190" y="87174"/>
                </a:lnTo>
                <a:lnTo>
                  <a:pt x="77577" y="77579"/>
                </a:lnTo>
                <a:lnTo>
                  <a:pt x="87174" y="63195"/>
                </a:lnTo>
                <a:lnTo>
                  <a:pt x="90665" y="45339"/>
                </a:lnTo>
                <a:lnTo>
                  <a:pt x="87174" y="27474"/>
                </a:lnTo>
                <a:lnTo>
                  <a:pt x="77577" y="13087"/>
                </a:lnTo>
                <a:lnTo>
                  <a:pt x="63190" y="3490"/>
                </a:lnTo>
                <a:lnTo>
                  <a:pt x="45326" y="0"/>
                </a:lnTo>
                <a:close/>
              </a:path>
            </a:pathLst>
          </a:custGeom>
          <a:solidFill>
            <a:srgbClr val="0A6CB8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13" name="object 12">
            <a:extLst>
              <a:ext uri="{FF2B5EF4-FFF2-40B4-BE49-F238E27FC236}">
                <a16:creationId xmlns:a16="http://schemas.microsoft.com/office/drawing/2014/main" id="{9EC30B7A-077E-8EF5-30EE-542878C0E73F}"/>
              </a:ext>
            </a:extLst>
          </xdr:cNvPr>
          <xdr:cNvSpPr/>
        </xdr:nvSpPr>
        <xdr:spPr>
          <a:xfrm>
            <a:off x="4314752" y="928655"/>
            <a:ext cx="433705" cy="460375"/>
          </a:xfrm>
          <a:custGeom>
            <a:avLst/>
            <a:gdLst/>
            <a:ahLst/>
            <a:cxnLst/>
            <a:rect l="l" t="t" r="r" b="b"/>
            <a:pathLst>
              <a:path w="433704" h="460375">
                <a:moveTo>
                  <a:pt x="216750" y="0"/>
                </a:moveTo>
                <a:lnTo>
                  <a:pt x="164845" y="4810"/>
                </a:lnTo>
                <a:lnTo>
                  <a:pt x="120298" y="18544"/>
                </a:lnTo>
                <a:lnTo>
                  <a:pt x="82977" y="40160"/>
                </a:lnTo>
                <a:lnTo>
                  <a:pt x="52744" y="68614"/>
                </a:lnTo>
                <a:lnTo>
                  <a:pt x="29465" y="102863"/>
                </a:lnTo>
                <a:lnTo>
                  <a:pt x="13005" y="141864"/>
                </a:lnTo>
                <a:lnTo>
                  <a:pt x="3228" y="184572"/>
                </a:lnTo>
                <a:lnTo>
                  <a:pt x="0" y="229946"/>
                </a:lnTo>
                <a:lnTo>
                  <a:pt x="3228" y="275082"/>
                </a:lnTo>
                <a:lnTo>
                  <a:pt x="13005" y="317679"/>
                </a:lnTo>
                <a:lnTo>
                  <a:pt x="29465" y="356665"/>
                </a:lnTo>
                <a:lnTo>
                  <a:pt x="52744" y="390967"/>
                </a:lnTo>
                <a:lnTo>
                  <a:pt x="82977" y="419513"/>
                </a:lnTo>
                <a:lnTo>
                  <a:pt x="120298" y="441231"/>
                </a:lnTo>
                <a:lnTo>
                  <a:pt x="164845" y="455048"/>
                </a:lnTo>
                <a:lnTo>
                  <a:pt x="216750" y="459892"/>
                </a:lnTo>
                <a:lnTo>
                  <a:pt x="268657" y="455048"/>
                </a:lnTo>
                <a:lnTo>
                  <a:pt x="313204" y="441231"/>
                </a:lnTo>
                <a:lnTo>
                  <a:pt x="350528" y="419513"/>
                </a:lnTo>
                <a:lnTo>
                  <a:pt x="365373" y="405498"/>
                </a:lnTo>
                <a:lnTo>
                  <a:pt x="216750" y="405498"/>
                </a:lnTo>
                <a:lnTo>
                  <a:pt x="175811" y="399591"/>
                </a:lnTo>
                <a:lnTo>
                  <a:pt x="141442" y="382695"/>
                </a:lnTo>
                <a:lnTo>
                  <a:pt x="114033" y="356046"/>
                </a:lnTo>
                <a:lnTo>
                  <a:pt x="93972" y="320880"/>
                </a:lnTo>
                <a:lnTo>
                  <a:pt x="81651" y="278435"/>
                </a:lnTo>
                <a:lnTo>
                  <a:pt x="77457" y="229946"/>
                </a:lnTo>
                <a:lnTo>
                  <a:pt x="81651" y="181170"/>
                </a:lnTo>
                <a:lnTo>
                  <a:pt x="93972" y="138644"/>
                </a:lnTo>
                <a:lnTo>
                  <a:pt x="114033" y="103536"/>
                </a:lnTo>
                <a:lnTo>
                  <a:pt x="141442" y="77013"/>
                </a:lnTo>
                <a:lnTo>
                  <a:pt x="175811" y="60243"/>
                </a:lnTo>
                <a:lnTo>
                  <a:pt x="216750" y="54394"/>
                </a:lnTo>
                <a:lnTo>
                  <a:pt x="365652" y="54394"/>
                </a:lnTo>
                <a:lnTo>
                  <a:pt x="350528" y="40160"/>
                </a:lnTo>
                <a:lnTo>
                  <a:pt x="313204" y="18544"/>
                </a:lnTo>
                <a:lnTo>
                  <a:pt x="268657" y="4810"/>
                </a:lnTo>
                <a:lnTo>
                  <a:pt x="216750" y="0"/>
                </a:lnTo>
                <a:close/>
              </a:path>
              <a:path w="433704" h="460375">
                <a:moveTo>
                  <a:pt x="365652" y="54394"/>
                </a:moveTo>
                <a:lnTo>
                  <a:pt x="216750" y="54394"/>
                </a:lnTo>
                <a:lnTo>
                  <a:pt x="257689" y="60243"/>
                </a:lnTo>
                <a:lnTo>
                  <a:pt x="292055" y="77013"/>
                </a:lnTo>
                <a:lnTo>
                  <a:pt x="319462" y="103536"/>
                </a:lnTo>
                <a:lnTo>
                  <a:pt x="339519" y="138644"/>
                </a:lnTo>
                <a:lnTo>
                  <a:pt x="351838" y="181170"/>
                </a:lnTo>
                <a:lnTo>
                  <a:pt x="356031" y="229946"/>
                </a:lnTo>
                <a:lnTo>
                  <a:pt x="351838" y="278435"/>
                </a:lnTo>
                <a:lnTo>
                  <a:pt x="339519" y="320880"/>
                </a:lnTo>
                <a:lnTo>
                  <a:pt x="319462" y="356046"/>
                </a:lnTo>
                <a:lnTo>
                  <a:pt x="292055" y="382695"/>
                </a:lnTo>
                <a:lnTo>
                  <a:pt x="257689" y="399591"/>
                </a:lnTo>
                <a:lnTo>
                  <a:pt x="216750" y="405498"/>
                </a:lnTo>
                <a:lnTo>
                  <a:pt x="365373" y="405498"/>
                </a:lnTo>
                <a:lnTo>
                  <a:pt x="404044" y="356665"/>
                </a:lnTo>
                <a:lnTo>
                  <a:pt x="420506" y="317679"/>
                </a:lnTo>
                <a:lnTo>
                  <a:pt x="430285" y="275082"/>
                </a:lnTo>
                <a:lnTo>
                  <a:pt x="433514" y="229946"/>
                </a:lnTo>
                <a:lnTo>
                  <a:pt x="430285" y="184572"/>
                </a:lnTo>
                <a:lnTo>
                  <a:pt x="420506" y="141864"/>
                </a:lnTo>
                <a:lnTo>
                  <a:pt x="404044" y="102863"/>
                </a:lnTo>
                <a:lnTo>
                  <a:pt x="380763" y="68614"/>
                </a:lnTo>
                <a:lnTo>
                  <a:pt x="365652" y="54394"/>
                </a:lnTo>
                <a:close/>
              </a:path>
            </a:pathLst>
          </a:custGeom>
          <a:solidFill>
            <a:srgbClr val="0A6CB8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14" name="object 13">
            <a:extLst>
              <a:ext uri="{FF2B5EF4-FFF2-40B4-BE49-F238E27FC236}">
                <a16:creationId xmlns:a16="http://schemas.microsoft.com/office/drawing/2014/main" id="{CDEF6B50-D790-8474-CA13-D4A1EF6063BF}"/>
              </a:ext>
            </a:extLst>
          </xdr:cNvPr>
          <xdr:cNvSpPr/>
        </xdr:nvSpPr>
        <xdr:spPr>
          <a:xfrm>
            <a:off x="4792718" y="928655"/>
            <a:ext cx="334010" cy="460375"/>
          </a:xfrm>
          <a:custGeom>
            <a:avLst/>
            <a:gdLst/>
            <a:ahLst/>
            <a:cxnLst/>
            <a:rect l="l" t="t" r="r" b="b"/>
            <a:pathLst>
              <a:path w="334010" h="460375">
                <a:moveTo>
                  <a:pt x="168135" y="0"/>
                </a:moveTo>
                <a:lnTo>
                  <a:pt x="117950" y="5611"/>
                </a:lnTo>
                <a:lnTo>
                  <a:pt x="76234" y="21943"/>
                </a:lnTo>
                <a:lnTo>
                  <a:pt x="44526" y="48244"/>
                </a:lnTo>
                <a:lnTo>
                  <a:pt x="24371" y="83763"/>
                </a:lnTo>
                <a:lnTo>
                  <a:pt x="17310" y="127749"/>
                </a:lnTo>
                <a:lnTo>
                  <a:pt x="28320" y="177416"/>
                </a:lnTo>
                <a:lnTo>
                  <a:pt x="58415" y="213563"/>
                </a:lnTo>
                <a:lnTo>
                  <a:pt x="103190" y="239356"/>
                </a:lnTo>
                <a:lnTo>
                  <a:pt x="158242" y="257962"/>
                </a:lnTo>
                <a:lnTo>
                  <a:pt x="205287" y="273534"/>
                </a:lnTo>
                <a:lnTo>
                  <a:pt x="237267" y="291655"/>
                </a:lnTo>
                <a:lnTo>
                  <a:pt x="255493" y="313947"/>
                </a:lnTo>
                <a:lnTo>
                  <a:pt x="261277" y="342036"/>
                </a:lnTo>
                <a:lnTo>
                  <a:pt x="254617" y="369681"/>
                </a:lnTo>
                <a:lnTo>
                  <a:pt x="236443" y="389526"/>
                </a:lnTo>
                <a:lnTo>
                  <a:pt x="209461" y="401492"/>
                </a:lnTo>
                <a:lnTo>
                  <a:pt x="176377" y="405498"/>
                </a:lnTo>
                <a:lnTo>
                  <a:pt x="140819" y="401028"/>
                </a:lnTo>
                <a:lnTo>
                  <a:pt x="110748" y="386435"/>
                </a:lnTo>
                <a:lnTo>
                  <a:pt x="87943" y="359946"/>
                </a:lnTo>
                <a:lnTo>
                  <a:pt x="74180" y="319786"/>
                </a:lnTo>
                <a:lnTo>
                  <a:pt x="0" y="319786"/>
                </a:lnTo>
                <a:lnTo>
                  <a:pt x="14271" y="372332"/>
                </a:lnTo>
                <a:lnTo>
                  <a:pt x="40171" y="411826"/>
                </a:lnTo>
                <a:lnTo>
                  <a:pt x="76078" y="439056"/>
                </a:lnTo>
                <a:lnTo>
                  <a:pt x="120369" y="454815"/>
                </a:lnTo>
                <a:lnTo>
                  <a:pt x="171424" y="459892"/>
                </a:lnTo>
                <a:lnTo>
                  <a:pt x="223760" y="454947"/>
                </a:lnTo>
                <a:lnTo>
                  <a:pt x="268459" y="440111"/>
                </a:lnTo>
                <a:lnTo>
                  <a:pt x="303227" y="415386"/>
                </a:lnTo>
                <a:lnTo>
                  <a:pt x="325770" y="380772"/>
                </a:lnTo>
                <a:lnTo>
                  <a:pt x="333794" y="336270"/>
                </a:lnTo>
                <a:lnTo>
                  <a:pt x="328018" y="295745"/>
                </a:lnTo>
                <a:lnTo>
                  <a:pt x="281099" y="235504"/>
                </a:lnTo>
                <a:lnTo>
                  <a:pt x="239483" y="213731"/>
                </a:lnTo>
                <a:lnTo>
                  <a:pt x="185445" y="196151"/>
                </a:lnTo>
                <a:lnTo>
                  <a:pt x="145469" y="183711"/>
                </a:lnTo>
                <a:lnTo>
                  <a:pt x="115387" y="168335"/>
                </a:lnTo>
                <a:lnTo>
                  <a:pt x="96432" y="147706"/>
                </a:lnTo>
                <a:lnTo>
                  <a:pt x="89839" y="119506"/>
                </a:lnTo>
                <a:lnTo>
                  <a:pt x="94218" y="93340"/>
                </a:lnTo>
                <a:lnTo>
                  <a:pt x="107559" y="72734"/>
                </a:lnTo>
                <a:lnTo>
                  <a:pt x="130173" y="59236"/>
                </a:lnTo>
                <a:lnTo>
                  <a:pt x="162369" y="54394"/>
                </a:lnTo>
                <a:lnTo>
                  <a:pt x="196955" y="59957"/>
                </a:lnTo>
                <a:lnTo>
                  <a:pt x="223970" y="76028"/>
                </a:lnTo>
                <a:lnTo>
                  <a:pt x="243261" y="101682"/>
                </a:lnTo>
                <a:lnTo>
                  <a:pt x="254673" y="135991"/>
                </a:lnTo>
                <a:lnTo>
                  <a:pt x="328853" y="135991"/>
                </a:lnTo>
                <a:lnTo>
                  <a:pt x="318071" y="91149"/>
                </a:lnTo>
                <a:lnTo>
                  <a:pt x="296607" y="53585"/>
                </a:lnTo>
                <a:lnTo>
                  <a:pt x="264462" y="24844"/>
                </a:lnTo>
                <a:lnTo>
                  <a:pt x="221638" y="6468"/>
                </a:lnTo>
                <a:lnTo>
                  <a:pt x="168135" y="0"/>
                </a:lnTo>
                <a:close/>
              </a:path>
            </a:pathLst>
          </a:custGeom>
          <a:solidFill>
            <a:srgbClr val="0A6CB8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pic>
        <xdr:nvPicPr>
          <xdr:cNvPr id="15" name="object 14">
            <a:extLst>
              <a:ext uri="{FF2B5EF4-FFF2-40B4-BE49-F238E27FC236}">
                <a16:creationId xmlns:a16="http://schemas.microsoft.com/office/drawing/2014/main" id="{E96EB13E-6D50-2FB7-A000-08216B62BFAF}"/>
              </a:ext>
            </a:extLst>
          </xdr:cNvPr>
          <xdr:cNvPicPr/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4639331" y="2760983"/>
            <a:ext cx="1213373" cy="256524"/>
          </a:xfrm>
          <a:prstGeom prst="rect">
            <a:avLst/>
          </a:prstGeom>
        </xdr:spPr>
      </xdr:pic>
      <xdr:pic>
        <xdr:nvPicPr>
          <xdr:cNvPr id="16" name="object 15">
            <a:extLst>
              <a:ext uri="{FF2B5EF4-FFF2-40B4-BE49-F238E27FC236}">
                <a16:creationId xmlns:a16="http://schemas.microsoft.com/office/drawing/2014/main" id="{89F2A3E2-C98C-372D-6BC3-FCC529E5818A}"/>
              </a:ext>
            </a:extLst>
          </xdr:cNvPr>
          <xdr:cNvPicPr/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5933614" y="2815198"/>
            <a:ext cx="137947" cy="202310"/>
          </a:xfrm>
          <a:prstGeom prst="rect">
            <a:avLst/>
          </a:prstGeom>
        </xdr:spPr>
      </xdr:pic>
      <xdr:pic>
        <xdr:nvPicPr>
          <xdr:cNvPr id="17" name="object 16">
            <a:extLst>
              <a:ext uri="{FF2B5EF4-FFF2-40B4-BE49-F238E27FC236}">
                <a16:creationId xmlns:a16="http://schemas.microsoft.com/office/drawing/2014/main" id="{5EC8B6D5-3DF6-9A5F-A40D-B904FB0F4DF3}"/>
              </a:ext>
            </a:extLst>
          </xdr:cNvPr>
          <xdr:cNvPicPr/>
        </xdr:nvPicPr>
        <xdr:blipFill>
          <a:blip xmlns:r="http://schemas.openxmlformats.org/officeDocument/2006/relationships" r:embed="rId3" cstate="print"/>
          <a:stretch>
            <a:fillRect/>
          </a:stretch>
        </xdr:blipFill>
        <xdr:spPr>
          <a:xfrm>
            <a:off x="6159295" y="2760990"/>
            <a:ext cx="1270787" cy="202438"/>
          </a:xfrm>
          <a:prstGeom prst="rect">
            <a:avLst/>
          </a:prstGeom>
        </xdr:spPr>
      </xdr:pic>
      <xdr:grpSp>
        <xdr:nvGrpSpPr>
          <xdr:cNvPr id="18" name="object 17">
            <a:extLst>
              <a:ext uri="{FF2B5EF4-FFF2-40B4-BE49-F238E27FC236}">
                <a16:creationId xmlns:a16="http://schemas.microsoft.com/office/drawing/2014/main" id="{EE865B25-DFBB-9260-A5E8-D8810746A397}"/>
              </a:ext>
            </a:extLst>
          </xdr:cNvPr>
          <xdr:cNvGrpSpPr/>
        </xdr:nvGrpSpPr>
        <xdr:grpSpPr>
          <a:xfrm>
            <a:off x="490118" y="642315"/>
            <a:ext cx="1951317" cy="1910926"/>
            <a:chOff x="490118" y="642315"/>
            <a:chExt cx="1951317" cy="1910926"/>
          </a:xfrm>
        </xdr:grpSpPr>
        <xdr:sp macro="" textlink="">
          <xdr:nvSpPr>
            <xdr:cNvPr id="19" name="object 18">
              <a:extLst>
                <a:ext uri="{FF2B5EF4-FFF2-40B4-BE49-F238E27FC236}">
                  <a16:creationId xmlns:a16="http://schemas.microsoft.com/office/drawing/2014/main" id="{5C483A06-DC0B-19A1-0F82-5FACB96ECA8F}"/>
                </a:ext>
              </a:extLst>
            </xdr:cNvPr>
            <xdr:cNvSpPr/>
          </xdr:nvSpPr>
          <xdr:spPr>
            <a:xfrm>
              <a:off x="490129" y="1325786"/>
              <a:ext cx="562610" cy="1227455"/>
            </a:xfrm>
            <a:custGeom>
              <a:avLst/>
              <a:gdLst/>
              <a:ahLst/>
              <a:cxnLst/>
              <a:rect l="l" t="t" r="r" b="b"/>
              <a:pathLst>
                <a:path w="562610" h="1227455">
                  <a:moveTo>
                    <a:pt x="9705" y="0"/>
                  </a:moveTo>
                  <a:lnTo>
                    <a:pt x="2878" y="4305"/>
                  </a:lnTo>
                  <a:lnTo>
                    <a:pt x="0" y="12592"/>
                  </a:lnTo>
                  <a:lnTo>
                    <a:pt x="0" y="894467"/>
                  </a:lnTo>
                  <a:lnTo>
                    <a:pt x="8359" y="959132"/>
                  </a:lnTo>
                  <a:lnTo>
                    <a:pt x="32893" y="1019549"/>
                  </a:lnTo>
                  <a:lnTo>
                    <a:pt x="117157" y="1168711"/>
                  </a:lnTo>
                  <a:lnTo>
                    <a:pt x="159477" y="1211633"/>
                  </a:lnTo>
                  <a:lnTo>
                    <a:pt x="217665" y="1227372"/>
                  </a:lnTo>
                  <a:lnTo>
                    <a:pt x="350304" y="1227372"/>
                  </a:lnTo>
                  <a:lnTo>
                    <a:pt x="397159" y="1222323"/>
                  </a:lnTo>
                  <a:lnTo>
                    <a:pt x="439662" y="1208011"/>
                  </a:lnTo>
                  <a:lnTo>
                    <a:pt x="477081" y="1185690"/>
                  </a:lnTo>
                  <a:lnTo>
                    <a:pt x="508686" y="1156614"/>
                  </a:lnTo>
                  <a:lnTo>
                    <a:pt x="533744" y="1122037"/>
                  </a:lnTo>
                  <a:lnTo>
                    <a:pt x="551524" y="1083211"/>
                  </a:lnTo>
                  <a:lnTo>
                    <a:pt x="561294" y="1041392"/>
                  </a:lnTo>
                  <a:lnTo>
                    <a:pt x="562322" y="997832"/>
                  </a:lnTo>
                  <a:lnTo>
                    <a:pt x="553878" y="953786"/>
                  </a:lnTo>
                  <a:lnTo>
                    <a:pt x="535228" y="910507"/>
                  </a:lnTo>
                  <a:lnTo>
                    <a:pt x="24345" y="6191"/>
                  </a:lnTo>
                  <a:lnTo>
                    <a:pt x="17766" y="390"/>
                  </a:lnTo>
                  <a:lnTo>
                    <a:pt x="9705" y="0"/>
                  </a:lnTo>
                  <a:close/>
                </a:path>
              </a:pathLst>
            </a:custGeom>
            <a:solidFill>
              <a:srgbClr val="0A6CB8"/>
            </a:solidFill>
          </xdr:spPr>
          <xdr:txBody>
            <a:bodyPr wrap="square" lIns="0" tIns="0" rIns="0" bIns="0" rtlCol="0"/>
            <a:lstStyle>
              <a:defPPr>
                <a:defRPr kern="0"/>
              </a:defPPr>
            </a:lstStyle>
            <a:p>
              <a:endParaRPr/>
            </a:p>
          </xdr:txBody>
        </xdr:sp>
        <xdr:pic>
          <xdr:nvPicPr>
            <xdr:cNvPr id="20" name="object 19">
              <a:extLst>
                <a:ext uri="{FF2B5EF4-FFF2-40B4-BE49-F238E27FC236}">
                  <a16:creationId xmlns:a16="http://schemas.microsoft.com/office/drawing/2014/main" id="{7C0B297C-B9FE-F224-AE57-C99960CE1927}"/>
                </a:ext>
              </a:extLst>
            </xdr:cNvPr>
            <xdr:cNvPicPr/>
          </xdr:nvPicPr>
          <xdr:blipFill>
            <a:blip xmlns:r="http://schemas.openxmlformats.org/officeDocument/2006/relationships" r:embed="rId4" cstate="print"/>
            <a:stretch>
              <a:fillRect/>
            </a:stretch>
          </xdr:blipFill>
          <xdr:spPr>
            <a:xfrm>
              <a:off x="673823" y="642315"/>
              <a:ext cx="1608531" cy="1715300"/>
            </a:xfrm>
            <a:prstGeom prst="rect">
              <a:avLst/>
            </a:prstGeom>
          </xdr:spPr>
        </xdr:pic>
        <xdr:sp macro="" textlink="">
          <xdr:nvSpPr>
            <xdr:cNvPr id="21" name="object 20">
              <a:extLst>
                <a:ext uri="{FF2B5EF4-FFF2-40B4-BE49-F238E27FC236}">
                  <a16:creationId xmlns:a16="http://schemas.microsoft.com/office/drawing/2014/main" id="{A87AF3AF-AB2F-7A6A-D22E-1A691F16B699}"/>
                </a:ext>
              </a:extLst>
            </xdr:cNvPr>
            <xdr:cNvSpPr/>
          </xdr:nvSpPr>
          <xdr:spPr>
            <a:xfrm>
              <a:off x="490118" y="1297571"/>
              <a:ext cx="535305" cy="939165"/>
            </a:xfrm>
            <a:custGeom>
              <a:avLst/>
              <a:gdLst/>
              <a:ahLst/>
              <a:cxnLst/>
              <a:rect l="l" t="t" r="r" b="b"/>
              <a:pathLst>
                <a:path w="535305" h="939164">
                  <a:moveTo>
                    <a:pt x="535228" y="938733"/>
                  </a:moveTo>
                  <a:lnTo>
                    <a:pt x="513651" y="896188"/>
                  </a:lnTo>
                  <a:lnTo>
                    <a:pt x="469722" y="811530"/>
                  </a:lnTo>
                  <a:lnTo>
                    <a:pt x="403402" y="684784"/>
                  </a:lnTo>
                  <a:lnTo>
                    <a:pt x="267754" y="432981"/>
                  </a:lnTo>
                  <a:lnTo>
                    <a:pt x="242100" y="385787"/>
                  </a:lnTo>
                  <a:lnTo>
                    <a:pt x="217411" y="341096"/>
                  </a:lnTo>
                  <a:lnTo>
                    <a:pt x="169900" y="256768"/>
                  </a:lnTo>
                  <a:lnTo>
                    <a:pt x="49682" y="46774"/>
                  </a:lnTo>
                  <a:lnTo>
                    <a:pt x="23279" y="0"/>
                  </a:lnTo>
                  <a:lnTo>
                    <a:pt x="0" y="16624"/>
                  </a:lnTo>
                  <a:lnTo>
                    <a:pt x="508" y="24384"/>
                  </a:lnTo>
                  <a:lnTo>
                    <a:pt x="2006" y="31991"/>
                  </a:lnTo>
                  <a:lnTo>
                    <a:pt x="110274" y="225577"/>
                  </a:lnTo>
                  <a:lnTo>
                    <a:pt x="187845" y="359587"/>
                  </a:lnTo>
                  <a:lnTo>
                    <a:pt x="240106" y="448614"/>
                  </a:lnTo>
                  <a:lnTo>
                    <a:pt x="385762" y="694740"/>
                  </a:lnTo>
                  <a:lnTo>
                    <a:pt x="484911" y="857681"/>
                  </a:lnTo>
                  <a:lnTo>
                    <a:pt x="509930" y="898296"/>
                  </a:lnTo>
                  <a:lnTo>
                    <a:pt x="535228" y="938733"/>
                  </a:lnTo>
                  <a:close/>
                </a:path>
              </a:pathLst>
            </a:custGeom>
            <a:solidFill>
              <a:srgbClr val="0A6CB8"/>
            </a:solidFill>
          </xdr:spPr>
          <xdr:txBody>
            <a:bodyPr wrap="square" lIns="0" tIns="0" rIns="0" bIns="0" rtlCol="0"/>
            <a:lstStyle>
              <a:defPPr>
                <a:defRPr kern="0"/>
              </a:defPPr>
            </a:lstStyle>
            <a:p>
              <a:endParaRPr/>
            </a:p>
          </xdr:txBody>
        </xdr:sp>
        <xdr:pic>
          <xdr:nvPicPr>
            <xdr:cNvPr id="22" name="object 21">
              <a:extLst>
                <a:ext uri="{FF2B5EF4-FFF2-40B4-BE49-F238E27FC236}">
                  <a16:creationId xmlns:a16="http://schemas.microsoft.com/office/drawing/2014/main" id="{69998C80-BCE2-CBFD-958E-93FECE3822E8}"/>
                </a:ext>
              </a:extLst>
            </xdr:cNvPr>
            <xdr:cNvPicPr/>
          </xdr:nvPicPr>
          <xdr:blipFill>
            <a:blip xmlns:r="http://schemas.openxmlformats.org/officeDocument/2006/relationships" r:embed="rId5" cstate="print"/>
            <a:stretch>
              <a:fillRect/>
            </a:stretch>
          </xdr:blipFill>
          <xdr:spPr>
            <a:xfrm>
              <a:off x="669697" y="642315"/>
              <a:ext cx="1771738" cy="1910854"/>
            </a:xfrm>
            <a:prstGeom prst="rect">
              <a:avLst/>
            </a:prstGeom>
          </xdr:spPr>
        </xdr:pic>
      </xdr:grp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P1048257"/>
  <sheetViews>
    <sheetView zoomScale="90" zoomScaleNormal="90" workbookViewId="0">
      <pane xSplit="4" ySplit="3" topLeftCell="E63" activePane="bottomRight" state="frozen"/>
      <selection pane="topRight" activeCell="E1" sqref="E1"/>
      <selection pane="bottomLeft" activeCell="A4" sqref="A4"/>
      <selection pane="bottomRight" activeCell="L70" sqref="A70:L70"/>
    </sheetView>
  </sheetViews>
  <sheetFormatPr baseColWidth="10" defaultRowHeight="15.75" x14ac:dyDescent="0.25"/>
  <cols>
    <col min="1" max="1" width="17.5703125" style="5" bestFit="1" customWidth="1"/>
    <col min="2" max="2" width="14.7109375" style="5" bestFit="1" customWidth="1"/>
    <col min="3" max="3" width="20.7109375" style="5" bestFit="1" customWidth="1"/>
    <col min="4" max="4" width="13.28515625" style="5" bestFit="1" customWidth="1"/>
    <col min="5" max="5" width="18.42578125" style="5" bestFit="1" customWidth="1"/>
    <col min="6" max="6" width="18" style="5" bestFit="1" customWidth="1"/>
    <col min="7" max="7" width="17.5703125" style="5" bestFit="1" customWidth="1"/>
    <col min="8" max="8" width="15.28515625" style="5" bestFit="1" customWidth="1"/>
    <col min="9" max="9" width="15.28515625" style="5" customWidth="1"/>
    <col min="10" max="10" width="15" style="5" bestFit="1" customWidth="1"/>
    <col min="11" max="11" width="14.42578125" style="5" bestFit="1" customWidth="1"/>
    <col min="12" max="12" width="69.85546875" style="5" customWidth="1"/>
    <col min="13" max="13" width="15.42578125" style="5" bestFit="1" customWidth="1"/>
    <col min="14" max="14" width="16" style="5" customWidth="1"/>
    <col min="15" max="15" width="18.5703125" style="5" bestFit="1" customWidth="1"/>
    <col min="16" max="16" width="19.5703125" style="5" bestFit="1" customWidth="1"/>
    <col min="17" max="16384" width="11.42578125" style="4"/>
  </cols>
  <sheetData>
    <row r="1" spans="1:16" ht="23.25" customHeight="1" x14ac:dyDescent="0.25">
      <c r="A1" s="58"/>
      <c r="B1" s="58"/>
      <c r="C1" s="58"/>
      <c r="D1" s="58"/>
      <c r="E1" s="58"/>
      <c r="F1" s="59" t="s">
        <v>3</v>
      </c>
      <c r="G1" s="60"/>
      <c r="H1" s="61"/>
      <c r="I1" s="62"/>
      <c r="J1" s="63"/>
      <c r="K1" s="64"/>
      <c r="L1" s="67" t="s">
        <v>17</v>
      </c>
      <c r="M1" s="68"/>
      <c r="N1" s="68"/>
      <c r="O1" s="8"/>
      <c r="P1" s="9"/>
    </row>
    <row r="2" spans="1:16" ht="23.25" customHeight="1" x14ac:dyDescent="0.25">
      <c r="A2" s="58"/>
      <c r="B2" s="58"/>
      <c r="C2" s="58"/>
      <c r="D2" s="58"/>
      <c r="E2" s="58"/>
      <c r="F2" s="59"/>
      <c r="G2" s="60"/>
      <c r="H2" s="62"/>
      <c r="I2" s="62"/>
      <c r="J2" s="65"/>
      <c r="K2" s="66"/>
      <c r="L2" s="69"/>
      <c r="M2" s="69"/>
      <c r="N2" s="69"/>
      <c r="O2" s="10"/>
      <c r="P2" s="11"/>
    </row>
    <row r="3" spans="1:16" ht="31.5" x14ac:dyDescent="0.25">
      <c r="A3" s="12" t="s">
        <v>7</v>
      </c>
      <c r="B3" s="13" t="s">
        <v>6</v>
      </c>
      <c r="C3" s="14" t="s">
        <v>4</v>
      </c>
      <c r="D3" s="15" t="s">
        <v>0</v>
      </c>
      <c r="E3" s="12" t="s">
        <v>1</v>
      </c>
      <c r="F3" s="15" t="s">
        <v>2</v>
      </c>
      <c r="G3" s="12" t="s">
        <v>9</v>
      </c>
      <c r="H3" s="16" t="s">
        <v>11</v>
      </c>
      <c r="I3" s="16" t="s">
        <v>14</v>
      </c>
      <c r="J3" s="17" t="s">
        <v>10</v>
      </c>
      <c r="K3" s="16" t="s">
        <v>12</v>
      </c>
      <c r="L3" s="18" t="s">
        <v>5</v>
      </c>
      <c r="M3" s="16" t="s">
        <v>16</v>
      </c>
      <c r="N3" s="18" t="s">
        <v>13</v>
      </c>
      <c r="O3" s="1" t="s">
        <v>20</v>
      </c>
      <c r="P3" s="2" t="s">
        <v>8</v>
      </c>
    </row>
    <row r="4" spans="1:16" ht="20.100000000000001" customHeight="1" x14ac:dyDescent="0.25">
      <c r="A4" s="19" t="s">
        <v>19</v>
      </c>
      <c r="B4" s="19">
        <v>6510</v>
      </c>
      <c r="C4" s="19">
        <v>23491</v>
      </c>
      <c r="D4" s="19" t="s">
        <v>15</v>
      </c>
      <c r="E4" s="20">
        <v>46028</v>
      </c>
      <c r="F4" s="21">
        <v>0.44444444444444442</v>
      </c>
      <c r="G4" s="20" t="s">
        <v>31</v>
      </c>
      <c r="H4" s="20">
        <v>46036</v>
      </c>
      <c r="I4" s="19">
        <f t="shared" ref="I4:I67" si="0">+J4-H4</f>
        <v>0</v>
      </c>
      <c r="J4" s="33">
        <v>46036</v>
      </c>
      <c r="K4" s="22"/>
      <c r="L4" s="19" t="s">
        <v>32</v>
      </c>
      <c r="M4" s="19"/>
      <c r="N4" s="19"/>
      <c r="O4" s="3"/>
      <c r="P4" s="3"/>
    </row>
    <row r="5" spans="1:16" ht="20.100000000000001" customHeight="1" x14ac:dyDescent="0.25">
      <c r="A5" s="19" t="s">
        <v>19</v>
      </c>
      <c r="B5" s="19">
        <v>6511</v>
      </c>
      <c r="C5" s="19">
        <v>23465</v>
      </c>
      <c r="D5" s="19" t="s">
        <v>22</v>
      </c>
      <c r="E5" s="20"/>
      <c r="F5" s="21"/>
      <c r="G5" s="20" t="s">
        <v>31</v>
      </c>
      <c r="H5" s="20">
        <v>46036</v>
      </c>
      <c r="I5" s="19">
        <f t="shared" si="0"/>
        <v>0</v>
      </c>
      <c r="J5" s="33">
        <v>46036</v>
      </c>
      <c r="K5" s="22"/>
      <c r="L5" s="19" t="s">
        <v>43</v>
      </c>
      <c r="M5" s="19"/>
      <c r="N5" s="19"/>
      <c r="O5" s="3"/>
      <c r="P5" s="3"/>
    </row>
    <row r="6" spans="1:16" ht="20.100000000000001" customHeight="1" x14ac:dyDescent="0.25">
      <c r="A6" s="19" t="s">
        <v>19</v>
      </c>
      <c r="B6" s="19">
        <v>6512</v>
      </c>
      <c r="C6" s="19"/>
      <c r="D6" s="19"/>
      <c r="E6" s="20"/>
      <c r="F6" s="21"/>
      <c r="G6" s="20" t="s">
        <v>31</v>
      </c>
      <c r="H6" s="20">
        <v>46032</v>
      </c>
      <c r="I6" s="19">
        <f t="shared" si="0"/>
        <v>0</v>
      </c>
      <c r="J6" s="33">
        <v>46032</v>
      </c>
      <c r="K6" s="22"/>
      <c r="L6" s="19"/>
      <c r="M6" s="19"/>
      <c r="N6" s="19"/>
      <c r="O6" s="3"/>
      <c r="P6" s="3"/>
    </row>
    <row r="7" spans="1:16" ht="20.100000000000001" customHeight="1" x14ac:dyDescent="0.25">
      <c r="A7" s="19" t="s">
        <v>19</v>
      </c>
      <c r="B7" s="19">
        <v>6513</v>
      </c>
      <c r="C7" s="19">
        <v>23505</v>
      </c>
      <c r="D7" s="19" t="s">
        <v>18</v>
      </c>
      <c r="E7" s="20">
        <v>46030</v>
      </c>
      <c r="F7" s="21">
        <v>0.70138888888888884</v>
      </c>
      <c r="G7" s="20" t="s">
        <v>31</v>
      </c>
      <c r="H7" s="20"/>
      <c r="I7" s="19">
        <f t="shared" si="0"/>
        <v>46038</v>
      </c>
      <c r="J7" s="33">
        <v>46038</v>
      </c>
      <c r="K7" s="22"/>
      <c r="L7" s="19" t="s">
        <v>36</v>
      </c>
      <c r="M7" s="19"/>
      <c r="N7" s="19"/>
      <c r="O7" s="3"/>
      <c r="P7" s="3"/>
    </row>
    <row r="8" spans="1:16" ht="20.100000000000001" customHeight="1" x14ac:dyDescent="0.25">
      <c r="A8" s="19" t="s">
        <v>19</v>
      </c>
      <c r="B8" s="19">
        <v>6514</v>
      </c>
      <c r="C8" s="19">
        <v>23506</v>
      </c>
      <c r="D8" s="19" t="s">
        <v>22</v>
      </c>
      <c r="E8" s="20">
        <v>46030</v>
      </c>
      <c r="F8" s="21">
        <v>0.73333333333333339</v>
      </c>
      <c r="G8" s="20" t="s">
        <v>31</v>
      </c>
      <c r="H8" s="20"/>
      <c r="I8" s="19">
        <f t="shared" si="0"/>
        <v>46041</v>
      </c>
      <c r="J8" s="33">
        <v>46041</v>
      </c>
      <c r="K8" s="22"/>
      <c r="L8" s="19" t="s">
        <v>40</v>
      </c>
      <c r="M8" s="19"/>
      <c r="N8" s="19"/>
      <c r="O8" s="3"/>
      <c r="P8" s="3"/>
    </row>
    <row r="9" spans="1:16" ht="20.100000000000001" customHeight="1" x14ac:dyDescent="0.25">
      <c r="A9" s="19" t="s">
        <v>19</v>
      </c>
      <c r="B9" s="19">
        <v>6515</v>
      </c>
      <c r="C9" s="19">
        <v>23498</v>
      </c>
      <c r="D9" s="19" t="s">
        <v>18</v>
      </c>
      <c r="E9" s="20">
        <v>46030</v>
      </c>
      <c r="F9" s="21">
        <v>0.73402777777777783</v>
      </c>
      <c r="G9" s="20" t="s">
        <v>31</v>
      </c>
      <c r="H9" s="20"/>
      <c r="I9" s="19">
        <f t="shared" si="0"/>
        <v>46041</v>
      </c>
      <c r="J9" s="33">
        <v>46041</v>
      </c>
      <c r="K9" s="19"/>
      <c r="L9" s="19" t="s">
        <v>33</v>
      </c>
      <c r="M9" s="19"/>
      <c r="N9" s="19"/>
      <c r="O9" s="3"/>
      <c r="P9" s="3"/>
    </row>
    <row r="10" spans="1:16" ht="20.100000000000001" customHeight="1" x14ac:dyDescent="0.25">
      <c r="A10" s="19" t="s">
        <v>19</v>
      </c>
      <c r="B10" s="19">
        <v>6516</v>
      </c>
      <c r="C10" s="19">
        <v>23500</v>
      </c>
      <c r="D10" s="19" t="s">
        <v>34</v>
      </c>
      <c r="E10" s="20">
        <v>46031</v>
      </c>
      <c r="F10" s="21">
        <v>0.35486111111111113</v>
      </c>
      <c r="G10" s="20" t="s">
        <v>31</v>
      </c>
      <c r="H10" s="20"/>
      <c r="I10" s="19">
        <f t="shared" si="0"/>
        <v>46046</v>
      </c>
      <c r="J10" s="33">
        <v>46046</v>
      </c>
      <c r="K10" s="19"/>
      <c r="L10" s="19" t="s">
        <v>35</v>
      </c>
      <c r="M10" s="19"/>
      <c r="N10" s="19"/>
      <c r="O10" s="3"/>
      <c r="P10" s="3"/>
    </row>
    <row r="11" spans="1:16" ht="20.100000000000001" customHeight="1" x14ac:dyDescent="0.25">
      <c r="A11" s="19" t="s">
        <v>19</v>
      </c>
      <c r="B11" s="19">
        <v>6517</v>
      </c>
      <c r="C11" s="19">
        <v>23513</v>
      </c>
      <c r="D11" s="19" t="s">
        <v>23</v>
      </c>
      <c r="E11" s="20">
        <v>46031</v>
      </c>
      <c r="F11" s="21">
        <v>0.35555555555555557</v>
      </c>
      <c r="G11" s="20" t="s">
        <v>31</v>
      </c>
      <c r="H11" s="20"/>
      <c r="I11" s="19">
        <f t="shared" si="0"/>
        <v>46042</v>
      </c>
      <c r="J11" s="33">
        <v>46042</v>
      </c>
      <c r="K11" s="19"/>
      <c r="L11" s="19" t="s">
        <v>42</v>
      </c>
      <c r="M11" s="19"/>
      <c r="N11" s="19"/>
      <c r="O11" s="3"/>
      <c r="P11" s="3"/>
    </row>
    <row r="12" spans="1:16" ht="20.100000000000001" customHeight="1" x14ac:dyDescent="0.25">
      <c r="A12" s="19" t="s">
        <v>19</v>
      </c>
      <c r="B12" s="19">
        <v>6518</v>
      </c>
      <c r="C12" s="19">
        <v>23510</v>
      </c>
      <c r="D12" s="19" t="s">
        <v>15</v>
      </c>
      <c r="E12" s="20">
        <v>46031</v>
      </c>
      <c r="F12" s="21">
        <v>0.35694444444444445</v>
      </c>
      <c r="G12" s="20" t="s">
        <v>31</v>
      </c>
      <c r="H12" s="20"/>
      <c r="I12" s="19">
        <f t="shared" si="0"/>
        <v>46041</v>
      </c>
      <c r="J12" s="33">
        <v>46041</v>
      </c>
      <c r="K12" s="19"/>
      <c r="L12" s="19" t="s">
        <v>41</v>
      </c>
      <c r="M12" s="19"/>
      <c r="N12" s="19"/>
      <c r="O12" s="3"/>
      <c r="P12" s="3"/>
    </row>
    <row r="13" spans="1:16" ht="20.100000000000001" customHeight="1" x14ac:dyDescent="0.25">
      <c r="A13" s="19" t="s">
        <v>19</v>
      </c>
      <c r="B13" s="19">
        <v>6519</v>
      </c>
      <c r="C13" s="19">
        <v>23493</v>
      </c>
      <c r="D13" s="19" t="s">
        <v>15</v>
      </c>
      <c r="E13" s="20">
        <v>46035</v>
      </c>
      <c r="F13" s="21">
        <v>0.46736111111111112</v>
      </c>
      <c r="G13" s="20" t="s">
        <v>31</v>
      </c>
      <c r="H13" s="20">
        <v>46043</v>
      </c>
      <c r="I13" s="19">
        <f t="shared" si="0"/>
        <v>0</v>
      </c>
      <c r="J13" s="33">
        <v>46043</v>
      </c>
      <c r="K13" s="19">
        <v>9.1199999999999992</v>
      </c>
      <c r="L13" s="19" t="s">
        <v>24</v>
      </c>
      <c r="M13" s="19"/>
      <c r="N13" s="19"/>
      <c r="O13" s="3"/>
      <c r="P13" s="3"/>
    </row>
    <row r="14" spans="1:16" ht="20.100000000000001" customHeight="1" x14ac:dyDescent="0.25">
      <c r="A14" s="19" t="s">
        <v>19</v>
      </c>
      <c r="B14" s="19">
        <v>6520</v>
      </c>
      <c r="C14" s="19">
        <v>23518</v>
      </c>
      <c r="D14" s="19" t="s">
        <v>23</v>
      </c>
      <c r="E14" s="20">
        <v>46035</v>
      </c>
      <c r="F14" s="21">
        <v>0.45833333333333331</v>
      </c>
      <c r="G14" s="20" t="s">
        <v>31</v>
      </c>
      <c r="H14" s="20">
        <v>46043</v>
      </c>
      <c r="I14" s="19">
        <f t="shared" si="0"/>
        <v>-2</v>
      </c>
      <c r="J14" s="33">
        <v>46041</v>
      </c>
      <c r="K14" s="22">
        <v>2.65</v>
      </c>
      <c r="L14" s="19" t="s">
        <v>25</v>
      </c>
      <c r="M14" s="19"/>
      <c r="N14" s="19"/>
      <c r="O14" s="3"/>
      <c r="P14" s="3"/>
    </row>
    <row r="15" spans="1:16" ht="20.100000000000001" customHeight="1" x14ac:dyDescent="0.25">
      <c r="A15" s="19" t="s">
        <v>19</v>
      </c>
      <c r="B15" s="19">
        <v>6521</v>
      </c>
      <c r="C15" s="19">
        <v>23515</v>
      </c>
      <c r="D15" s="19" t="s">
        <v>22</v>
      </c>
      <c r="E15" s="20">
        <v>46035</v>
      </c>
      <c r="F15" s="21">
        <v>0.4597222222222222</v>
      </c>
      <c r="G15" s="20" t="s">
        <v>31</v>
      </c>
      <c r="H15" s="20">
        <v>46043</v>
      </c>
      <c r="I15" s="19">
        <f t="shared" si="0"/>
        <v>-2</v>
      </c>
      <c r="J15" s="33">
        <v>46041</v>
      </c>
      <c r="K15" s="22">
        <v>0.9</v>
      </c>
      <c r="L15" s="19" t="s">
        <v>26</v>
      </c>
      <c r="M15" s="19"/>
      <c r="N15" s="19"/>
      <c r="O15" s="3"/>
      <c r="P15" s="3"/>
    </row>
    <row r="16" spans="1:16" ht="20.100000000000001" customHeight="1" x14ac:dyDescent="0.25">
      <c r="A16" s="19" t="s">
        <v>19</v>
      </c>
      <c r="B16" s="19">
        <v>6522</v>
      </c>
      <c r="C16" s="19">
        <v>23511</v>
      </c>
      <c r="D16" s="19" t="s">
        <v>22</v>
      </c>
      <c r="E16" s="20">
        <v>46035</v>
      </c>
      <c r="F16" s="21">
        <v>0.46111111111111108</v>
      </c>
      <c r="G16" s="20" t="s">
        <v>31</v>
      </c>
      <c r="H16" s="20">
        <v>46043</v>
      </c>
      <c r="I16" s="19">
        <f t="shared" si="0"/>
        <v>-2</v>
      </c>
      <c r="J16" s="33">
        <v>46041</v>
      </c>
      <c r="K16" s="22">
        <v>2.09</v>
      </c>
      <c r="L16" s="19" t="s">
        <v>27</v>
      </c>
      <c r="M16" s="19"/>
      <c r="N16" s="19"/>
      <c r="O16" s="3"/>
      <c r="P16" s="3"/>
    </row>
    <row r="17" spans="1:16" ht="20.100000000000001" customHeight="1" x14ac:dyDescent="0.25">
      <c r="A17" s="19" t="s">
        <v>19</v>
      </c>
      <c r="B17" s="19">
        <v>6523</v>
      </c>
      <c r="C17" s="19">
        <v>23520</v>
      </c>
      <c r="D17" s="19" t="s">
        <v>18</v>
      </c>
      <c r="E17" s="20">
        <v>46035</v>
      </c>
      <c r="F17" s="21">
        <v>0.47152777777777777</v>
      </c>
      <c r="G17" s="20" t="s">
        <v>31</v>
      </c>
      <c r="H17" s="20">
        <v>46043</v>
      </c>
      <c r="I17" s="19">
        <f t="shared" si="0"/>
        <v>-2</v>
      </c>
      <c r="J17" s="33">
        <v>46041</v>
      </c>
      <c r="K17" s="22">
        <v>7.98</v>
      </c>
      <c r="L17" s="19" t="s">
        <v>28</v>
      </c>
      <c r="M17" s="19"/>
      <c r="N17" s="19"/>
      <c r="O17" s="3"/>
      <c r="P17" s="3"/>
    </row>
    <row r="18" spans="1:16" ht="20.100000000000001" customHeight="1" x14ac:dyDescent="0.25">
      <c r="A18" s="19" t="s">
        <v>29</v>
      </c>
      <c r="B18" s="23" t="s">
        <v>30</v>
      </c>
      <c r="C18" s="19">
        <v>23508</v>
      </c>
      <c r="D18" s="19" t="s">
        <v>15</v>
      </c>
      <c r="E18" s="20">
        <v>46035</v>
      </c>
      <c r="F18" s="21">
        <v>0.47916666666666669</v>
      </c>
      <c r="G18" s="20" t="s">
        <v>31</v>
      </c>
      <c r="H18" s="20">
        <v>46045</v>
      </c>
      <c r="I18" s="19">
        <f t="shared" si="0"/>
        <v>0</v>
      </c>
      <c r="J18" s="33">
        <v>46045</v>
      </c>
      <c r="K18" s="22">
        <f>0.8*1.05</f>
        <v>0.84000000000000008</v>
      </c>
      <c r="L18" s="19" t="s">
        <v>21</v>
      </c>
      <c r="M18" s="19"/>
      <c r="N18" s="19"/>
      <c r="O18" s="3"/>
      <c r="P18" s="3"/>
    </row>
    <row r="19" spans="1:16" ht="20.100000000000001" customHeight="1" x14ac:dyDescent="0.25">
      <c r="A19" s="19" t="s">
        <v>19</v>
      </c>
      <c r="B19" s="19" t="s">
        <v>37</v>
      </c>
      <c r="C19" s="19">
        <v>23490</v>
      </c>
      <c r="D19" s="19" t="s">
        <v>15</v>
      </c>
      <c r="E19" s="20">
        <v>46036</v>
      </c>
      <c r="F19" s="21">
        <v>0.4597222222222222</v>
      </c>
      <c r="G19" s="20" t="s">
        <v>31</v>
      </c>
      <c r="H19" s="20">
        <v>46044</v>
      </c>
      <c r="I19" s="19">
        <f t="shared" si="0"/>
        <v>2</v>
      </c>
      <c r="J19" s="35">
        <v>46046</v>
      </c>
      <c r="K19" s="22">
        <f>2*1.4</f>
        <v>2.8</v>
      </c>
      <c r="L19" s="19" t="s">
        <v>86</v>
      </c>
      <c r="M19" s="19"/>
      <c r="N19" s="19"/>
      <c r="O19" s="3"/>
      <c r="P19" s="3"/>
    </row>
    <row r="20" spans="1:16" ht="20.100000000000001" customHeight="1" x14ac:dyDescent="0.25">
      <c r="A20" s="19" t="s">
        <v>19</v>
      </c>
      <c r="B20" s="19" t="s">
        <v>38</v>
      </c>
      <c r="C20" s="19">
        <v>23490</v>
      </c>
      <c r="D20" s="19" t="s">
        <v>15</v>
      </c>
      <c r="E20" s="20">
        <v>46036</v>
      </c>
      <c r="F20" s="21">
        <v>0.4597222222222222</v>
      </c>
      <c r="G20" s="20" t="s">
        <v>31</v>
      </c>
      <c r="H20" s="20">
        <v>46044</v>
      </c>
      <c r="I20" s="19">
        <f t="shared" ref="I20" si="1">+J20-H20</f>
        <v>0</v>
      </c>
      <c r="J20" s="33">
        <v>46044</v>
      </c>
      <c r="K20" s="22">
        <f>1.47+1.47+0.6</f>
        <v>3.54</v>
      </c>
      <c r="L20" s="19" t="s">
        <v>85</v>
      </c>
      <c r="M20" s="19"/>
      <c r="N20" s="19"/>
      <c r="O20" s="3"/>
      <c r="P20" s="3"/>
    </row>
    <row r="21" spans="1:16" ht="20.100000000000001" customHeight="1" x14ac:dyDescent="0.25">
      <c r="A21" s="19" t="s">
        <v>19</v>
      </c>
      <c r="B21" s="19">
        <v>6525</v>
      </c>
      <c r="C21" s="19">
        <v>23524</v>
      </c>
      <c r="D21" s="19" t="s">
        <v>22</v>
      </c>
      <c r="E21" s="20">
        <v>46036</v>
      </c>
      <c r="F21" s="21">
        <v>0.46597222222222223</v>
      </c>
      <c r="G21" s="20" t="s">
        <v>31</v>
      </c>
      <c r="H21" s="20">
        <v>46044</v>
      </c>
      <c r="I21" s="19">
        <f t="shared" si="0"/>
        <v>-2</v>
      </c>
      <c r="J21" s="33">
        <v>46042</v>
      </c>
      <c r="K21" s="22">
        <v>1.1000000000000001</v>
      </c>
      <c r="L21" s="19" t="s">
        <v>39</v>
      </c>
      <c r="M21" s="19"/>
      <c r="N21" s="19"/>
      <c r="O21" s="3"/>
      <c r="P21" s="3"/>
    </row>
    <row r="22" spans="1:16" ht="20.100000000000001" customHeight="1" x14ac:dyDescent="0.25">
      <c r="A22" s="19" t="s">
        <v>19</v>
      </c>
      <c r="B22" s="19">
        <v>6526</v>
      </c>
      <c r="C22" s="19">
        <v>23525</v>
      </c>
      <c r="D22" s="19" t="s">
        <v>23</v>
      </c>
      <c r="E22" s="20">
        <v>46037</v>
      </c>
      <c r="F22" s="21">
        <v>0.41180555555555554</v>
      </c>
      <c r="G22" s="20" t="s">
        <v>31</v>
      </c>
      <c r="H22" s="20">
        <v>46044</v>
      </c>
      <c r="I22" s="19">
        <f t="shared" si="0"/>
        <v>0</v>
      </c>
      <c r="J22" s="33">
        <v>46044</v>
      </c>
      <c r="K22" s="22"/>
      <c r="L22" s="19" t="s">
        <v>44</v>
      </c>
      <c r="M22" s="19"/>
      <c r="N22" s="19"/>
      <c r="O22" s="3"/>
      <c r="P22" s="3"/>
    </row>
    <row r="23" spans="1:16" ht="20.100000000000001" customHeight="1" x14ac:dyDescent="0.25">
      <c r="A23" s="19" t="s">
        <v>19</v>
      </c>
      <c r="B23" s="19">
        <v>6527</v>
      </c>
      <c r="C23" s="19">
        <v>23533</v>
      </c>
      <c r="D23" s="19" t="s">
        <v>18</v>
      </c>
      <c r="E23" s="20">
        <v>46037</v>
      </c>
      <c r="F23" s="21">
        <v>0.57777777777777783</v>
      </c>
      <c r="G23" s="20" t="s">
        <v>31</v>
      </c>
      <c r="H23" s="20">
        <v>46045</v>
      </c>
      <c r="I23" s="19">
        <f t="shared" si="0"/>
        <v>-1</v>
      </c>
      <c r="J23" s="33">
        <v>46044</v>
      </c>
      <c r="K23" s="22">
        <v>2.2999999999999998</v>
      </c>
      <c r="L23" s="19" t="s">
        <v>45</v>
      </c>
      <c r="M23" s="19"/>
      <c r="N23" s="19"/>
      <c r="O23" s="3"/>
      <c r="P23" s="3"/>
    </row>
    <row r="24" spans="1:16" ht="20.100000000000001" customHeight="1" x14ac:dyDescent="0.25">
      <c r="A24" s="19" t="s">
        <v>19</v>
      </c>
      <c r="B24" s="19">
        <v>6528</v>
      </c>
      <c r="C24" s="19">
        <v>23527</v>
      </c>
      <c r="D24" s="19" t="s">
        <v>23</v>
      </c>
      <c r="E24" s="20">
        <v>46037</v>
      </c>
      <c r="F24" s="21">
        <v>0.57777777777777783</v>
      </c>
      <c r="G24" s="20" t="s">
        <v>31</v>
      </c>
      <c r="H24" s="20">
        <v>46045</v>
      </c>
      <c r="I24" s="19">
        <f t="shared" si="0"/>
        <v>-1</v>
      </c>
      <c r="J24" s="33">
        <v>46044</v>
      </c>
      <c r="K24" s="22">
        <v>12.24</v>
      </c>
      <c r="L24" s="19" t="s">
        <v>46</v>
      </c>
      <c r="M24" s="19"/>
      <c r="N24" s="19"/>
      <c r="O24" s="3"/>
      <c r="P24" s="3"/>
    </row>
    <row r="25" spans="1:16" ht="20.100000000000001" customHeight="1" x14ac:dyDescent="0.25">
      <c r="A25" s="19" t="s">
        <v>19</v>
      </c>
      <c r="B25" s="19">
        <v>6529</v>
      </c>
      <c r="C25" s="19">
        <v>23534</v>
      </c>
      <c r="D25" s="19" t="s">
        <v>18</v>
      </c>
      <c r="E25" s="20">
        <v>46037</v>
      </c>
      <c r="F25" s="21">
        <v>0.57777777777777783</v>
      </c>
      <c r="G25" s="20" t="s">
        <v>31</v>
      </c>
      <c r="H25" s="20">
        <v>46045</v>
      </c>
      <c r="I25" s="19">
        <f t="shared" si="0"/>
        <v>-2</v>
      </c>
      <c r="J25" s="33">
        <v>46043</v>
      </c>
      <c r="K25" s="22">
        <v>1.87</v>
      </c>
      <c r="L25" s="19" t="s">
        <v>47</v>
      </c>
      <c r="M25" s="19"/>
      <c r="N25" s="19"/>
      <c r="O25" s="3"/>
      <c r="P25" s="3"/>
    </row>
    <row r="26" spans="1:16" ht="20.100000000000001" customHeight="1" x14ac:dyDescent="0.25">
      <c r="A26" s="19" t="s">
        <v>19</v>
      </c>
      <c r="B26" s="19">
        <v>6530</v>
      </c>
      <c r="C26" s="19">
        <v>23529</v>
      </c>
      <c r="D26" s="19" t="s">
        <v>22</v>
      </c>
      <c r="E26" s="20">
        <v>46038</v>
      </c>
      <c r="F26" s="21">
        <v>0.39861111111111108</v>
      </c>
      <c r="G26" s="20" t="s">
        <v>31</v>
      </c>
      <c r="H26" s="20">
        <v>46045</v>
      </c>
      <c r="I26" s="19">
        <f t="shared" si="0"/>
        <v>-2</v>
      </c>
      <c r="J26" s="33">
        <v>46043</v>
      </c>
      <c r="K26" s="22">
        <v>1.08</v>
      </c>
      <c r="L26" s="19" t="s">
        <v>48</v>
      </c>
      <c r="M26" s="19"/>
      <c r="N26" s="19"/>
      <c r="O26" s="3"/>
      <c r="P26" s="3"/>
    </row>
    <row r="27" spans="1:16" ht="20.100000000000001" customHeight="1" x14ac:dyDescent="0.25">
      <c r="A27" s="19" t="s">
        <v>19</v>
      </c>
      <c r="B27" s="19">
        <v>6531</v>
      </c>
      <c r="C27" s="19">
        <v>23531</v>
      </c>
      <c r="D27" s="19" t="s">
        <v>23</v>
      </c>
      <c r="E27" s="20">
        <v>46038</v>
      </c>
      <c r="F27" s="21">
        <v>0.39861111111111108</v>
      </c>
      <c r="G27" s="20" t="s">
        <v>31</v>
      </c>
      <c r="H27" s="20">
        <v>46045</v>
      </c>
      <c r="I27" s="19">
        <f t="shared" si="0"/>
        <v>8</v>
      </c>
      <c r="J27" s="35">
        <v>46053</v>
      </c>
      <c r="K27" s="22">
        <v>2.1</v>
      </c>
      <c r="L27" s="19" t="s">
        <v>49</v>
      </c>
      <c r="M27" s="19"/>
      <c r="N27" s="19"/>
      <c r="O27" s="3"/>
      <c r="P27" s="3"/>
    </row>
    <row r="28" spans="1:16" ht="20.100000000000001" customHeight="1" x14ac:dyDescent="0.25">
      <c r="A28" s="19" t="s">
        <v>19</v>
      </c>
      <c r="B28" s="19">
        <v>6532</v>
      </c>
      <c r="C28" s="19">
        <v>23516</v>
      </c>
      <c r="D28" s="19" t="s">
        <v>23</v>
      </c>
      <c r="E28" s="20">
        <v>46038</v>
      </c>
      <c r="F28" s="21">
        <v>0.49374999999999997</v>
      </c>
      <c r="G28" s="20" t="s">
        <v>31</v>
      </c>
      <c r="H28" s="20">
        <v>46048</v>
      </c>
      <c r="I28" s="19">
        <f t="shared" si="0"/>
        <v>-3</v>
      </c>
      <c r="J28" s="33">
        <v>46045</v>
      </c>
      <c r="K28" s="22">
        <v>3.99</v>
      </c>
      <c r="L28" s="19" t="s">
        <v>50</v>
      </c>
      <c r="M28" s="19"/>
      <c r="N28" s="19"/>
      <c r="O28" s="3"/>
      <c r="P28" s="3"/>
    </row>
    <row r="29" spans="1:16" ht="20.100000000000001" customHeight="1" x14ac:dyDescent="0.25">
      <c r="A29" s="19" t="s">
        <v>19</v>
      </c>
      <c r="B29" s="19">
        <v>6533</v>
      </c>
      <c r="C29" s="19">
        <v>23452</v>
      </c>
      <c r="D29" s="19" t="s">
        <v>15</v>
      </c>
      <c r="E29" s="20">
        <v>46039</v>
      </c>
      <c r="F29" s="21">
        <v>0.39583333333333331</v>
      </c>
      <c r="G29" s="20" t="s">
        <v>31</v>
      </c>
      <c r="H29" s="20">
        <v>46048</v>
      </c>
      <c r="I29" s="19">
        <f t="shared" si="0"/>
        <v>-3</v>
      </c>
      <c r="J29" s="33">
        <v>46045</v>
      </c>
      <c r="K29" s="22">
        <v>4.09</v>
      </c>
      <c r="L29" s="19" t="s">
        <v>55</v>
      </c>
      <c r="M29" s="19"/>
      <c r="N29" s="19"/>
      <c r="O29" s="3"/>
      <c r="P29" s="3"/>
    </row>
    <row r="30" spans="1:16" ht="20.100000000000001" customHeight="1" x14ac:dyDescent="0.25">
      <c r="A30" s="19" t="s">
        <v>19</v>
      </c>
      <c r="B30" s="19" t="s">
        <v>51</v>
      </c>
      <c r="C30" s="19">
        <v>23507</v>
      </c>
      <c r="D30" s="19" t="s">
        <v>15</v>
      </c>
      <c r="E30" s="20">
        <v>46039</v>
      </c>
      <c r="F30" s="21">
        <v>0.4770833333333333</v>
      </c>
      <c r="G30" s="20" t="s">
        <v>31</v>
      </c>
      <c r="H30" s="20">
        <v>46048</v>
      </c>
      <c r="I30" s="19">
        <f t="shared" si="0"/>
        <v>-3</v>
      </c>
      <c r="J30" s="33">
        <v>46045</v>
      </c>
      <c r="K30" s="22">
        <v>17.100000000000001</v>
      </c>
      <c r="L30" s="19" t="s">
        <v>52</v>
      </c>
      <c r="M30" s="19"/>
      <c r="N30" s="19"/>
      <c r="O30" s="3"/>
      <c r="P30" s="3"/>
    </row>
    <row r="31" spans="1:16" ht="20.100000000000001" customHeight="1" x14ac:dyDescent="0.25">
      <c r="A31" s="19" t="s">
        <v>19</v>
      </c>
      <c r="B31" s="19" t="s">
        <v>53</v>
      </c>
      <c r="C31" s="19">
        <v>23507</v>
      </c>
      <c r="D31" s="19" t="s">
        <v>15</v>
      </c>
      <c r="E31" s="20">
        <v>46039</v>
      </c>
      <c r="F31" s="21">
        <v>0.4770833333333333</v>
      </c>
      <c r="G31" s="20" t="s">
        <v>31</v>
      </c>
      <c r="H31" s="20">
        <v>46048</v>
      </c>
      <c r="I31" s="19">
        <f t="shared" si="0"/>
        <v>-3</v>
      </c>
      <c r="J31" s="33">
        <v>46045</v>
      </c>
      <c r="K31" s="22">
        <v>18.809999999999999</v>
      </c>
      <c r="L31" s="19" t="s">
        <v>54</v>
      </c>
      <c r="M31" s="19"/>
      <c r="N31" s="19"/>
      <c r="O31" s="3"/>
      <c r="P31" s="3"/>
    </row>
    <row r="32" spans="1:16" ht="20.100000000000001" customHeight="1" x14ac:dyDescent="0.25">
      <c r="A32" s="19" t="s">
        <v>19</v>
      </c>
      <c r="B32" s="19">
        <v>6535</v>
      </c>
      <c r="C32" s="19">
        <v>23543</v>
      </c>
      <c r="D32" s="19" t="s">
        <v>18</v>
      </c>
      <c r="E32" s="20">
        <v>46041</v>
      </c>
      <c r="F32" s="21">
        <v>0.37777777777777777</v>
      </c>
      <c r="G32" s="20" t="s">
        <v>31</v>
      </c>
      <c r="H32" s="20">
        <v>46048</v>
      </c>
      <c r="I32" s="19">
        <f t="shared" si="0"/>
        <v>-3</v>
      </c>
      <c r="J32" s="33">
        <v>46045</v>
      </c>
      <c r="K32" s="19">
        <v>2.1</v>
      </c>
      <c r="L32" s="19" t="s">
        <v>56</v>
      </c>
      <c r="M32" s="19"/>
      <c r="N32" s="19"/>
      <c r="O32" s="3"/>
      <c r="P32" s="3"/>
    </row>
    <row r="33" spans="1:16" ht="20.100000000000001" customHeight="1" x14ac:dyDescent="0.25">
      <c r="A33" s="19" t="s">
        <v>19</v>
      </c>
      <c r="B33" s="19">
        <v>6536</v>
      </c>
      <c r="C33" s="19">
        <v>23537</v>
      </c>
      <c r="D33" s="19" t="s">
        <v>22</v>
      </c>
      <c r="E33" s="20">
        <v>46041</v>
      </c>
      <c r="F33" s="21">
        <v>0.42986111111111108</v>
      </c>
      <c r="G33" s="20" t="s">
        <v>31</v>
      </c>
      <c r="H33" s="20">
        <v>46048</v>
      </c>
      <c r="I33" s="19">
        <f t="shared" si="0"/>
        <v>-3</v>
      </c>
      <c r="J33" s="33">
        <v>46045</v>
      </c>
      <c r="K33" s="19">
        <v>2.42</v>
      </c>
      <c r="L33" s="19" t="s">
        <v>57</v>
      </c>
      <c r="M33" s="19"/>
      <c r="N33" s="19"/>
      <c r="O33" s="3"/>
      <c r="P33" s="3"/>
    </row>
    <row r="34" spans="1:16" ht="20.100000000000001" customHeight="1" x14ac:dyDescent="0.25">
      <c r="A34" s="19" t="s">
        <v>19</v>
      </c>
      <c r="B34" s="19">
        <v>6537</v>
      </c>
      <c r="C34" s="19">
        <v>23539</v>
      </c>
      <c r="D34" s="19" t="s">
        <v>22</v>
      </c>
      <c r="E34" s="20">
        <v>46041</v>
      </c>
      <c r="F34" s="21">
        <v>0.42986111111111108</v>
      </c>
      <c r="G34" s="20" t="s">
        <v>31</v>
      </c>
      <c r="H34" s="20">
        <v>46048</v>
      </c>
      <c r="I34" s="19">
        <f t="shared" si="0"/>
        <v>-3</v>
      </c>
      <c r="J34" s="33">
        <v>46045</v>
      </c>
      <c r="K34" s="19">
        <v>0.8</v>
      </c>
      <c r="L34" s="19" t="s">
        <v>58</v>
      </c>
      <c r="M34" s="19"/>
      <c r="N34" s="19"/>
      <c r="O34" s="3"/>
      <c r="P34" s="3"/>
    </row>
    <row r="35" spans="1:16" ht="20.100000000000001" customHeight="1" x14ac:dyDescent="0.25">
      <c r="A35" s="19" t="s">
        <v>19</v>
      </c>
      <c r="B35" s="19">
        <v>6538</v>
      </c>
      <c r="C35" s="19">
        <v>23540</v>
      </c>
      <c r="D35" s="20" t="s">
        <v>22</v>
      </c>
      <c r="E35" s="20">
        <v>46041</v>
      </c>
      <c r="F35" s="21">
        <v>0.42986111111111108</v>
      </c>
      <c r="G35" s="20" t="s">
        <v>31</v>
      </c>
      <c r="H35" s="20">
        <v>46048</v>
      </c>
      <c r="I35" s="19">
        <f t="shared" si="0"/>
        <v>-3</v>
      </c>
      <c r="J35" s="33">
        <v>46045</v>
      </c>
      <c r="K35" s="19">
        <v>1.5</v>
      </c>
      <c r="L35" s="19" t="s">
        <v>59</v>
      </c>
      <c r="M35" s="19"/>
      <c r="N35" s="19"/>
      <c r="O35" s="3"/>
      <c r="P35" s="3"/>
    </row>
    <row r="36" spans="1:16" ht="20.100000000000001" customHeight="1" x14ac:dyDescent="0.25">
      <c r="A36" s="19" t="s">
        <v>19</v>
      </c>
      <c r="B36" s="19">
        <v>6539</v>
      </c>
      <c r="C36" s="19">
        <v>23542</v>
      </c>
      <c r="D36" s="19" t="s">
        <v>22</v>
      </c>
      <c r="E36" s="20">
        <v>46041</v>
      </c>
      <c r="F36" s="21">
        <v>0.43124999999999997</v>
      </c>
      <c r="G36" s="20" t="s">
        <v>31</v>
      </c>
      <c r="H36" s="20">
        <v>46048</v>
      </c>
      <c r="I36" s="19">
        <f t="shared" si="0"/>
        <v>-3</v>
      </c>
      <c r="J36" s="33">
        <v>46045</v>
      </c>
      <c r="K36" s="19">
        <v>0.98</v>
      </c>
      <c r="L36" s="19" t="s">
        <v>60</v>
      </c>
      <c r="M36" s="19"/>
      <c r="N36" s="19"/>
      <c r="O36" s="3"/>
      <c r="P36" s="3"/>
    </row>
    <row r="37" spans="1:16" ht="20.100000000000001" customHeight="1" x14ac:dyDescent="0.25">
      <c r="A37" s="19" t="s">
        <v>19</v>
      </c>
      <c r="B37" s="19">
        <v>6540</v>
      </c>
      <c r="C37" s="19" t="s">
        <v>61</v>
      </c>
      <c r="D37" s="19" t="s">
        <v>62</v>
      </c>
      <c r="E37" s="20">
        <v>46041</v>
      </c>
      <c r="F37" s="21">
        <v>0.43124999999999997</v>
      </c>
      <c r="G37" s="20" t="s">
        <v>31</v>
      </c>
      <c r="H37" s="20">
        <v>46048</v>
      </c>
      <c r="I37" s="19">
        <f t="shared" si="0"/>
        <v>-3</v>
      </c>
      <c r="J37" s="33">
        <v>46045</v>
      </c>
      <c r="K37" s="19">
        <f>1.2*0.4</f>
        <v>0.48</v>
      </c>
      <c r="L37" s="19" t="s">
        <v>63</v>
      </c>
      <c r="M37" s="19"/>
      <c r="N37" s="19"/>
      <c r="O37" s="3"/>
      <c r="P37" s="3"/>
    </row>
    <row r="38" spans="1:16" ht="20.100000000000001" customHeight="1" x14ac:dyDescent="0.25">
      <c r="A38" s="19" t="s">
        <v>19</v>
      </c>
      <c r="B38" s="19">
        <v>6541</v>
      </c>
      <c r="C38" s="19">
        <v>23538</v>
      </c>
      <c r="D38" s="19" t="s">
        <v>22</v>
      </c>
      <c r="E38" s="20">
        <v>46041</v>
      </c>
      <c r="F38" s="21">
        <v>0.43124999999999997</v>
      </c>
      <c r="G38" s="20" t="s">
        <v>31</v>
      </c>
      <c r="H38" s="20">
        <v>46048</v>
      </c>
      <c r="I38" s="19">
        <f t="shared" si="0"/>
        <v>-3</v>
      </c>
      <c r="J38" s="33">
        <v>46045</v>
      </c>
      <c r="K38" s="19">
        <v>2.2000000000000002</v>
      </c>
      <c r="L38" s="19" t="s">
        <v>64</v>
      </c>
      <c r="M38" s="19"/>
      <c r="N38" s="19"/>
      <c r="O38" s="3"/>
      <c r="P38" s="3"/>
    </row>
    <row r="39" spans="1:16" ht="20.100000000000001" customHeight="1" x14ac:dyDescent="0.25">
      <c r="A39" s="19" t="s">
        <v>19</v>
      </c>
      <c r="B39" s="19">
        <v>6542</v>
      </c>
      <c r="C39" s="19">
        <v>23536</v>
      </c>
      <c r="D39" s="19" t="s">
        <v>22</v>
      </c>
      <c r="E39" s="20">
        <v>46041</v>
      </c>
      <c r="F39" s="21">
        <v>0.43263888888888885</v>
      </c>
      <c r="G39" s="20" t="s">
        <v>31</v>
      </c>
      <c r="H39" s="20">
        <v>46048</v>
      </c>
      <c r="I39" s="19">
        <f t="shared" si="0"/>
        <v>-3</v>
      </c>
      <c r="J39" s="33">
        <v>46045</v>
      </c>
      <c r="K39" s="19">
        <v>0.76</v>
      </c>
      <c r="L39" s="19" t="s">
        <v>65</v>
      </c>
      <c r="M39" s="19"/>
      <c r="N39" s="19"/>
      <c r="O39" s="3"/>
      <c r="P39" s="3"/>
    </row>
    <row r="40" spans="1:16" ht="20.100000000000001" customHeight="1" x14ac:dyDescent="0.25">
      <c r="A40" s="19" t="s">
        <v>19</v>
      </c>
      <c r="B40" s="19">
        <v>6543</v>
      </c>
      <c r="C40" s="19">
        <v>23528</v>
      </c>
      <c r="D40" s="19" t="s">
        <v>18</v>
      </c>
      <c r="E40" s="20">
        <v>46041</v>
      </c>
      <c r="F40" s="21">
        <v>0.44513888888888892</v>
      </c>
      <c r="G40" s="20" t="s">
        <v>31</v>
      </c>
      <c r="H40" s="20">
        <v>46052</v>
      </c>
      <c r="I40" s="19">
        <f t="shared" si="0"/>
        <v>3</v>
      </c>
      <c r="J40" s="35">
        <v>46055</v>
      </c>
      <c r="K40" s="19">
        <v>0.94</v>
      </c>
      <c r="L40" s="19" t="s">
        <v>66</v>
      </c>
      <c r="M40" s="19"/>
      <c r="N40" s="19"/>
      <c r="O40" s="3"/>
      <c r="P40" s="3"/>
    </row>
    <row r="41" spans="1:16" ht="20.100000000000001" customHeight="1" x14ac:dyDescent="0.25">
      <c r="A41" s="19" t="s">
        <v>19</v>
      </c>
      <c r="B41" s="19">
        <v>6544</v>
      </c>
      <c r="C41" s="19">
        <v>23544</v>
      </c>
      <c r="D41" s="19" t="s">
        <v>23</v>
      </c>
      <c r="E41" s="20">
        <v>46041</v>
      </c>
      <c r="F41" s="21">
        <v>0.45416666666666666</v>
      </c>
      <c r="G41" s="20" t="s">
        <v>31</v>
      </c>
      <c r="H41" s="20">
        <v>46048</v>
      </c>
      <c r="I41" s="19">
        <f t="shared" si="0"/>
        <v>-3</v>
      </c>
      <c r="J41" s="33">
        <v>46045</v>
      </c>
      <c r="K41" s="19"/>
      <c r="L41" s="19" t="s">
        <v>67</v>
      </c>
      <c r="M41" s="19"/>
      <c r="N41" s="19"/>
      <c r="O41" s="3"/>
      <c r="P41" s="3"/>
    </row>
    <row r="42" spans="1:16" ht="20.100000000000001" customHeight="1" x14ac:dyDescent="0.25">
      <c r="A42" s="19" t="s">
        <v>19</v>
      </c>
      <c r="B42" s="19">
        <v>6545</v>
      </c>
      <c r="C42" s="19">
        <v>23545</v>
      </c>
      <c r="D42" s="19" t="s">
        <v>23</v>
      </c>
      <c r="E42" s="20">
        <v>46041</v>
      </c>
      <c r="F42" s="21">
        <v>0.70277777777777783</v>
      </c>
      <c r="G42" s="20" t="s">
        <v>31</v>
      </c>
      <c r="H42" s="20">
        <v>46049</v>
      </c>
      <c r="I42" s="19">
        <f t="shared" si="0"/>
        <v>0</v>
      </c>
      <c r="J42" s="33">
        <v>46049</v>
      </c>
      <c r="K42" s="19">
        <v>6.6</v>
      </c>
      <c r="L42" s="19" t="s">
        <v>68</v>
      </c>
      <c r="M42" s="19"/>
      <c r="N42" s="19"/>
      <c r="O42" s="3"/>
      <c r="P42" s="3"/>
    </row>
    <row r="43" spans="1:16" ht="20.100000000000001" customHeight="1" x14ac:dyDescent="0.25">
      <c r="A43" s="19" t="s">
        <v>19</v>
      </c>
      <c r="B43" s="19">
        <v>6546</v>
      </c>
      <c r="C43" s="19">
        <v>23548</v>
      </c>
      <c r="D43" s="19" t="s">
        <v>72</v>
      </c>
      <c r="E43" s="20">
        <v>46042</v>
      </c>
      <c r="F43" s="21">
        <v>0.46597222222222223</v>
      </c>
      <c r="G43" s="20" t="s">
        <v>31</v>
      </c>
      <c r="H43" s="20">
        <v>46050</v>
      </c>
      <c r="I43" s="19">
        <f t="shared" si="0"/>
        <v>-1</v>
      </c>
      <c r="J43" s="33">
        <v>46049</v>
      </c>
      <c r="K43" s="19">
        <v>1.26</v>
      </c>
      <c r="L43" s="19" t="s">
        <v>73</v>
      </c>
      <c r="M43" s="19"/>
      <c r="N43" s="19"/>
      <c r="O43" s="3"/>
      <c r="P43" s="3"/>
    </row>
    <row r="44" spans="1:16" ht="20.100000000000001" customHeight="1" x14ac:dyDescent="0.25">
      <c r="A44" s="19" t="s">
        <v>19</v>
      </c>
      <c r="B44" s="19">
        <v>6547</v>
      </c>
      <c r="C44" s="19">
        <v>23546</v>
      </c>
      <c r="D44" s="19" t="s">
        <v>23</v>
      </c>
      <c r="E44" s="20">
        <v>46042</v>
      </c>
      <c r="F44" s="21">
        <v>0.46597222222222223</v>
      </c>
      <c r="G44" s="20" t="s">
        <v>31</v>
      </c>
      <c r="H44" s="20">
        <v>46050</v>
      </c>
      <c r="I44" s="19">
        <f t="shared" si="0"/>
        <v>-1</v>
      </c>
      <c r="J44" s="33">
        <v>46049</v>
      </c>
      <c r="K44" s="19" t="s">
        <v>70</v>
      </c>
      <c r="L44" s="19" t="s">
        <v>71</v>
      </c>
      <c r="M44" s="19"/>
      <c r="N44" s="19"/>
      <c r="O44" s="3"/>
      <c r="P44" s="3"/>
    </row>
    <row r="45" spans="1:16" ht="20.100000000000001" customHeight="1" x14ac:dyDescent="0.25">
      <c r="A45" s="19" t="s">
        <v>19</v>
      </c>
      <c r="B45" s="19">
        <v>6548</v>
      </c>
      <c r="C45" s="19">
        <v>23532</v>
      </c>
      <c r="D45" s="19" t="s">
        <v>22</v>
      </c>
      <c r="E45" s="20">
        <v>46042</v>
      </c>
      <c r="F45" s="21">
        <v>0.46597222222222223</v>
      </c>
      <c r="G45" s="20" t="s">
        <v>31</v>
      </c>
      <c r="H45" s="20">
        <v>46050</v>
      </c>
      <c r="I45" s="19">
        <f t="shared" si="0"/>
        <v>0</v>
      </c>
      <c r="J45" s="33">
        <v>46050</v>
      </c>
      <c r="K45" s="19">
        <v>2.25</v>
      </c>
      <c r="L45" s="19" t="s">
        <v>69</v>
      </c>
      <c r="M45" s="19"/>
      <c r="N45" s="19"/>
      <c r="O45" s="3"/>
      <c r="P45" s="3"/>
    </row>
    <row r="46" spans="1:16" ht="20.100000000000001" customHeight="1" x14ac:dyDescent="0.25">
      <c r="A46" s="19" t="s">
        <v>19</v>
      </c>
      <c r="B46" s="19">
        <v>6549</v>
      </c>
      <c r="C46" s="19">
        <v>23547</v>
      </c>
      <c r="D46" s="19" t="s">
        <v>15</v>
      </c>
      <c r="E46" s="20">
        <v>46042</v>
      </c>
      <c r="F46" s="34">
        <v>0.50972222222222219</v>
      </c>
      <c r="G46" s="20" t="s">
        <v>31</v>
      </c>
      <c r="H46" s="20">
        <v>46050</v>
      </c>
      <c r="I46" s="19">
        <f t="shared" si="0"/>
        <v>-1</v>
      </c>
      <c r="J46" s="33">
        <v>46049</v>
      </c>
      <c r="K46" s="19">
        <v>5.34</v>
      </c>
      <c r="L46" s="19" t="s">
        <v>74</v>
      </c>
      <c r="M46" s="19"/>
      <c r="N46" s="19"/>
      <c r="O46" s="3"/>
      <c r="P46" s="3"/>
    </row>
    <row r="47" spans="1:16" ht="20.100000000000001" customHeight="1" x14ac:dyDescent="0.25">
      <c r="A47" s="19" t="s">
        <v>19</v>
      </c>
      <c r="B47" s="19">
        <v>6550</v>
      </c>
      <c r="C47" s="19">
        <v>23549</v>
      </c>
      <c r="D47" s="19" t="s">
        <v>23</v>
      </c>
      <c r="E47" s="20">
        <v>46042</v>
      </c>
      <c r="F47" s="21">
        <v>0.52986111111111112</v>
      </c>
      <c r="G47" s="20" t="s">
        <v>31</v>
      </c>
      <c r="H47" s="20">
        <v>46050</v>
      </c>
      <c r="I47" s="19">
        <f t="shared" si="0"/>
        <v>-1</v>
      </c>
      <c r="J47" s="33">
        <v>46049</v>
      </c>
      <c r="K47" s="19"/>
      <c r="L47" s="19" t="s">
        <v>75</v>
      </c>
      <c r="M47" s="19"/>
      <c r="N47" s="19"/>
      <c r="O47" s="3"/>
      <c r="P47" s="3"/>
    </row>
    <row r="48" spans="1:16" ht="20.100000000000001" customHeight="1" x14ac:dyDescent="0.25">
      <c r="A48" s="19" t="s">
        <v>19</v>
      </c>
      <c r="B48" s="19">
        <v>6551</v>
      </c>
      <c r="C48" s="19">
        <v>23553</v>
      </c>
      <c r="D48" s="19" t="s">
        <v>18</v>
      </c>
      <c r="E48" s="20">
        <v>46042</v>
      </c>
      <c r="F48" s="21">
        <v>0.67291666666666661</v>
      </c>
      <c r="G48" s="20" t="s">
        <v>31</v>
      </c>
      <c r="H48" s="20">
        <v>46050</v>
      </c>
      <c r="I48" s="19">
        <f t="shared" si="0"/>
        <v>-1</v>
      </c>
      <c r="J48" s="33">
        <v>46049</v>
      </c>
      <c r="K48" s="19">
        <v>2.16</v>
      </c>
      <c r="L48" s="19" t="s">
        <v>76</v>
      </c>
      <c r="M48" s="19"/>
      <c r="N48" s="19"/>
      <c r="O48" s="3"/>
      <c r="P48" s="3"/>
    </row>
    <row r="49" spans="1:16" ht="20.100000000000001" customHeight="1" x14ac:dyDescent="0.25">
      <c r="A49" s="19" t="s">
        <v>19</v>
      </c>
      <c r="B49" s="19">
        <v>6552</v>
      </c>
      <c r="C49" s="19">
        <v>23550</v>
      </c>
      <c r="D49" s="19" t="s">
        <v>72</v>
      </c>
      <c r="E49" s="20">
        <v>46043</v>
      </c>
      <c r="F49" s="21">
        <v>0.4375</v>
      </c>
      <c r="G49" s="20" t="s">
        <v>31</v>
      </c>
      <c r="H49" s="20">
        <v>46050</v>
      </c>
      <c r="I49" s="19">
        <f t="shared" si="0"/>
        <v>0</v>
      </c>
      <c r="J49" s="33">
        <v>46050</v>
      </c>
      <c r="K49" s="19">
        <v>0.8</v>
      </c>
      <c r="L49" s="19" t="s">
        <v>77</v>
      </c>
      <c r="M49" s="19"/>
      <c r="N49" s="19"/>
      <c r="O49" s="3"/>
      <c r="P49" s="3"/>
    </row>
    <row r="50" spans="1:16" ht="20.100000000000001" customHeight="1" x14ac:dyDescent="0.25">
      <c r="A50" s="19" t="s">
        <v>19</v>
      </c>
      <c r="B50" s="19">
        <v>6553</v>
      </c>
      <c r="C50" s="19">
        <v>23552</v>
      </c>
      <c r="D50" s="19" t="s">
        <v>22</v>
      </c>
      <c r="E50" s="20">
        <v>46043</v>
      </c>
      <c r="F50" s="21">
        <v>0.4375</v>
      </c>
      <c r="G50" s="20" t="s">
        <v>31</v>
      </c>
      <c r="H50" s="20">
        <v>46050</v>
      </c>
      <c r="I50" s="19">
        <f t="shared" si="0"/>
        <v>0</v>
      </c>
      <c r="J50" s="33">
        <v>46050</v>
      </c>
      <c r="K50" s="19">
        <v>0.8</v>
      </c>
      <c r="L50" s="19" t="s">
        <v>78</v>
      </c>
      <c r="M50" s="19"/>
      <c r="N50" s="19"/>
      <c r="O50" s="3"/>
      <c r="P50" s="3"/>
    </row>
    <row r="51" spans="1:16" ht="20.100000000000001" customHeight="1" x14ac:dyDescent="0.25">
      <c r="A51" s="19" t="s">
        <v>19</v>
      </c>
      <c r="B51" s="19">
        <v>6554</v>
      </c>
      <c r="C51" s="19">
        <v>23554</v>
      </c>
      <c r="D51" s="19" t="s">
        <v>22</v>
      </c>
      <c r="E51" s="20">
        <v>46043</v>
      </c>
      <c r="F51" s="21">
        <v>0.4375</v>
      </c>
      <c r="G51" s="20" t="s">
        <v>31</v>
      </c>
      <c r="H51" s="20">
        <v>46050</v>
      </c>
      <c r="I51" s="19">
        <f t="shared" si="0"/>
        <v>0</v>
      </c>
      <c r="J51" s="33">
        <v>46050</v>
      </c>
      <c r="K51" s="19">
        <v>1.08</v>
      </c>
      <c r="L51" s="19" t="s">
        <v>79</v>
      </c>
      <c r="M51" s="19"/>
      <c r="N51" s="19"/>
      <c r="O51" s="3"/>
      <c r="P51" s="3"/>
    </row>
    <row r="52" spans="1:16" ht="20.100000000000001" customHeight="1" x14ac:dyDescent="0.25">
      <c r="A52" s="19" t="s">
        <v>19</v>
      </c>
      <c r="B52" s="19">
        <v>6555</v>
      </c>
      <c r="C52" s="19">
        <v>23488</v>
      </c>
      <c r="D52" s="19" t="s">
        <v>15</v>
      </c>
      <c r="E52" s="20">
        <v>46043</v>
      </c>
      <c r="F52" s="21">
        <v>0.68125000000000002</v>
      </c>
      <c r="G52" s="20" t="s">
        <v>31</v>
      </c>
      <c r="H52" s="20">
        <v>46051</v>
      </c>
      <c r="I52" s="19">
        <f t="shared" si="0"/>
        <v>-2</v>
      </c>
      <c r="J52" s="33">
        <v>46049</v>
      </c>
      <c r="K52" s="22">
        <v>6</v>
      </c>
      <c r="L52" s="19" t="s">
        <v>80</v>
      </c>
      <c r="M52" s="19"/>
      <c r="N52" s="19"/>
      <c r="O52" s="3"/>
      <c r="P52" s="3"/>
    </row>
    <row r="53" spans="1:16" ht="20.100000000000001" customHeight="1" x14ac:dyDescent="0.25">
      <c r="A53" s="19" t="s">
        <v>19</v>
      </c>
      <c r="B53" s="19">
        <v>6556</v>
      </c>
      <c r="C53" s="19">
        <v>23555</v>
      </c>
      <c r="D53" s="19" t="s">
        <v>23</v>
      </c>
      <c r="E53" s="20">
        <v>46044</v>
      </c>
      <c r="F53" s="21">
        <v>0.37986111111111115</v>
      </c>
      <c r="G53" s="20" t="s">
        <v>31</v>
      </c>
      <c r="H53" s="20">
        <v>46051</v>
      </c>
      <c r="I53" s="19">
        <f t="shared" si="0"/>
        <v>0</v>
      </c>
      <c r="J53" s="33">
        <v>46051</v>
      </c>
      <c r="K53" s="19">
        <v>1.5</v>
      </c>
      <c r="L53" s="19" t="s">
        <v>81</v>
      </c>
      <c r="M53" s="19"/>
      <c r="O53" s="3"/>
      <c r="P53" s="3"/>
    </row>
    <row r="54" spans="1:16" ht="20.100000000000001" customHeight="1" x14ac:dyDescent="0.25">
      <c r="A54" s="19" t="s">
        <v>19</v>
      </c>
      <c r="B54" s="19">
        <v>6557</v>
      </c>
      <c r="C54" s="19">
        <v>23560</v>
      </c>
      <c r="D54" s="19" t="s">
        <v>22</v>
      </c>
      <c r="E54" s="20">
        <v>46044</v>
      </c>
      <c r="F54" s="21">
        <v>0.40069444444444446</v>
      </c>
      <c r="G54" s="20" t="s">
        <v>31</v>
      </c>
      <c r="H54" s="20">
        <v>46051</v>
      </c>
      <c r="I54" s="19">
        <f t="shared" si="0"/>
        <v>-1</v>
      </c>
      <c r="J54" s="33">
        <v>46050</v>
      </c>
      <c r="K54" s="19">
        <v>6.84</v>
      </c>
      <c r="L54" s="19" t="s">
        <v>82</v>
      </c>
      <c r="M54" s="19"/>
      <c r="N54" s="19"/>
      <c r="O54" s="3"/>
      <c r="P54" s="3"/>
    </row>
    <row r="55" spans="1:16" ht="20.100000000000001" customHeight="1" x14ac:dyDescent="0.25">
      <c r="A55" s="19" t="s">
        <v>19</v>
      </c>
      <c r="B55" s="19">
        <v>6558</v>
      </c>
      <c r="C55" s="19">
        <v>23561</v>
      </c>
      <c r="D55" s="19" t="s">
        <v>72</v>
      </c>
      <c r="E55" s="20">
        <v>46044</v>
      </c>
      <c r="F55" s="21">
        <v>0.42499999999999999</v>
      </c>
      <c r="G55" s="20" t="s">
        <v>31</v>
      </c>
      <c r="H55" s="20">
        <v>46051</v>
      </c>
      <c r="I55" s="19">
        <f t="shared" si="0"/>
        <v>-1</v>
      </c>
      <c r="J55" s="33">
        <v>46050</v>
      </c>
      <c r="K55" s="19">
        <v>0.7</v>
      </c>
      <c r="L55" s="19" t="s">
        <v>83</v>
      </c>
      <c r="M55" s="19"/>
      <c r="N55" s="19"/>
      <c r="O55" s="3"/>
      <c r="P55" s="3"/>
    </row>
    <row r="56" spans="1:16" ht="20.100000000000001" customHeight="1" x14ac:dyDescent="0.25">
      <c r="A56" s="19" t="s">
        <v>19</v>
      </c>
      <c r="B56" s="19">
        <v>6559</v>
      </c>
      <c r="C56" s="19">
        <v>23557</v>
      </c>
      <c r="D56" s="19" t="s">
        <v>22</v>
      </c>
      <c r="E56" s="20">
        <v>46044</v>
      </c>
      <c r="F56" s="21">
        <v>0.42499999999999999</v>
      </c>
      <c r="G56" s="20" t="s">
        <v>31</v>
      </c>
      <c r="H56" s="20">
        <v>46051</v>
      </c>
      <c r="I56" s="19">
        <f t="shared" si="0"/>
        <v>1</v>
      </c>
      <c r="J56" s="33">
        <v>46052</v>
      </c>
      <c r="K56" s="19">
        <v>1.6</v>
      </c>
      <c r="L56" s="19" t="s">
        <v>84</v>
      </c>
      <c r="M56" s="19"/>
      <c r="N56" s="19"/>
      <c r="O56" s="3"/>
      <c r="P56" s="3"/>
    </row>
    <row r="57" spans="1:16" ht="20.100000000000001" customHeight="1" x14ac:dyDescent="0.25">
      <c r="A57" s="19" t="s">
        <v>19</v>
      </c>
      <c r="B57" s="19">
        <v>6560</v>
      </c>
      <c r="C57" s="19">
        <v>23562</v>
      </c>
      <c r="D57" s="19" t="s">
        <v>23</v>
      </c>
      <c r="E57" s="20">
        <v>46045</v>
      </c>
      <c r="F57" s="21">
        <v>0.4368055555555555</v>
      </c>
      <c r="G57" s="20" t="s">
        <v>31</v>
      </c>
      <c r="H57" s="20">
        <v>46052</v>
      </c>
      <c r="I57" s="19">
        <f t="shared" si="0"/>
        <v>3</v>
      </c>
      <c r="J57" s="35">
        <v>46055</v>
      </c>
      <c r="K57" s="19"/>
      <c r="L57" s="19" t="s">
        <v>87</v>
      </c>
      <c r="M57" s="19"/>
      <c r="N57" s="19"/>
      <c r="O57" s="3"/>
      <c r="P57" s="3"/>
    </row>
    <row r="58" spans="1:16" ht="20.100000000000001" customHeight="1" x14ac:dyDescent="0.25">
      <c r="A58" s="19" t="s">
        <v>19</v>
      </c>
      <c r="B58" s="19">
        <v>6561</v>
      </c>
      <c r="C58" s="19">
        <v>23564</v>
      </c>
      <c r="D58" s="19" t="s">
        <v>22</v>
      </c>
      <c r="E58" s="20">
        <v>46045</v>
      </c>
      <c r="F58" s="21">
        <v>0.60555555555555551</v>
      </c>
      <c r="G58" s="20" t="s">
        <v>31</v>
      </c>
      <c r="H58" s="20">
        <v>46055</v>
      </c>
      <c r="I58" s="19">
        <f t="shared" si="0"/>
        <v>-3</v>
      </c>
      <c r="J58" s="33">
        <v>46052</v>
      </c>
      <c r="K58" s="19">
        <f>2.52+2.76</f>
        <v>5.2799999999999994</v>
      </c>
      <c r="L58" s="19" t="s">
        <v>88</v>
      </c>
      <c r="N58" s="3"/>
      <c r="O58" s="3"/>
      <c r="P58" s="3"/>
    </row>
    <row r="59" spans="1:16" ht="20.100000000000001" customHeight="1" x14ac:dyDescent="0.25">
      <c r="A59" s="19" t="s">
        <v>19</v>
      </c>
      <c r="B59" s="19">
        <v>6562</v>
      </c>
      <c r="C59" s="19">
        <v>23559</v>
      </c>
      <c r="D59" s="24" t="s">
        <v>72</v>
      </c>
      <c r="E59" s="20">
        <v>46048</v>
      </c>
      <c r="F59" s="21">
        <v>0.38680555555555557</v>
      </c>
      <c r="G59" s="20" t="s">
        <v>31</v>
      </c>
      <c r="H59" s="20">
        <v>46055</v>
      </c>
      <c r="I59" s="19">
        <f t="shared" si="0"/>
        <v>-2</v>
      </c>
      <c r="J59" s="33">
        <v>46053</v>
      </c>
      <c r="K59" s="19">
        <v>3.6</v>
      </c>
      <c r="L59" s="19" t="s">
        <v>89</v>
      </c>
      <c r="M59" s="19"/>
      <c r="N59" s="19"/>
      <c r="O59" s="3"/>
      <c r="P59" s="3"/>
    </row>
    <row r="60" spans="1:16" ht="20.100000000000001" customHeight="1" x14ac:dyDescent="0.25">
      <c r="A60" s="19" t="s">
        <v>19</v>
      </c>
      <c r="B60" s="25">
        <v>6563</v>
      </c>
      <c r="C60" s="25">
        <v>23566</v>
      </c>
      <c r="D60" s="25" t="s">
        <v>23</v>
      </c>
      <c r="E60" s="26">
        <v>46048</v>
      </c>
      <c r="F60" s="27">
        <v>0.38680555555555557</v>
      </c>
      <c r="G60" s="20" t="s">
        <v>31</v>
      </c>
      <c r="H60" s="20">
        <v>46055</v>
      </c>
      <c r="I60" s="19">
        <f t="shared" si="0"/>
        <v>-3</v>
      </c>
      <c r="J60" s="33">
        <v>46052</v>
      </c>
      <c r="K60" s="25">
        <v>13.58</v>
      </c>
      <c r="L60" s="19" t="s">
        <v>90</v>
      </c>
      <c r="M60" s="25"/>
      <c r="N60" s="25"/>
      <c r="O60" s="28"/>
      <c r="P60" s="28"/>
    </row>
    <row r="61" spans="1:16" s="29" customFormat="1" ht="20.100000000000001" customHeight="1" x14ac:dyDescent="0.25">
      <c r="A61" s="19" t="s">
        <v>19</v>
      </c>
      <c r="B61" s="19">
        <v>6564</v>
      </c>
      <c r="C61" s="19">
        <v>23556</v>
      </c>
      <c r="D61" s="19" t="s">
        <v>23</v>
      </c>
      <c r="E61" s="20">
        <v>46048</v>
      </c>
      <c r="F61" s="21">
        <v>0.38680555555555557</v>
      </c>
      <c r="G61" s="20" t="s">
        <v>31</v>
      </c>
      <c r="H61" s="20">
        <v>46055</v>
      </c>
      <c r="I61" s="19">
        <f t="shared" si="0"/>
        <v>-2</v>
      </c>
      <c r="J61" s="33">
        <v>46053</v>
      </c>
      <c r="K61" s="19">
        <v>1.2</v>
      </c>
      <c r="L61" s="19" t="s">
        <v>91</v>
      </c>
      <c r="M61" s="19"/>
      <c r="N61" s="19"/>
      <c r="O61" s="3"/>
      <c r="P61" s="3"/>
    </row>
    <row r="62" spans="1:16" s="29" customFormat="1" ht="20.100000000000001" customHeight="1" x14ac:dyDescent="0.25">
      <c r="A62" s="19" t="s">
        <v>19</v>
      </c>
      <c r="B62" s="19">
        <v>6565</v>
      </c>
      <c r="C62" s="19">
        <v>23570</v>
      </c>
      <c r="D62" s="19" t="s">
        <v>23</v>
      </c>
      <c r="E62" s="20">
        <v>46048</v>
      </c>
      <c r="F62" s="21">
        <v>0.4465277777777778</v>
      </c>
      <c r="G62" s="20" t="s">
        <v>31</v>
      </c>
      <c r="H62" s="20">
        <v>46055</v>
      </c>
      <c r="I62" s="19">
        <f t="shared" si="0"/>
        <v>0</v>
      </c>
      <c r="J62" s="33">
        <v>46055</v>
      </c>
      <c r="K62" s="19">
        <v>7.35</v>
      </c>
      <c r="L62" s="19" t="s">
        <v>92</v>
      </c>
      <c r="M62" s="3"/>
      <c r="N62" s="3"/>
      <c r="O62" s="3"/>
      <c r="P62" s="3"/>
    </row>
    <row r="63" spans="1:16" s="29" customFormat="1" ht="20.100000000000001" customHeight="1" x14ac:dyDescent="0.25">
      <c r="A63" s="19" t="s">
        <v>19</v>
      </c>
      <c r="B63" s="19">
        <v>6566</v>
      </c>
      <c r="C63" s="19">
        <v>23571</v>
      </c>
      <c r="D63" s="19" t="s">
        <v>22</v>
      </c>
      <c r="E63" s="20">
        <v>46049</v>
      </c>
      <c r="F63" s="21">
        <v>0.35972222222222222</v>
      </c>
      <c r="G63" s="20" t="s">
        <v>31</v>
      </c>
      <c r="H63" s="20">
        <v>46056</v>
      </c>
      <c r="I63" s="19">
        <f t="shared" si="0"/>
        <v>-1</v>
      </c>
      <c r="J63" s="33">
        <v>46055</v>
      </c>
      <c r="K63" s="19">
        <v>7.98</v>
      </c>
      <c r="L63" s="19" t="s">
        <v>93</v>
      </c>
      <c r="M63" s="3"/>
      <c r="N63" s="3"/>
      <c r="O63" s="3"/>
      <c r="P63" s="3"/>
    </row>
    <row r="64" spans="1:16" s="29" customFormat="1" ht="20.100000000000001" customHeight="1" x14ac:dyDescent="0.25">
      <c r="A64" s="19" t="s">
        <v>19</v>
      </c>
      <c r="B64" s="19">
        <v>6567</v>
      </c>
      <c r="C64" s="19">
        <v>23574</v>
      </c>
      <c r="D64" s="19" t="s">
        <v>18</v>
      </c>
      <c r="E64" s="20">
        <v>46049</v>
      </c>
      <c r="F64" s="21">
        <v>0.38472222222222219</v>
      </c>
      <c r="G64" s="20" t="s">
        <v>31</v>
      </c>
      <c r="H64" s="20">
        <v>46056</v>
      </c>
      <c r="I64" s="19">
        <f t="shared" si="0"/>
        <v>-1</v>
      </c>
      <c r="J64" s="33">
        <v>46055</v>
      </c>
      <c r="K64" s="19">
        <v>2.09</v>
      </c>
      <c r="L64" s="19" t="s">
        <v>94</v>
      </c>
      <c r="M64" s="3"/>
      <c r="N64" s="3"/>
      <c r="O64" s="3"/>
      <c r="P64" s="3"/>
    </row>
    <row r="65" spans="1:16" s="29" customFormat="1" ht="20.100000000000001" customHeight="1" x14ac:dyDescent="0.25">
      <c r="A65" s="19" t="s">
        <v>19</v>
      </c>
      <c r="B65" s="19">
        <v>6568</v>
      </c>
      <c r="C65" s="19">
        <v>23567</v>
      </c>
      <c r="D65" s="19" t="s">
        <v>72</v>
      </c>
      <c r="E65" s="20">
        <v>46049</v>
      </c>
      <c r="F65" s="21">
        <v>0.39097222222222222</v>
      </c>
      <c r="G65" s="20" t="s">
        <v>31</v>
      </c>
      <c r="H65" s="20">
        <v>46056</v>
      </c>
      <c r="I65" s="19">
        <f t="shared" si="0"/>
        <v>1</v>
      </c>
      <c r="J65" s="35">
        <v>46057</v>
      </c>
      <c r="K65" s="19">
        <v>0.6</v>
      </c>
      <c r="L65" s="19" t="s">
        <v>115</v>
      </c>
      <c r="M65" s="3"/>
      <c r="N65" s="3"/>
      <c r="O65" s="3"/>
      <c r="P65" s="3"/>
    </row>
    <row r="66" spans="1:16" s="29" customFormat="1" ht="20.100000000000001" customHeight="1" x14ac:dyDescent="0.25">
      <c r="A66" s="19" t="s">
        <v>19</v>
      </c>
      <c r="B66" s="19">
        <v>6569</v>
      </c>
      <c r="C66" s="19">
        <v>23572</v>
      </c>
      <c r="D66" s="19" t="s">
        <v>15</v>
      </c>
      <c r="E66" s="20">
        <v>46049</v>
      </c>
      <c r="F66" s="21">
        <v>0.5805555555555556</v>
      </c>
      <c r="G66" s="20" t="s">
        <v>31</v>
      </c>
      <c r="H66" s="20">
        <v>46057</v>
      </c>
      <c r="I66" s="19">
        <f t="shared" si="0"/>
        <v>-2</v>
      </c>
      <c r="J66" s="33">
        <v>46055</v>
      </c>
      <c r="K66" s="19">
        <v>5.61</v>
      </c>
      <c r="L66" s="19" t="s">
        <v>95</v>
      </c>
      <c r="M66" s="3"/>
      <c r="N66" s="3"/>
      <c r="O66" s="3"/>
      <c r="P66" s="3"/>
    </row>
    <row r="67" spans="1:16" s="29" customFormat="1" ht="20.100000000000001" customHeight="1" x14ac:dyDescent="0.25">
      <c r="A67" s="19" t="s">
        <v>19</v>
      </c>
      <c r="B67" s="19" t="s">
        <v>96</v>
      </c>
      <c r="C67" s="19">
        <v>23580</v>
      </c>
      <c r="D67" s="19" t="s">
        <v>18</v>
      </c>
      <c r="E67" s="20">
        <v>46049</v>
      </c>
      <c r="F67" s="21">
        <v>0.7055555555555556</v>
      </c>
      <c r="G67" s="20" t="s">
        <v>31</v>
      </c>
      <c r="H67" s="20">
        <v>46059</v>
      </c>
      <c r="I67" s="19">
        <f t="shared" si="0"/>
        <v>0</v>
      </c>
      <c r="J67" s="33">
        <v>46059</v>
      </c>
      <c r="K67" s="19"/>
      <c r="L67" s="19" t="s">
        <v>98</v>
      </c>
      <c r="M67" s="3"/>
      <c r="N67" s="3"/>
      <c r="O67" s="3"/>
      <c r="P67" s="3"/>
    </row>
    <row r="68" spans="1:16" ht="20.100000000000001" customHeight="1" x14ac:dyDescent="0.25">
      <c r="A68" s="19" t="s">
        <v>19</v>
      </c>
      <c r="B68" s="19" t="s">
        <v>97</v>
      </c>
      <c r="C68" s="19">
        <v>23580</v>
      </c>
      <c r="D68" s="19" t="s">
        <v>18</v>
      </c>
      <c r="E68" s="20">
        <v>46049</v>
      </c>
      <c r="F68" s="21">
        <v>0.7055555555555556</v>
      </c>
      <c r="G68" s="20" t="s">
        <v>31</v>
      </c>
      <c r="H68" s="20">
        <v>46059</v>
      </c>
      <c r="I68" s="19">
        <f t="shared" ref="I68:I100" si="2">+J68-H68</f>
        <v>0</v>
      </c>
      <c r="J68" s="33">
        <v>46059</v>
      </c>
      <c r="K68" s="19"/>
      <c r="L68" s="19" t="s">
        <v>99</v>
      </c>
      <c r="M68" s="3"/>
      <c r="N68" s="3"/>
      <c r="O68" s="3"/>
      <c r="P68" s="3"/>
    </row>
    <row r="69" spans="1:16" ht="20.100000000000001" customHeight="1" x14ac:dyDescent="0.25">
      <c r="A69" s="19" t="s">
        <v>19</v>
      </c>
      <c r="B69" s="19">
        <v>6571</v>
      </c>
      <c r="C69" s="19">
        <v>23579</v>
      </c>
      <c r="D69" s="19" t="s">
        <v>18</v>
      </c>
      <c r="E69" s="20">
        <v>46050</v>
      </c>
      <c r="F69" s="21">
        <v>0.42777777777777781</v>
      </c>
      <c r="G69" s="20" t="s">
        <v>31</v>
      </c>
      <c r="H69" s="20">
        <v>46057</v>
      </c>
      <c r="I69" s="19">
        <f t="shared" si="2"/>
        <v>-1</v>
      </c>
      <c r="J69" s="33">
        <v>46056</v>
      </c>
      <c r="K69" s="19">
        <v>1.24</v>
      </c>
      <c r="L69" s="19" t="s">
        <v>100</v>
      </c>
      <c r="M69" s="3"/>
      <c r="N69" s="3"/>
      <c r="O69" s="3"/>
      <c r="P69" s="3"/>
    </row>
    <row r="70" spans="1:16" ht="20.100000000000001" customHeight="1" x14ac:dyDescent="0.25">
      <c r="A70" s="19" t="s">
        <v>19</v>
      </c>
      <c r="B70" s="19">
        <v>6572</v>
      </c>
      <c r="C70" s="19">
        <v>23577</v>
      </c>
      <c r="D70" s="19" t="s">
        <v>18</v>
      </c>
      <c r="E70" s="20">
        <v>46050</v>
      </c>
      <c r="F70" s="21">
        <v>0.42777777777777781</v>
      </c>
      <c r="G70" s="20" t="s">
        <v>31</v>
      </c>
      <c r="H70" s="20">
        <v>46057</v>
      </c>
      <c r="I70" s="19">
        <f t="shared" si="2"/>
        <v>0</v>
      </c>
      <c r="J70" s="43">
        <v>46057</v>
      </c>
      <c r="K70" s="19">
        <v>0.3</v>
      </c>
      <c r="L70" s="19" t="s">
        <v>101</v>
      </c>
      <c r="M70" s="3"/>
      <c r="N70" s="3"/>
      <c r="O70" s="3"/>
      <c r="P70" s="3"/>
    </row>
    <row r="71" spans="1:16" ht="20.100000000000001" customHeight="1" x14ac:dyDescent="0.25">
      <c r="A71" s="19" t="s">
        <v>19</v>
      </c>
      <c r="B71" s="19">
        <v>6573</v>
      </c>
      <c r="C71" s="19">
        <v>23578</v>
      </c>
      <c r="D71" s="19" t="s">
        <v>18</v>
      </c>
      <c r="E71" s="20">
        <v>46050</v>
      </c>
      <c r="F71" s="21">
        <v>0.43263888888888885</v>
      </c>
      <c r="G71" s="20" t="s">
        <v>31</v>
      </c>
      <c r="H71" s="20">
        <v>46057</v>
      </c>
      <c r="I71" s="19">
        <f t="shared" si="2"/>
        <v>3</v>
      </c>
      <c r="J71" s="35">
        <v>46060</v>
      </c>
      <c r="K71" s="19">
        <v>0.3</v>
      </c>
      <c r="L71" s="19" t="s">
        <v>36</v>
      </c>
      <c r="M71" s="3"/>
      <c r="N71" s="3"/>
      <c r="O71" s="3"/>
      <c r="P71" s="3"/>
    </row>
    <row r="72" spans="1:16" ht="20.100000000000001" customHeight="1" x14ac:dyDescent="0.25">
      <c r="A72" s="19" t="s">
        <v>19</v>
      </c>
      <c r="B72" s="36">
        <v>6574</v>
      </c>
      <c r="C72" s="36">
        <v>23581</v>
      </c>
      <c r="D72" s="36" t="s">
        <v>18</v>
      </c>
      <c r="E72" s="6">
        <v>46050</v>
      </c>
      <c r="F72" s="21">
        <v>0.43263888888888885</v>
      </c>
      <c r="G72" s="20" t="s">
        <v>31</v>
      </c>
      <c r="H72" s="20">
        <v>46057</v>
      </c>
      <c r="I72" s="19">
        <f t="shared" si="2"/>
        <v>-1</v>
      </c>
      <c r="J72" s="33">
        <v>46056</v>
      </c>
      <c r="K72" s="36">
        <v>0.24</v>
      </c>
      <c r="L72" s="19" t="s">
        <v>102</v>
      </c>
    </row>
    <row r="73" spans="1:16" ht="20.100000000000001" customHeight="1" x14ac:dyDescent="0.25">
      <c r="A73" s="19" t="s">
        <v>19</v>
      </c>
      <c r="B73" s="36">
        <v>6575</v>
      </c>
      <c r="C73" s="36">
        <v>23584</v>
      </c>
      <c r="D73" s="36" t="s">
        <v>15</v>
      </c>
      <c r="E73" s="6">
        <v>46051</v>
      </c>
      <c r="F73" s="40">
        <v>0.75486111111111109</v>
      </c>
      <c r="G73" s="20" t="s">
        <v>31</v>
      </c>
      <c r="H73" s="6">
        <v>46053</v>
      </c>
      <c r="I73" s="19">
        <f t="shared" si="2"/>
        <v>0</v>
      </c>
      <c r="J73" s="43">
        <v>46053</v>
      </c>
      <c r="K73" s="36">
        <v>8.4</v>
      </c>
      <c r="L73" s="39" t="s">
        <v>103</v>
      </c>
    </row>
    <row r="74" spans="1:16" ht="20.100000000000001" customHeight="1" x14ac:dyDescent="0.25">
      <c r="A74" s="19" t="s">
        <v>19</v>
      </c>
      <c r="B74" s="36">
        <v>6576</v>
      </c>
      <c r="C74" s="36">
        <v>23585</v>
      </c>
      <c r="D74" s="36" t="s">
        <v>18</v>
      </c>
      <c r="E74" s="7">
        <v>46051</v>
      </c>
      <c r="F74" s="40">
        <v>0.35694444444444445</v>
      </c>
      <c r="G74" s="20" t="s">
        <v>31</v>
      </c>
      <c r="H74" s="6">
        <v>46064</v>
      </c>
      <c r="I74" s="19">
        <f t="shared" si="2"/>
        <v>6</v>
      </c>
      <c r="J74" s="44">
        <v>46070</v>
      </c>
      <c r="K74" s="36">
        <v>1.08</v>
      </c>
      <c r="L74" s="39" t="s">
        <v>113</v>
      </c>
    </row>
    <row r="75" spans="1:16" ht="20.100000000000001" customHeight="1" x14ac:dyDescent="0.25">
      <c r="A75" s="19" t="s">
        <v>19</v>
      </c>
      <c r="B75" s="36">
        <v>6577</v>
      </c>
      <c r="C75" s="36">
        <v>23565</v>
      </c>
      <c r="D75" s="36" t="s">
        <v>34</v>
      </c>
      <c r="E75" s="6">
        <v>46051</v>
      </c>
      <c r="F75" s="40">
        <v>0.41875000000000001</v>
      </c>
      <c r="G75" s="20" t="s">
        <v>31</v>
      </c>
      <c r="H75" s="6">
        <v>46066</v>
      </c>
      <c r="I75" s="19">
        <f t="shared" si="2"/>
        <v>0</v>
      </c>
      <c r="J75" s="43">
        <v>46066</v>
      </c>
      <c r="K75" s="36">
        <v>3</v>
      </c>
      <c r="L75" s="39" t="s">
        <v>114</v>
      </c>
    </row>
    <row r="76" spans="1:16" ht="20.100000000000001" customHeight="1" x14ac:dyDescent="0.25">
      <c r="A76" s="19" t="s">
        <v>19</v>
      </c>
      <c r="B76" s="36">
        <v>6578</v>
      </c>
      <c r="C76" s="36">
        <v>23586</v>
      </c>
      <c r="D76" s="36" t="s">
        <v>22</v>
      </c>
      <c r="E76" s="6">
        <v>46051</v>
      </c>
      <c r="F76" s="40">
        <v>0.42499999999999999</v>
      </c>
      <c r="G76" s="20" t="s">
        <v>31</v>
      </c>
      <c r="H76" s="6">
        <v>46058</v>
      </c>
      <c r="I76" s="19">
        <f t="shared" si="2"/>
        <v>-1</v>
      </c>
      <c r="J76" s="43">
        <v>46057</v>
      </c>
      <c r="K76" s="36">
        <v>0.9</v>
      </c>
      <c r="L76" s="39" t="s">
        <v>104</v>
      </c>
    </row>
    <row r="77" spans="1:16" ht="20.100000000000001" customHeight="1" x14ac:dyDescent="0.25">
      <c r="A77" s="19" t="s">
        <v>19</v>
      </c>
      <c r="B77" s="36">
        <v>6579</v>
      </c>
      <c r="C77" s="36">
        <v>23589</v>
      </c>
      <c r="D77" s="36" t="s">
        <v>22</v>
      </c>
      <c r="E77" s="6">
        <v>46051</v>
      </c>
      <c r="F77" s="40">
        <v>0.4513888888888889</v>
      </c>
      <c r="G77" s="20" t="s">
        <v>31</v>
      </c>
      <c r="H77" s="6">
        <v>46058</v>
      </c>
      <c r="I77" s="19">
        <f t="shared" si="2"/>
        <v>-1</v>
      </c>
      <c r="J77" s="43">
        <v>46057</v>
      </c>
      <c r="K77" s="36">
        <v>0.8</v>
      </c>
      <c r="L77" s="39" t="s">
        <v>105</v>
      </c>
    </row>
    <row r="78" spans="1:16" ht="20.100000000000001" customHeight="1" x14ac:dyDescent="0.25">
      <c r="A78" s="19" t="s">
        <v>19</v>
      </c>
      <c r="B78" s="36">
        <v>6580</v>
      </c>
      <c r="C78" s="36">
        <v>23587</v>
      </c>
      <c r="D78" s="36" t="s">
        <v>72</v>
      </c>
      <c r="E78" s="6">
        <v>46051</v>
      </c>
      <c r="F78" s="40">
        <v>0.4513888888888889</v>
      </c>
      <c r="G78" s="20" t="s">
        <v>31</v>
      </c>
      <c r="H78" s="6">
        <v>46058</v>
      </c>
      <c r="I78" s="19">
        <f t="shared" si="2"/>
        <v>-1</v>
      </c>
      <c r="J78" s="43">
        <v>46057</v>
      </c>
      <c r="K78" s="36">
        <v>1.2</v>
      </c>
      <c r="L78" s="36" t="s">
        <v>106</v>
      </c>
    </row>
    <row r="79" spans="1:16" ht="20.100000000000001" customHeight="1" x14ac:dyDescent="0.25">
      <c r="A79" s="19" t="s">
        <v>19</v>
      </c>
      <c r="B79" s="36">
        <v>6581</v>
      </c>
      <c r="C79" s="36">
        <v>23593</v>
      </c>
      <c r="D79" s="36" t="s">
        <v>18</v>
      </c>
      <c r="E79" s="6">
        <v>46052</v>
      </c>
      <c r="F79" s="40">
        <v>0.42499999999999999</v>
      </c>
      <c r="G79" s="36"/>
      <c r="H79" s="6">
        <v>46063</v>
      </c>
      <c r="I79" s="19">
        <f t="shared" si="2"/>
        <v>-4</v>
      </c>
      <c r="J79" s="43">
        <v>46059</v>
      </c>
      <c r="K79" s="36">
        <v>2.31</v>
      </c>
      <c r="L79" s="36" t="s">
        <v>99</v>
      </c>
    </row>
    <row r="80" spans="1:16" ht="20.100000000000001" customHeight="1" x14ac:dyDescent="0.25">
      <c r="A80" s="19" t="s">
        <v>19</v>
      </c>
      <c r="B80" s="36"/>
      <c r="C80" s="36"/>
      <c r="D80" s="36"/>
      <c r="E80" s="36"/>
      <c r="F80" s="36"/>
      <c r="G80" s="36"/>
      <c r="H80" s="36"/>
      <c r="I80" s="19">
        <f t="shared" si="2"/>
        <v>0</v>
      </c>
      <c r="J80" s="38"/>
      <c r="K80" s="36"/>
      <c r="L80" s="36"/>
    </row>
    <row r="81" spans="9:10" ht="20.100000000000001" customHeight="1" x14ac:dyDescent="0.25">
      <c r="I81" s="37">
        <f t="shared" si="2"/>
        <v>0</v>
      </c>
      <c r="J81" s="32"/>
    </row>
    <row r="82" spans="9:10" ht="20.100000000000001" customHeight="1" x14ac:dyDescent="0.25">
      <c r="I82" s="19">
        <f t="shared" si="2"/>
        <v>0</v>
      </c>
      <c r="J82" s="32"/>
    </row>
    <row r="83" spans="9:10" ht="20.100000000000001" customHeight="1" x14ac:dyDescent="0.25">
      <c r="I83" s="19">
        <f t="shared" si="2"/>
        <v>0</v>
      </c>
      <c r="J83" s="32"/>
    </row>
    <row r="84" spans="9:10" ht="20.100000000000001" customHeight="1" x14ac:dyDescent="0.25">
      <c r="I84" s="19">
        <f t="shared" si="2"/>
        <v>0</v>
      </c>
      <c r="J84" s="32"/>
    </row>
    <row r="85" spans="9:10" ht="20.100000000000001" customHeight="1" x14ac:dyDescent="0.25">
      <c r="I85" s="19">
        <f t="shared" si="2"/>
        <v>0</v>
      </c>
      <c r="J85" s="32"/>
    </row>
    <row r="86" spans="9:10" ht="20.100000000000001" customHeight="1" x14ac:dyDescent="0.25">
      <c r="I86" s="19">
        <f t="shared" si="2"/>
        <v>0</v>
      </c>
      <c r="J86" s="32"/>
    </row>
    <row r="87" spans="9:10" ht="20.100000000000001" customHeight="1" x14ac:dyDescent="0.25">
      <c r="I87" s="19">
        <f t="shared" si="2"/>
        <v>0</v>
      </c>
      <c r="J87" s="32"/>
    </row>
    <row r="88" spans="9:10" ht="20.100000000000001" customHeight="1" x14ac:dyDescent="0.25">
      <c r="I88" s="19">
        <f t="shared" si="2"/>
        <v>0</v>
      </c>
      <c r="J88" s="32"/>
    </row>
    <row r="89" spans="9:10" ht="20.100000000000001" customHeight="1" x14ac:dyDescent="0.25">
      <c r="I89" s="19">
        <f t="shared" si="2"/>
        <v>0</v>
      </c>
      <c r="J89" s="32"/>
    </row>
    <row r="90" spans="9:10" ht="20.100000000000001" customHeight="1" x14ac:dyDescent="0.25">
      <c r="I90" s="19">
        <f t="shared" si="2"/>
        <v>0</v>
      </c>
      <c r="J90" s="32"/>
    </row>
    <row r="91" spans="9:10" ht="20.100000000000001" customHeight="1" x14ac:dyDescent="0.25">
      <c r="I91" s="19">
        <f t="shared" si="2"/>
        <v>0</v>
      </c>
      <c r="J91" s="32"/>
    </row>
    <row r="92" spans="9:10" ht="20.100000000000001" customHeight="1" x14ac:dyDescent="0.25">
      <c r="I92" s="19">
        <f t="shared" si="2"/>
        <v>0</v>
      </c>
      <c r="J92" s="32"/>
    </row>
    <row r="93" spans="9:10" ht="20.100000000000001" customHeight="1" x14ac:dyDescent="0.25">
      <c r="I93" s="19">
        <f t="shared" si="2"/>
        <v>0</v>
      </c>
      <c r="J93" s="32"/>
    </row>
    <row r="94" spans="9:10" ht="20.100000000000001" customHeight="1" x14ac:dyDescent="0.25">
      <c r="I94" s="19">
        <f t="shared" si="2"/>
        <v>0</v>
      </c>
      <c r="J94" s="32"/>
    </row>
    <row r="95" spans="9:10" ht="20.100000000000001" customHeight="1" x14ac:dyDescent="0.25">
      <c r="I95" s="19">
        <f t="shared" si="2"/>
        <v>0</v>
      </c>
      <c r="J95" s="32"/>
    </row>
    <row r="96" spans="9:10" ht="20.100000000000001" customHeight="1" x14ac:dyDescent="0.25">
      <c r="I96" s="19">
        <f t="shared" si="2"/>
        <v>0</v>
      </c>
    </row>
    <row r="97" spans="9:9" ht="20.100000000000001" customHeight="1" x14ac:dyDescent="0.25">
      <c r="I97" s="19">
        <f t="shared" si="2"/>
        <v>0</v>
      </c>
    </row>
    <row r="98" spans="9:9" ht="20.100000000000001" customHeight="1" x14ac:dyDescent="0.25">
      <c r="I98" s="19">
        <f t="shared" si="2"/>
        <v>0</v>
      </c>
    </row>
    <row r="99" spans="9:9" ht="20.100000000000001" customHeight="1" x14ac:dyDescent="0.25">
      <c r="I99" s="19">
        <f t="shared" si="2"/>
        <v>0</v>
      </c>
    </row>
    <row r="100" spans="9:9" ht="20.100000000000001" customHeight="1" x14ac:dyDescent="0.25">
      <c r="I100" s="19">
        <f t="shared" si="2"/>
        <v>0</v>
      </c>
    </row>
    <row r="1048257" spans="8:9" s="5" customFormat="1" x14ac:dyDescent="0.25">
      <c r="H1048257" s="6"/>
      <c r="I1048257" s="7"/>
    </row>
  </sheetData>
  <autoFilter ref="A3:P100" xr:uid="{00000000-0009-0000-0000-000000000000}"/>
  <mergeCells count="5">
    <mergeCell ref="A1:E2"/>
    <mergeCell ref="F1:G2"/>
    <mergeCell ref="H1:I2"/>
    <mergeCell ref="J1:K2"/>
    <mergeCell ref="L1:N2"/>
  </mergeCells>
  <conditionalFormatting sqref="I4:I100">
    <cfRule type="expression" dxfId="11" priority="3">
      <formula>I4:I79&lt;0</formula>
    </cfRule>
    <cfRule type="expression" dxfId="10" priority="4">
      <formula>I4:I79&gt;=0</formula>
    </cfRule>
  </conditionalFormatting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6DB45-2F9F-44E9-AD99-551EE54996C2}">
  <dimension ref="A1:P1048257"/>
  <sheetViews>
    <sheetView zoomScale="90" zoomScaleNormal="90" workbookViewId="0">
      <pane xSplit="4" ySplit="3" topLeftCell="E48" activePane="bottomRight" state="frozen"/>
      <selection pane="topRight" activeCell="E1" sqref="E1"/>
      <selection pane="bottomLeft" activeCell="A4" sqref="A4"/>
      <selection pane="bottomRight" activeCell="E30" sqref="E30"/>
    </sheetView>
  </sheetViews>
  <sheetFormatPr baseColWidth="10" defaultRowHeight="15.75" x14ac:dyDescent="0.25"/>
  <cols>
    <col min="1" max="1" width="17.5703125" style="5" bestFit="1" customWidth="1"/>
    <col min="2" max="2" width="14.7109375" style="5" bestFit="1" customWidth="1"/>
    <col min="3" max="3" width="20.7109375" style="5" bestFit="1" customWidth="1"/>
    <col min="4" max="4" width="13.28515625" style="5" bestFit="1" customWidth="1"/>
    <col min="5" max="5" width="18.42578125" style="5" bestFit="1" customWidth="1"/>
    <col min="6" max="6" width="18" style="5" bestFit="1" customWidth="1"/>
    <col min="7" max="7" width="17.5703125" style="5" bestFit="1" customWidth="1"/>
    <col min="8" max="8" width="15.28515625" style="5" bestFit="1" customWidth="1"/>
    <col min="9" max="9" width="15.28515625" style="5" customWidth="1"/>
    <col min="10" max="10" width="15" style="5" bestFit="1" customWidth="1"/>
    <col min="11" max="11" width="14.42578125" style="5" bestFit="1" customWidth="1"/>
    <col min="12" max="12" width="69.85546875" style="5" customWidth="1"/>
    <col min="13" max="13" width="15.42578125" style="5" bestFit="1" customWidth="1"/>
    <col min="14" max="14" width="16" style="5" customWidth="1"/>
    <col min="15" max="15" width="18.5703125" style="5" bestFit="1" customWidth="1"/>
    <col min="16" max="16" width="19.5703125" style="5" bestFit="1" customWidth="1"/>
    <col min="17" max="16384" width="11.42578125" style="4"/>
  </cols>
  <sheetData>
    <row r="1" spans="1:16" ht="23.25" customHeight="1" x14ac:dyDescent="0.25">
      <c r="A1" s="58"/>
      <c r="B1" s="58"/>
      <c r="C1" s="58"/>
      <c r="D1" s="58"/>
      <c r="E1" s="58"/>
      <c r="F1" s="59" t="s">
        <v>3</v>
      </c>
      <c r="G1" s="60"/>
      <c r="H1" s="61"/>
      <c r="I1" s="62"/>
      <c r="J1" s="63"/>
      <c r="K1" s="64"/>
      <c r="L1" s="67" t="s">
        <v>107</v>
      </c>
      <c r="M1" s="68"/>
      <c r="N1" s="68"/>
      <c r="O1" s="8"/>
      <c r="P1" s="9"/>
    </row>
    <row r="2" spans="1:16" ht="23.25" customHeight="1" x14ac:dyDescent="0.25">
      <c r="A2" s="58"/>
      <c r="B2" s="58"/>
      <c r="C2" s="58"/>
      <c r="D2" s="58"/>
      <c r="E2" s="58"/>
      <c r="F2" s="59"/>
      <c r="G2" s="60"/>
      <c r="H2" s="62"/>
      <c r="I2" s="62"/>
      <c r="J2" s="65"/>
      <c r="K2" s="66"/>
      <c r="L2" s="69"/>
      <c r="M2" s="69"/>
      <c r="N2" s="69"/>
      <c r="O2" s="10"/>
      <c r="P2" s="11"/>
    </row>
    <row r="3" spans="1:16" ht="31.5" x14ac:dyDescent="0.25">
      <c r="A3" s="12" t="s">
        <v>7</v>
      </c>
      <c r="B3" s="13" t="s">
        <v>6</v>
      </c>
      <c r="C3" s="14" t="s">
        <v>4</v>
      </c>
      <c r="D3" s="15" t="s">
        <v>0</v>
      </c>
      <c r="E3" s="12" t="s">
        <v>1</v>
      </c>
      <c r="F3" s="15" t="s">
        <v>2</v>
      </c>
      <c r="G3" s="12" t="s">
        <v>9</v>
      </c>
      <c r="H3" s="16" t="s">
        <v>11</v>
      </c>
      <c r="I3" s="16" t="s">
        <v>14</v>
      </c>
      <c r="J3" s="17" t="s">
        <v>10</v>
      </c>
      <c r="K3" s="16" t="s">
        <v>12</v>
      </c>
      <c r="L3" s="18" t="s">
        <v>5</v>
      </c>
      <c r="M3" s="16" t="s">
        <v>16</v>
      </c>
      <c r="N3" s="18" t="s">
        <v>13</v>
      </c>
      <c r="O3" s="1" t="s">
        <v>20</v>
      </c>
      <c r="P3" s="2" t="s">
        <v>8</v>
      </c>
    </row>
    <row r="4" spans="1:16" ht="20.100000000000001" customHeight="1" x14ac:dyDescent="0.25">
      <c r="A4" s="19" t="s">
        <v>19</v>
      </c>
      <c r="B4" s="19">
        <v>6582</v>
      </c>
      <c r="C4" s="19">
        <v>23599</v>
      </c>
      <c r="D4" s="19" t="s">
        <v>18</v>
      </c>
      <c r="E4" s="20">
        <v>46055</v>
      </c>
      <c r="F4" s="21">
        <v>0.38125000000000003</v>
      </c>
      <c r="G4" s="30" t="s">
        <v>31</v>
      </c>
      <c r="H4" s="20">
        <v>46062</v>
      </c>
      <c r="I4" s="19">
        <f t="shared" ref="I4:I24" si="0">+J4-H4</f>
        <v>0</v>
      </c>
      <c r="J4" s="33">
        <v>46062</v>
      </c>
      <c r="K4" s="22">
        <v>0.25</v>
      </c>
      <c r="L4" s="19" t="s">
        <v>108</v>
      </c>
      <c r="M4" s="19"/>
      <c r="N4" s="19"/>
      <c r="O4" s="41"/>
      <c r="P4" s="41"/>
    </row>
    <row r="5" spans="1:16" ht="20.100000000000001" customHeight="1" x14ac:dyDescent="0.25">
      <c r="A5" s="19" t="s">
        <v>19</v>
      </c>
      <c r="B5" s="19">
        <v>6583</v>
      </c>
      <c r="C5" s="19">
        <v>23598</v>
      </c>
      <c r="D5" s="19" t="s">
        <v>72</v>
      </c>
      <c r="E5" s="20">
        <v>46056</v>
      </c>
      <c r="F5" s="21">
        <v>0.49027777777777781</v>
      </c>
      <c r="G5" s="30" t="s">
        <v>31</v>
      </c>
      <c r="H5" s="20">
        <v>46063</v>
      </c>
      <c r="I5" s="19">
        <f t="shared" si="0"/>
        <v>1</v>
      </c>
      <c r="J5" s="35">
        <v>46064</v>
      </c>
      <c r="K5" s="22">
        <v>6.08</v>
      </c>
      <c r="L5" s="19" t="s">
        <v>109</v>
      </c>
      <c r="M5" s="19"/>
      <c r="N5" s="19"/>
      <c r="O5" s="41"/>
      <c r="P5" s="41"/>
    </row>
    <row r="6" spans="1:16" ht="20.100000000000001" customHeight="1" x14ac:dyDescent="0.25">
      <c r="A6" s="19" t="s">
        <v>19</v>
      </c>
      <c r="B6" s="19">
        <v>6584</v>
      </c>
      <c r="C6" s="19">
        <v>23606</v>
      </c>
      <c r="D6" s="19" t="s">
        <v>22</v>
      </c>
      <c r="E6" s="20">
        <v>46056</v>
      </c>
      <c r="F6" s="21">
        <v>0.49444444444444446</v>
      </c>
      <c r="G6" s="30" t="s">
        <v>31</v>
      </c>
      <c r="H6" s="20">
        <v>46063</v>
      </c>
      <c r="I6" s="19">
        <f t="shared" si="0"/>
        <v>1</v>
      </c>
      <c r="J6" s="35">
        <v>46064</v>
      </c>
      <c r="K6" s="22">
        <v>1.9</v>
      </c>
      <c r="L6" s="19" t="s">
        <v>110</v>
      </c>
      <c r="M6" s="19"/>
      <c r="N6" s="19"/>
      <c r="O6" s="41"/>
      <c r="P6" s="41"/>
    </row>
    <row r="7" spans="1:16" ht="20.100000000000001" customHeight="1" x14ac:dyDescent="0.25">
      <c r="A7" s="19" t="s">
        <v>19</v>
      </c>
      <c r="B7" s="19">
        <v>6585</v>
      </c>
      <c r="C7" s="19">
        <v>23594</v>
      </c>
      <c r="D7" s="19" t="s">
        <v>15</v>
      </c>
      <c r="E7" s="20">
        <v>46056</v>
      </c>
      <c r="F7" s="21">
        <v>0.70416666666666661</v>
      </c>
      <c r="G7" s="30" t="s">
        <v>31</v>
      </c>
      <c r="H7" s="20">
        <v>46064</v>
      </c>
      <c r="I7" s="19">
        <f t="shared" si="0"/>
        <v>0</v>
      </c>
      <c r="J7" s="33">
        <v>46064</v>
      </c>
      <c r="K7" s="22">
        <v>2.2000000000000002</v>
      </c>
      <c r="L7" s="19" t="s">
        <v>112</v>
      </c>
      <c r="M7" s="19"/>
      <c r="N7" s="19"/>
      <c r="O7" s="41"/>
      <c r="P7" s="41"/>
    </row>
    <row r="8" spans="1:16" ht="20.100000000000001" customHeight="1" x14ac:dyDescent="0.25">
      <c r="A8" s="19" t="s">
        <v>19</v>
      </c>
      <c r="B8" s="19">
        <v>6586</v>
      </c>
      <c r="C8" s="19">
        <v>23602</v>
      </c>
      <c r="D8" s="19" t="s">
        <v>72</v>
      </c>
      <c r="E8" s="20">
        <v>46056</v>
      </c>
      <c r="F8" s="21">
        <v>0.71111111111111114</v>
      </c>
      <c r="G8" s="30" t="s">
        <v>31</v>
      </c>
      <c r="H8" s="20">
        <v>46064</v>
      </c>
      <c r="I8" s="19">
        <f t="shared" si="0"/>
        <v>0</v>
      </c>
      <c r="J8" s="33">
        <v>46064</v>
      </c>
      <c r="K8" s="22">
        <v>1.62</v>
      </c>
      <c r="L8" s="19" t="s">
        <v>111</v>
      </c>
      <c r="M8" s="19"/>
      <c r="N8" s="19"/>
      <c r="O8" s="41"/>
      <c r="P8" s="41"/>
    </row>
    <row r="9" spans="1:16" ht="20.100000000000001" customHeight="1" x14ac:dyDescent="0.25">
      <c r="A9" s="19" t="s">
        <v>19</v>
      </c>
      <c r="B9" s="19">
        <v>6587</v>
      </c>
      <c r="C9" s="19">
        <v>23610</v>
      </c>
      <c r="D9" s="19" t="s">
        <v>15</v>
      </c>
      <c r="E9" s="20">
        <v>46058</v>
      </c>
      <c r="F9" s="21">
        <v>0.48819444444444443</v>
      </c>
      <c r="G9" s="30" t="s">
        <v>31</v>
      </c>
      <c r="H9" s="20">
        <v>46062</v>
      </c>
      <c r="I9" s="19">
        <f t="shared" si="0"/>
        <v>0</v>
      </c>
      <c r="J9" s="33">
        <v>46062</v>
      </c>
      <c r="K9" s="19">
        <v>2</v>
      </c>
      <c r="L9" s="19" t="s">
        <v>116</v>
      </c>
      <c r="M9" s="19"/>
      <c r="N9" s="19"/>
      <c r="O9" s="41"/>
      <c r="P9" s="41"/>
    </row>
    <row r="10" spans="1:16" ht="20.100000000000001" customHeight="1" x14ac:dyDescent="0.25">
      <c r="A10" s="19" t="s">
        <v>19</v>
      </c>
      <c r="B10" s="19">
        <v>6588</v>
      </c>
      <c r="C10" s="19">
        <v>23608</v>
      </c>
      <c r="D10" s="19" t="s">
        <v>72</v>
      </c>
      <c r="E10" s="20">
        <v>46058</v>
      </c>
      <c r="F10" s="21">
        <v>0.48819444444444443</v>
      </c>
      <c r="G10" s="30" t="s">
        <v>31</v>
      </c>
      <c r="H10" s="20">
        <v>46066</v>
      </c>
      <c r="I10" s="19">
        <f t="shared" si="0"/>
        <v>0</v>
      </c>
      <c r="J10" s="33">
        <v>46066</v>
      </c>
      <c r="K10" s="19">
        <v>2.4</v>
      </c>
      <c r="L10" s="19" t="s">
        <v>117</v>
      </c>
      <c r="M10" s="19"/>
      <c r="N10" s="19"/>
      <c r="O10" s="41"/>
      <c r="P10" s="41"/>
    </row>
    <row r="11" spans="1:16" ht="20.100000000000001" customHeight="1" x14ac:dyDescent="0.25">
      <c r="A11" s="19" t="s">
        <v>19</v>
      </c>
      <c r="B11" s="19">
        <v>6589</v>
      </c>
      <c r="C11" s="19">
        <v>23607</v>
      </c>
      <c r="D11" s="19" t="s">
        <v>72</v>
      </c>
      <c r="E11" s="20">
        <v>46058</v>
      </c>
      <c r="F11" s="21">
        <v>0.48819444444444443</v>
      </c>
      <c r="G11" s="30" t="s">
        <v>31</v>
      </c>
      <c r="H11" s="20">
        <v>46066</v>
      </c>
      <c r="I11" s="19">
        <f t="shared" si="0"/>
        <v>-2</v>
      </c>
      <c r="J11" s="33">
        <v>46064</v>
      </c>
      <c r="K11" s="19">
        <v>1.95</v>
      </c>
      <c r="L11" s="19" t="s">
        <v>118</v>
      </c>
      <c r="M11" s="19"/>
      <c r="N11" s="19"/>
      <c r="O11" s="41"/>
      <c r="P11" s="41"/>
    </row>
    <row r="12" spans="1:16" ht="20.100000000000001" customHeight="1" x14ac:dyDescent="0.25">
      <c r="A12" s="19" t="s">
        <v>19</v>
      </c>
      <c r="B12" s="19">
        <v>6590</v>
      </c>
      <c r="C12" s="19">
        <v>23611</v>
      </c>
      <c r="D12" s="19" t="s">
        <v>18</v>
      </c>
      <c r="E12" s="20">
        <v>46058</v>
      </c>
      <c r="F12" s="21">
        <v>0.6645833333333333</v>
      </c>
      <c r="G12" s="30" t="s">
        <v>31</v>
      </c>
      <c r="H12" s="20">
        <v>46066</v>
      </c>
      <c r="I12" s="19">
        <f t="shared" si="0"/>
        <v>0</v>
      </c>
      <c r="J12" s="33">
        <v>46066</v>
      </c>
      <c r="K12" s="19">
        <v>1.98</v>
      </c>
      <c r="L12" s="19" t="s">
        <v>119</v>
      </c>
      <c r="M12" s="19"/>
      <c r="N12" s="19"/>
      <c r="O12" s="41"/>
      <c r="P12" s="41"/>
    </row>
    <row r="13" spans="1:16" ht="20.100000000000001" customHeight="1" x14ac:dyDescent="0.25">
      <c r="A13" s="19" t="s">
        <v>19</v>
      </c>
      <c r="B13" s="19">
        <v>6591</v>
      </c>
      <c r="C13" s="19">
        <v>23613</v>
      </c>
      <c r="D13" s="19" t="s">
        <v>15</v>
      </c>
      <c r="E13" s="20">
        <v>46059</v>
      </c>
      <c r="F13" s="21">
        <v>0.42708333333333331</v>
      </c>
      <c r="G13" s="30" t="s">
        <v>31</v>
      </c>
      <c r="H13" s="20">
        <v>46066</v>
      </c>
      <c r="I13" s="19">
        <f t="shared" si="0"/>
        <v>0</v>
      </c>
      <c r="J13" s="33">
        <v>46066</v>
      </c>
      <c r="K13" s="19">
        <v>2.2400000000000002</v>
      </c>
      <c r="L13" s="19" t="s">
        <v>120</v>
      </c>
      <c r="M13" s="19"/>
      <c r="N13" s="19"/>
      <c r="O13" s="41"/>
      <c r="P13" s="41"/>
    </row>
    <row r="14" spans="1:16" ht="20.100000000000001" customHeight="1" x14ac:dyDescent="0.25">
      <c r="A14" s="19" t="s">
        <v>19</v>
      </c>
      <c r="B14" s="19">
        <v>6592</v>
      </c>
      <c r="C14" s="19">
        <v>23615</v>
      </c>
      <c r="D14" s="19" t="s">
        <v>15</v>
      </c>
      <c r="E14" s="20">
        <v>46059</v>
      </c>
      <c r="F14" s="21">
        <v>0.42708333333333331</v>
      </c>
      <c r="G14" s="30" t="s">
        <v>31</v>
      </c>
      <c r="H14" s="20">
        <v>46066</v>
      </c>
      <c r="I14" s="19">
        <f t="shared" si="0"/>
        <v>0</v>
      </c>
      <c r="J14" s="33">
        <v>46066</v>
      </c>
      <c r="K14" s="22">
        <v>1.64</v>
      </c>
      <c r="L14" s="19" t="s">
        <v>120</v>
      </c>
      <c r="M14" s="19"/>
      <c r="N14" s="19"/>
      <c r="O14" s="41"/>
      <c r="P14" s="41"/>
    </row>
    <row r="15" spans="1:16" ht="20.100000000000001" customHeight="1" x14ac:dyDescent="0.25">
      <c r="A15" s="19" t="s">
        <v>19</v>
      </c>
      <c r="B15" s="19">
        <v>6593</v>
      </c>
      <c r="C15" s="19">
        <v>23616</v>
      </c>
      <c r="D15" s="19" t="s">
        <v>72</v>
      </c>
      <c r="E15" s="20">
        <v>46059</v>
      </c>
      <c r="F15" s="21">
        <v>0.67222222222222217</v>
      </c>
      <c r="G15" s="30" t="s">
        <v>31</v>
      </c>
      <c r="H15" s="20">
        <v>46069</v>
      </c>
      <c r="I15" s="19">
        <f t="shared" si="0"/>
        <v>0</v>
      </c>
      <c r="J15" s="33">
        <v>46069</v>
      </c>
      <c r="K15" s="22">
        <f>2*1.08</f>
        <v>2.16</v>
      </c>
      <c r="L15" s="19" t="s">
        <v>138</v>
      </c>
      <c r="M15" s="19"/>
      <c r="N15" s="19"/>
      <c r="O15" s="41"/>
      <c r="P15" s="41"/>
    </row>
    <row r="16" spans="1:16" ht="20.100000000000001" customHeight="1" x14ac:dyDescent="0.25">
      <c r="A16" s="19" t="s">
        <v>19</v>
      </c>
      <c r="B16" s="19">
        <v>6594</v>
      </c>
      <c r="C16" s="19">
        <v>23492</v>
      </c>
      <c r="D16" s="19" t="s">
        <v>22</v>
      </c>
      <c r="E16" s="20">
        <v>46059</v>
      </c>
      <c r="F16" s="21">
        <v>0.67222222222222217</v>
      </c>
      <c r="G16" s="30" t="s">
        <v>31</v>
      </c>
      <c r="H16" s="20">
        <v>46069</v>
      </c>
      <c r="I16" s="19">
        <f t="shared" si="0"/>
        <v>0</v>
      </c>
      <c r="J16" s="33">
        <v>46069</v>
      </c>
      <c r="K16" s="22">
        <v>13.3</v>
      </c>
      <c r="L16" s="19" t="s">
        <v>121</v>
      </c>
      <c r="M16" s="19"/>
      <c r="N16" s="19"/>
      <c r="O16" s="41"/>
      <c r="P16" s="41"/>
    </row>
    <row r="17" spans="1:16" ht="20.100000000000001" customHeight="1" x14ac:dyDescent="0.25">
      <c r="A17" s="19" t="s">
        <v>19</v>
      </c>
      <c r="B17" s="19">
        <v>6595</v>
      </c>
      <c r="C17" s="19">
        <v>23618</v>
      </c>
      <c r="D17" s="19" t="s">
        <v>15</v>
      </c>
      <c r="E17" s="20">
        <v>46063</v>
      </c>
      <c r="F17" s="21">
        <v>0.37222222222222223</v>
      </c>
      <c r="G17" s="30" t="s">
        <v>31</v>
      </c>
      <c r="H17" s="20">
        <v>46070</v>
      </c>
      <c r="I17" s="31">
        <f t="shared" si="0"/>
        <v>0</v>
      </c>
      <c r="J17" s="33">
        <v>46070</v>
      </c>
      <c r="K17" s="22">
        <v>7.54</v>
      </c>
      <c r="L17" s="19" t="s">
        <v>122</v>
      </c>
      <c r="M17" s="19"/>
      <c r="N17" s="19"/>
      <c r="O17" s="41"/>
      <c r="P17" s="41"/>
    </row>
    <row r="18" spans="1:16" ht="20.100000000000001" customHeight="1" x14ac:dyDescent="0.25">
      <c r="A18" s="19" t="s">
        <v>29</v>
      </c>
      <c r="B18" s="23">
        <v>6596</v>
      </c>
      <c r="C18" s="19">
        <v>23627</v>
      </c>
      <c r="D18" s="19" t="s">
        <v>72</v>
      </c>
      <c r="E18" s="20">
        <v>46063</v>
      </c>
      <c r="F18" s="21">
        <v>0.38125000000000003</v>
      </c>
      <c r="G18" s="30" t="s">
        <v>31</v>
      </c>
      <c r="H18" s="20">
        <v>46070</v>
      </c>
      <c r="I18" s="31">
        <f t="shared" si="0"/>
        <v>0</v>
      </c>
      <c r="J18" s="33">
        <v>46070</v>
      </c>
      <c r="K18" s="22">
        <f>0.6*1.85</f>
        <v>1.1100000000000001</v>
      </c>
      <c r="L18" s="19" t="s">
        <v>123</v>
      </c>
      <c r="M18" s="19"/>
      <c r="N18" s="19"/>
      <c r="O18" s="41"/>
      <c r="P18" s="41"/>
    </row>
    <row r="19" spans="1:16" ht="20.100000000000001" customHeight="1" x14ac:dyDescent="0.25">
      <c r="A19" s="19" t="s">
        <v>19</v>
      </c>
      <c r="B19" s="19">
        <v>6597</v>
      </c>
      <c r="C19" s="19">
        <v>23629</v>
      </c>
      <c r="D19" s="19" t="s">
        <v>15</v>
      </c>
      <c r="E19" s="20">
        <v>46063</v>
      </c>
      <c r="F19" s="21">
        <v>0.48680555555555555</v>
      </c>
      <c r="G19" s="30" t="s">
        <v>31</v>
      </c>
      <c r="H19" s="20">
        <v>46073</v>
      </c>
      <c r="I19" s="31">
        <f t="shared" si="0"/>
        <v>4</v>
      </c>
      <c r="J19" s="35">
        <v>46077</v>
      </c>
      <c r="K19" s="22">
        <v>1.02</v>
      </c>
      <c r="L19" s="19" t="s">
        <v>21</v>
      </c>
      <c r="M19" s="19"/>
      <c r="N19" s="19"/>
      <c r="O19" s="41"/>
      <c r="P19" s="41"/>
    </row>
    <row r="20" spans="1:16" ht="20.100000000000001" customHeight="1" x14ac:dyDescent="0.25">
      <c r="A20" s="19" t="s">
        <v>19</v>
      </c>
      <c r="B20" s="19">
        <v>6598</v>
      </c>
      <c r="C20" s="19">
        <v>23631</v>
      </c>
      <c r="D20" s="19" t="s">
        <v>18</v>
      </c>
      <c r="E20" s="20">
        <v>46064</v>
      </c>
      <c r="F20" s="21">
        <v>0.33124999999999999</v>
      </c>
      <c r="G20" s="30" t="s">
        <v>31</v>
      </c>
      <c r="H20" s="20">
        <v>46071</v>
      </c>
      <c r="I20" s="31">
        <f t="shared" si="0"/>
        <v>1</v>
      </c>
      <c r="J20" s="35">
        <v>46072</v>
      </c>
      <c r="K20" s="22">
        <v>10.02</v>
      </c>
      <c r="L20" s="19" t="s">
        <v>158</v>
      </c>
      <c r="M20" s="19"/>
      <c r="N20" s="19"/>
      <c r="O20" s="41"/>
      <c r="P20" s="41"/>
    </row>
    <row r="21" spans="1:16" ht="20.100000000000001" customHeight="1" x14ac:dyDescent="0.25">
      <c r="A21" s="19" t="s">
        <v>19</v>
      </c>
      <c r="B21" s="19">
        <v>6599</v>
      </c>
      <c r="C21" s="19">
        <v>23622</v>
      </c>
      <c r="D21" s="19" t="s">
        <v>18</v>
      </c>
      <c r="E21" s="20">
        <v>46064</v>
      </c>
      <c r="F21" s="21">
        <v>0.33124999999999999</v>
      </c>
      <c r="G21" s="30" t="s">
        <v>31</v>
      </c>
      <c r="H21" s="20">
        <v>46071</v>
      </c>
      <c r="I21" s="31">
        <f t="shared" si="0"/>
        <v>2</v>
      </c>
      <c r="J21" s="35">
        <v>46073</v>
      </c>
      <c r="K21" s="22">
        <v>5.76</v>
      </c>
      <c r="L21" s="19" t="s">
        <v>124</v>
      </c>
      <c r="M21" s="19"/>
      <c r="N21" s="19"/>
      <c r="O21" s="41"/>
      <c r="P21" s="41"/>
    </row>
    <row r="22" spans="1:16" ht="20.100000000000001" customHeight="1" x14ac:dyDescent="0.25">
      <c r="A22" s="19" t="s">
        <v>19</v>
      </c>
      <c r="B22" s="19">
        <v>6600</v>
      </c>
      <c r="C22" s="19">
        <v>23624</v>
      </c>
      <c r="D22" s="19" t="s">
        <v>22</v>
      </c>
      <c r="E22" s="20">
        <v>46064</v>
      </c>
      <c r="F22" s="21">
        <v>0.33124999999999999</v>
      </c>
      <c r="G22" s="30" t="s">
        <v>31</v>
      </c>
      <c r="H22" s="20">
        <v>46071</v>
      </c>
      <c r="I22" s="31">
        <f t="shared" si="0"/>
        <v>2</v>
      </c>
      <c r="J22" s="35">
        <v>46073</v>
      </c>
      <c r="K22" s="22">
        <v>2.6</v>
      </c>
      <c r="L22" s="19" t="s">
        <v>125</v>
      </c>
      <c r="M22" s="19"/>
      <c r="N22" s="19"/>
      <c r="O22" s="41"/>
      <c r="P22" s="41"/>
    </row>
    <row r="23" spans="1:16" ht="20.100000000000001" customHeight="1" x14ac:dyDescent="0.25">
      <c r="A23" s="19" t="s">
        <v>19</v>
      </c>
      <c r="B23" s="19">
        <v>6601</v>
      </c>
      <c r="C23" s="19">
        <v>23623</v>
      </c>
      <c r="D23" s="19" t="s">
        <v>72</v>
      </c>
      <c r="E23" s="20">
        <v>46064</v>
      </c>
      <c r="F23" s="21">
        <v>0.67222222222222217</v>
      </c>
      <c r="G23" s="30" t="s">
        <v>31</v>
      </c>
      <c r="H23" s="20">
        <v>46072</v>
      </c>
      <c r="I23" s="31">
        <f t="shared" si="0"/>
        <v>0</v>
      </c>
      <c r="J23" s="33">
        <v>46072</v>
      </c>
      <c r="K23" s="22">
        <v>1.8</v>
      </c>
      <c r="L23" s="19" t="s">
        <v>126</v>
      </c>
      <c r="M23" s="19"/>
      <c r="N23" s="19"/>
      <c r="O23" s="41"/>
      <c r="P23" s="41"/>
    </row>
    <row r="24" spans="1:16" ht="20.100000000000001" customHeight="1" x14ac:dyDescent="0.25">
      <c r="A24" s="19" t="s">
        <v>19</v>
      </c>
      <c r="B24" s="19" t="s">
        <v>128</v>
      </c>
      <c r="C24" s="19">
        <v>23640</v>
      </c>
      <c r="D24" s="19" t="s">
        <v>18</v>
      </c>
      <c r="E24" s="20">
        <v>46065</v>
      </c>
      <c r="F24" s="21">
        <v>0.57986111111111105</v>
      </c>
      <c r="G24" s="30" t="s">
        <v>31</v>
      </c>
      <c r="H24" s="20">
        <v>46077</v>
      </c>
      <c r="I24" s="31">
        <f t="shared" si="0"/>
        <v>0</v>
      </c>
      <c r="J24" s="33">
        <v>46077</v>
      </c>
      <c r="K24" s="22"/>
      <c r="L24" s="19" t="s">
        <v>127</v>
      </c>
      <c r="M24" s="19"/>
      <c r="N24" s="19"/>
      <c r="O24" s="41"/>
      <c r="P24" s="41"/>
    </row>
    <row r="25" spans="1:16" ht="20.100000000000001" customHeight="1" x14ac:dyDescent="0.25">
      <c r="A25" s="19" t="s">
        <v>19</v>
      </c>
      <c r="B25" s="19" t="s">
        <v>129</v>
      </c>
      <c r="C25" s="19">
        <v>23640</v>
      </c>
      <c r="D25" s="19" t="s">
        <v>18</v>
      </c>
      <c r="E25" s="20">
        <v>46065</v>
      </c>
      <c r="F25" s="21" t="s">
        <v>131</v>
      </c>
      <c r="G25" s="30" t="s">
        <v>31</v>
      </c>
      <c r="H25" s="20">
        <v>46077</v>
      </c>
      <c r="I25" s="31">
        <f t="shared" ref="I25:I67" si="1">+J25-H25</f>
        <v>0</v>
      </c>
      <c r="J25" s="33">
        <v>46077</v>
      </c>
      <c r="K25" s="22"/>
      <c r="L25" s="19" t="s">
        <v>130</v>
      </c>
      <c r="M25" s="19"/>
      <c r="N25" s="19"/>
      <c r="O25" s="41"/>
      <c r="P25" s="41"/>
    </row>
    <row r="26" spans="1:16" ht="20.100000000000001" customHeight="1" x14ac:dyDescent="0.25">
      <c r="A26" s="19" t="s">
        <v>19</v>
      </c>
      <c r="B26" s="19">
        <v>6603</v>
      </c>
      <c r="C26" s="19">
        <v>23642</v>
      </c>
      <c r="D26" s="19" t="s">
        <v>22</v>
      </c>
      <c r="E26" s="20">
        <v>46066</v>
      </c>
      <c r="F26" s="21">
        <v>0.39583333333333331</v>
      </c>
      <c r="G26" s="30" t="s">
        <v>31</v>
      </c>
      <c r="H26" s="20">
        <v>46073</v>
      </c>
      <c r="I26" s="31">
        <f t="shared" si="1"/>
        <v>3</v>
      </c>
      <c r="J26" s="35">
        <v>46076</v>
      </c>
      <c r="K26" s="22">
        <v>3.2</v>
      </c>
      <c r="L26" s="19" t="s">
        <v>132</v>
      </c>
      <c r="M26" s="19"/>
      <c r="N26" s="19"/>
      <c r="O26" s="41"/>
      <c r="P26" s="41"/>
    </row>
    <row r="27" spans="1:16" ht="20.100000000000001" customHeight="1" x14ac:dyDescent="0.25">
      <c r="A27" s="19" t="s">
        <v>19</v>
      </c>
      <c r="B27" s="19">
        <v>6604</v>
      </c>
      <c r="C27" s="19">
        <v>23632</v>
      </c>
      <c r="D27" s="19" t="s">
        <v>15</v>
      </c>
      <c r="E27" s="20">
        <v>46066</v>
      </c>
      <c r="F27" s="21">
        <v>0.39583333333333331</v>
      </c>
      <c r="G27" s="30" t="s">
        <v>31</v>
      </c>
      <c r="H27" s="20">
        <v>46073</v>
      </c>
      <c r="I27" s="31">
        <f t="shared" si="1"/>
        <v>3</v>
      </c>
      <c r="J27" s="35">
        <v>46076</v>
      </c>
      <c r="K27" s="22">
        <v>3.3</v>
      </c>
      <c r="L27" s="19" t="s">
        <v>133</v>
      </c>
      <c r="M27" s="19"/>
      <c r="N27" s="19"/>
      <c r="O27" s="41"/>
      <c r="P27" s="41"/>
    </row>
    <row r="28" spans="1:16" ht="20.100000000000001" customHeight="1" x14ac:dyDescent="0.25">
      <c r="A28" s="19" t="s">
        <v>19</v>
      </c>
      <c r="B28" s="19">
        <v>6605</v>
      </c>
      <c r="C28" s="19">
        <v>23635</v>
      </c>
      <c r="D28" s="19" t="s">
        <v>22</v>
      </c>
      <c r="E28" s="20">
        <v>46066</v>
      </c>
      <c r="F28" s="21">
        <v>0.39861111111111108</v>
      </c>
      <c r="G28" s="30" t="s">
        <v>31</v>
      </c>
      <c r="H28" s="20">
        <v>46073</v>
      </c>
      <c r="I28" s="31">
        <f t="shared" si="1"/>
        <v>3</v>
      </c>
      <c r="J28" s="35">
        <v>46076</v>
      </c>
      <c r="K28" s="22">
        <v>1.1399999999999999</v>
      </c>
      <c r="L28" s="19" t="s">
        <v>134</v>
      </c>
      <c r="M28" s="19"/>
      <c r="N28" s="19"/>
      <c r="O28" s="41"/>
      <c r="P28" s="41"/>
    </row>
    <row r="29" spans="1:16" ht="20.100000000000001" customHeight="1" x14ac:dyDescent="0.25">
      <c r="A29" s="19" t="s">
        <v>19</v>
      </c>
      <c r="B29" s="19">
        <v>6606</v>
      </c>
      <c r="C29" s="19">
        <v>23633</v>
      </c>
      <c r="D29" s="19" t="s">
        <v>15</v>
      </c>
      <c r="E29" s="20">
        <v>46066</v>
      </c>
      <c r="F29" s="21">
        <v>0.39861111111111108</v>
      </c>
      <c r="G29" s="30" t="s">
        <v>31</v>
      </c>
      <c r="H29" s="20">
        <v>46073</v>
      </c>
      <c r="I29" s="31">
        <f t="shared" si="1"/>
        <v>0</v>
      </c>
      <c r="J29" s="33">
        <v>46073</v>
      </c>
      <c r="K29" s="22">
        <v>10.4</v>
      </c>
      <c r="L29" s="19" t="s">
        <v>135</v>
      </c>
      <c r="M29" s="19"/>
      <c r="N29" s="19"/>
      <c r="O29" s="41"/>
      <c r="P29" s="41"/>
    </row>
    <row r="30" spans="1:16" ht="20.100000000000001" customHeight="1" x14ac:dyDescent="0.25">
      <c r="A30" s="19" t="s">
        <v>19</v>
      </c>
      <c r="B30" s="19">
        <v>6607</v>
      </c>
      <c r="C30" s="19">
        <v>23636</v>
      </c>
      <c r="D30" s="19" t="s">
        <v>15</v>
      </c>
      <c r="E30" s="20">
        <v>46066</v>
      </c>
      <c r="F30" s="21">
        <v>0.43194444444444446</v>
      </c>
      <c r="G30" s="30" t="s">
        <v>31</v>
      </c>
      <c r="H30" s="20">
        <v>46073</v>
      </c>
      <c r="I30" s="31">
        <f t="shared" si="1"/>
        <v>0</v>
      </c>
      <c r="J30" s="33">
        <v>46073</v>
      </c>
      <c r="K30" s="22">
        <v>2.86</v>
      </c>
      <c r="L30" s="19" t="s">
        <v>32</v>
      </c>
      <c r="M30" s="19"/>
      <c r="N30" s="19"/>
      <c r="O30" s="41"/>
      <c r="P30" s="41"/>
    </row>
    <row r="31" spans="1:16" ht="20.100000000000001" customHeight="1" x14ac:dyDescent="0.25">
      <c r="A31" s="19" t="s">
        <v>19</v>
      </c>
      <c r="B31" s="19">
        <v>6608</v>
      </c>
      <c r="C31" s="19">
        <v>23600</v>
      </c>
      <c r="D31" s="19" t="s">
        <v>72</v>
      </c>
      <c r="E31" s="20">
        <v>46066</v>
      </c>
      <c r="F31" s="21">
        <v>0.43194444444444446</v>
      </c>
      <c r="G31" s="30" t="s">
        <v>31</v>
      </c>
      <c r="H31" s="20">
        <v>46073</v>
      </c>
      <c r="I31" s="31">
        <f t="shared" si="1"/>
        <v>0</v>
      </c>
      <c r="J31" s="33">
        <v>46073</v>
      </c>
      <c r="K31" s="22">
        <v>2.52</v>
      </c>
      <c r="L31" s="19" t="s">
        <v>136</v>
      </c>
      <c r="M31" s="19"/>
      <c r="N31" s="19"/>
      <c r="O31" s="41"/>
      <c r="P31" s="41"/>
    </row>
    <row r="32" spans="1:16" ht="20.100000000000001" customHeight="1" x14ac:dyDescent="0.25">
      <c r="A32" s="19" t="s">
        <v>19</v>
      </c>
      <c r="B32" s="19">
        <v>6609</v>
      </c>
      <c r="C32" s="19">
        <v>23638</v>
      </c>
      <c r="D32" s="19" t="s">
        <v>72</v>
      </c>
      <c r="E32" s="20">
        <v>46066</v>
      </c>
      <c r="F32" s="21">
        <v>0.43194444444444446</v>
      </c>
      <c r="G32" s="30" t="s">
        <v>31</v>
      </c>
      <c r="H32" s="20">
        <v>46073</v>
      </c>
      <c r="I32" s="31">
        <f t="shared" si="1"/>
        <v>0</v>
      </c>
      <c r="J32" s="33">
        <v>46073</v>
      </c>
      <c r="K32" s="19">
        <f>9+1.8</f>
        <v>10.8</v>
      </c>
      <c r="L32" s="19" t="s">
        <v>137</v>
      </c>
      <c r="M32" s="19"/>
      <c r="N32" s="19"/>
      <c r="O32" s="41"/>
      <c r="P32" s="41"/>
    </row>
    <row r="33" spans="1:16" ht="20.100000000000001" customHeight="1" x14ac:dyDescent="0.25">
      <c r="A33" s="19" t="s">
        <v>19</v>
      </c>
      <c r="B33" s="19">
        <v>6610</v>
      </c>
      <c r="C33" s="19">
        <v>23650</v>
      </c>
      <c r="D33" s="19" t="s">
        <v>18</v>
      </c>
      <c r="E33" s="20">
        <v>46069</v>
      </c>
      <c r="F33" s="21">
        <v>0.47569444444444442</v>
      </c>
      <c r="G33" s="30" t="s">
        <v>31</v>
      </c>
      <c r="H33" s="20">
        <v>46076</v>
      </c>
      <c r="I33" s="31">
        <f t="shared" si="1"/>
        <v>0</v>
      </c>
      <c r="J33" s="33">
        <v>46076</v>
      </c>
      <c r="K33" s="19">
        <f>2*0.55</f>
        <v>1.1000000000000001</v>
      </c>
      <c r="L33" s="19" t="s">
        <v>139</v>
      </c>
      <c r="M33" s="19"/>
      <c r="N33" s="19"/>
      <c r="O33" s="41"/>
      <c r="P33" s="41"/>
    </row>
    <row r="34" spans="1:16" ht="20.100000000000001" customHeight="1" x14ac:dyDescent="0.25">
      <c r="A34" s="19" t="s">
        <v>19</v>
      </c>
      <c r="B34" s="19">
        <v>6611</v>
      </c>
      <c r="C34" s="19">
        <v>23644</v>
      </c>
      <c r="D34" s="19" t="s">
        <v>15</v>
      </c>
      <c r="E34" s="20">
        <v>46069</v>
      </c>
      <c r="F34" s="21">
        <v>0.40416666666666662</v>
      </c>
      <c r="G34" s="30" t="s">
        <v>31</v>
      </c>
      <c r="H34" s="20">
        <v>46076</v>
      </c>
      <c r="I34" s="31">
        <f t="shared" si="1"/>
        <v>0</v>
      </c>
      <c r="J34" s="33">
        <v>46076</v>
      </c>
      <c r="K34" s="19">
        <f>1.3*0.8</f>
        <v>1.04</v>
      </c>
      <c r="L34" s="19" t="s">
        <v>140</v>
      </c>
      <c r="M34" s="19"/>
      <c r="N34" s="19"/>
      <c r="O34" s="41"/>
      <c r="P34" s="41"/>
    </row>
    <row r="35" spans="1:16" ht="20.100000000000001" customHeight="1" x14ac:dyDescent="0.25">
      <c r="A35" s="19" t="s">
        <v>19</v>
      </c>
      <c r="B35" s="19">
        <v>6612</v>
      </c>
      <c r="C35" s="19">
        <v>23647</v>
      </c>
      <c r="D35" s="20" t="s">
        <v>23</v>
      </c>
      <c r="E35" s="20">
        <v>46069</v>
      </c>
      <c r="F35" s="21">
        <v>0.40416666666666662</v>
      </c>
      <c r="G35" s="30" t="s">
        <v>31</v>
      </c>
      <c r="H35" s="20">
        <v>46076</v>
      </c>
      <c r="I35" s="31">
        <f t="shared" si="1"/>
        <v>0</v>
      </c>
      <c r="J35" s="33">
        <v>46076</v>
      </c>
      <c r="K35" s="19">
        <v>1.32</v>
      </c>
      <c r="L35" s="19" t="s">
        <v>141</v>
      </c>
      <c r="M35" s="19"/>
      <c r="N35" s="19"/>
      <c r="O35" s="41"/>
      <c r="P35" s="41"/>
    </row>
    <row r="36" spans="1:16" ht="20.100000000000001" customHeight="1" x14ac:dyDescent="0.25">
      <c r="A36" s="19" t="s">
        <v>19</v>
      </c>
      <c r="B36" s="19">
        <v>6613</v>
      </c>
      <c r="C36" s="19">
        <v>23648</v>
      </c>
      <c r="D36" s="19" t="s">
        <v>72</v>
      </c>
      <c r="E36" s="20">
        <v>46069</v>
      </c>
      <c r="F36" s="21">
        <v>0.40416666666666662</v>
      </c>
      <c r="G36" s="30" t="s">
        <v>31</v>
      </c>
      <c r="H36" s="20">
        <v>46076</v>
      </c>
      <c r="I36" s="31">
        <f t="shared" si="1"/>
        <v>0</v>
      </c>
      <c r="J36" s="33">
        <v>46076</v>
      </c>
      <c r="K36" s="19">
        <v>0.88</v>
      </c>
      <c r="L36" s="19" t="s">
        <v>142</v>
      </c>
      <c r="M36" s="19"/>
      <c r="N36" s="19"/>
      <c r="O36" s="41"/>
      <c r="P36" s="41"/>
    </row>
    <row r="37" spans="1:16" ht="20.100000000000001" customHeight="1" x14ac:dyDescent="0.25">
      <c r="A37" s="19" t="s">
        <v>19</v>
      </c>
      <c r="B37" s="19">
        <v>6614</v>
      </c>
      <c r="C37" s="19">
        <v>23643</v>
      </c>
      <c r="D37" s="19" t="s">
        <v>15</v>
      </c>
      <c r="E37" s="20">
        <v>46069</v>
      </c>
      <c r="F37" s="21">
        <v>0.4201388888888889</v>
      </c>
      <c r="G37" s="20"/>
      <c r="H37" s="20">
        <v>46078</v>
      </c>
      <c r="I37" s="31">
        <f t="shared" si="1"/>
        <v>0</v>
      </c>
      <c r="J37" s="33">
        <v>46078</v>
      </c>
      <c r="K37" s="19">
        <v>3</v>
      </c>
      <c r="L37" s="19" t="s">
        <v>143</v>
      </c>
      <c r="M37" s="19"/>
      <c r="N37" s="19"/>
      <c r="O37" s="41"/>
      <c r="P37" s="41"/>
    </row>
    <row r="38" spans="1:16" ht="20.100000000000001" customHeight="1" x14ac:dyDescent="0.25">
      <c r="A38" s="19" t="s">
        <v>19</v>
      </c>
      <c r="B38" s="19">
        <v>6615</v>
      </c>
      <c r="C38" s="19">
        <v>23645</v>
      </c>
      <c r="D38" s="19" t="s">
        <v>22</v>
      </c>
      <c r="E38" s="20">
        <v>46069</v>
      </c>
      <c r="F38" s="21">
        <v>0.66111111111111109</v>
      </c>
      <c r="G38" s="20" t="s">
        <v>31</v>
      </c>
      <c r="H38" s="20">
        <v>46077</v>
      </c>
      <c r="I38" s="31">
        <f t="shared" si="1"/>
        <v>0</v>
      </c>
      <c r="J38" s="33">
        <v>46077</v>
      </c>
      <c r="K38" s="19">
        <v>12.4</v>
      </c>
      <c r="L38" s="19" t="s">
        <v>144</v>
      </c>
      <c r="M38" s="19"/>
      <c r="N38" s="19"/>
      <c r="O38" s="41"/>
      <c r="P38" s="41"/>
    </row>
    <row r="39" spans="1:16" ht="20.100000000000001" customHeight="1" x14ac:dyDescent="0.25">
      <c r="A39" s="19" t="s">
        <v>19</v>
      </c>
      <c r="B39" s="19">
        <v>6616</v>
      </c>
      <c r="C39" s="19">
        <v>23656</v>
      </c>
      <c r="D39" s="19" t="s">
        <v>18</v>
      </c>
      <c r="E39" s="20">
        <v>46070</v>
      </c>
      <c r="F39" s="21">
        <v>0.39027777777777778</v>
      </c>
      <c r="G39" s="20" t="s">
        <v>31</v>
      </c>
      <c r="H39" s="20">
        <v>46077</v>
      </c>
      <c r="I39" s="31">
        <f t="shared" si="1"/>
        <v>1</v>
      </c>
      <c r="J39" s="35">
        <v>46078</v>
      </c>
      <c r="K39" s="19">
        <v>1.2</v>
      </c>
      <c r="L39" s="19" t="s">
        <v>102</v>
      </c>
      <c r="M39" s="19"/>
      <c r="N39" s="19"/>
      <c r="O39" s="41"/>
      <c r="P39" s="41"/>
    </row>
    <row r="40" spans="1:16" ht="20.100000000000001" customHeight="1" x14ac:dyDescent="0.25">
      <c r="A40" s="19" t="s">
        <v>19</v>
      </c>
      <c r="B40" s="19">
        <v>6617</v>
      </c>
      <c r="C40" s="19">
        <v>23654</v>
      </c>
      <c r="D40" s="19" t="s">
        <v>22</v>
      </c>
      <c r="E40" s="20">
        <v>46070</v>
      </c>
      <c r="F40" s="21">
        <v>0.39027777777777778</v>
      </c>
      <c r="G40" s="20" t="s">
        <v>31</v>
      </c>
      <c r="H40" s="20">
        <v>46077</v>
      </c>
      <c r="I40" s="31">
        <f t="shared" si="1"/>
        <v>2</v>
      </c>
      <c r="J40" s="35">
        <v>46079</v>
      </c>
      <c r="K40" s="19">
        <v>11.5</v>
      </c>
      <c r="L40" s="19" t="s">
        <v>145</v>
      </c>
      <c r="M40" s="19"/>
      <c r="N40" s="19"/>
      <c r="O40" s="41"/>
      <c r="P40" s="41"/>
    </row>
    <row r="41" spans="1:16" ht="20.100000000000001" customHeight="1" x14ac:dyDescent="0.25">
      <c r="A41" s="19" t="s">
        <v>19</v>
      </c>
      <c r="B41" s="19">
        <v>6618</v>
      </c>
      <c r="C41" s="19">
        <v>23659</v>
      </c>
      <c r="D41" s="19" t="s">
        <v>18</v>
      </c>
      <c r="E41" s="20">
        <v>46070</v>
      </c>
      <c r="F41" s="21">
        <v>0.46111111111111108</v>
      </c>
      <c r="G41" s="20" t="s">
        <v>31</v>
      </c>
      <c r="H41" s="20">
        <v>46078</v>
      </c>
      <c r="I41" s="31">
        <f t="shared" si="1"/>
        <v>-1</v>
      </c>
      <c r="J41" s="33">
        <v>46077</v>
      </c>
      <c r="K41" s="19">
        <v>2.94</v>
      </c>
      <c r="L41" s="19" t="s">
        <v>146</v>
      </c>
      <c r="M41" s="19"/>
      <c r="N41" s="19"/>
      <c r="O41" s="41"/>
      <c r="P41" s="41"/>
    </row>
    <row r="42" spans="1:16" ht="20.100000000000001" customHeight="1" x14ac:dyDescent="0.25">
      <c r="A42" s="19" t="s">
        <v>19</v>
      </c>
      <c r="B42" s="19">
        <v>6619</v>
      </c>
      <c r="C42" s="19">
        <v>23652</v>
      </c>
      <c r="D42" s="19" t="s">
        <v>72</v>
      </c>
      <c r="E42" s="20">
        <v>46071</v>
      </c>
      <c r="F42" s="21">
        <v>0.4465277777777778</v>
      </c>
      <c r="G42" s="20" t="s">
        <v>31</v>
      </c>
      <c r="H42" s="20">
        <v>46078</v>
      </c>
      <c r="I42" s="31">
        <f t="shared" si="1"/>
        <v>0</v>
      </c>
      <c r="J42" s="33">
        <v>46078</v>
      </c>
      <c r="K42" s="19">
        <f>1.33+1.71</f>
        <v>3.04</v>
      </c>
      <c r="L42" s="19" t="s">
        <v>147</v>
      </c>
      <c r="M42" s="19"/>
      <c r="N42" s="19"/>
      <c r="O42" s="41"/>
      <c r="P42" s="41"/>
    </row>
    <row r="43" spans="1:16" ht="20.100000000000001" customHeight="1" x14ac:dyDescent="0.25">
      <c r="A43" s="19" t="s">
        <v>19</v>
      </c>
      <c r="B43" s="19">
        <v>6620</v>
      </c>
      <c r="C43" s="19">
        <v>23660</v>
      </c>
      <c r="D43" s="19" t="s">
        <v>18</v>
      </c>
      <c r="E43" s="20">
        <v>46071</v>
      </c>
      <c r="F43" s="21">
        <v>0.4465277777777778</v>
      </c>
      <c r="G43" s="20" t="s">
        <v>31</v>
      </c>
      <c r="H43" s="20">
        <v>46078</v>
      </c>
      <c r="I43" s="31">
        <f t="shared" si="1"/>
        <v>0</v>
      </c>
      <c r="J43" s="33">
        <v>46078</v>
      </c>
      <c r="K43" s="19">
        <v>0.7</v>
      </c>
      <c r="L43" s="19" t="s">
        <v>148</v>
      </c>
      <c r="M43" s="19"/>
      <c r="N43" s="19"/>
      <c r="O43" s="41"/>
      <c r="P43" s="41"/>
    </row>
    <row r="44" spans="1:16" ht="20.100000000000001" customHeight="1" x14ac:dyDescent="0.25">
      <c r="A44" s="19" t="s">
        <v>19</v>
      </c>
      <c r="B44" s="19">
        <v>6621</v>
      </c>
      <c r="C44" s="19">
        <v>23655</v>
      </c>
      <c r="D44" s="19" t="s">
        <v>22</v>
      </c>
      <c r="E44" s="20">
        <v>46071</v>
      </c>
      <c r="F44" s="21">
        <v>0.4513888888888889</v>
      </c>
      <c r="G44" s="20" t="s">
        <v>31</v>
      </c>
      <c r="H44" s="20">
        <v>46078</v>
      </c>
      <c r="I44" s="31">
        <f t="shared" si="1"/>
        <v>0</v>
      </c>
      <c r="J44" s="33">
        <v>46078</v>
      </c>
      <c r="K44" s="19">
        <v>2.2000000000000002</v>
      </c>
      <c r="L44" s="19" t="s">
        <v>149</v>
      </c>
      <c r="M44" s="19"/>
      <c r="N44" s="19"/>
      <c r="O44" s="41"/>
      <c r="P44" s="41"/>
    </row>
    <row r="45" spans="1:16" ht="20.100000000000001" customHeight="1" x14ac:dyDescent="0.25">
      <c r="A45" s="19" t="s">
        <v>19</v>
      </c>
      <c r="B45" s="19">
        <v>6622</v>
      </c>
      <c r="C45" s="19">
        <v>23649</v>
      </c>
      <c r="D45" s="19" t="s">
        <v>72</v>
      </c>
      <c r="E45" s="20">
        <v>46071</v>
      </c>
      <c r="F45" s="21">
        <v>0.4513888888888889</v>
      </c>
      <c r="G45" s="20" t="s">
        <v>31</v>
      </c>
      <c r="H45" s="20">
        <v>46078</v>
      </c>
      <c r="I45" s="31">
        <f t="shared" si="1"/>
        <v>1</v>
      </c>
      <c r="J45" s="35">
        <v>46079</v>
      </c>
      <c r="K45" s="19">
        <f>2*1.08</f>
        <v>2.16</v>
      </c>
      <c r="L45" s="19" t="s">
        <v>150</v>
      </c>
      <c r="M45" s="19"/>
      <c r="N45" s="19"/>
      <c r="O45" s="41"/>
      <c r="P45" s="41"/>
    </row>
    <row r="46" spans="1:16" ht="20.100000000000001" customHeight="1" x14ac:dyDescent="0.25">
      <c r="A46" s="19" t="s">
        <v>19</v>
      </c>
      <c r="B46" s="19">
        <v>6623</v>
      </c>
      <c r="C46" s="19">
        <v>23662</v>
      </c>
      <c r="D46" s="19" t="s">
        <v>72</v>
      </c>
      <c r="E46" s="20">
        <v>46071</v>
      </c>
      <c r="F46" s="45">
        <v>0.61527777777777781</v>
      </c>
      <c r="G46" s="20" t="s">
        <v>31</v>
      </c>
      <c r="H46" s="20">
        <v>46079</v>
      </c>
      <c r="I46" s="31">
        <f t="shared" si="1"/>
        <v>1</v>
      </c>
      <c r="J46" s="35">
        <v>46080</v>
      </c>
      <c r="K46" s="19">
        <v>3.84</v>
      </c>
      <c r="L46" s="19" t="s">
        <v>151</v>
      </c>
      <c r="M46" s="19"/>
      <c r="N46" s="19"/>
      <c r="O46" s="41"/>
      <c r="P46" s="41"/>
    </row>
    <row r="47" spans="1:16" ht="20.100000000000001" customHeight="1" x14ac:dyDescent="0.25">
      <c r="A47" s="19" t="s">
        <v>19</v>
      </c>
      <c r="B47" s="19">
        <v>6624</v>
      </c>
      <c r="C47" s="19">
        <v>23379</v>
      </c>
      <c r="D47" s="19" t="s">
        <v>72</v>
      </c>
      <c r="E47" s="20">
        <v>46071</v>
      </c>
      <c r="F47" s="21">
        <v>0.61527777777777781</v>
      </c>
      <c r="G47" s="20" t="s">
        <v>31</v>
      </c>
      <c r="H47" s="20">
        <v>46079</v>
      </c>
      <c r="I47" s="31">
        <f t="shared" si="1"/>
        <v>0</v>
      </c>
      <c r="J47" s="33">
        <v>46079</v>
      </c>
      <c r="K47" s="19">
        <f>1.14+0.76</f>
        <v>1.9</v>
      </c>
      <c r="L47" s="19" t="s">
        <v>152</v>
      </c>
      <c r="M47" s="19"/>
      <c r="N47" s="19"/>
      <c r="O47" s="41"/>
      <c r="P47" s="41"/>
    </row>
    <row r="48" spans="1:16" ht="20.100000000000001" customHeight="1" x14ac:dyDescent="0.25">
      <c r="A48" s="19" t="s">
        <v>19</v>
      </c>
      <c r="B48" s="19">
        <v>6625</v>
      </c>
      <c r="C48" s="19">
        <v>23672</v>
      </c>
      <c r="D48" s="19" t="s">
        <v>18</v>
      </c>
      <c r="E48" s="20">
        <v>46072</v>
      </c>
      <c r="F48" s="21">
        <v>0.40833333333333338</v>
      </c>
      <c r="G48" s="20" t="s">
        <v>31</v>
      </c>
      <c r="H48" s="20">
        <v>46083</v>
      </c>
      <c r="I48" s="31">
        <f t="shared" si="1"/>
        <v>-4</v>
      </c>
      <c r="J48" s="33">
        <v>46079</v>
      </c>
      <c r="K48" s="19">
        <v>9.48</v>
      </c>
      <c r="L48" s="19" t="s">
        <v>153</v>
      </c>
      <c r="M48" s="19"/>
      <c r="N48" s="19"/>
      <c r="O48" s="41"/>
      <c r="P48" s="41"/>
    </row>
    <row r="49" spans="1:16" ht="20.100000000000001" customHeight="1" x14ac:dyDescent="0.25">
      <c r="A49" s="19" t="s">
        <v>19</v>
      </c>
      <c r="B49" s="19">
        <v>6626</v>
      </c>
      <c r="C49" s="19">
        <v>23673</v>
      </c>
      <c r="D49" s="19" t="s">
        <v>15</v>
      </c>
      <c r="E49" s="20">
        <v>46072</v>
      </c>
      <c r="F49" s="21">
        <v>0.49652777777777773</v>
      </c>
      <c r="G49" s="20" t="s">
        <v>31</v>
      </c>
      <c r="H49" s="20">
        <v>46080</v>
      </c>
      <c r="I49" s="31">
        <f t="shared" si="1"/>
        <v>-1</v>
      </c>
      <c r="J49" s="33">
        <v>46079</v>
      </c>
      <c r="K49" s="19">
        <v>7</v>
      </c>
      <c r="L49" s="19" t="s">
        <v>154</v>
      </c>
      <c r="M49" s="19"/>
      <c r="N49" s="19"/>
      <c r="O49" s="41"/>
      <c r="P49" s="41"/>
    </row>
    <row r="50" spans="1:16" ht="20.100000000000001" customHeight="1" x14ac:dyDescent="0.25">
      <c r="A50" s="19" t="s">
        <v>19</v>
      </c>
      <c r="B50" s="19">
        <v>6627</v>
      </c>
      <c r="C50" s="19">
        <v>23669</v>
      </c>
      <c r="D50" s="19" t="s">
        <v>15</v>
      </c>
      <c r="E50" s="20">
        <v>46072</v>
      </c>
      <c r="F50" s="21">
        <v>0.51666666666666672</v>
      </c>
      <c r="G50" s="20" t="s">
        <v>31</v>
      </c>
      <c r="H50" s="20">
        <v>46080</v>
      </c>
      <c r="I50" s="31">
        <f t="shared" si="1"/>
        <v>0</v>
      </c>
      <c r="J50" s="33">
        <v>46080</v>
      </c>
      <c r="K50" s="19">
        <v>3.62</v>
      </c>
      <c r="L50" s="19" t="s">
        <v>155</v>
      </c>
      <c r="M50" s="19"/>
      <c r="N50" s="19"/>
      <c r="O50" s="41"/>
      <c r="P50" s="41"/>
    </row>
    <row r="51" spans="1:16" ht="20.100000000000001" customHeight="1" x14ac:dyDescent="0.25">
      <c r="A51" s="19" t="s">
        <v>19</v>
      </c>
      <c r="B51" s="19">
        <v>6628</v>
      </c>
      <c r="C51" s="19">
        <v>23676</v>
      </c>
      <c r="D51" s="19" t="s">
        <v>18</v>
      </c>
      <c r="E51" s="20">
        <v>46073</v>
      </c>
      <c r="F51" s="21">
        <v>0.36805555555555558</v>
      </c>
      <c r="G51" s="20" t="s">
        <v>31</v>
      </c>
      <c r="H51" s="20">
        <v>46080</v>
      </c>
      <c r="I51" s="31">
        <f t="shared" si="1"/>
        <v>0</v>
      </c>
      <c r="J51" s="33">
        <v>46080</v>
      </c>
      <c r="K51" s="19">
        <v>5.59</v>
      </c>
      <c r="L51" s="19" t="s">
        <v>156</v>
      </c>
      <c r="M51" s="19"/>
      <c r="N51" s="19"/>
      <c r="O51" s="41"/>
      <c r="P51" s="41"/>
    </row>
    <row r="52" spans="1:16" ht="20.100000000000001" customHeight="1" x14ac:dyDescent="0.25">
      <c r="A52" s="19" t="s">
        <v>19</v>
      </c>
      <c r="B52" s="19">
        <v>6629</v>
      </c>
      <c r="C52" s="19">
        <v>23670</v>
      </c>
      <c r="D52" s="19" t="s">
        <v>22</v>
      </c>
      <c r="E52" s="20">
        <v>46073</v>
      </c>
      <c r="F52" s="21">
        <v>0.36805555555555558</v>
      </c>
      <c r="G52" s="20" t="s">
        <v>31</v>
      </c>
      <c r="H52" s="20">
        <v>46080</v>
      </c>
      <c r="I52" s="31">
        <f t="shared" si="1"/>
        <v>0</v>
      </c>
      <c r="J52" s="33">
        <v>46080</v>
      </c>
      <c r="K52" s="22">
        <v>1.44</v>
      </c>
      <c r="L52" s="19" t="s">
        <v>157</v>
      </c>
      <c r="M52" s="19"/>
      <c r="N52" s="19"/>
      <c r="O52" s="41"/>
      <c r="P52" s="41"/>
    </row>
    <row r="53" spans="1:16" ht="20.100000000000001" customHeight="1" x14ac:dyDescent="0.25">
      <c r="A53" s="19" t="s">
        <v>19</v>
      </c>
      <c r="B53" s="19">
        <v>6630</v>
      </c>
      <c r="C53" s="19">
        <v>23681</v>
      </c>
      <c r="D53" s="19" t="s">
        <v>18</v>
      </c>
      <c r="E53" s="20">
        <v>46074</v>
      </c>
      <c r="F53" s="21">
        <v>0.38611111111111113</v>
      </c>
      <c r="G53" s="20" t="s">
        <v>31</v>
      </c>
      <c r="H53" s="20">
        <v>46083</v>
      </c>
      <c r="I53" s="31">
        <f t="shared" si="1"/>
        <v>0</v>
      </c>
      <c r="J53" s="33">
        <v>46083</v>
      </c>
      <c r="K53" s="19">
        <v>2.1</v>
      </c>
      <c r="L53" s="19" t="s">
        <v>159</v>
      </c>
      <c r="M53" s="19"/>
      <c r="O53" s="41"/>
      <c r="P53" s="41"/>
    </row>
    <row r="54" spans="1:16" ht="20.100000000000001" customHeight="1" x14ac:dyDescent="0.25">
      <c r="A54" s="19" t="s">
        <v>19</v>
      </c>
      <c r="B54" s="19">
        <v>6631</v>
      </c>
      <c r="C54" s="19" t="s">
        <v>160</v>
      </c>
      <c r="D54" s="19" t="s">
        <v>22</v>
      </c>
      <c r="E54" s="20">
        <v>46074</v>
      </c>
      <c r="F54" s="21">
        <v>0.38611111111111113</v>
      </c>
      <c r="G54" s="20" t="s">
        <v>31</v>
      </c>
      <c r="H54" s="20">
        <v>46083</v>
      </c>
      <c r="I54" s="31">
        <f t="shared" si="1"/>
        <v>0</v>
      </c>
      <c r="J54" s="33">
        <v>46083</v>
      </c>
      <c r="K54" s="19">
        <v>1.4</v>
      </c>
      <c r="L54" s="19" t="s">
        <v>161</v>
      </c>
      <c r="M54" s="19"/>
      <c r="N54" s="19"/>
      <c r="O54" s="41"/>
      <c r="P54" s="41"/>
    </row>
    <row r="55" spans="1:16" ht="20.100000000000001" customHeight="1" x14ac:dyDescent="0.25">
      <c r="A55" s="19" t="s">
        <v>19</v>
      </c>
      <c r="B55" s="19">
        <v>6632</v>
      </c>
      <c r="C55" s="5">
        <v>23639</v>
      </c>
      <c r="D55" s="19" t="s">
        <v>22</v>
      </c>
      <c r="E55" s="20">
        <v>46074</v>
      </c>
      <c r="F55" s="21">
        <v>0.45277777777777778</v>
      </c>
      <c r="G55" s="20" t="s">
        <v>31</v>
      </c>
      <c r="H55" s="20">
        <v>46083</v>
      </c>
      <c r="I55" s="31">
        <f t="shared" si="1"/>
        <v>0</v>
      </c>
      <c r="J55" s="33">
        <v>46083</v>
      </c>
      <c r="K55" s="19">
        <v>1.5</v>
      </c>
      <c r="L55" s="19" t="s">
        <v>162</v>
      </c>
      <c r="M55" s="19"/>
      <c r="N55" s="19"/>
      <c r="O55" s="41"/>
      <c r="P55" s="41"/>
    </row>
    <row r="56" spans="1:16" ht="20.100000000000001" customHeight="1" x14ac:dyDescent="0.25">
      <c r="A56" s="19" t="s">
        <v>19</v>
      </c>
      <c r="B56" s="19">
        <v>6633</v>
      </c>
      <c r="C56" s="19">
        <v>23683</v>
      </c>
      <c r="D56" s="19" t="s">
        <v>72</v>
      </c>
      <c r="E56" s="20">
        <v>46076</v>
      </c>
      <c r="F56" s="21">
        <v>0.4458333333333333</v>
      </c>
      <c r="G56" s="20" t="s">
        <v>31</v>
      </c>
      <c r="H56" s="20">
        <v>46083</v>
      </c>
      <c r="I56" s="31">
        <f t="shared" si="1"/>
        <v>8</v>
      </c>
      <c r="J56" s="35">
        <v>46091</v>
      </c>
      <c r="K56" s="19"/>
      <c r="L56" s="19" t="s">
        <v>195</v>
      </c>
      <c r="M56" s="19"/>
      <c r="N56" s="19"/>
      <c r="O56" s="41"/>
      <c r="P56" s="41"/>
    </row>
    <row r="57" spans="1:16" ht="20.100000000000001" customHeight="1" x14ac:dyDescent="0.25">
      <c r="A57" s="19" t="s">
        <v>19</v>
      </c>
      <c r="B57" s="19">
        <v>6634</v>
      </c>
      <c r="C57" s="19">
        <v>23677</v>
      </c>
      <c r="D57" s="19" t="s">
        <v>18</v>
      </c>
      <c r="E57" s="20">
        <v>46078</v>
      </c>
      <c r="F57" s="21">
        <v>0.34722222222222227</v>
      </c>
      <c r="G57" s="20" t="s">
        <v>31</v>
      </c>
      <c r="H57" s="20">
        <v>46085</v>
      </c>
      <c r="I57" s="31">
        <f t="shared" si="1"/>
        <v>2</v>
      </c>
      <c r="J57" s="35">
        <v>46087</v>
      </c>
      <c r="K57" s="19">
        <v>1.2</v>
      </c>
      <c r="L57" s="19" t="s">
        <v>163</v>
      </c>
      <c r="M57" s="19"/>
      <c r="N57" s="19"/>
      <c r="O57" s="41"/>
      <c r="P57" s="41"/>
    </row>
    <row r="58" spans="1:16" ht="20.100000000000001" customHeight="1" x14ac:dyDescent="0.25">
      <c r="A58" s="19" t="s">
        <v>19</v>
      </c>
      <c r="B58" s="19">
        <v>6635</v>
      </c>
      <c r="C58" s="19">
        <v>23689</v>
      </c>
      <c r="D58" s="19" t="s">
        <v>18</v>
      </c>
      <c r="E58" s="20">
        <v>46078</v>
      </c>
      <c r="F58" s="21">
        <v>0.4909722222222222</v>
      </c>
      <c r="G58" s="20" t="s">
        <v>31</v>
      </c>
      <c r="H58" s="20">
        <v>46086</v>
      </c>
      <c r="I58" s="31">
        <f t="shared" si="1"/>
        <v>1</v>
      </c>
      <c r="J58" s="35">
        <v>46087</v>
      </c>
      <c r="K58" s="19">
        <v>2.81</v>
      </c>
      <c r="L58" s="19" t="s">
        <v>164</v>
      </c>
      <c r="N58" s="41"/>
      <c r="O58" s="41"/>
      <c r="P58" s="41"/>
    </row>
    <row r="59" spans="1:16" ht="20.100000000000001" customHeight="1" x14ac:dyDescent="0.25">
      <c r="A59" s="19" t="s">
        <v>19</v>
      </c>
      <c r="B59" s="19">
        <v>6636</v>
      </c>
      <c r="C59" s="19">
        <v>23687</v>
      </c>
      <c r="D59" s="24" t="s">
        <v>22</v>
      </c>
      <c r="E59" s="20">
        <v>46078</v>
      </c>
      <c r="F59" s="21">
        <v>0.55694444444444446</v>
      </c>
      <c r="G59" s="20" t="s">
        <v>31</v>
      </c>
      <c r="H59" s="20">
        <v>46086</v>
      </c>
      <c r="I59" s="31">
        <f t="shared" si="1"/>
        <v>1</v>
      </c>
      <c r="J59" s="35">
        <v>46087</v>
      </c>
      <c r="K59" s="19">
        <v>1.08</v>
      </c>
      <c r="L59" s="19" t="s">
        <v>165</v>
      </c>
      <c r="M59" s="19"/>
      <c r="N59" s="19"/>
      <c r="O59" s="41"/>
      <c r="P59" s="41"/>
    </row>
    <row r="60" spans="1:16" ht="20.100000000000001" customHeight="1" x14ac:dyDescent="0.25">
      <c r="A60" s="19" t="s">
        <v>19</v>
      </c>
      <c r="B60" s="25">
        <v>6637</v>
      </c>
      <c r="C60" s="25">
        <v>23693</v>
      </c>
      <c r="D60" s="25" t="s">
        <v>18</v>
      </c>
      <c r="E60" s="26">
        <v>46078</v>
      </c>
      <c r="F60" s="27">
        <v>0.67291666666666661</v>
      </c>
      <c r="G60" s="20" t="s">
        <v>31</v>
      </c>
      <c r="H60" s="20">
        <v>46086</v>
      </c>
      <c r="I60" s="31">
        <f t="shared" si="1"/>
        <v>6</v>
      </c>
      <c r="J60" s="35">
        <v>46092</v>
      </c>
      <c r="K60" s="25">
        <f>0.5*0.6</f>
        <v>0.3</v>
      </c>
      <c r="L60" s="19" t="s">
        <v>166</v>
      </c>
      <c r="M60" s="25"/>
      <c r="N60" s="25"/>
      <c r="O60" s="28"/>
      <c r="P60" s="28"/>
    </row>
    <row r="61" spans="1:16" s="29" customFormat="1" ht="20.100000000000001" customHeight="1" x14ac:dyDescent="0.25">
      <c r="A61" s="19" t="s">
        <v>19</v>
      </c>
      <c r="B61" s="19">
        <v>6638</v>
      </c>
      <c r="C61" s="19">
        <v>23695</v>
      </c>
      <c r="D61" s="19" t="s">
        <v>34</v>
      </c>
      <c r="E61" s="20">
        <v>46080</v>
      </c>
      <c r="F61" s="21">
        <v>0.38958333333333334</v>
      </c>
      <c r="G61" s="20" t="s">
        <v>31</v>
      </c>
      <c r="H61" s="20">
        <v>46087</v>
      </c>
      <c r="I61" s="31">
        <f t="shared" si="1"/>
        <v>3</v>
      </c>
      <c r="J61" s="35">
        <v>46090</v>
      </c>
      <c r="K61" s="19">
        <v>0.27</v>
      </c>
      <c r="L61" s="19" t="s">
        <v>167</v>
      </c>
      <c r="M61" s="19"/>
      <c r="N61" s="19"/>
      <c r="O61" s="41"/>
      <c r="P61" s="41"/>
    </row>
    <row r="62" spans="1:16" s="29" customFormat="1" ht="20.100000000000001" customHeight="1" x14ac:dyDescent="0.25">
      <c r="A62" s="19" t="s">
        <v>19</v>
      </c>
      <c r="B62" s="19">
        <v>6639</v>
      </c>
      <c r="C62" s="19">
        <v>23691</v>
      </c>
      <c r="D62" s="19" t="s">
        <v>72</v>
      </c>
      <c r="E62" s="20">
        <v>46080</v>
      </c>
      <c r="F62" s="21">
        <v>0.38958333333333334</v>
      </c>
      <c r="G62" s="20" t="s">
        <v>31</v>
      </c>
      <c r="H62" s="20">
        <v>46087</v>
      </c>
      <c r="I62" s="31">
        <f t="shared" si="1"/>
        <v>0</v>
      </c>
      <c r="J62" s="33">
        <v>46087</v>
      </c>
      <c r="K62" s="19">
        <v>1.6</v>
      </c>
      <c r="L62" s="19" t="s">
        <v>168</v>
      </c>
      <c r="M62" s="41"/>
      <c r="N62" s="41"/>
      <c r="O62" s="41"/>
      <c r="P62" s="41"/>
    </row>
    <row r="63" spans="1:16" s="29" customFormat="1" ht="20.100000000000001" customHeight="1" x14ac:dyDescent="0.25">
      <c r="A63" s="19" t="s">
        <v>19</v>
      </c>
      <c r="B63" s="19">
        <v>6640</v>
      </c>
      <c r="C63" s="19">
        <v>23688</v>
      </c>
      <c r="D63" s="19" t="s">
        <v>15</v>
      </c>
      <c r="E63" s="20">
        <v>46080</v>
      </c>
      <c r="F63" s="21">
        <v>0.44375000000000003</v>
      </c>
      <c r="G63" s="20" t="s">
        <v>31</v>
      </c>
      <c r="H63" s="20">
        <v>46087</v>
      </c>
      <c r="I63" s="31">
        <f t="shared" si="1"/>
        <v>0</v>
      </c>
      <c r="J63" s="33">
        <v>46087</v>
      </c>
      <c r="K63" s="19">
        <f>2*2.05</f>
        <v>4.0999999999999996</v>
      </c>
      <c r="L63" s="19" t="s">
        <v>169</v>
      </c>
      <c r="M63" s="41"/>
      <c r="N63" s="41"/>
      <c r="O63" s="41"/>
      <c r="P63" s="41"/>
    </row>
    <row r="64" spans="1:16" s="29" customFormat="1" ht="20.100000000000001" customHeight="1" x14ac:dyDescent="0.25">
      <c r="A64" s="19" t="s">
        <v>19</v>
      </c>
      <c r="B64" s="19">
        <v>6641</v>
      </c>
      <c r="C64" s="19" t="s">
        <v>170</v>
      </c>
      <c r="D64" s="19" t="s">
        <v>15</v>
      </c>
      <c r="E64" s="20">
        <v>46081</v>
      </c>
      <c r="F64" s="21">
        <v>0.41875000000000001</v>
      </c>
      <c r="G64" s="20" t="s">
        <v>31</v>
      </c>
      <c r="H64" s="20">
        <v>46090</v>
      </c>
      <c r="I64" s="31">
        <f t="shared" si="1"/>
        <v>0</v>
      </c>
      <c r="J64" s="33">
        <v>46090</v>
      </c>
      <c r="K64" s="19">
        <v>1.76</v>
      </c>
      <c r="L64" s="19" t="s">
        <v>171</v>
      </c>
      <c r="M64" s="41"/>
      <c r="N64" s="41"/>
      <c r="O64" s="41"/>
      <c r="P64" s="41"/>
    </row>
    <row r="65" spans="1:16" s="29" customFormat="1" ht="20.100000000000001" customHeight="1" x14ac:dyDescent="0.25">
      <c r="A65" s="19" t="s">
        <v>19</v>
      </c>
      <c r="B65" s="19">
        <v>6642</v>
      </c>
      <c r="C65" s="19">
        <v>23698</v>
      </c>
      <c r="D65" s="19" t="s">
        <v>72</v>
      </c>
      <c r="E65" s="20">
        <v>46081</v>
      </c>
      <c r="F65" s="21">
        <v>0.41875000000000001</v>
      </c>
      <c r="G65" s="20" t="s">
        <v>31</v>
      </c>
      <c r="H65" s="20">
        <v>46090</v>
      </c>
      <c r="I65" s="31">
        <f t="shared" si="1"/>
        <v>-3</v>
      </c>
      <c r="J65" s="33">
        <v>46087</v>
      </c>
      <c r="K65" s="19">
        <f>1.33+0.95</f>
        <v>2.2800000000000002</v>
      </c>
      <c r="L65" s="19" t="s">
        <v>172</v>
      </c>
      <c r="M65" s="41"/>
      <c r="N65" s="41"/>
      <c r="O65" s="41"/>
      <c r="P65" s="41"/>
    </row>
    <row r="66" spans="1:16" s="29" customFormat="1" ht="20.100000000000001" customHeight="1" x14ac:dyDescent="0.25">
      <c r="A66" s="19" t="s">
        <v>19</v>
      </c>
      <c r="B66" s="19">
        <v>6643</v>
      </c>
      <c r="C66" s="19">
        <v>23699</v>
      </c>
      <c r="D66" s="19" t="s">
        <v>22</v>
      </c>
      <c r="E66" s="20">
        <v>46081</v>
      </c>
      <c r="F66" s="21">
        <v>0.41944444444444445</v>
      </c>
      <c r="G66" s="20" t="s">
        <v>31</v>
      </c>
      <c r="H66" s="20">
        <v>46090</v>
      </c>
      <c r="I66" s="31">
        <f t="shared" si="1"/>
        <v>-3</v>
      </c>
      <c r="J66" s="33">
        <v>46087</v>
      </c>
      <c r="K66" s="19">
        <v>3.8</v>
      </c>
      <c r="L66" s="19" t="s">
        <v>173</v>
      </c>
      <c r="M66" s="41"/>
      <c r="N66" s="41"/>
      <c r="O66" s="41"/>
      <c r="P66" s="41"/>
    </row>
    <row r="67" spans="1:16" s="29" customFormat="1" ht="20.100000000000001" customHeight="1" x14ac:dyDescent="0.25">
      <c r="A67" s="19" t="s">
        <v>19</v>
      </c>
      <c r="B67" s="19">
        <v>6644</v>
      </c>
      <c r="C67" s="19">
        <v>23701</v>
      </c>
      <c r="D67" s="19" t="s">
        <v>22</v>
      </c>
      <c r="E67" s="20">
        <v>46081</v>
      </c>
      <c r="F67" s="21">
        <v>0.41944444444444445</v>
      </c>
      <c r="G67" s="20" t="s">
        <v>31</v>
      </c>
      <c r="H67" s="20">
        <v>46090</v>
      </c>
      <c r="I67" s="31">
        <f t="shared" si="1"/>
        <v>1</v>
      </c>
      <c r="J67" s="35">
        <v>46091</v>
      </c>
      <c r="K67" s="19">
        <v>3.61</v>
      </c>
      <c r="L67" s="19" t="s">
        <v>174</v>
      </c>
      <c r="M67" s="41"/>
      <c r="N67" s="41"/>
      <c r="O67" s="41"/>
      <c r="P67" s="41"/>
    </row>
    <row r="68" spans="1:16" ht="20.100000000000001" customHeight="1" x14ac:dyDescent="0.25">
      <c r="A68" s="19"/>
      <c r="B68" s="19"/>
      <c r="C68" s="19"/>
      <c r="D68" s="19"/>
      <c r="E68" s="20"/>
      <c r="F68" s="21"/>
      <c r="G68" s="20"/>
      <c r="H68" s="20"/>
      <c r="I68" s="31"/>
      <c r="J68" s="30"/>
      <c r="K68" s="19"/>
      <c r="L68" s="19"/>
      <c r="M68" s="41"/>
      <c r="N68" s="41"/>
      <c r="O68" s="41"/>
      <c r="P68" s="41"/>
    </row>
    <row r="69" spans="1:16" ht="20.100000000000001" customHeight="1" x14ac:dyDescent="0.25">
      <c r="A69" s="19"/>
      <c r="B69" s="19"/>
      <c r="C69" s="19"/>
      <c r="D69" s="19"/>
      <c r="E69" s="20"/>
      <c r="F69" s="21"/>
      <c r="G69" s="20"/>
      <c r="H69" s="20"/>
      <c r="I69" s="31"/>
      <c r="J69" s="31"/>
      <c r="K69" s="19"/>
      <c r="L69" s="19"/>
      <c r="M69" s="41"/>
      <c r="N69" s="41"/>
      <c r="O69" s="41"/>
      <c r="P69" s="41"/>
    </row>
    <row r="70" spans="1:16" ht="20.100000000000001" customHeight="1" x14ac:dyDescent="0.25">
      <c r="A70" s="19"/>
      <c r="B70" s="19"/>
      <c r="C70" s="19"/>
      <c r="D70" s="19"/>
      <c r="E70" s="20"/>
      <c r="F70" s="21"/>
      <c r="G70" s="20"/>
      <c r="H70" s="20"/>
      <c r="I70" s="31"/>
      <c r="J70" s="31"/>
      <c r="K70" s="19"/>
      <c r="L70" s="19"/>
      <c r="M70" s="41"/>
      <c r="N70" s="41"/>
      <c r="O70" s="41"/>
      <c r="P70" s="41"/>
    </row>
    <row r="71" spans="1:16" ht="20.100000000000001" customHeight="1" x14ac:dyDescent="0.25">
      <c r="A71" s="19"/>
      <c r="B71" s="19"/>
      <c r="C71" s="19"/>
      <c r="D71" s="19"/>
      <c r="E71" s="20"/>
      <c r="F71" s="21"/>
      <c r="G71" s="20"/>
      <c r="H71" s="20"/>
      <c r="I71" s="31"/>
      <c r="J71" s="31"/>
      <c r="K71" s="19"/>
      <c r="L71" s="19"/>
      <c r="M71" s="41"/>
      <c r="N71" s="41"/>
      <c r="O71" s="41"/>
      <c r="P71" s="41"/>
    </row>
    <row r="72" spans="1:16" ht="20.100000000000001" customHeight="1" x14ac:dyDescent="0.25">
      <c r="A72" s="19"/>
      <c r="B72" s="41"/>
      <c r="C72" s="41"/>
      <c r="D72" s="41"/>
      <c r="E72" s="6"/>
      <c r="F72" s="21"/>
      <c r="G72" s="20"/>
      <c r="H72" s="20"/>
      <c r="I72" s="31"/>
      <c r="J72" s="38"/>
      <c r="K72" s="41"/>
      <c r="L72" s="19"/>
    </row>
    <row r="73" spans="1:16" ht="20.100000000000001" customHeight="1" x14ac:dyDescent="0.25">
      <c r="A73" s="19"/>
      <c r="B73" s="41"/>
      <c r="C73" s="41"/>
      <c r="D73" s="41"/>
      <c r="E73" s="6"/>
      <c r="F73" s="40"/>
      <c r="G73" s="20"/>
      <c r="H73" s="41"/>
      <c r="I73" s="31"/>
      <c r="J73" s="38"/>
      <c r="K73" s="41"/>
      <c r="L73" s="39"/>
    </row>
    <row r="74" spans="1:16" ht="20.100000000000001" customHeight="1" x14ac:dyDescent="0.25">
      <c r="A74" s="19"/>
      <c r="B74" s="41"/>
      <c r="C74" s="41"/>
      <c r="D74" s="41"/>
      <c r="E74" s="7"/>
      <c r="F74" s="40"/>
      <c r="G74" s="20"/>
      <c r="H74" s="6"/>
      <c r="I74" s="31"/>
      <c r="J74" s="38"/>
      <c r="K74" s="41"/>
      <c r="L74" s="39"/>
    </row>
    <row r="75" spans="1:16" ht="20.100000000000001" customHeight="1" x14ac:dyDescent="0.25">
      <c r="A75" s="19"/>
      <c r="B75" s="41"/>
      <c r="C75" s="41"/>
      <c r="D75" s="41"/>
      <c r="E75" s="6"/>
      <c r="F75" s="40"/>
      <c r="G75" s="20"/>
      <c r="H75" s="6"/>
      <c r="I75" s="31"/>
      <c r="J75" s="38"/>
      <c r="K75" s="41"/>
      <c r="L75" s="39"/>
    </row>
    <row r="76" spans="1:16" ht="20.100000000000001" customHeight="1" x14ac:dyDescent="0.25">
      <c r="A76" s="19"/>
      <c r="B76" s="41"/>
      <c r="C76" s="41"/>
      <c r="D76" s="41"/>
      <c r="E76" s="6"/>
      <c r="F76" s="40"/>
      <c r="G76" s="20"/>
      <c r="H76" s="6"/>
      <c r="I76" s="31"/>
      <c r="J76" s="38"/>
      <c r="K76" s="41"/>
      <c r="L76" s="39"/>
    </row>
    <row r="77" spans="1:16" ht="20.100000000000001" customHeight="1" x14ac:dyDescent="0.25">
      <c r="A77" s="19"/>
      <c r="B77" s="41"/>
      <c r="C77" s="41"/>
      <c r="D77" s="41"/>
      <c r="E77" s="6"/>
      <c r="F77" s="40"/>
      <c r="G77" s="20"/>
      <c r="H77" s="6"/>
      <c r="I77" s="31"/>
      <c r="J77" s="38"/>
      <c r="K77" s="41"/>
      <c r="L77" s="41"/>
    </row>
    <row r="78" spans="1:16" ht="20.100000000000001" customHeight="1" x14ac:dyDescent="0.25">
      <c r="A78" s="19"/>
      <c r="B78" s="41"/>
      <c r="C78" s="41"/>
      <c r="D78" s="41"/>
      <c r="E78" s="6"/>
      <c r="F78" s="40"/>
      <c r="G78" s="20"/>
      <c r="H78" s="6"/>
      <c r="I78" s="31"/>
      <c r="J78" s="38"/>
      <c r="K78" s="41"/>
      <c r="L78" s="41"/>
    </row>
    <row r="79" spans="1:16" ht="20.100000000000001" customHeight="1" x14ac:dyDescent="0.25">
      <c r="A79" s="19"/>
      <c r="B79" s="41"/>
      <c r="C79" s="41"/>
      <c r="D79" s="41"/>
      <c r="E79" s="41"/>
      <c r="F79" s="41"/>
      <c r="G79" s="41"/>
      <c r="H79" s="41"/>
      <c r="I79" s="31"/>
      <c r="J79" s="38"/>
      <c r="K79" s="41"/>
      <c r="L79" s="41"/>
    </row>
    <row r="80" spans="1:16" ht="20.100000000000001" customHeight="1" x14ac:dyDescent="0.25">
      <c r="A80" s="19"/>
      <c r="B80" s="41"/>
      <c r="C80" s="41"/>
      <c r="D80" s="41"/>
      <c r="E80" s="41"/>
      <c r="F80" s="41"/>
      <c r="G80" s="41"/>
      <c r="H80" s="41"/>
      <c r="I80" s="31"/>
      <c r="J80" s="38"/>
      <c r="K80" s="41"/>
      <c r="L80" s="41"/>
    </row>
    <row r="81" spans="9:10" ht="20.100000000000001" customHeight="1" x14ac:dyDescent="0.25">
      <c r="I81" s="42"/>
      <c r="J81" s="32"/>
    </row>
    <row r="82" spans="9:10" ht="20.100000000000001" customHeight="1" x14ac:dyDescent="0.25">
      <c r="I82" s="31"/>
      <c r="J82" s="32"/>
    </row>
    <row r="83" spans="9:10" ht="20.100000000000001" customHeight="1" x14ac:dyDescent="0.25">
      <c r="I83" s="31"/>
      <c r="J83" s="32"/>
    </row>
    <row r="84" spans="9:10" ht="20.100000000000001" customHeight="1" x14ac:dyDescent="0.25">
      <c r="I84" s="31"/>
      <c r="J84" s="32"/>
    </row>
    <row r="85" spans="9:10" ht="20.100000000000001" customHeight="1" x14ac:dyDescent="0.25">
      <c r="I85" s="31"/>
      <c r="J85" s="32"/>
    </row>
    <row r="86" spans="9:10" ht="20.100000000000001" customHeight="1" x14ac:dyDescent="0.25">
      <c r="I86" s="31"/>
      <c r="J86" s="32"/>
    </row>
    <row r="87" spans="9:10" ht="20.100000000000001" customHeight="1" x14ac:dyDescent="0.25">
      <c r="I87" s="31"/>
      <c r="J87" s="32"/>
    </row>
    <row r="88" spans="9:10" ht="20.100000000000001" customHeight="1" x14ac:dyDescent="0.25">
      <c r="I88" s="31"/>
      <c r="J88" s="32"/>
    </row>
    <row r="89" spans="9:10" ht="20.100000000000001" customHeight="1" x14ac:dyDescent="0.25">
      <c r="I89" s="31"/>
      <c r="J89" s="32"/>
    </row>
    <row r="90" spans="9:10" ht="20.100000000000001" customHeight="1" x14ac:dyDescent="0.25">
      <c r="I90" s="31"/>
      <c r="J90" s="32"/>
    </row>
    <row r="91" spans="9:10" ht="20.100000000000001" customHeight="1" x14ac:dyDescent="0.25">
      <c r="I91" s="31"/>
      <c r="J91" s="32"/>
    </row>
    <row r="92" spans="9:10" ht="20.100000000000001" customHeight="1" x14ac:dyDescent="0.25">
      <c r="I92" s="31"/>
      <c r="J92" s="32"/>
    </row>
    <row r="93" spans="9:10" ht="20.100000000000001" customHeight="1" x14ac:dyDescent="0.25">
      <c r="I93" s="31"/>
      <c r="J93" s="32"/>
    </row>
    <row r="94" spans="9:10" ht="20.100000000000001" customHeight="1" x14ac:dyDescent="0.25">
      <c r="I94" s="31"/>
      <c r="J94" s="32"/>
    </row>
    <row r="95" spans="9:10" ht="20.100000000000001" customHeight="1" x14ac:dyDescent="0.25">
      <c r="I95" s="31"/>
      <c r="J95" s="32"/>
    </row>
    <row r="96" spans="9:10" ht="20.100000000000001" customHeight="1" x14ac:dyDescent="0.25">
      <c r="I96" s="31"/>
      <c r="J96" s="32"/>
    </row>
    <row r="97" spans="9:10" ht="20.100000000000001" customHeight="1" x14ac:dyDescent="0.25">
      <c r="I97" s="31"/>
      <c r="J97" s="32"/>
    </row>
    <row r="98" spans="9:10" ht="20.100000000000001" customHeight="1" x14ac:dyDescent="0.25">
      <c r="I98" s="31"/>
      <c r="J98" s="32"/>
    </row>
    <row r="99" spans="9:10" ht="20.100000000000001" customHeight="1" x14ac:dyDescent="0.25">
      <c r="I99" s="31"/>
      <c r="J99" s="32"/>
    </row>
    <row r="100" spans="9:10" ht="20.100000000000001" customHeight="1" x14ac:dyDescent="0.25">
      <c r="I100" s="31"/>
      <c r="J100" s="32"/>
    </row>
    <row r="101" spans="9:10" x14ac:dyDescent="0.25">
      <c r="I101" s="32"/>
      <c r="J101" s="32"/>
    </row>
    <row r="1048257" spans="8:9" s="5" customFormat="1" x14ac:dyDescent="0.25">
      <c r="H1048257" s="6"/>
      <c r="I1048257" s="7"/>
    </row>
  </sheetData>
  <autoFilter ref="A3:P71" xr:uid="{00000000-0009-0000-0000-000000000000}"/>
  <mergeCells count="5">
    <mergeCell ref="A1:E2"/>
    <mergeCell ref="F1:G2"/>
    <mergeCell ref="H1:I2"/>
    <mergeCell ref="J1:K2"/>
    <mergeCell ref="L1:N2"/>
  </mergeCells>
  <conditionalFormatting sqref="I4:I100">
    <cfRule type="expression" dxfId="9" priority="1">
      <formula>I4:I79&lt;0</formula>
    </cfRule>
    <cfRule type="expression" dxfId="8" priority="2">
      <formula>I4:I79&gt;=0</formula>
    </cfRule>
  </conditionalFormatting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EFEE1-A970-4EF1-A533-08F2ADCDC1EA}">
  <dimension ref="A1:P1048256"/>
  <sheetViews>
    <sheetView zoomScale="90" zoomScaleNormal="90" workbookViewId="0">
      <pane xSplit="4" ySplit="3" topLeftCell="E65" activePane="bottomRight" state="frozen"/>
      <selection pane="topRight" activeCell="E1" sqref="E1"/>
      <selection pane="bottomLeft" activeCell="A4" sqref="A4"/>
      <selection pane="bottomRight" activeCell="J87" sqref="J87"/>
    </sheetView>
  </sheetViews>
  <sheetFormatPr baseColWidth="10" defaultRowHeight="15.75" x14ac:dyDescent="0.25"/>
  <cols>
    <col min="1" max="1" width="17.5703125" style="5" bestFit="1" customWidth="1"/>
    <col min="2" max="2" width="14.7109375" style="5" bestFit="1" customWidth="1"/>
    <col min="3" max="3" width="20.7109375" style="5" bestFit="1" customWidth="1"/>
    <col min="4" max="4" width="13.28515625" style="5" bestFit="1" customWidth="1"/>
    <col min="5" max="5" width="18.42578125" style="5" bestFit="1" customWidth="1"/>
    <col min="6" max="6" width="18" style="5" bestFit="1" customWidth="1"/>
    <col min="7" max="7" width="17.5703125" style="5" bestFit="1" customWidth="1"/>
    <col min="8" max="8" width="15.28515625" style="5" bestFit="1" customWidth="1"/>
    <col min="9" max="9" width="15.28515625" style="5" customWidth="1"/>
    <col min="10" max="10" width="15" style="5" bestFit="1" customWidth="1"/>
    <col min="11" max="11" width="14.42578125" style="5" bestFit="1" customWidth="1"/>
    <col min="12" max="12" width="79.28515625" style="5" customWidth="1"/>
    <col min="13" max="13" width="15.42578125" style="5" bestFit="1" customWidth="1"/>
    <col min="14" max="14" width="16" style="5" customWidth="1"/>
    <col min="15" max="15" width="18.5703125" style="5" bestFit="1" customWidth="1"/>
    <col min="16" max="16" width="19.5703125" style="5" bestFit="1" customWidth="1"/>
    <col min="17" max="16384" width="11.42578125" style="4"/>
  </cols>
  <sheetData>
    <row r="1" spans="1:16" ht="23.25" customHeight="1" x14ac:dyDescent="0.25">
      <c r="A1" s="58"/>
      <c r="B1" s="58"/>
      <c r="C1" s="58"/>
      <c r="D1" s="58"/>
      <c r="E1" s="58"/>
      <c r="F1" s="59" t="s">
        <v>3</v>
      </c>
      <c r="G1" s="60"/>
      <c r="H1" s="61"/>
      <c r="I1" s="62"/>
      <c r="J1" s="63"/>
      <c r="K1" s="64"/>
      <c r="L1" s="67" t="s">
        <v>254</v>
      </c>
      <c r="M1" s="68"/>
      <c r="N1" s="68"/>
      <c r="O1" s="8"/>
      <c r="P1" s="9"/>
    </row>
    <row r="2" spans="1:16" ht="23.25" customHeight="1" x14ac:dyDescent="0.25">
      <c r="A2" s="58"/>
      <c r="B2" s="58"/>
      <c r="C2" s="58"/>
      <c r="D2" s="58"/>
      <c r="E2" s="58"/>
      <c r="F2" s="59"/>
      <c r="G2" s="60"/>
      <c r="H2" s="62"/>
      <c r="I2" s="62"/>
      <c r="J2" s="65"/>
      <c r="K2" s="66"/>
      <c r="L2" s="69"/>
      <c r="M2" s="69"/>
      <c r="N2" s="69"/>
      <c r="O2" s="10"/>
      <c r="P2" s="11"/>
    </row>
    <row r="3" spans="1:16" ht="31.5" x14ac:dyDescent="0.25">
      <c r="A3" s="12" t="s">
        <v>7</v>
      </c>
      <c r="B3" s="13" t="s">
        <v>6</v>
      </c>
      <c r="C3" s="14" t="s">
        <v>4</v>
      </c>
      <c r="D3" s="15" t="s">
        <v>0</v>
      </c>
      <c r="E3" s="12" t="s">
        <v>1</v>
      </c>
      <c r="F3" s="15" t="s">
        <v>2</v>
      </c>
      <c r="G3" s="12" t="s">
        <v>9</v>
      </c>
      <c r="H3" s="16" t="s">
        <v>11</v>
      </c>
      <c r="I3" s="16" t="s">
        <v>14</v>
      </c>
      <c r="J3" s="17" t="s">
        <v>10</v>
      </c>
      <c r="K3" s="16" t="s">
        <v>12</v>
      </c>
      <c r="L3" s="18" t="s">
        <v>5</v>
      </c>
      <c r="M3" s="16" t="s">
        <v>16</v>
      </c>
      <c r="N3" s="18" t="s">
        <v>13</v>
      </c>
      <c r="O3" s="1" t="s">
        <v>20</v>
      </c>
      <c r="P3" s="2" t="s">
        <v>8</v>
      </c>
    </row>
    <row r="4" spans="1:16" ht="20.100000000000001" customHeight="1" x14ac:dyDescent="0.25">
      <c r="A4" s="19" t="s">
        <v>19</v>
      </c>
      <c r="B4" s="19">
        <v>6645</v>
      </c>
      <c r="C4" s="19">
        <v>23704</v>
      </c>
      <c r="D4" s="19" t="s">
        <v>18</v>
      </c>
      <c r="E4" s="20">
        <v>46083</v>
      </c>
      <c r="F4" s="21">
        <v>0.6020833333333333</v>
      </c>
      <c r="G4" s="30" t="s">
        <v>31</v>
      </c>
      <c r="H4" s="20">
        <v>46106</v>
      </c>
      <c r="I4" s="19">
        <f t="shared" ref="I4:I66" si="0">+J4-H4</f>
        <v>0</v>
      </c>
      <c r="J4" s="33">
        <v>46106</v>
      </c>
      <c r="K4" s="22"/>
      <c r="L4" s="47" t="s">
        <v>181</v>
      </c>
      <c r="M4" s="19"/>
      <c r="N4" s="19"/>
      <c r="O4" s="46"/>
      <c r="P4" s="46"/>
    </row>
    <row r="5" spans="1:16" ht="20.100000000000001" customHeight="1" x14ac:dyDescent="0.25">
      <c r="A5" s="19" t="s">
        <v>19</v>
      </c>
      <c r="B5" s="19">
        <v>6646</v>
      </c>
      <c r="C5" s="19">
        <v>23711</v>
      </c>
      <c r="D5" s="19" t="s">
        <v>22</v>
      </c>
      <c r="E5" s="20">
        <v>46084</v>
      </c>
      <c r="F5" s="21">
        <v>0.44305555555555554</v>
      </c>
      <c r="G5" s="30" t="s">
        <v>31</v>
      </c>
      <c r="H5" s="20">
        <v>46091</v>
      </c>
      <c r="I5" s="19">
        <f t="shared" si="0"/>
        <v>0</v>
      </c>
      <c r="J5" s="33">
        <v>46091</v>
      </c>
      <c r="K5" s="22"/>
      <c r="L5" s="19" t="s">
        <v>175</v>
      </c>
      <c r="M5" s="19"/>
      <c r="N5" s="19"/>
      <c r="O5" s="46"/>
      <c r="P5" s="46"/>
    </row>
    <row r="6" spans="1:16" ht="20.100000000000001" customHeight="1" x14ac:dyDescent="0.25">
      <c r="A6" s="19" t="s">
        <v>19</v>
      </c>
      <c r="B6" s="19">
        <v>6647</v>
      </c>
      <c r="C6" s="19">
        <v>23705</v>
      </c>
      <c r="D6" s="19" t="s">
        <v>72</v>
      </c>
      <c r="E6" s="20">
        <v>46084</v>
      </c>
      <c r="F6" s="21">
        <v>0.44305555555555554</v>
      </c>
      <c r="G6" s="30" t="s">
        <v>31</v>
      </c>
      <c r="H6" s="20">
        <v>46091</v>
      </c>
      <c r="I6" s="19">
        <f t="shared" si="0"/>
        <v>0</v>
      </c>
      <c r="J6" s="33">
        <v>46091</v>
      </c>
      <c r="K6" s="22">
        <v>0.84</v>
      </c>
      <c r="L6" s="19" t="s">
        <v>176</v>
      </c>
      <c r="M6" s="19"/>
      <c r="N6" s="19"/>
      <c r="O6" s="46"/>
      <c r="P6" s="46"/>
    </row>
    <row r="7" spans="1:16" ht="20.100000000000001" customHeight="1" x14ac:dyDescent="0.25">
      <c r="A7" s="19" t="s">
        <v>19</v>
      </c>
      <c r="B7" s="19">
        <v>6648</v>
      </c>
      <c r="C7" s="19">
        <v>23709</v>
      </c>
      <c r="D7" s="19" t="s">
        <v>22</v>
      </c>
      <c r="E7" s="20">
        <v>46084</v>
      </c>
      <c r="F7" s="21">
        <v>0.44305555555555554</v>
      </c>
      <c r="G7" s="30" t="s">
        <v>31</v>
      </c>
      <c r="H7" s="20">
        <v>46091</v>
      </c>
      <c r="I7" s="19">
        <f t="shared" si="0"/>
        <v>0</v>
      </c>
      <c r="J7" s="33">
        <v>46091</v>
      </c>
      <c r="K7" s="22">
        <v>1.08</v>
      </c>
      <c r="L7" s="19" t="s">
        <v>177</v>
      </c>
      <c r="M7" s="19"/>
      <c r="N7" s="19"/>
      <c r="O7" s="46"/>
      <c r="P7" s="46"/>
    </row>
    <row r="8" spans="1:16" ht="20.100000000000001" customHeight="1" x14ac:dyDescent="0.25">
      <c r="A8" s="19" t="s">
        <v>19</v>
      </c>
      <c r="B8" s="19">
        <v>6649</v>
      </c>
      <c r="C8" s="19">
        <v>23713</v>
      </c>
      <c r="D8" s="19" t="s">
        <v>72</v>
      </c>
      <c r="E8" s="20">
        <v>46084</v>
      </c>
      <c r="F8" s="21">
        <v>0.4458333333333333</v>
      </c>
      <c r="G8" s="30" t="s">
        <v>31</v>
      </c>
      <c r="H8" s="20">
        <v>46091</v>
      </c>
      <c r="I8" s="19">
        <f t="shared" si="0"/>
        <v>0</v>
      </c>
      <c r="J8" s="33">
        <v>46091</v>
      </c>
      <c r="K8" s="22">
        <v>1.44</v>
      </c>
      <c r="L8" s="19" t="s">
        <v>178</v>
      </c>
      <c r="M8" s="19"/>
      <c r="N8" s="19"/>
      <c r="O8" s="46"/>
      <c r="P8" s="46"/>
    </row>
    <row r="9" spans="1:16" ht="20.100000000000001" customHeight="1" x14ac:dyDescent="0.25">
      <c r="A9" s="19" t="s">
        <v>19</v>
      </c>
      <c r="B9" s="19">
        <v>6650</v>
      </c>
      <c r="C9" s="19">
        <v>23694</v>
      </c>
      <c r="D9" s="19" t="s">
        <v>22</v>
      </c>
      <c r="E9" s="20">
        <v>46084</v>
      </c>
      <c r="F9" s="21">
        <v>0.4458333333333333</v>
      </c>
      <c r="G9" s="30" t="s">
        <v>31</v>
      </c>
      <c r="H9" s="20">
        <v>46091</v>
      </c>
      <c r="I9" s="19">
        <f t="shared" si="0"/>
        <v>0</v>
      </c>
      <c r="J9" s="33">
        <v>46091</v>
      </c>
      <c r="K9" s="19">
        <f>1.9+1.5</f>
        <v>3.4</v>
      </c>
      <c r="L9" s="19" t="s">
        <v>179</v>
      </c>
      <c r="M9" s="19"/>
      <c r="N9" s="19"/>
      <c r="O9" s="46"/>
      <c r="P9" s="46"/>
    </row>
    <row r="10" spans="1:16" ht="20.100000000000001" customHeight="1" x14ac:dyDescent="0.25">
      <c r="A10" s="19" t="s">
        <v>19</v>
      </c>
      <c r="B10" s="19">
        <v>6651</v>
      </c>
      <c r="C10" s="19">
        <v>23708</v>
      </c>
      <c r="D10" s="19" t="s">
        <v>72</v>
      </c>
      <c r="E10" s="20">
        <v>46084</v>
      </c>
      <c r="F10" s="21">
        <v>0.41666666666666669</v>
      </c>
      <c r="G10" s="30" t="s">
        <v>31</v>
      </c>
      <c r="H10" s="20">
        <v>46091</v>
      </c>
      <c r="I10" s="19">
        <f t="shared" si="0"/>
        <v>0</v>
      </c>
      <c r="J10" s="33">
        <v>46091</v>
      </c>
      <c r="K10" s="19">
        <f>1.08+0.54</f>
        <v>1.62</v>
      </c>
      <c r="L10" s="19" t="s">
        <v>172</v>
      </c>
      <c r="M10" s="19"/>
      <c r="N10" s="19"/>
      <c r="O10" s="46"/>
      <c r="P10" s="46"/>
    </row>
    <row r="11" spans="1:16" ht="20.100000000000001" customHeight="1" x14ac:dyDescent="0.25">
      <c r="A11" s="19" t="s">
        <v>19</v>
      </c>
      <c r="B11" s="19">
        <v>6652</v>
      </c>
      <c r="C11" s="19">
        <v>23715</v>
      </c>
      <c r="D11" s="19" t="s">
        <v>72</v>
      </c>
      <c r="E11" s="20">
        <v>46084</v>
      </c>
      <c r="F11" s="21">
        <v>0.41666666666666669</v>
      </c>
      <c r="G11" s="30" t="s">
        <v>31</v>
      </c>
      <c r="H11" s="20">
        <v>46091</v>
      </c>
      <c r="I11" s="19">
        <f t="shared" si="0"/>
        <v>0</v>
      </c>
      <c r="J11" s="33">
        <v>46091</v>
      </c>
      <c r="K11" s="19"/>
      <c r="L11" s="19" t="s">
        <v>180</v>
      </c>
      <c r="M11" s="19"/>
      <c r="N11" s="19"/>
      <c r="O11" s="46"/>
      <c r="P11" s="46"/>
    </row>
    <row r="12" spans="1:16" ht="20.100000000000001" customHeight="1" x14ac:dyDescent="0.25">
      <c r="A12" s="19" t="s">
        <v>19</v>
      </c>
      <c r="B12" s="19" t="s">
        <v>182</v>
      </c>
      <c r="C12" s="19">
        <v>23704</v>
      </c>
      <c r="D12" s="19" t="s">
        <v>18</v>
      </c>
      <c r="E12" s="20">
        <v>46084</v>
      </c>
      <c r="F12" s="21">
        <v>0.6020833333333333</v>
      </c>
      <c r="G12" s="30" t="s">
        <v>31</v>
      </c>
      <c r="H12" s="20">
        <v>46106</v>
      </c>
      <c r="I12" s="19">
        <f t="shared" si="0"/>
        <v>0</v>
      </c>
      <c r="J12" s="33">
        <v>46106</v>
      </c>
      <c r="K12" s="19"/>
      <c r="L12" s="47" t="s">
        <v>188</v>
      </c>
      <c r="M12" s="19"/>
      <c r="N12" s="19"/>
      <c r="O12" s="46"/>
      <c r="P12" s="46"/>
    </row>
    <row r="13" spans="1:16" ht="20.100000000000001" customHeight="1" x14ac:dyDescent="0.25">
      <c r="A13" s="19" t="s">
        <v>19</v>
      </c>
      <c r="B13" s="19">
        <v>6654</v>
      </c>
      <c r="C13" s="19">
        <v>23718</v>
      </c>
      <c r="D13" s="19" t="s">
        <v>15</v>
      </c>
      <c r="E13" s="20">
        <v>46084</v>
      </c>
      <c r="F13" s="21">
        <v>0.63194444444444442</v>
      </c>
      <c r="G13" s="30" t="s">
        <v>31</v>
      </c>
      <c r="H13" s="20">
        <v>46092</v>
      </c>
      <c r="I13" s="19">
        <f t="shared" si="0"/>
        <v>-1</v>
      </c>
      <c r="J13" s="33">
        <v>46091</v>
      </c>
      <c r="K13" s="22">
        <v>4.4800000000000004</v>
      </c>
      <c r="L13" s="19" t="s">
        <v>183</v>
      </c>
      <c r="M13" s="19"/>
      <c r="N13" s="19"/>
      <c r="O13" s="46"/>
      <c r="P13" s="46"/>
    </row>
    <row r="14" spans="1:16" ht="20.100000000000001" customHeight="1" x14ac:dyDescent="0.25">
      <c r="A14" s="19" t="s">
        <v>19</v>
      </c>
      <c r="B14" s="19">
        <v>6655</v>
      </c>
      <c r="C14" s="19">
        <v>23714</v>
      </c>
      <c r="D14" s="19" t="s">
        <v>22</v>
      </c>
      <c r="E14" s="20">
        <v>46084</v>
      </c>
      <c r="F14" s="21">
        <v>0.6694444444444444</v>
      </c>
      <c r="G14" s="30" t="s">
        <v>31</v>
      </c>
      <c r="H14" s="20">
        <v>46092</v>
      </c>
      <c r="I14" s="19">
        <f t="shared" si="0"/>
        <v>0</v>
      </c>
      <c r="J14" s="33">
        <v>46092</v>
      </c>
      <c r="K14" s="22">
        <v>0.36</v>
      </c>
      <c r="L14" s="19" t="s">
        <v>184</v>
      </c>
      <c r="M14" s="19"/>
      <c r="N14" s="19"/>
      <c r="O14" s="46"/>
      <c r="P14" s="46"/>
    </row>
    <row r="15" spans="1:16" ht="20.100000000000001" customHeight="1" x14ac:dyDescent="0.25">
      <c r="A15" s="19" t="s">
        <v>19</v>
      </c>
      <c r="B15" s="19">
        <v>6656</v>
      </c>
      <c r="C15" s="19">
        <v>23721</v>
      </c>
      <c r="D15" s="19" t="s">
        <v>18</v>
      </c>
      <c r="E15" s="20">
        <v>46085</v>
      </c>
      <c r="F15" s="21">
        <v>0.49374999999999997</v>
      </c>
      <c r="G15" s="30" t="s">
        <v>31</v>
      </c>
      <c r="H15" s="20">
        <v>46093</v>
      </c>
      <c r="I15" s="19">
        <f t="shared" si="0"/>
        <v>-2</v>
      </c>
      <c r="J15" s="33">
        <v>46091</v>
      </c>
      <c r="K15" s="22">
        <v>2.4</v>
      </c>
      <c r="L15" s="19" t="s">
        <v>185</v>
      </c>
      <c r="M15" s="19"/>
      <c r="N15" s="19"/>
      <c r="O15" s="46"/>
      <c r="P15" s="46"/>
    </row>
    <row r="16" spans="1:16" ht="20.100000000000001" customHeight="1" x14ac:dyDescent="0.25">
      <c r="A16" s="19" t="s">
        <v>19</v>
      </c>
      <c r="B16" s="19">
        <v>6657</v>
      </c>
      <c r="C16" s="19">
        <v>23725</v>
      </c>
      <c r="D16" s="19" t="s">
        <v>18</v>
      </c>
      <c r="E16" s="20">
        <v>46086</v>
      </c>
      <c r="F16" s="21">
        <v>0.38611111111111113</v>
      </c>
      <c r="G16" s="30" t="s">
        <v>31</v>
      </c>
      <c r="H16" s="20">
        <v>46093</v>
      </c>
      <c r="I16" s="19">
        <f t="shared" si="0"/>
        <v>-1</v>
      </c>
      <c r="J16" s="33">
        <v>46092</v>
      </c>
      <c r="K16" s="22">
        <v>0.55000000000000004</v>
      </c>
      <c r="L16" s="19" t="s">
        <v>186</v>
      </c>
      <c r="M16" s="19"/>
      <c r="N16" s="19"/>
      <c r="O16" s="46"/>
      <c r="P16" s="46"/>
    </row>
    <row r="17" spans="1:16" ht="20.100000000000001" customHeight="1" x14ac:dyDescent="0.25">
      <c r="A17" s="19" t="s">
        <v>19</v>
      </c>
      <c r="B17" s="23">
        <v>6658</v>
      </c>
      <c r="C17" s="19">
        <v>23724</v>
      </c>
      <c r="D17" s="19" t="s">
        <v>22</v>
      </c>
      <c r="E17" s="20">
        <v>46086</v>
      </c>
      <c r="F17" s="21">
        <v>0.38611111111111113</v>
      </c>
      <c r="G17" s="30" t="s">
        <v>31</v>
      </c>
      <c r="H17" s="20">
        <v>46093</v>
      </c>
      <c r="I17" s="19">
        <f t="shared" si="0"/>
        <v>1</v>
      </c>
      <c r="J17" s="35">
        <v>46094</v>
      </c>
      <c r="K17" s="22">
        <v>1.26</v>
      </c>
      <c r="L17" s="19" t="s">
        <v>187</v>
      </c>
      <c r="M17" s="19"/>
      <c r="N17" s="19"/>
      <c r="O17" s="46"/>
      <c r="P17" s="46"/>
    </row>
    <row r="18" spans="1:16" ht="20.100000000000001" customHeight="1" x14ac:dyDescent="0.25">
      <c r="A18" s="19" t="s">
        <v>19</v>
      </c>
      <c r="B18" s="19">
        <v>6659</v>
      </c>
      <c r="C18" s="19">
        <v>23737</v>
      </c>
      <c r="D18" s="19" t="s">
        <v>72</v>
      </c>
      <c r="E18" s="20">
        <v>46087</v>
      </c>
      <c r="F18" s="21">
        <v>0.61875000000000002</v>
      </c>
      <c r="G18" s="30" t="s">
        <v>31</v>
      </c>
      <c r="H18" s="20">
        <v>46097</v>
      </c>
      <c r="I18" s="19">
        <f t="shared" si="0"/>
        <v>-2</v>
      </c>
      <c r="J18" s="33">
        <v>46095</v>
      </c>
      <c r="K18" s="22"/>
      <c r="L18" s="19" t="s">
        <v>189</v>
      </c>
      <c r="M18" s="19"/>
      <c r="N18" s="19"/>
      <c r="O18" s="46"/>
      <c r="P18" s="46"/>
    </row>
    <row r="19" spans="1:16" ht="20.100000000000001" customHeight="1" x14ac:dyDescent="0.25">
      <c r="A19" s="19" t="s">
        <v>19</v>
      </c>
      <c r="B19" s="19">
        <v>6660</v>
      </c>
      <c r="C19" s="19">
        <v>23728</v>
      </c>
      <c r="D19" s="19" t="s">
        <v>15</v>
      </c>
      <c r="E19" s="20">
        <v>46087</v>
      </c>
      <c r="F19" s="21">
        <v>0.62430555555555556</v>
      </c>
      <c r="G19" s="30" t="s">
        <v>31</v>
      </c>
      <c r="H19" s="20">
        <v>46097</v>
      </c>
      <c r="I19" s="19">
        <f t="shared" si="0"/>
        <v>0</v>
      </c>
      <c r="J19" s="33">
        <v>46097</v>
      </c>
      <c r="K19" s="22"/>
      <c r="L19" s="19" t="s">
        <v>190</v>
      </c>
      <c r="M19" s="19"/>
      <c r="N19" s="19"/>
      <c r="O19" s="46"/>
      <c r="P19" s="46"/>
    </row>
    <row r="20" spans="1:16" ht="20.100000000000001" customHeight="1" x14ac:dyDescent="0.25">
      <c r="A20" s="19" t="s">
        <v>19</v>
      </c>
      <c r="B20" s="19">
        <v>6661</v>
      </c>
      <c r="C20" s="19">
        <v>23716</v>
      </c>
      <c r="D20" s="19" t="s">
        <v>72</v>
      </c>
      <c r="E20" s="20">
        <v>46088</v>
      </c>
      <c r="F20" s="21">
        <v>0.44166666666666665</v>
      </c>
      <c r="G20" s="30" t="s">
        <v>31</v>
      </c>
      <c r="H20" s="20">
        <v>46097</v>
      </c>
      <c r="I20" s="19">
        <f t="shared" si="0"/>
        <v>-2</v>
      </c>
      <c r="J20" s="33">
        <v>46095</v>
      </c>
      <c r="K20" s="22">
        <f>1.52+1.52+1.5</f>
        <v>4.54</v>
      </c>
      <c r="L20" s="19" t="s">
        <v>191</v>
      </c>
      <c r="M20" s="19"/>
      <c r="N20" s="19"/>
      <c r="O20" s="46"/>
      <c r="P20" s="46"/>
    </row>
    <row r="21" spans="1:16" ht="20.100000000000001" customHeight="1" x14ac:dyDescent="0.25">
      <c r="A21" s="19" t="s">
        <v>19</v>
      </c>
      <c r="B21" s="19">
        <v>6662</v>
      </c>
      <c r="C21" s="19">
        <v>23723</v>
      </c>
      <c r="D21" s="19" t="s">
        <v>72</v>
      </c>
      <c r="E21" s="20">
        <v>46088</v>
      </c>
      <c r="F21" s="21">
        <v>0.44166666666666665</v>
      </c>
      <c r="G21" s="30" t="s">
        <v>31</v>
      </c>
      <c r="H21" s="20">
        <v>46097</v>
      </c>
      <c r="I21" s="19">
        <f t="shared" si="0"/>
        <v>0</v>
      </c>
      <c r="J21" s="33">
        <v>46097</v>
      </c>
      <c r="K21" s="22">
        <f>4.56+2.3+3.45</f>
        <v>10.309999999999999</v>
      </c>
      <c r="L21" s="19" t="s">
        <v>192</v>
      </c>
      <c r="M21" s="19"/>
      <c r="N21" s="19"/>
      <c r="O21" s="46"/>
      <c r="P21" s="46"/>
    </row>
    <row r="22" spans="1:16" ht="20.100000000000001" customHeight="1" x14ac:dyDescent="0.25">
      <c r="A22" s="19" t="s">
        <v>19</v>
      </c>
      <c r="B22" s="19">
        <v>6663</v>
      </c>
      <c r="C22" s="19">
        <v>23735</v>
      </c>
      <c r="D22" s="19" t="s">
        <v>72</v>
      </c>
      <c r="E22" s="20">
        <v>46088</v>
      </c>
      <c r="F22" s="21">
        <v>0.44375000000000003</v>
      </c>
      <c r="G22" s="30" t="s">
        <v>31</v>
      </c>
      <c r="H22" s="20">
        <v>46097</v>
      </c>
      <c r="I22" s="19">
        <f t="shared" si="0"/>
        <v>0</v>
      </c>
      <c r="J22" s="33">
        <v>46097</v>
      </c>
      <c r="K22" s="22">
        <v>1.68</v>
      </c>
      <c r="L22" s="19" t="s">
        <v>193</v>
      </c>
      <c r="M22" s="19"/>
      <c r="N22" s="19"/>
      <c r="O22" s="46"/>
      <c r="P22" s="46"/>
    </row>
    <row r="23" spans="1:16" ht="20.100000000000001" customHeight="1" x14ac:dyDescent="0.25">
      <c r="A23" s="19" t="s">
        <v>19</v>
      </c>
      <c r="B23" s="19">
        <v>6664</v>
      </c>
      <c r="C23" s="19">
        <v>23731</v>
      </c>
      <c r="D23" s="19" t="s">
        <v>194</v>
      </c>
      <c r="E23" s="20">
        <v>46088</v>
      </c>
      <c r="F23" s="21">
        <v>0.44375000000000003</v>
      </c>
      <c r="G23" s="30" t="s">
        <v>31</v>
      </c>
      <c r="H23" s="20">
        <v>46097</v>
      </c>
      <c r="I23" s="19">
        <f t="shared" si="0"/>
        <v>4</v>
      </c>
      <c r="J23" s="35">
        <v>46101</v>
      </c>
      <c r="K23" s="22">
        <f>1.44+2.15+2.52</f>
        <v>6.1099999999999994</v>
      </c>
      <c r="L23" s="19" t="s">
        <v>231</v>
      </c>
      <c r="M23" s="19"/>
      <c r="N23" s="19"/>
      <c r="O23" s="46"/>
      <c r="P23" s="46"/>
    </row>
    <row r="24" spans="1:16" ht="20.100000000000001" customHeight="1" x14ac:dyDescent="0.25">
      <c r="A24" s="19" t="s">
        <v>19</v>
      </c>
      <c r="B24" s="19">
        <v>6665</v>
      </c>
      <c r="C24" s="19">
        <v>23742</v>
      </c>
      <c r="D24" s="19" t="s">
        <v>15</v>
      </c>
      <c r="E24" s="20">
        <v>46090</v>
      </c>
      <c r="F24" s="21">
        <v>0.37638888888888888</v>
      </c>
      <c r="G24" s="30" t="s">
        <v>31</v>
      </c>
      <c r="H24" s="20">
        <v>46097</v>
      </c>
      <c r="I24" s="19">
        <f t="shared" si="0"/>
        <v>-2</v>
      </c>
      <c r="J24" s="33">
        <v>46095</v>
      </c>
      <c r="K24" s="22">
        <v>2.48</v>
      </c>
      <c r="L24" s="19" t="s">
        <v>32</v>
      </c>
      <c r="M24" s="19"/>
      <c r="N24" s="19"/>
      <c r="O24" s="46"/>
      <c r="P24" s="46"/>
    </row>
    <row r="25" spans="1:16" ht="20.100000000000001" customHeight="1" x14ac:dyDescent="0.25">
      <c r="A25" s="19" t="s">
        <v>19</v>
      </c>
      <c r="B25" s="19">
        <v>6666</v>
      </c>
      <c r="C25" s="19">
        <v>23690</v>
      </c>
      <c r="D25" s="19" t="s">
        <v>72</v>
      </c>
      <c r="E25" s="20">
        <v>46090</v>
      </c>
      <c r="F25" s="21">
        <v>0.48680555555555555</v>
      </c>
      <c r="G25" s="30" t="s">
        <v>31</v>
      </c>
      <c r="H25" s="20">
        <v>46098</v>
      </c>
      <c r="I25" s="19">
        <f t="shared" si="0"/>
        <v>-3</v>
      </c>
      <c r="J25" s="33">
        <v>46095</v>
      </c>
      <c r="K25" s="22">
        <f>4*1.26</f>
        <v>5.04</v>
      </c>
      <c r="L25" s="19" t="s">
        <v>196</v>
      </c>
      <c r="M25" s="19"/>
      <c r="N25" s="19"/>
      <c r="O25" s="46"/>
      <c r="P25" s="46"/>
    </row>
    <row r="26" spans="1:16" ht="20.100000000000001" customHeight="1" x14ac:dyDescent="0.25">
      <c r="A26" s="19" t="s">
        <v>19</v>
      </c>
      <c r="B26" s="19">
        <v>6667</v>
      </c>
      <c r="C26" s="19">
        <v>23730</v>
      </c>
      <c r="D26" s="19" t="s">
        <v>72</v>
      </c>
      <c r="E26" s="20">
        <v>46090</v>
      </c>
      <c r="F26" s="21">
        <v>0.48680555555555555</v>
      </c>
      <c r="G26" s="30" t="s">
        <v>31</v>
      </c>
      <c r="H26" s="20">
        <v>46098</v>
      </c>
      <c r="I26" s="19">
        <f t="shared" si="0"/>
        <v>-3</v>
      </c>
      <c r="J26" s="33">
        <v>46095</v>
      </c>
      <c r="K26" s="22">
        <f>2*1.14+2*1.33</f>
        <v>4.9399999999999995</v>
      </c>
      <c r="L26" s="19" t="s">
        <v>197</v>
      </c>
      <c r="M26" s="19"/>
      <c r="N26" s="19"/>
      <c r="O26" s="46"/>
      <c r="P26" s="46"/>
    </row>
    <row r="27" spans="1:16" ht="20.100000000000001" customHeight="1" x14ac:dyDescent="0.25">
      <c r="A27" s="19" t="s">
        <v>19</v>
      </c>
      <c r="B27" s="19">
        <v>6668</v>
      </c>
      <c r="C27" s="19">
        <v>23746</v>
      </c>
      <c r="D27" s="19" t="s">
        <v>18</v>
      </c>
      <c r="E27" s="20">
        <v>46090</v>
      </c>
      <c r="F27" s="21">
        <v>0.55833333333333335</v>
      </c>
      <c r="G27" s="30" t="s">
        <v>31</v>
      </c>
      <c r="H27" s="20">
        <v>46098</v>
      </c>
      <c r="I27" s="19">
        <f t="shared" si="0"/>
        <v>-1</v>
      </c>
      <c r="J27" s="33">
        <v>46097</v>
      </c>
      <c r="K27" s="22">
        <v>4</v>
      </c>
      <c r="L27" s="19" t="s">
        <v>198</v>
      </c>
      <c r="M27" s="19"/>
      <c r="N27" s="19"/>
      <c r="O27" s="46"/>
      <c r="P27" s="46"/>
    </row>
    <row r="28" spans="1:16" ht="20.100000000000001" customHeight="1" x14ac:dyDescent="0.25">
      <c r="A28" s="19" t="s">
        <v>19</v>
      </c>
      <c r="B28" s="19">
        <v>6669</v>
      </c>
      <c r="C28" s="19">
        <v>23747</v>
      </c>
      <c r="D28" s="19" t="s">
        <v>18</v>
      </c>
      <c r="E28" s="20">
        <v>46090</v>
      </c>
      <c r="F28" s="21">
        <v>0.67708333333333337</v>
      </c>
      <c r="G28" s="30" t="s">
        <v>31</v>
      </c>
      <c r="H28" s="20">
        <v>46098</v>
      </c>
      <c r="I28" s="19">
        <f t="shared" si="0"/>
        <v>1</v>
      </c>
      <c r="J28" s="35">
        <v>46099</v>
      </c>
      <c r="K28" s="22">
        <v>0.69</v>
      </c>
      <c r="L28" s="19" t="s">
        <v>199</v>
      </c>
      <c r="M28" s="19"/>
      <c r="N28" s="19"/>
      <c r="O28" s="46"/>
      <c r="P28" s="46"/>
    </row>
    <row r="29" spans="1:16" ht="20.100000000000001" customHeight="1" x14ac:dyDescent="0.25">
      <c r="A29" s="19" t="s">
        <v>19</v>
      </c>
      <c r="B29" s="19">
        <v>6670</v>
      </c>
      <c r="C29" s="19">
        <v>23743</v>
      </c>
      <c r="D29" s="19" t="s">
        <v>72</v>
      </c>
      <c r="E29" s="20">
        <v>46090</v>
      </c>
      <c r="F29" s="21">
        <v>0.67708333333333337</v>
      </c>
      <c r="G29" s="30" t="s">
        <v>31</v>
      </c>
      <c r="H29" s="20">
        <v>46098</v>
      </c>
      <c r="I29" s="19">
        <f t="shared" si="0"/>
        <v>1</v>
      </c>
      <c r="J29" s="35">
        <v>46099</v>
      </c>
      <c r="K29" s="22">
        <v>5.31</v>
      </c>
      <c r="L29" s="19" t="s">
        <v>200</v>
      </c>
      <c r="M29" s="19"/>
      <c r="N29" s="19"/>
      <c r="O29" s="46"/>
      <c r="P29" s="46"/>
    </row>
    <row r="30" spans="1:16" ht="20.100000000000001" customHeight="1" x14ac:dyDescent="0.25">
      <c r="A30" s="19" t="s">
        <v>19</v>
      </c>
      <c r="B30" s="19">
        <v>6671</v>
      </c>
      <c r="C30" s="19">
        <v>23740</v>
      </c>
      <c r="D30" s="19" t="s">
        <v>22</v>
      </c>
      <c r="E30" s="20">
        <v>46090</v>
      </c>
      <c r="F30" s="21">
        <v>0.67708333333333337</v>
      </c>
      <c r="G30" s="30" t="s">
        <v>31</v>
      </c>
      <c r="H30" s="20">
        <v>46098</v>
      </c>
      <c r="I30" s="19">
        <f t="shared" si="0"/>
        <v>1</v>
      </c>
      <c r="J30" s="35">
        <v>46099</v>
      </c>
      <c r="K30" s="22">
        <v>1.71</v>
      </c>
      <c r="L30" s="19" t="s">
        <v>201</v>
      </c>
      <c r="M30" s="19"/>
      <c r="N30" s="19"/>
      <c r="O30" s="46"/>
      <c r="P30" s="46"/>
    </row>
    <row r="31" spans="1:16" ht="20.100000000000001" customHeight="1" x14ac:dyDescent="0.25">
      <c r="A31" s="19" t="s">
        <v>19</v>
      </c>
      <c r="B31" s="19">
        <v>6672</v>
      </c>
      <c r="C31" s="19">
        <v>23738</v>
      </c>
      <c r="D31" s="19" t="s">
        <v>15</v>
      </c>
      <c r="E31" s="20">
        <v>46091</v>
      </c>
      <c r="F31" s="21">
        <v>0.3923611111111111</v>
      </c>
      <c r="G31" s="30" t="s">
        <v>31</v>
      </c>
      <c r="H31" s="20">
        <v>46100</v>
      </c>
      <c r="I31" s="19">
        <f t="shared" si="0"/>
        <v>7</v>
      </c>
      <c r="J31" s="35">
        <v>46107</v>
      </c>
      <c r="K31" s="19">
        <v>31.81</v>
      </c>
      <c r="L31" s="19" t="s">
        <v>246</v>
      </c>
      <c r="M31" s="19"/>
      <c r="N31" s="19"/>
      <c r="O31" s="46"/>
      <c r="P31" s="46"/>
    </row>
    <row r="32" spans="1:16" ht="20.100000000000001" customHeight="1" x14ac:dyDescent="0.25">
      <c r="A32" s="19" t="s">
        <v>19</v>
      </c>
      <c r="B32" s="19">
        <v>6673</v>
      </c>
      <c r="C32" s="19">
        <v>23751</v>
      </c>
      <c r="D32" s="19" t="s">
        <v>72</v>
      </c>
      <c r="E32" s="20">
        <v>46092</v>
      </c>
      <c r="F32" s="21">
        <v>0.49791666666666662</v>
      </c>
      <c r="G32" s="30" t="s">
        <v>31</v>
      </c>
      <c r="H32" s="20">
        <v>46100</v>
      </c>
      <c r="I32" s="19">
        <f t="shared" si="0"/>
        <v>0</v>
      </c>
      <c r="J32" s="33">
        <v>46100</v>
      </c>
      <c r="K32" s="19">
        <f>3*0.84+1.7+0.48</f>
        <v>4.6999999999999993</v>
      </c>
      <c r="L32" s="19" t="s">
        <v>202</v>
      </c>
      <c r="M32" s="19"/>
      <c r="N32" s="19"/>
      <c r="O32" s="46"/>
      <c r="P32" s="46"/>
    </row>
    <row r="33" spans="1:16" ht="20.100000000000001" customHeight="1" x14ac:dyDescent="0.25">
      <c r="A33" s="19" t="s">
        <v>19</v>
      </c>
      <c r="B33" s="19">
        <v>6674</v>
      </c>
      <c r="C33" s="19">
        <v>23753</v>
      </c>
      <c r="D33" s="19" t="s">
        <v>22</v>
      </c>
      <c r="E33" s="20">
        <v>46092</v>
      </c>
      <c r="F33" s="21">
        <v>0.49791666666666662</v>
      </c>
      <c r="G33" s="30" t="s">
        <v>31</v>
      </c>
      <c r="H33" s="20">
        <v>46100</v>
      </c>
      <c r="I33" s="19">
        <f t="shared" si="0"/>
        <v>0</v>
      </c>
      <c r="J33" s="33">
        <v>46100</v>
      </c>
      <c r="K33" s="19">
        <v>1.98</v>
      </c>
      <c r="L33" s="19" t="s">
        <v>203</v>
      </c>
      <c r="M33" s="19"/>
      <c r="N33" s="19"/>
      <c r="O33" s="46"/>
      <c r="P33" s="46"/>
    </row>
    <row r="34" spans="1:16" ht="20.100000000000001" customHeight="1" x14ac:dyDescent="0.25">
      <c r="A34" s="19" t="s">
        <v>19</v>
      </c>
      <c r="B34" s="19">
        <v>6675</v>
      </c>
      <c r="C34" s="19">
        <v>23750</v>
      </c>
      <c r="D34" s="20" t="s">
        <v>72</v>
      </c>
      <c r="E34" s="20">
        <v>46092</v>
      </c>
      <c r="F34" s="21">
        <v>0.49791666666666662</v>
      </c>
      <c r="G34" s="30" t="s">
        <v>31</v>
      </c>
      <c r="H34" s="20">
        <v>46100</v>
      </c>
      <c r="I34" s="19">
        <f t="shared" si="0"/>
        <v>-1</v>
      </c>
      <c r="J34" s="33">
        <v>46099</v>
      </c>
      <c r="K34" s="19">
        <v>0.9</v>
      </c>
      <c r="L34" s="19" t="s">
        <v>204</v>
      </c>
      <c r="M34" s="19"/>
      <c r="N34" s="19"/>
      <c r="O34" s="46"/>
      <c r="P34" s="46"/>
    </row>
    <row r="35" spans="1:16" ht="20.100000000000001" customHeight="1" x14ac:dyDescent="0.25">
      <c r="A35" s="19" t="s">
        <v>19</v>
      </c>
      <c r="B35" s="19" t="s">
        <v>205</v>
      </c>
      <c r="C35" s="19">
        <v>23761</v>
      </c>
      <c r="D35" s="19" t="s">
        <v>18</v>
      </c>
      <c r="E35" s="20">
        <v>46092</v>
      </c>
      <c r="F35" s="21">
        <v>0.59722222222222221</v>
      </c>
      <c r="G35" s="30" t="s">
        <v>31</v>
      </c>
      <c r="H35" s="20">
        <v>46101</v>
      </c>
      <c r="I35" s="19">
        <f t="shared" si="0"/>
        <v>4</v>
      </c>
      <c r="J35" s="35">
        <v>46105</v>
      </c>
      <c r="K35" s="19"/>
      <c r="L35" s="19" t="s">
        <v>235</v>
      </c>
      <c r="M35" s="19"/>
      <c r="N35" s="19"/>
      <c r="O35" s="46"/>
      <c r="P35" s="46"/>
    </row>
    <row r="36" spans="1:16" ht="20.100000000000001" customHeight="1" x14ac:dyDescent="0.25">
      <c r="A36" s="19" t="s">
        <v>19</v>
      </c>
      <c r="B36" s="19" t="s">
        <v>206</v>
      </c>
      <c r="C36" s="19">
        <v>23761</v>
      </c>
      <c r="D36" s="19" t="s">
        <v>18</v>
      </c>
      <c r="E36" s="20">
        <v>46092</v>
      </c>
      <c r="F36" s="21">
        <v>0.59722222222222221</v>
      </c>
      <c r="G36" s="30" t="s">
        <v>31</v>
      </c>
      <c r="H36" s="20">
        <v>46101</v>
      </c>
      <c r="I36" s="19">
        <f t="shared" si="0"/>
        <v>0</v>
      </c>
      <c r="J36" s="33">
        <v>46101</v>
      </c>
      <c r="K36" s="19"/>
      <c r="L36" s="19" t="s">
        <v>207</v>
      </c>
      <c r="M36" s="19"/>
      <c r="N36" s="19"/>
      <c r="O36" s="46"/>
      <c r="P36" s="46"/>
    </row>
    <row r="37" spans="1:16" ht="20.100000000000001" customHeight="1" x14ac:dyDescent="0.25">
      <c r="A37" s="19" t="s">
        <v>19</v>
      </c>
      <c r="B37" s="19">
        <v>6677</v>
      </c>
      <c r="C37" s="19">
        <v>23752</v>
      </c>
      <c r="D37" s="19" t="s">
        <v>72</v>
      </c>
      <c r="E37" s="20">
        <v>46092</v>
      </c>
      <c r="F37" s="21">
        <v>0.62361111111111112</v>
      </c>
      <c r="G37" s="30" t="s">
        <v>31</v>
      </c>
      <c r="H37" s="20">
        <v>46100</v>
      </c>
      <c r="I37" s="19">
        <f t="shared" si="0"/>
        <v>0</v>
      </c>
      <c r="J37" s="33">
        <v>46100</v>
      </c>
      <c r="K37" s="19"/>
      <c r="L37" s="19" t="s">
        <v>208</v>
      </c>
      <c r="M37" s="19"/>
      <c r="N37" s="19"/>
      <c r="O37" s="46"/>
      <c r="P37" s="46"/>
    </row>
    <row r="38" spans="1:16" ht="20.100000000000001" customHeight="1" x14ac:dyDescent="0.25">
      <c r="A38" s="19" t="s">
        <v>19</v>
      </c>
      <c r="B38" s="19">
        <v>6678</v>
      </c>
      <c r="C38" s="19">
        <v>23762</v>
      </c>
      <c r="D38" s="19" t="s">
        <v>15</v>
      </c>
      <c r="E38" s="20">
        <v>46093</v>
      </c>
      <c r="F38" s="21">
        <v>0.5625</v>
      </c>
      <c r="G38" s="30" t="s">
        <v>31</v>
      </c>
      <c r="H38" s="20">
        <v>46101</v>
      </c>
      <c r="I38" s="19">
        <f t="shared" si="0"/>
        <v>4</v>
      </c>
      <c r="J38" s="35">
        <v>46105</v>
      </c>
      <c r="K38" s="19"/>
      <c r="L38" s="19" t="s">
        <v>253</v>
      </c>
      <c r="M38" s="19"/>
      <c r="N38" s="19"/>
      <c r="O38" s="46"/>
      <c r="P38" s="46"/>
    </row>
    <row r="39" spans="1:16" ht="20.100000000000001" customHeight="1" x14ac:dyDescent="0.25">
      <c r="A39" s="19" t="s">
        <v>19</v>
      </c>
      <c r="B39" s="19">
        <v>6679</v>
      </c>
      <c r="C39" s="19">
        <v>23729</v>
      </c>
      <c r="D39" s="19" t="s">
        <v>22</v>
      </c>
      <c r="E39" s="20">
        <v>46093</v>
      </c>
      <c r="F39" s="21">
        <v>0.58888888888888891</v>
      </c>
      <c r="G39" s="30" t="s">
        <v>31</v>
      </c>
      <c r="H39" s="20">
        <v>46101</v>
      </c>
      <c r="I39" s="19">
        <f t="shared" si="0"/>
        <v>0</v>
      </c>
      <c r="J39" s="33">
        <v>46101</v>
      </c>
      <c r="K39" s="19">
        <v>3.51</v>
      </c>
      <c r="L39" s="19" t="s">
        <v>209</v>
      </c>
      <c r="M39" s="19"/>
      <c r="N39" s="19"/>
      <c r="O39" s="46"/>
      <c r="P39" s="46"/>
    </row>
    <row r="40" spans="1:16" ht="20.100000000000001" customHeight="1" x14ac:dyDescent="0.25">
      <c r="A40" s="19" t="s">
        <v>19</v>
      </c>
      <c r="B40" s="19">
        <v>6680</v>
      </c>
      <c r="C40" s="19">
        <v>23745</v>
      </c>
      <c r="D40" s="19" t="s">
        <v>15</v>
      </c>
      <c r="E40" s="20">
        <v>46094</v>
      </c>
      <c r="F40" s="21">
        <v>0.37847222222222227</v>
      </c>
      <c r="G40" s="30" t="s">
        <v>31</v>
      </c>
      <c r="H40" s="20">
        <v>46101</v>
      </c>
      <c r="I40" s="19">
        <f t="shared" si="0"/>
        <v>0</v>
      </c>
      <c r="J40" s="33">
        <v>46101</v>
      </c>
      <c r="K40" s="19">
        <v>2.8</v>
      </c>
      <c r="L40" s="19" t="s">
        <v>210</v>
      </c>
      <c r="M40" s="19"/>
      <c r="N40" s="19"/>
      <c r="O40" s="46"/>
      <c r="P40" s="46"/>
    </row>
    <row r="41" spans="1:16" ht="20.100000000000001" customHeight="1" x14ac:dyDescent="0.25">
      <c r="A41" s="19" t="s">
        <v>19</v>
      </c>
      <c r="B41" s="19">
        <v>6681</v>
      </c>
      <c r="C41" s="19">
        <v>23755</v>
      </c>
      <c r="D41" s="19" t="s">
        <v>22</v>
      </c>
      <c r="E41" s="20">
        <v>46094</v>
      </c>
      <c r="F41" s="21">
        <v>0.37847222222222227</v>
      </c>
      <c r="G41" s="30" t="s">
        <v>31</v>
      </c>
      <c r="H41" s="20">
        <v>46101</v>
      </c>
      <c r="I41" s="19">
        <f t="shared" si="0"/>
        <v>0</v>
      </c>
      <c r="J41" s="33">
        <v>46101</v>
      </c>
      <c r="K41" s="19">
        <f>5*1.2</f>
        <v>6</v>
      </c>
      <c r="L41" s="19" t="s">
        <v>211</v>
      </c>
      <c r="M41" s="19"/>
      <c r="N41" s="19"/>
      <c r="O41" s="46"/>
      <c r="P41" s="46"/>
    </row>
    <row r="42" spans="1:16" ht="20.100000000000001" customHeight="1" x14ac:dyDescent="0.25">
      <c r="A42" s="19" t="s">
        <v>19</v>
      </c>
      <c r="B42" s="19">
        <v>6682</v>
      </c>
      <c r="C42" s="19">
        <v>23756</v>
      </c>
      <c r="D42" s="19" t="s">
        <v>22</v>
      </c>
      <c r="E42" s="20">
        <v>46094</v>
      </c>
      <c r="F42" s="21">
        <v>0.37847222222222227</v>
      </c>
      <c r="G42" s="30" t="s">
        <v>31</v>
      </c>
      <c r="H42" s="20">
        <v>46101</v>
      </c>
      <c r="I42" s="19">
        <f t="shared" si="0"/>
        <v>4</v>
      </c>
      <c r="J42" s="35">
        <v>46105</v>
      </c>
      <c r="K42" s="19">
        <v>1.1000000000000001</v>
      </c>
      <c r="L42" s="19" t="s">
        <v>212</v>
      </c>
      <c r="M42" s="19"/>
      <c r="N42" s="19"/>
      <c r="O42" s="46"/>
      <c r="P42" s="46"/>
    </row>
    <row r="43" spans="1:16" ht="20.100000000000001" customHeight="1" x14ac:dyDescent="0.25">
      <c r="A43" s="19" t="s">
        <v>19</v>
      </c>
      <c r="B43" s="19">
        <v>6683</v>
      </c>
      <c r="C43" s="19">
        <v>23739</v>
      </c>
      <c r="D43" s="19" t="s">
        <v>15</v>
      </c>
      <c r="E43" s="20">
        <v>46094</v>
      </c>
      <c r="F43" s="21">
        <v>0.38194444444444442</v>
      </c>
      <c r="G43" s="30" t="s">
        <v>31</v>
      </c>
      <c r="H43" s="20">
        <v>46101</v>
      </c>
      <c r="I43" s="19">
        <f t="shared" si="0"/>
        <v>0</v>
      </c>
      <c r="J43" s="33">
        <v>46101</v>
      </c>
      <c r="K43" s="19">
        <v>5.4</v>
      </c>
      <c r="L43" s="19" t="s">
        <v>213</v>
      </c>
      <c r="M43" s="19"/>
      <c r="N43" s="19"/>
      <c r="O43" s="46"/>
      <c r="P43" s="46"/>
    </row>
    <row r="44" spans="1:16" ht="20.100000000000001" customHeight="1" x14ac:dyDescent="0.25">
      <c r="A44" s="19" t="s">
        <v>19</v>
      </c>
      <c r="B44" s="19">
        <v>6684</v>
      </c>
      <c r="C44" s="19">
        <v>23758</v>
      </c>
      <c r="D44" s="19" t="s">
        <v>72</v>
      </c>
      <c r="E44" s="20">
        <v>46094</v>
      </c>
      <c r="F44" s="21">
        <v>0.38194444444444442</v>
      </c>
      <c r="G44" s="30" t="s">
        <v>31</v>
      </c>
      <c r="H44" s="20">
        <v>46101</v>
      </c>
      <c r="I44" s="19">
        <f t="shared" si="0"/>
        <v>4</v>
      </c>
      <c r="J44" s="35">
        <v>46105</v>
      </c>
      <c r="K44" s="19">
        <f>1.26+0.9</f>
        <v>2.16</v>
      </c>
      <c r="L44" s="19" t="s">
        <v>172</v>
      </c>
      <c r="M44" s="19"/>
      <c r="N44" s="19"/>
      <c r="O44" s="46"/>
      <c r="P44" s="46"/>
    </row>
    <row r="45" spans="1:16" ht="20.100000000000001" customHeight="1" x14ac:dyDescent="0.25">
      <c r="A45" s="19" t="s">
        <v>19</v>
      </c>
      <c r="B45" s="19">
        <v>6685</v>
      </c>
      <c r="C45" s="19">
        <v>23760</v>
      </c>
      <c r="D45" s="19" t="s">
        <v>22</v>
      </c>
      <c r="E45" s="20">
        <v>46094</v>
      </c>
      <c r="F45" s="45">
        <v>0.41944444444444445</v>
      </c>
      <c r="G45" s="30" t="s">
        <v>31</v>
      </c>
      <c r="H45" s="20">
        <v>46101</v>
      </c>
      <c r="I45" s="19">
        <f t="shared" si="0"/>
        <v>0</v>
      </c>
      <c r="J45" s="33">
        <v>46101</v>
      </c>
      <c r="K45" s="19">
        <v>2.0699999999999998</v>
      </c>
      <c r="L45" s="19" t="s">
        <v>214</v>
      </c>
      <c r="M45" s="19"/>
      <c r="N45" s="19"/>
      <c r="O45" s="46"/>
      <c r="P45" s="46"/>
    </row>
    <row r="46" spans="1:16" ht="20.100000000000001" customHeight="1" x14ac:dyDescent="0.25">
      <c r="A46" s="19" t="s">
        <v>19</v>
      </c>
      <c r="B46" s="19">
        <v>6686</v>
      </c>
      <c r="C46" s="19">
        <v>23757</v>
      </c>
      <c r="D46" s="19" t="s">
        <v>22</v>
      </c>
      <c r="E46" s="20">
        <v>46094</v>
      </c>
      <c r="F46" s="21">
        <v>0.41944444444444445</v>
      </c>
      <c r="G46" s="30" t="s">
        <v>31</v>
      </c>
      <c r="H46" s="20">
        <v>46101</v>
      </c>
      <c r="I46" s="19">
        <f t="shared" si="0"/>
        <v>0</v>
      </c>
      <c r="J46" s="33">
        <v>46101</v>
      </c>
      <c r="K46" s="19">
        <v>4</v>
      </c>
      <c r="L46" s="19" t="s">
        <v>215</v>
      </c>
      <c r="M46" s="19"/>
      <c r="N46" s="19"/>
      <c r="O46" s="46"/>
      <c r="P46" s="46"/>
    </row>
    <row r="47" spans="1:16" ht="20.100000000000001" customHeight="1" x14ac:dyDescent="0.25">
      <c r="A47" s="19" t="s">
        <v>19</v>
      </c>
      <c r="B47" s="19">
        <v>6687</v>
      </c>
      <c r="C47" s="19">
        <v>23759</v>
      </c>
      <c r="D47" s="19" t="s">
        <v>22</v>
      </c>
      <c r="E47" s="20">
        <v>46094</v>
      </c>
      <c r="F47" s="21">
        <v>0.41944444444444445</v>
      </c>
      <c r="G47" s="30" t="s">
        <v>31</v>
      </c>
      <c r="H47" s="20">
        <v>46101</v>
      </c>
      <c r="I47" s="19">
        <f t="shared" si="0"/>
        <v>0</v>
      </c>
      <c r="J47" s="33">
        <v>46101</v>
      </c>
      <c r="K47" s="19">
        <v>9.52</v>
      </c>
      <c r="L47" s="19" t="s">
        <v>252</v>
      </c>
      <c r="M47" s="19"/>
      <c r="N47" s="19"/>
      <c r="O47" s="46"/>
      <c r="P47" s="46"/>
    </row>
    <row r="48" spans="1:16" ht="20.100000000000001" customHeight="1" x14ac:dyDescent="0.25">
      <c r="A48" s="19" t="s">
        <v>19</v>
      </c>
      <c r="B48" s="19">
        <v>6688</v>
      </c>
      <c r="C48" s="19">
        <v>23766</v>
      </c>
      <c r="D48" s="19" t="s">
        <v>72</v>
      </c>
      <c r="E48" s="20">
        <v>46095</v>
      </c>
      <c r="F48" s="21">
        <v>0.40208333333333335</v>
      </c>
      <c r="G48" s="30" t="s">
        <v>31</v>
      </c>
      <c r="H48" s="20">
        <v>46105</v>
      </c>
      <c r="I48" s="19">
        <f t="shared" si="0"/>
        <v>0</v>
      </c>
      <c r="J48" s="33">
        <v>46105</v>
      </c>
      <c r="K48" s="19">
        <v>1.26</v>
      </c>
      <c r="L48" s="19" t="s">
        <v>216</v>
      </c>
      <c r="M48" s="19"/>
      <c r="N48" s="19"/>
      <c r="O48" s="46"/>
      <c r="P48" s="46"/>
    </row>
    <row r="49" spans="1:16" ht="20.100000000000001" customHeight="1" x14ac:dyDescent="0.25">
      <c r="A49" s="19" t="s">
        <v>19</v>
      </c>
      <c r="B49" s="19">
        <v>6689</v>
      </c>
      <c r="C49" s="19">
        <v>23768</v>
      </c>
      <c r="D49" s="19" t="s">
        <v>22</v>
      </c>
      <c r="E49" s="20">
        <v>46098</v>
      </c>
      <c r="F49" s="21">
        <v>0.41111111111111115</v>
      </c>
      <c r="G49" s="30" t="s">
        <v>31</v>
      </c>
      <c r="H49" s="20">
        <v>46106</v>
      </c>
      <c r="I49" s="19">
        <f t="shared" si="0"/>
        <v>1</v>
      </c>
      <c r="J49" s="35">
        <v>46107</v>
      </c>
      <c r="K49" s="19">
        <v>1.44</v>
      </c>
      <c r="L49" s="19" t="s">
        <v>217</v>
      </c>
      <c r="M49" s="19"/>
      <c r="N49" s="19"/>
      <c r="O49" s="46"/>
      <c r="P49" s="46"/>
    </row>
    <row r="50" spans="1:16" ht="20.100000000000001" customHeight="1" x14ac:dyDescent="0.25">
      <c r="A50" s="19" t="s">
        <v>19</v>
      </c>
      <c r="B50" s="19">
        <v>6690</v>
      </c>
      <c r="C50" s="19">
        <v>23773</v>
      </c>
      <c r="D50" s="19" t="s">
        <v>15</v>
      </c>
      <c r="E50" s="20">
        <v>46098</v>
      </c>
      <c r="F50" s="21">
        <v>0.4916666666666667</v>
      </c>
      <c r="G50" s="30" t="s">
        <v>31</v>
      </c>
      <c r="H50" s="20">
        <v>46107</v>
      </c>
      <c r="I50" s="19">
        <f t="shared" si="0"/>
        <v>0</v>
      </c>
      <c r="J50" s="33">
        <v>46107</v>
      </c>
      <c r="K50" s="19">
        <v>2.1</v>
      </c>
      <c r="L50" s="19" t="s">
        <v>32</v>
      </c>
      <c r="M50" s="19"/>
      <c r="N50" s="19"/>
      <c r="O50" s="46"/>
      <c r="P50" s="46"/>
    </row>
    <row r="51" spans="1:16" ht="20.100000000000001" customHeight="1" x14ac:dyDescent="0.25">
      <c r="A51" s="19" t="s">
        <v>19</v>
      </c>
      <c r="B51" s="19">
        <v>6691</v>
      </c>
      <c r="C51" s="19">
        <v>23772</v>
      </c>
      <c r="D51" s="19" t="s">
        <v>22</v>
      </c>
      <c r="E51" s="20">
        <v>46098</v>
      </c>
      <c r="F51" s="21">
        <v>0.50694444444444442</v>
      </c>
      <c r="G51" s="30" t="s">
        <v>31</v>
      </c>
      <c r="H51" s="20">
        <v>46107</v>
      </c>
      <c r="I51" s="19">
        <f t="shared" si="0"/>
        <v>0</v>
      </c>
      <c r="J51" s="33">
        <v>46107</v>
      </c>
      <c r="K51" s="22">
        <v>6.46</v>
      </c>
      <c r="L51" s="19" t="s">
        <v>218</v>
      </c>
      <c r="M51" s="19"/>
      <c r="N51" s="19"/>
      <c r="O51" s="46"/>
      <c r="P51" s="46"/>
    </row>
    <row r="52" spans="1:16" ht="20.100000000000001" customHeight="1" x14ac:dyDescent="0.25">
      <c r="A52" s="19" t="s">
        <v>19</v>
      </c>
      <c r="B52" s="19">
        <v>6692</v>
      </c>
      <c r="C52" s="19">
        <v>23771</v>
      </c>
      <c r="D52" s="19" t="s">
        <v>22</v>
      </c>
      <c r="E52" s="20">
        <v>46098</v>
      </c>
      <c r="F52" s="21"/>
      <c r="G52" s="30" t="s">
        <v>31</v>
      </c>
      <c r="H52" s="20">
        <v>46107</v>
      </c>
      <c r="I52" s="19">
        <f t="shared" si="0"/>
        <v>-1</v>
      </c>
      <c r="J52" s="33">
        <v>46106</v>
      </c>
      <c r="K52" s="19">
        <v>2.94</v>
      </c>
      <c r="L52" s="19" t="s">
        <v>219</v>
      </c>
      <c r="M52" s="19"/>
      <c r="O52" s="46"/>
      <c r="P52" s="46"/>
    </row>
    <row r="53" spans="1:16" ht="20.100000000000001" customHeight="1" x14ac:dyDescent="0.25">
      <c r="A53" s="19" t="s">
        <v>19</v>
      </c>
      <c r="B53" s="19">
        <v>6693</v>
      </c>
      <c r="C53" s="19">
        <v>23777</v>
      </c>
      <c r="D53" s="19" t="s">
        <v>72</v>
      </c>
      <c r="E53" s="20">
        <v>46098</v>
      </c>
      <c r="F53" s="21"/>
      <c r="G53" s="30" t="s">
        <v>31</v>
      </c>
      <c r="H53" s="20">
        <v>46107</v>
      </c>
      <c r="I53" s="19">
        <f t="shared" si="0"/>
        <v>-1</v>
      </c>
      <c r="J53" s="33">
        <v>46106</v>
      </c>
      <c r="K53" s="19">
        <v>1.5</v>
      </c>
      <c r="L53" s="19" t="s">
        <v>220</v>
      </c>
      <c r="M53" s="19"/>
      <c r="N53" s="19"/>
      <c r="O53" s="46"/>
      <c r="P53" s="46"/>
    </row>
    <row r="54" spans="1:16" ht="20.100000000000001" customHeight="1" x14ac:dyDescent="0.25">
      <c r="A54" s="19" t="s">
        <v>19</v>
      </c>
      <c r="B54" s="19">
        <v>6694</v>
      </c>
      <c r="C54" s="5">
        <v>23784</v>
      </c>
      <c r="D54" s="19" t="s">
        <v>18</v>
      </c>
      <c r="E54" s="20">
        <v>46100</v>
      </c>
      <c r="F54" s="21">
        <v>0.31944444444444448</v>
      </c>
      <c r="G54" s="30" t="s">
        <v>31</v>
      </c>
      <c r="H54" s="20">
        <v>46108</v>
      </c>
      <c r="I54" s="19">
        <f t="shared" si="0"/>
        <v>-1</v>
      </c>
      <c r="J54" s="33">
        <v>46107</v>
      </c>
      <c r="K54" s="19">
        <v>10.08</v>
      </c>
      <c r="L54" s="19" t="s">
        <v>221</v>
      </c>
      <c r="M54" s="19"/>
      <c r="N54" s="19"/>
      <c r="O54" s="46"/>
      <c r="P54" s="46"/>
    </row>
    <row r="55" spans="1:16" ht="20.100000000000001" customHeight="1" x14ac:dyDescent="0.25">
      <c r="A55" s="19" t="s">
        <v>19</v>
      </c>
      <c r="B55" s="19">
        <v>6695</v>
      </c>
      <c r="C55" s="19">
        <v>23783</v>
      </c>
      <c r="D55" s="19" t="s">
        <v>18</v>
      </c>
      <c r="E55" s="20">
        <v>46100</v>
      </c>
      <c r="F55" s="21">
        <v>0.36388888888888887</v>
      </c>
      <c r="G55" s="30" t="s">
        <v>31</v>
      </c>
      <c r="H55" s="20">
        <v>46108</v>
      </c>
      <c r="I55" s="19">
        <f t="shared" si="0"/>
        <v>0</v>
      </c>
      <c r="J55" s="33">
        <v>46108</v>
      </c>
      <c r="K55" s="19">
        <v>2.73</v>
      </c>
      <c r="L55" s="19" t="s">
        <v>222</v>
      </c>
      <c r="M55" s="19"/>
      <c r="N55" s="19"/>
      <c r="O55" s="46"/>
      <c r="P55" s="46"/>
    </row>
    <row r="56" spans="1:16" ht="20.100000000000001" customHeight="1" x14ac:dyDescent="0.25">
      <c r="A56" s="19" t="s">
        <v>19</v>
      </c>
      <c r="B56" s="19">
        <v>6696</v>
      </c>
      <c r="C56" s="19">
        <v>23769</v>
      </c>
      <c r="D56" s="19" t="s">
        <v>72</v>
      </c>
      <c r="E56" s="20">
        <v>46100</v>
      </c>
      <c r="F56" s="21">
        <v>0.36388888888888887</v>
      </c>
      <c r="G56" s="30" t="s">
        <v>31</v>
      </c>
      <c r="H56" s="20">
        <v>46108</v>
      </c>
      <c r="I56" s="19">
        <f t="shared" si="0"/>
        <v>0</v>
      </c>
      <c r="J56" s="33">
        <v>46108</v>
      </c>
      <c r="K56" s="19">
        <f>2*1.54</f>
        <v>3.08</v>
      </c>
      <c r="L56" s="19" t="s">
        <v>223</v>
      </c>
      <c r="M56" s="19"/>
      <c r="N56" s="19"/>
      <c r="O56" s="46"/>
      <c r="P56" s="46"/>
    </row>
    <row r="57" spans="1:16" ht="20.100000000000001" customHeight="1" x14ac:dyDescent="0.25">
      <c r="A57" s="19" t="s">
        <v>19</v>
      </c>
      <c r="B57" s="19">
        <v>6697</v>
      </c>
      <c r="C57" s="19">
        <v>23781</v>
      </c>
      <c r="D57" s="19" t="s">
        <v>72</v>
      </c>
      <c r="E57" s="20">
        <v>46100</v>
      </c>
      <c r="F57" s="21">
        <v>0.4291666666666667</v>
      </c>
      <c r="G57" s="30" t="s">
        <v>31</v>
      </c>
      <c r="H57" s="20">
        <v>46118</v>
      </c>
      <c r="I57" s="19">
        <f t="shared" si="0"/>
        <v>-46118</v>
      </c>
      <c r="J57" s="30"/>
      <c r="K57" s="19">
        <v>2.64</v>
      </c>
      <c r="L57" s="19" t="s">
        <v>224</v>
      </c>
      <c r="N57" s="46"/>
      <c r="O57" s="46"/>
      <c r="P57" s="46"/>
    </row>
    <row r="58" spans="1:16" ht="20.100000000000001" customHeight="1" x14ac:dyDescent="0.25">
      <c r="A58" s="19" t="s">
        <v>19</v>
      </c>
      <c r="B58" s="19">
        <v>6698</v>
      </c>
      <c r="C58" s="19">
        <v>23782</v>
      </c>
      <c r="D58" s="24" t="s">
        <v>22</v>
      </c>
      <c r="E58" s="7">
        <v>46100</v>
      </c>
      <c r="F58" s="21">
        <v>0.7284722222222223</v>
      </c>
      <c r="G58" s="30" t="s">
        <v>31</v>
      </c>
      <c r="H58" s="20">
        <v>46111</v>
      </c>
      <c r="I58" s="19">
        <f t="shared" si="0"/>
        <v>0</v>
      </c>
      <c r="J58" s="33">
        <v>46111</v>
      </c>
      <c r="K58" s="19">
        <v>3.6</v>
      </c>
      <c r="L58" s="19" t="s">
        <v>225</v>
      </c>
      <c r="M58" s="19"/>
      <c r="N58" s="19"/>
      <c r="O58" s="46"/>
      <c r="P58" s="46"/>
    </row>
    <row r="59" spans="1:16" ht="20.100000000000001" customHeight="1" x14ac:dyDescent="0.25">
      <c r="A59" s="19" t="s">
        <v>19</v>
      </c>
      <c r="B59" s="25">
        <v>6699</v>
      </c>
      <c r="C59" s="25">
        <v>23785</v>
      </c>
      <c r="D59" s="25" t="s">
        <v>22</v>
      </c>
      <c r="E59" s="20">
        <v>46100</v>
      </c>
      <c r="F59" s="21">
        <v>0.7284722222222223</v>
      </c>
      <c r="G59" s="30" t="s">
        <v>31</v>
      </c>
      <c r="H59" s="20">
        <v>46111</v>
      </c>
      <c r="I59" s="19">
        <f t="shared" si="0"/>
        <v>0</v>
      </c>
      <c r="J59" s="33">
        <v>46111</v>
      </c>
      <c r="K59" s="25">
        <v>2.4</v>
      </c>
      <c r="L59" s="19" t="s">
        <v>226</v>
      </c>
      <c r="M59" s="25"/>
      <c r="N59" s="25"/>
      <c r="O59" s="28"/>
      <c r="P59" s="28"/>
    </row>
    <row r="60" spans="1:16" s="29" customFormat="1" ht="20.100000000000001" customHeight="1" x14ac:dyDescent="0.25">
      <c r="A60" s="19" t="s">
        <v>19</v>
      </c>
      <c r="B60" s="19">
        <v>6700</v>
      </c>
      <c r="C60" s="19">
        <v>23775</v>
      </c>
      <c r="D60" s="19" t="s">
        <v>72</v>
      </c>
      <c r="E60" s="20">
        <v>46100</v>
      </c>
      <c r="F60" s="21">
        <v>0.73402777777777783</v>
      </c>
      <c r="G60" s="30" t="s">
        <v>31</v>
      </c>
      <c r="H60" s="20">
        <v>46111</v>
      </c>
      <c r="I60" s="19">
        <f t="shared" si="0"/>
        <v>0</v>
      </c>
      <c r="J60" s="33">
        <v>46111</v>
      </c>
      <c r="K60" s="19">
        <v>3.68</v>
      </c>
      <c r="L60" s="19" t="s">
        <v>227</v>
      </c>
      <c r="M60" s="19"/>
      <c r="N60" s="19"/>
      <c r="O60" s="46"/>
      <c r="P60" s="46"/>
    </row>
    <row r="61" spans="1:16" s="29" customFormat="1" ht="20.100000000000001" customHeight="1" x14ac:dyDescent="0.25">
      <c r="A61" s="19" t="s">
        <v>19</v>
      </c>
      <c r="B61" s="19">
        <v>6701</v>
      </c>
      <c r="C61" s="19">
        <v>23790</v>
      </c>
      <c r="D61" s="19" t="s">
        <v>18</v>
      </c>
      <c r="E61" s="20">
        <v>46101</v>
      </c>
      <c r="F61" s="21">
        <v>0.33263888888888887</v>
      </c>
      <c r="G61" s="30" t="s">
        <v>31</v>
      </c>
      <c r="H61" s="20">
        <v>46111</v>
      </c>
      <c r="I61" s="19">
        <f t="shared" si="0"/>
        <v>-3</v>
      </c>
      <c r="J61" s="33">
        <v>46108</v>
      </c>
      <c r="K61" s="19">
        <v>2.19</v>
      </c>
      <c r="L61" s="19" t="s">
        <v>228</v>
      </c>
      <c r="M61" s="46"/>
      <c r="N61" s="46"/>
      <c r="O61" s="46"/>
      <c r="P61" s="46"/>
    </row>
    <row r="62" spans="1:16" s="29" customFormat="1" ht="20.100000000000001" customHeight="1" x14ac:dyDescent="0.25">
      <c r="A62" s="19" t="s">
        <v>19</v>
      </c>
      <c r="B62" s="19">
        <v>6702</v>
      </c>
      <c r="C62" s="19">
        <v>23776</v>
      </c>
      <c r="D62" s="19" t="s">
        <v>72</v>
      </c>
      <c r="E62" s="20">
        <v>46101</v>
      </c>
      <c r="F62" s="21">
        <v>0.35138888888888892</v>
      </c>
      <c r="G62" s="30" t="s">
        <v>31</v>
      </c>
      <c r="H62" s="20">
        <v>46111</v>
      </c>
      <c r="I62" s="19">
        <f t="shared" si="0"/>
        <v>0</v>
      </c>
      <c r="J62" s="33">
        <v>46111</v>
      </c>
      <c r="K62" s="19">
        <v>5.04</v>
      </c>
      <c r="L62" s="19" t="s">
        <v>229</v>
      </c>
      <c r="M62" s="46"/>
      <c r="N62" s="46"/>
      <c r="O62" s="46"/>
      <c r="P62" s="46"/>
    </row>
    <row r="63" spans="1:16" s="29" customFormat="1" ht="20.100000000000001" customHeight="1" x14ac:dyDescent="0.25">
      <c r="A63" s="19" t="s">
        <v>19</v>
      </c>
      <c r="B63" s="19">
        <v>6703</v>
      </c>
      <c r="C63" s="19">
        <v>23787</v>
      </c>
      <c r="D63" s="19" t="s">
        <v>15</v>
      </c>
      <c r="E63" s="20">
        <v>46101</v>
      </c>
      <c r="F63" s="21">
        <v>0.43124999999999997</v>
      </c>
      <c r="G63" s="30" t="s">
        <v>31</v>
      </c>
      <c r="H63" s="20">
        <v>46111</v>
      </c>
      <c r="I63" s="19">
        <f t="shared" si="0"/>
        <v>0</v>
      </c>
      <c r="J63" s="33">
        <v>46111</v>
      </c>
      <c r="K63" s="19">
        <v>3.51</v>
      </c>
      <c r="L63" s="19" t="s">
        <v>230</v>
      </c>
      <c r="M63" s="46"/>
      <c r="N63" s="46"/>
      <c r="O63" s="46"/>
      <c r="P63" s="46"/>
    </row>
    <row r="64" spans="1:16" s="29" customFormat="1" ht="20.100000000000001" customHeight="1" x14ac:dyDescent="0.25">
      <c r="A64" s="19" t="s">
        <v>19</v>
      </c>
      <c r="B64" s="19">
        <v>6704</v>
      </c>
      <c r="C64" s="19">
        <v>23789</v>
      </c>
      <c r="D64" s="19" t="s">
        <v>18</v>
      </c>
      <c r="E64" s="20">
        <v>46102</v>
      </c>
      <c r="F64" s="21"/>
      <c r="G64" s="30" t="s">
        <v>31</v>
      </c>
      <c r="H64" s="20">
        <v>46112</v>
      </c>
      <c r="I64" s="19">
        <f t="shared" si="0"/>
        <v>-1</v>
      </c>
      <c r="J64" s="33">
        <v>46111</v>
      </c>
      <c r="K64" s="19">
        <v>0.74</v>
      </c>
      <c r="L64" s="19" t="s">
        <v>232</v>
      </c>
      <c r="M64" s="46"/>
      <c r="N64" s="46"/>
      <c r="O64" s="46"/>
      <c r="P64" s="46"/>
    </row>
    <row r="65" spans="1:16" s="29" customFormat="1" ht="20.100000000000001" customHeight="1" x14ac:dyDescent="0.25">
      <c r="A65" s="19" t="s">
        <v>19</v>
      </c>
      <c r="B65" s="19">
        <v>6705</v>
      </c>
      <c r="C65" s="19">
        <v>23792</v>
      </c>
      <c r="D65" s="19" t="s">
        <v>22</v>
      </c>
      <c r="E65" s="20">
        <v>46102</v>
      </c>
      <c r="F65" s="21"/>
      <c r="G65" s="30" t="s">
        <v>31</v>
      </c>
      <c r="H65" s="20">
        <v>46112</v>
      </c>
      <c r="I65" s="19">
        <f t="shared" si="0"/>
        <v>0</v>
      </c>
      <c r="J65" s="33">
        <v>46112</v>
      </c>
      <c r="K65" s="19">
        <v>1.8</v>
      </c>
      <c r="L65" s="19" t="s">
        <v>233</v>
      </c>
      <c r="M65" s="46"/>
      <c r="N65" s="46"/>
      <c r="O65" s="46"/>
      <c r="P65" s="46"/>
    </row>
    <row r="66" spans="1:16" s="29" customFormat="1" ht="20.100000000000001" customHeight="1" x14ac:dyDescent="0.25">
      <c r="A66" s="19" t="s">
        <v>19</v>
      </c>
      <c r="B66" s="19">
        <v>6706</v>
      </c>
      <c r="C66" s="19">
        <v>23791</v>
      </c>
      <c r="D66" s="19" t="s">
        <v>15</v>
      </c>
      <c r="E66" s="20">
        <v>46105</v>
      </c>
      <c r="F66" s="21">
        <v>0.6166666666666667</v>
      </c>
      <c r="G66" s="30" t="s">
        <v>31</v>
      </c>
      <c r="H66" s="20">
        <v>46113</v>
      </c>
      <c r="I66" s="19">
        <f t="shared" si="0"/>
        <v>-26</v>
      </c>
      <c r="J66" s="30">
        <v>46087</v>
      </c>
      <c r="K66" s="19"/>
      <c r="L66" s="19" t="s">
        <v>234</v>
      </c>
      <c r="M66" s="46"/>
      <c r="N66" s="46"/>
      <c r="O66" s="46"/>
      <c r="P66" s="46"/>
    </row>
    <row r="67" spans="1:16" ht="20.100000000000001" customHeight="1" x14ac:dyDescent="0.25">
      <c r="A67" s="19" t="s">
        <v>19</v>
      </c>
      <c r="B67" s="19">
        <v>6707</v>
      </c>
      <c r="C67" s="19">
        <v>23796</v>
      </c>
      <c r="D67" s="19" t="s">
        <v>22</v>
      </c>
      <c r="E67" s="20">
        <v>46105</v>
      </c>
      <c r="F67" s="21">
        <v>0.71250000000000002</v>
      </c>
      <c r="G67" s="30" t="s">
        <v>31</v>
      </c>
      <c r="H67" s="20">
        <v>46113</v>
      </c>
      <c r="I67" s="19">
        <f t="shared" ref="I67:I81" si="1">+J67-H67</f>
        <v>0</v>
      </c>
      <c r="J67" s="33">
        <v>46113</v>
      </c>
      <c r="K67" s="19">
        <v>0.52</v>
      </c>
      <c r="L67" s="19" t="s">
        <v>184</v>
      </c>
      <c r="M67" s="46"/>
      <c r="N67" s="46"/>
      <c r="O67" s="46"/>
      <c r="P67" s="46"/>
    </row>
    <row r="68" spans="1:16" ht="20.100000000000001" customHeight="1" x14ac:dyDescent="0.25">
      <c r="A68" s="19" t="s">
        <v>19</v>
      </c>
      <c r="B68" s="19">
        <v>6708</v>
      </c>
      <c r="C68" s="19">
        <v>23795</v>
      </c>
      <c r="D68" s="19" t="s">
        <v>72</v>
      </c>
      <c r="E68" s="20">
        <v>46105</v>
      </c>
      <c r="F68" s="21">
        <v>0.71250000000000002</v>
      </c>
      <c r="G68" s="30" t="s">
        <v>31</v>
      </c>
      <c r="H68" s="20">
        <v>46113</v>
      </c>
      <c r="I68" s="19">
        <f t="shared" si="1"/>
        <v>-1</v>
      </c>
      <c r="J68" s="33">
        <v>46112</v>
      </c>
      <c r="K68" s="19">
        <v>6.6</v>
      </c>
      <c r="L68" s="19" t="s">
        <v>236</v>
      </c>
      <c r="M68" s="46"/>
      <c r="N68" s="46"/>
      <c r="O68" s="46"/>
      <c r="P68" s="46"/>
    </row>
    <row r="69" spans="1:16" ht="20.100000000000001" customHeight="1" x14ac:dyDescent="0.25">
      <c r="A69" s="19" t="s">
        <v>19</v>
      </c>
      <c r="B69" s="19">
        <v>6709</v>
      </c>
      <c r="C69" s="19">
        <v>23780</v>
      </c>
      <c r="D69" s="19" t="s">
        <v>72</v>
      </c>
      <c r="E69" s="20">
        <v>46105</v>
      </c>
      <c r="F69" s="21">
        <v>0.71666666666666667</v>
      </c>
      <c r="G69" s="30" t="s">
        <v>31</v>
      </c>
      <c r="H69" s="20">
        <v>46113</v>
      </c>
      <c r="I69" s="19">
        <f t="shared" si="1"/>
        <v>0</v>
      </c>
      <c r="J69" s="30">
        <v>46113</v>
      </c>
      <c r="K69" s="19">
        <v>15.68</v>
      </c>
      <c r="L69" s="19" t="s">
        <v>268</v>
      </c>
      <c r="M69" s="46"/>
      <c r="N69" s="46"/>
      <c r="O69" s="46"/>
      <c r="P69" s="46"/>
    </row>
    <row r="70" spans="1:16" ht="20.100000000000001" customHeight="1" x14ac:dyDescent="0.25">
      <c r="A70" s="19" t="s">
        <v>19</v>
      </c>
      <c r="B70" s="19">
        <v>6710</v>
      </c>
      <c r="C70" s="19">
        <v>23799</v>
      </c>
      <c r="D70" s="19" t="s">
        <v>72</v>
      </c>
      <c r="E70" s="20">
        <v>46105</v>
      </c>
      <c r="F70" s="21">
        <v>0.71666666666666667</v>
      </c>
      <c r="G70" s="30" t="s">
        <v>31</v>
      </c>
      <c r="H70" s="20">
        <v>46113</v>
      </c>
      <c r="I70" s="19">
        <f t="shared" si="1"/>
        <v>0</v>
      </c>
      <c r="J70" s="33">
        <v>46113</v>
      </c>
      <c r="K70" s="19">
        <v>14.06</v>
      </c>
      <c r="L70" s="19" t="s">
        <v>237</v>
      </c>
      <c r="M70" s="46"/>
      <c r="N70" s="46"/>
      <c r="O70" s="46"/>
      <c r="P70" s="46"/>
    </row>
    <row r="71" spans="1:16" ht="20.100000000000001" customHeight="1" x14ac:dyDescent="0.25">
      <c r="A71" s="19" t="s">
        <v>19</v>
      </c>
      <c r="B71" s="46">
        <v>6711</v>
      </c>
      <c r="C71" s="46">
        <v>23788</v>
      </c>
      <c r="D71" s="46" t="s">
        <v>72</v>
      </c>
      <c r="E71" s="6">
        <v>46105</v>
      </c>
      <c r="F71" s="21">
        <v>0.72430555555555554</v>
      </c>
      <c r="G71" s="30" t="s">
        <v>31</v>
      </c>
      <c r="H71" s="20">
        <v>46113</v>
      </c>
      <c r="I71" s="19">
        <f t="shared" si="1"/>
        <v>0</v>
      </c>
      <c r="J71" s="30">
        <v>46113</v>
      </c>
      <c r="K71" s="46">
        <v>7.88</v>
      </c>
      <c r="L71" s="19" t="s">
        <v>260</v>
      </c>
    </row>
    <row r="72" spans="1:16" ht="20.100000000000001" customHeight="1" x14ac:dyDescent="0.25">
      <c r="A72" s="19" t="s">
        <v>19</v>
      </c>
      <c r="B72" s="46">
        <v>6712</v>
      </c>
      <c r="C72" s="46">
        <v>23793</v>
      </c>
      <c r="D72" s="46" t="s">
        <v>72</v>
      </c>
      <c r="E72" s="6">
        <v>46105</v>
      </c>
      <c r="F72" s="40">
        <v>0.7319444444444444</v>
      </c>
      <c r="G72" s="30" t="s">
        <v>31</v>
      </c>
      <c r="H72" s="20">
        <v>46113</v>
      </c>
      <c r="I72" s="19">
        <f t="shared" si="1"/>
        <v>0</v>
      </c>
      <c r="J72" s="30">
        <v>46113</v>
      </c>
      <c r="K72" s="46">
        <f>1.26+0.72</f>
        <v>1.98</v>
      </c>
      <c r="L72" s="39" t="s">
        <v>261</v>
      </c>
    </row>
    <row r="73" spans="1:16" ht="20.100000000000001" customHeight="1" x14ac:dyDescent="0.25">
      <c r="A73" s="19" t="s">
        <v>19</v>
      </c>
      <c r="B73" s="46">
        <v>6713</v>
      </c>
      <c r="C73" s="46">
        <v>23806</v>
      </c>
      <c r="D73" s="46" t="s">
        <v>72</v>
      </c>
      <c r="E73" s="7">
        <v>46105</v>
      </c>
      <c r="F73" s="40">
        <v>0.74236111111111114</v>
      </c>
      <c r="G73" s="30" t="s">
        <v>31</v>
      </c>
      <c r="H73" s="20">
        <v>46113</v>
      </c>
      <c r="I73" s="19">
        <f t="shared" si="1"/>
        <v>0</v>
      </c>
      <c r="J73" s="33">
        <v>46113</v>
      </c>
      <c r="K73" s="46">
        <v>4.9400000000000004</v>
      </c>
      <c r="L73" s="39" t="s">
        <v>238</v>
      </c>
    </row>
    <row r="74" spans="1:16" ht="20.100000000000001" customHeight="1" x14ac:dyDescent="0.25">
      <c r="A74" s="39" t="s">
        <v>19</v>
      </c>
      <c r="B74" s="39">
        <v>6714</v>
      </c>
      <c r="C74" s="39">
        <v>23811</v>
      </c>
      <c r="D74" s="39" t="s">
        <v>15</v>
      </c>
      <c r="E74" s="49">
        <v>46106</v>
      </c>
      <c r="F74" s="50">
        <v>0.6118055555555556</v>
      </c>
      <c r="G74" s="30" t="s">
        <v>31</v>
      </c>
      <c r="H74" s="49">
        <v>46118</v>
      </c>
      <c r="I74" s="39">
        <f t="shared" si="1"/>
        <v>-31</v>
      </c>
      <c r="J74" s="30">
        <v>46087</v>
      </c>
      <c r="K74" s="39">
        <v>1.24</v>
      </c>
      <c r="L74" s="39" t="s">
        <v>239</v>
      </c>
    </row>
    <row r="75" spans="1:16" ht="20.100000000000001" customHeight="1" x14ac:dyDescent="0.25">
      <c r="A75" s="39" t="s">
        <v>19</v>
      </c>
      <c r="B75" s="39" t="s">
        <v>240</v>
      </c>
      <c r="C75" s="39">
        <v>23812</v>
      </c>
      <c r="D75" s="39" t="s">
        <v>18</v>
      </c>
      <c r="E75" s="49">
        <v>46106</v>
      </c>
      <c r="F75" s="50">
        <v>0.71111111111111114</v>
      </c>
      <c r="G75" s="30" t="s">
        <v>31</v>
      </c>
      <c r="H75" s="49">
        <v>46118</v>
      </c>
      <c r="I75" s="39">
        <f t="shared" si="1"/>
        <v>-46118</v>
      </c>
      <c r="J75" s="51"/>
      <c r="K75" s="39">
        <v>1.6</v>
      </c>
      <c r="L75" s="39" t="s">
        <v>99</v>
      </c>
    </row>
    <row r="76" spans="1:16" ht="20.100000000000001" customHeight="1" x14ac:dyDescent="0.25">
      <c r="A76" s="39" t="s">
        <v>19</v>
      </c>
      <c r="B76" s="39" t="s">
        <v>241</v>
      </c>
      <c r="C76" s="39">
        <v>23812</v>
      </c>
      <c r="D76" s="39" t="s">
        <v>18</v>
      </c>
      <c r="E76" s="49">
        <v>46106</v>
      </c>
      <c r="F76" s="50">
        <v>0.71111111111111114</v>
      </c>
      <c r="G76" s="30" t="s">
        <v>31</v>
      </c>
      <c r="H76" s="49">
        <v>46118</v>
      </c>
      <c r="I76" s="39">
        <f t="shared" ref="I76" si="2">+J76-H76</f>
        <v>-31</v>
      </c>
      <c r="J76" s="30">
        <v>46087</v>
      </c>
      <c r="K76" s="39">
        <v>1.54</v>
      </c>
      <c r="L76" s="39" t="s">
        <v>98</v>
      </c>
    </row>
    <row r="77" spans="1:16" ht="20.100000000000001" customHeight="1" x14ac:dyDescent="0.25">
      <c r="A77" s="39" t="s">
        <v>19</v>
      </c>
      <c r="B77" s="39">
        <v>6716</v>
      </c>
      <c r="C77" s="39">
        <v>23808</v>
      </c>
      <c r="D77" s="39" t="s">
        <v>22</v>
      </c>
      <c r="E77" s="49">
        <v>46106</v>
      </c>
      <c r="F77" s="50">
        <v>0.72361111111111109</v>
      </c>
      <c r="G77" s="30" t="s">
        <v>31</v>
      </c>
      <c r="H77" s="49">
        <v>46118</v>
      </c>
      <c r="I77" s="39">
        <f t="shared" si="1"/>
        <v>-31</v>
      </c>
      <c r="J77" s="30">
        <v>46087</v>
      </c>
      <c r="K77" s="39">
        <v>0.8</v>
      </c>
      <c r="L77" s="39" t="s">
        <v>242</v>
      </c>
    </row>
    <row r="78" spans="1:16" ht="20.100000000000001" customHeight="1" x14ac:dyDescent="0.25">
      <c r="A78" s="39" t="s">
        <v>19</v>
      </c>
      <c r="B78" s="39">
        <v>6717</v>
      </c>
      <c r="C78" s="39">
        <v>23813</v>
      </c>
      <c r="D78" s="39" t="s">
        <v>22</v>
      </c>
      <c r="E78" s="49">
        <v>46106</v>
      </c>
      <c r="F78" s="50">
        <v>0.72361111111111109</v>
      </c>
      <c r="G78" s="30" t="s">
        <v>31</v>
      </c>
      <c r="H78" s="49">
        <v>46118</v>
      </c>
      <c r="I78" s="39">
        <f t="shared" si="1"/>
        <v>-31</v>
      </c>
      <c r="J78" s="30">
        <v>46087</v>
      </c>
      <c r="K78" s="39">
        <v>1.9</v>
      </c>
      <c r="L78" s="39" t="s">
        <v>243</v>
      </c>
    </row>
    <row r="79" spans="1:16" ht="20.100000000000001" customHeight="1" x14ac:dyDescent="0.25">
      <c r="A79" s="52" t="s">
        <v>19</v>
      </c>
      <c r="B79" s="52">
        <v>6718</v>
      </c>
      <c r="C79" s="52">
        <v>23809</v>
      </c>
      <c r="D79" s="52" t="s">
        <v>22</v>
      </c>
      <c r="E79" s="53">
        <v>46107</v>
      </c>
      <c r="F79" s="55">
        <v>0.3354166666666667</v>
      </c>
      <c r="G79" s="30" t="s">
        <v>31</v>
      </c>
      <c r="H79" s="53">
        <v>46118</v>
      </c>
      <c r="I79" s="52">
        <f t="shared" si="1"/>
        <v>-31</v>
      </c>
      <c r="J79" s="30">
        <v>46087</v>
      </c>
      <c r="K79" s="52">
        <v>3.2</v>
      </c>
      <c r="L79" s="52" t="s">
        <v>244</v>
      </c>
    </row>
    <row r="80" spans="1:16" ht="20.100000000000001" customHeight="1" x14ac:dyDescent="0.25">
      <c r="A80" s="52" t="s">
        <v>19</v>
      </c>
      <c r="B80" s="39">
        <v>6719</v>
      </c>
      <c r="C80" s="39">
        <v>23817</v>
      </c>
      <c r="D80" s="39" t="s">
        <v>22</v>
      </c>
      <c r="E80" s="49">
        <v>46107</v>
      </c>
      <c r="F80" s="50">
        <v>0.62986111111111109</v>
      </c>
      <c r="G80" s="39"/>
      <c r="H80" s="49">
        <v>46119</v>
      </c>
      <c r="I80" s="31">
        <f t="shared" si="1"/>
        <v>-46119</v>
      </c>
      <c r="J80" s="51"/>
      <c r="K80" s="39">
        <v>2.2799999999999998</v>
      </c>
      <c r="L80" s="39" t="s">
        <v>245</v>
      </c>
    </row>
    <row r="81" spans="1:12" ht="20.100000000000001" customHeight="1" x14ac:dyDescent="0.25">
      <c r="A81" s="52" t="s">
        <v>19</v>
      </c>
      <c r="B81" s="39">
        <v>6720</v>
      </c>
      <c r="C81" s="39">
        <v>23819</v>
      </c>
      <c r="D81" s="39" t="s">
        <v>15</v>
      </c>
      <c r="E81" s="49">
        <v>46109</v>
      </c>
      <c r="F81" s="50">
        <v>0.40486111111111112</v>
      </c>
      <c r="G81" s="39"/>
      <c r="H81" s="49">
        <v>46120</v>
      </c>
      <c r="I81" s="31">
        <f t="shared" si="1"/>
        <v>-46120</v>
      </c>
      <c r="J81" s="51"/>
      <c r="K81" s="39">
        <v>2</v>
      </c>
      <c r="L81" s="39" t="s">
        <v>32</v>
      </c>
    </row>
    <row r="82" spans="1:12" ht="20.100000000000001" customHeight="1" x14ac:dyDescent="0.25">
      <c r="A82" s="52" t="s">
        <v>19</v>
      </c>
      <c r="B82" s="39">
        <v>6721</v>
      </c>
      <c r="C82" s="39" t="s">
        <v>247</v>
      </c>
      <c r="D82" s="39" t="s">
        <v>15</v>
      </c>
      <c r="E82" s="49">
        <v>46111</v>
      </c>
      <c r="F82" s="50">
        <v>0.34166666666666662</v>
      </c>
      <c r="G82" s="39"/>
      <c r="H82" s="49">
        <v>46120</v>
      </c>
      <c r="I82" s="31"/>
      <c r="J82" s="51"/>
      <c r="K82" s="39">
        <f>7.04+12.8</f>
        <v>19.84</v>
      </c>
      <c r="L82" s="39" t="s">
        <v>248</v>
      </c>
    </row>
    <row r="83" spans="1:12" ht="20.100000000000001" customHeight="1" x14ac:dyDescent="0.25">
      <c r="A83" s="52" t="s">
        <v>19</v>
      </c>
      <c r="B83" s="39">
        <v>6722</v>
      </c>
      <c r="C83" s="39">
        <v>23822</v>
      </c>
      <c r="D83" s="39" t="s">
        <v>18</v>
      </c>
      <c r="E83" s="49">
        <v>46111</v>
      </c>
      <c r="F83" s="50">
        <v>0.40416666666666662</v>
      </c>
      <c r="G83" s="39"/>
      <c r="H83" s="49">
        <v>46120</v>
      </c>
      <c r="I83" s="31"/>
      <c r="J83" s="51"/>
      <c r="K83" s="39">
        <v>1.7</v>
      </c>
      <c r="L83" s="39" t="s">
        <v>249</v>
      </c>
    </row>
    <row r="84" spans="1:12" ht="20.100000000000001" customHeight="1" x14ac:dyDescent="0.25">
      <c r="A84" s="52" t="s">
        <v>19</v>
      </c>
      <c r="B84" s="39">
        <v>6723</v>
      </c>
      <c r="C84" s="39">
        <v>23803</v>
      </c>
      <c r="D84" s="39" t="s">
        <v>72</v>
      </c>
      <c r="E84" s="49">
        <v>46111</v>
      </c>
      <c r="F84" s="50">
        <v>0.6972222222222223</v>
      </c>
      <c r="G84" s="39"/>
      <c r="H84" s="49">
        <v>46121</v>
      </c>
      <c r="I84" s="31"/>
      <c r="J84" s="51"/>
      <c r="K84" s="39">
        <v>1.76</v>
      </c>
      <c r="L84" s="39" t="s">
        <v>250</v>
      </c>
    </row>
    <row r="85" spans="1:12" ht="20.100000000000001" customHeight="1" x14ac:dyDescent="0.25">
      <c r="A85" s="39" t="s">
        <v>19</v>
      </c>
      <c r="B85" s="39">
        <v>6724</v>
      </c>
      <c r="C85" s="39">
        <v>23820</v>
      </c>
      <c r="D85" s="39" t="s">
        <v>72</v>
      </c>
      <c r="E85" s="49">
        <v>46111</v>
      </c>
      <c r="F85" s="50">
        <v>0.6972222222222223</v>
      </c>
      <c r="G85" s="39"/>
      <c r="H85" s="49">
        <v>46121</v>
      </c>
      <c r="I85" s="31"/>
      <c r="J85" s="51"/>
      <c r="K85" s="39">
        <v>2.2000000000000002</v>
      </c>
      <c r="L85" s="39" t="s">
        <v>251</v>
      </c>
    </row>
    <row r="86" spans="1:12" ht="20.100000000000001" customHeight="1" x14ac:dyDescent="0.25">
      <c r="A86" s="39" t="s">
        <v>19</v>
      </c>
      <c r="B86" s="39">
        <v>6725</v>
      </c>
      <c r="C86" s="39">
        <v>23810</v>
      </c>
      <c r="D86" s="39" t="s">
        <v>22</v>
      </c>
      <c r="E86" s="49">
        <v>46112</v>
      </c>
      <c r="F86" s="50">
        <v>0.68611111111111101</v>
      </c>
      <c r="G86" s="39"/>
      <c r="H86" s="49">
        <v>46122</v>
      </c>
      <c r="I86" s="51"/>
      <c r="J86" s="51"/>
      <c r="K86" s="39">
        <v>6.72</v>
      </c>
      <c r="L86" s="39" t="s">
        <v>256</v>
      </c>
    </row>
    <row r="87" spans="1:12" ht="20.100000000000001" customHeight="1" x14ac:dyDescent="0.25">
      <c r="A87" s="39" t="s">
        <v>19</v>
      </c>
      <c r="B87" s="39">
        <v>6726</v>
      </c>
      <c r="C87" s="39">
        <v>23827</v>
      </c>
      <c r="D87" s="39" t="s">
        <v>18</v>
      </c>
      <c r="E87" s="49">
        <v>46112</v>
      </c>
      <c r="F87" s="50">
        <v>0.68611111111111101</v>
      </c>
      <c r="G87" s="39"/>
      <c r="H87" s="49">
        <v>46122</v>
      </c>
      <c r="I87" s="51"/>
      <c r="J87" s="51"/>
      <c r="K87" s="39">
        <v>0.99</v>
      </c>
      <c r="L87" s="39" t="s">
        <v>257</v>
      </c>
    </row>
    <row r="88" spans="1:12" ht="20.100000000000001" customHeight="1" x14ac:dyDescent="0.25">
      <c r="A88" s="39" t="s">
        <v>19</v>
      </c>
      <c r="B88" s="39">
        <v>6727</v>
      </c>
      <c r="C88" s="39">
        <v>23821</v>
      </c>
      <c r="D88" s="39" t="s">
        <v>22</v>
      </c>
      <c r="E88" s="49">
        <v>46112</v>
      </c>
      <c r="F88" s="50">
        <v>0.70138888888888884</v>
      </c>
      <c r="G88" s="39"/>
      <c r="H88" s="49">
        <v>46122</v>
      </c>
      <c r="I88" s="51"/>
      <c r="J88" s="51"/>
      <c r="K88" s="39">
        <v>16.32</v>
      </c>
      <c r="L88" s="39" t="s">
        <v>258</v>
      </c>
    </row>
    <row r="89" spans="1:12" ht="20.100000000000001" customHeight="1" x14ac:dyDescent="0.25">
      <c r="A89" s="39" t="s">
        <v>19</v>
      </c>
      <c r="B89" s="39">
        <v>6728</v>
      </c>
      <c r="C89" s="39">
        <v>23815</v>
      </c>
      <c r="D89" s="39" t="s">
        <v>22</v>
      </c>
      <c r="E89" s="49">
        <v>46112</v>
      </c>
      <c r="F89" s="50">
        <v>0.70138888888888884</v>
      </c>
      <c r="G89" s="39"/>
      <c r="H89" s="49">
        <v>46122</v>
      </c>
      <c r="I89" s="31"/>
      <c r="J89" s="51"/>
      <c r="K89" s="39">
        <v>6.84</v>
      </c>
      <c r="L89" s="39" t="s">
        <v>259</v>
      </c>
    </row>
    <row r="90" spans="1:12" ht="20.100000000000001" customHeight="1" x14ac:dyDescent="0.25">
      <c r="I90" s="48"/>
      <c r="J90" s="32"/>
    </row>
    <row r="91" spans="1:12" ht="20.100000000000001" customHeight="1" x14ac:dyDescent="0.25">
      <c r="I91" s="48"/>
      <c r="J91" s="32"/>
    </row>
    <row r="92" spans="1:12" ht="20.100000000000001" customHeight="1" x14ac:dyDescent="0.25">
      <c r="I92" s="48"/>
      <c r="J92" s="32"/>
    </row>
    <row r="93" spans="1:12" ht="20.100000000000001" customHeight="1" x14ac:dyDescent="0.25">
      <c r="I93" s="48"/>
      <c r="J93" s="32"/>
    </row>
    <row r="94" spans="1:12" ht="20.100000000000001" customHeight="1" x14ac:dyDescent="0.25">
      <c r="I94" s="48"/>
      <c r="J94" s="32"/>
    </row>
    <row r="95" spans="1:12" ht="20.100000000000001" customHeight="1" x14ac:dyDescent="0.25">
      <c r="I95" s="48"/>
      <c r="J95" s="32"/>
    </row>
    <row r="96" spans="1:12" ht="20.100000000000001" customHeight="1" x14ac:dyDescent="0.25">
      <c r="I96" s="48"/>
      <c r="J96" s="32"/>
    </row>
    <row r="97" spans="9:10" ht="20.100000000000001" customHeight="1" x14ac:dyDescent="0.25">
      <c r="I97" s="48"/>
      <c r="J97" s="32"/>
    </row>
    <row r="98" spans="9:10" ht="20.100000000000001" customHeight="1" x14ac:dyDescent="0.25">
      <c r="I98" s="48"/>
      <c r="J98" s="32"/>
    </row>
    <row r="99" spans="9:10" ht="20.100000000000001" customHeight="1" x14ac:dyDescent="0.25">
      <c r="I99" s="48"/>
      <c r="J99" s="32"/>
    </row>
    <row r="100" spans="9:10" x14ac:dyDescent="0.25">
      <c r="I100" s="32"/>
      <c r="J100" s="32"/>
    </row>
    <row r="1048256" spans="8:9" s="5" customFormat="1" x14ac:dyDescent="0.25">
      <c r="H1048256" s="6"/>
      <c r="I1048256" s="7"/>
    </row>
  </sheetData>
  <autoFilter ref="A3:P70" xr:uid="{00000000-0009-0000-0000-000000000000}"/>
  <mergeCells count="5">
    <mergeCell ref="A1:E2"/>
    <mergeCell ref="F1:G2"/>
    <mergeCell ref="H1:I2"/>
    <mergeCell ref="J1:K2"/>
    <mergeCell ref="L1:N2"/>
  </mergeCells>
  <conditionalFormatting sqref="I13:I99">
    <cfRule type="expression" dxfId="7" priority="1">
      <formula>I13:I88&lt;0</formula>
    </cfRule>
    <cfRule type="expression" dxfId="6" priority="2">
      <formula>I13:I88&gt;=0</formula>
    </cfRule>
  </conditionalFormatting>
  <conditionalFormatting sqref="I4:I12">
    <cfRule type="expression" dxfId="5" priority="5">
      <formula>I4:I78&lt;0</formula>
    </cfRule>
    <cfRule type="expression" dxfId="4" priority="6">
      <formula>I4:I78&gt;=0</formula>
    </cfRule>
  </conditionalFormatting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51559-2280-40A9-8E7C-696D5DAC6445}">
  <dimension ref="A1:P1048256"/>
  <sheetViews>
    <sheetView tabSelected="1" zoomScale="90" zoomScaleNormal="9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G18" sqref="F18:G18"/>
    </sheetView>
  </sheetViews>
  <sheetFormatPr baseColWidth="10" defaultRowHeight="15.75" x14ac:dyDescent="0.25"/>
  <cols>
    <col min="1" max="1" width="17.5703125" style="5" bestFit="1" customWidth="1"/>
    <col min="2" max="2" width="14.7109375" style="5" bestFit="1" customWidth="1"/>
    <col min="3" max="3" width="20.7109375" style="5" bestFit="1" customWidth="1"/>
    <col min="4" max="4" width="13.28515625" style="5" bestFit="1" customWidth="1"/>
    <col min="5" max="5" width="18.42578125" style="5" bestFit="1" customWidth="1"/>
    <col min="6" max="6" width="18" style="5" bestFit="1" customWidth="1"/>
    <col min="7" max="7" width="17.5703125" style="5" bestFit="1" customWidth="1"/>
    <col min="8" max="8" width="15.28515625" style="5" bestFit="1" customWidth="1"/>
    <col min="9" max="9" width="15.28515625" style="5" customWidth="1"/>
    <col min="10" max="10" width="15" style="5" bestFit="1" customWidth="1"/>
    <col min="11" max="11" width="14.42578125" style="5" bestFit="1" customWidth="1"/>
    <col min="12" max="12" width="69.85546875" style="5" customWidth="1"/>
    <col min="13" max="13" width="15.42578125" style="5" bestFit="1" customWidth="1"/>
    <col min="14" max="14" width="16" style="5" customWidth="1"/>
    <col min="15" max="15" width="18.5703125" style="5" bestFit="1" customWidth="1"/>
    <col min="16" max="16" width="19.5703125" style="5" bestFit="1" customWidth="1"/>
    <col min="17" max="16384" width="11.42578125" style="4"/>
  </cols>
  <sheetData>
    <row r="1" spans="1:16" ht="23.25" customHeight="1" x14ac:dyDescent="0.25">
      <c r="A1" s="58"/>
      <c r="B1" s="58"/>
      <c r="C1" s="58"/>
      <c r="D1" s="58"/>
      <c r="E1" s="58"/>
      <c r="F1" s="59" t="s">
        <v>3</v>
      </c>
      <c r="G1" s="60"/>
      <c r="H1" s="61"/>
      <c r="I1" s="62"/>
      <c r="J1" s="63"/>
      <c r="K1" s="64"/>
      <c r="L1" s="67" t="s">
        <v>255</v>
      </c>
      <c r="M1" s="68"/>
      <c r="N1" s="68"/>
      <c r="O1" s="8"/>
      <c r="P1" s="9"/>
    </row>
    <row r="2" spans="1:16" ht="23.25" customHeight="1" x14ac:dyDescent="0.25">
      <c r="A2" s="58"/>
      <c r="B2" s="58"/>
      <c r="C2" s="58"/>
      <c r="D2" s="58"/>
      <c r="E2" s="58"/>
      <c r="F2" s="59"/>
      <c r="G2" s="60"/>
      <c r="H2" s="62"/>
      <c r="I2" s="62"/>
      <c r="J2" s="65"/>
      <c r="K2" s="66"/>
      <c r="L2" s="69"/>
      <c r="M2" s="69"/>
      <c r="N2" s="69"/>
      <c r="O2" s="10"/>
      <c r="P2" s="11"/>
    </row>
    <row r="3" spans="1:16" ht="31.5" x14ac:dyDescent="0.25">
      <c r="A3" s="12" t="s">
        <v>7</v>
      </c>
      <c r="B3" s="13" t="s">
        <v>6</v>
      </c>
      <c r="C3" s="14" t="s">
        <v>4</v>
      </c>
      <c r="D3" s="15" t="s">
        <v>0</v>
      </c>
      <c r="E3" s="12" t="s">
        <v>1</v>
      </c>
      <c r="F3" s="15" t="s">
        <v>2</v>
      </c>
      <c r="G3" s="12" t="s">
        <v>9</v>
      </c>
      <c r="H3" s="16" t="s">
        <v>11</v>
      </c>
      <c r="I3" s="16" t="s">
        <v>14</v>
      </c>
      <c r="J3" s="17" t="s">
        <v>10</v>
      </c>
      <c r="K3" s="16" t="s">
        <v>12</v>
      </c>
      <c r="L3" s="18" t="s">
        <v>5</v>
      </c>
      <c r="M3" s="16" t="s">
        <v>16</v>
      </c>
      <c r="N3" s="18" t="s">
        <v>13</v>
      </c>
      <c r="O3" s="1" t="s">
        <v>20</v>
      </c>
      <c r="P3" s="2" t="s">
        <v>8</v>
      </c>
    </row>
    <row r="4" spans="1:16" ht="20.100000000000001" customHeight="1" x14ac:dyDescent="0.25">
      <c r="A4" s="19" t="s">
        <v>19</v>
      </c>
      <c r="B4" s="19">
        <v>6729</v>
      </c>
      <c r="C4" s="19">
        <v>23832</v>
      </c>
      <c r="D4" s="19" t="s">
        <v>18</v>
      </c>
      <c r="E4" s="20">
        <v>46113</v>
      </c>
      <c r="F4" s="21">
        <v>0.4694444444444445</v>
      </c>
      <c r="G4" s="30"/>
      <c r="H4" s="20">
        <v>46125</v>
      </c>
      <c r="I4" s="57">
        <f>+J4-H4</f>
        <v>-46125</v>
      </c>
      <c r="J4" s="30"/>
      <c r="K4" s="22">
        <v>40.07</v>
      </c>
      <c r="L4" s="31" t="s">
        <v>262</v>
      </c>
      <c r="M4" s="19"/>
      <c r="N4" s="19"/>
      <c r="O4" s="56"/>
      <c r="P4" s="56"/>
    </row>
    <row r="5" spans="1:16" ht="20.100000000000001" customHeight="1" x14ac:dyDescent="0.25">
      <c r="A5" s="19" t="s">
        <v>19</v>
      </c>
      <c r="B5" s="19">
        <v>6730</v>
      </c>
      <c r="C5" s="19">
        <v>23824</v>
      </c>
      <c r="D5" s="19" t="s">
        <v>15</v>
      </c>
      <c r="E5" s="20">
        <v>46113</v>
      </c>
      <c r="F5" s="21">
        <v>0.60138888888888886</v>
      </c>
      <c r="G5" s="30"/>
      <c r="H5" s="20">
        <v>46125</v>
      </c>
      <c r="I5" s="19"/>
      <c r="J5" s="30"/>
      <c r="K5" s="22">
        <v>6.48</v>
      </c>
      <c r="L5" s="31" t="s">
        <v>263</v>
      </c>
      <c r="M5" s="19"/>
      <c r="N5" s="19"/>
      <c r="O5" s="56"/>
      <c r="P5" s="56"/>
    </row>
    <row r="6" spans="1:16" ht="20.100000000000001" customHeight="1" x14ac:dyDescent="0.25">
      <c r="A6" s="19" t="s">
        <v>19</v>
      </c>
      <c r="B6" s="19" t="s">
        <v>266</v>
      </c>
      <c r="C6" s="19">
        <v>23818</v>
      </c>
      <c r="D6" s="19" t="s">
        <v>22</v>
      </c>
      <c r="E6" s="20">
        <v>46113</v>
      </c>
      <c r="F6" s="21">
        <v>0.60138888888888886</v>
      </c>
      <c r="G6" s="30"/>
      <c r="H6" s="20">
        <v>46125</v>
      </c>
      <c r="I6" s="19"/>
      <c r="J6" s="30"/>
      <c r="K6" s="22">
        <v>0.9</v>
      </c>
      <c r="L6" s="31" t="s">
        <v>264</v>
      </c>
      <c r="M6" s="19"/>
      <c r="N6" s="19"/>
      <c r="O6" s="56"/>
      <c r="P6" s="56"/>
    </row>
    <row r="7" spans="1:16" ht="20.100000000000001" customHeight="1" x14ac:dyDescent="0.25">
      <c r="A7" s="19" t="s">
        <v>19</v>
      </c>
      <c r="B7" s="19" t="s">
        <v>267</v>
      </c>
      <c r="C7" s="19">
        <v>23818</v>
      </c>
      <c r="D7" s="19" t="s">
        <v>22</v>
      </c>
      <c r="E7" s="20">
        <v>46113</v>
      </c>
      <c r="F7" s="21">
        <v>0.60138888888888886</v>
      </c>
      <c r="G7" s="30"/>
      <c r="H7" s="20">
        <v>46125</v>
      </c>
      <c r="I7" s="19"/>
      <c r="J7" s="30"/>
      <c r="K7" s="22">
        <v>8.25</v>
      </c>
      <c r="L7" s="31" t="s">
        <v>265</v>
      </c>
      <c r="M7" s="19"/>
      <c r="N7" s="19"/>
      <c r="O7" s="56"/>
      <c r="P7" s="56"/>
    </row>
    <row r="8" spans="1:16" ht="20.100000000000001" customHeight="1" x14ac:dyDescent="0.25">
      <c r="A8" s="19" t="s">
        <v>19</v>
      </c>
      <c r="B8" s="19">
        <v>6732</v>
      </c>
      <c r="C8" s="19">
        <v>23828</v>
      </c>
      <c r="D8" s="19" t="s">
        <v>22</v>
      </c>
      <c r="E8" s="20">
        <v>46113</v>
      </c>
      <c r="F8" s="21">
        <v>0.6743055555555556</v>
      </c>
      <c r="G8" s="30"/>
      <c r="H8" s="20">
        <v>46125</v>
      </c>
      <c r="I8" s="19"/>
      <c r="J8" s="30"/>
      <c r="K8" s="22">
        <v>1.26</v>
      </c>
      <c r="L8" s="31" t="s">
        <v>269</v>
      </c>
      <c r="M8" s="19"/>
      <c r="N8" s="19"/>
      <c r="O8" s="56"/>
      <c r="P8" s="56"/>
    </row>
    <row r="9" spans="1:16" ht="20.100000000000001" customHeight="1" x14ac:dyDescent="0.25">
      <c r="A9" s="19" t="s">
        <v>19</v>
      </c>
      <c r="B9" s="19"/>
      <c r="C9" s="19"/>
      <c r="D9" s="19"/>
      <c r="E9" s="20"/>
      <c r="F9" s="21"/>
      <c r="G9" s="30"/>
      <c r="H9" s="20"/>
      <c r="I9" s="19"/>
      <c r="J9" s="30"/>
      <c r="K9" s="19"/>
      <c r="L9" s="31"/>
      <c r="M9" s="19"/>
      <c r="N9" s="19"/>
      <c r="O9" s="56"/>
      <c r="P9" s="56"/>
    </row>
    <row r="10" spans="1:16" ht="20.100000000000001" customHeight="1" x14ac:dyDescent="0.25">
      <c r="A10" s="19" t="s">
        <v>19</v>
      </c>
      <c r="B10" s="19"/>
      <c r="C10" s="19"/>
      <c r="D10" s="19"/>
      <c r="E10" s="20"/>
      <c r="F10" s="21"/>
      <c r="G10" s="30"/>
      <c r="H10" s="20"/>
      <c r="I10" s="19"/>
      <c r="J10" s="30"/>
      <c r="K10" s="19"/>
      <c r="L10" s="31"/>
      <c r="M10" s="19"/>
      <c r="N10" s="19"/>
      <c r="O10" s="56"/>
      <c r="P10" s="56"/>
    </row>
    <row r="11" spans="1:16" ht="20.100000000000001" customHeight="1" x14ac:dyDescent="0.25">
      <c r="A11" s="19" t="s">
        <v>19</v>
      </c>
      <c r="B11" s="19"/>
      <c r="C11" s="19"/>
      <c r="D11" s="19"/>
      <c r="E11" s="20"/>
      <c r="F11" s="21"/>
      <c r="G11" s="30"/>
      <c r="H11" s="20"/>
      <c r="I11" s="19"/>
      <c r="J11" s="30"/>
      <c r="K11" s="19"/>
      <c r="L11" s="31"/>
      <c r="M11" s="19"/>
      <c r="N11" s="19"/>
      <c r="O11" s="56"/>
      <c r="P11" s="56"/>
    </row>
    <row r="12" spans="1:16" ht="20.100000000000001" customHeight="1" x14ac:dyDescent="0.25">
      <c r="A12" s="19" t="s">
        <v>19</v>
      </c>
      <c r="B12" s="19"/>
      <c r="C12" s="19"/>
      <c r="D12" s="19"/>
      <c r="E12" s="20"/>
      <c r="F12" s="21"/>
      <c r="G12" s="30"/>
      <c r="H12" s="20"/>
      <c r="I12" s="19"/>
      <c r="J12" s="30"/>
      <c r="K12" s="19"/>
      <c r="L12" s="31"/>
      <c r="M12" s="19"/>
      <c r="N12" s="19"/>
      <c r="O12" s="56"/>
      <c r="P12" s="56"/>
    </row>
    <row r="13" spans="1:16" ht="20.100000000000001" customHeight="1" x14ac:dyDescent="0.25">
      <c r="A13" s="19" t="s">
        <v>19</v>
      </c>
      <c r="B13" s="19"/>
      <c r="C13" s="19"/>
      <c r="D13" s="19"/>
      <c r="E13" s="20"/>
      <c r="F13" s="21"/>
      <c r="G13" s="30"/>
      <c r="H13" s="20"/>
      <c r="I13" s="19"/>
      <c r="J13" s="30"/>
      <c r="K13" s="22"/>
      <c r="L13" s="31"/>
      <c r="M13" s="19"/>
      <c r="N13" s="19"/>
      <c r="O13" s="56"/>
      <c r="P13" s="56"/>
    </row>
    <row r="14" spans="1:16" ht="20.100000000000001" customHeight="1" x14ac:dyDescent="0.25">
      <c r="A14" s="19" t="s">
        <v>19</v>
      </c>
      <c r="B14" s="19"/>
      <c r="C14" s="19"/>
      <c r="D14" s="19"/>
      <c r="E14" s="20"/>
      <c r="F14" s="21"/>
      <c r="G14" s="30"/>
      <c r="H14" s="20"/>
      <c r="I14" s="19"/>
      <c r="J14" s="30"/>
      <c r="K14" s="22"/>
      <c r="L14" s="31"/>
      <c r="M14" s="19"/>
      <c r="N14" s="19"/>
      <c r="O14" s="56"/>
      <c r="P14" s="56"/>
    </row>
    <row r="15" spans="1:16" ht="20.100000000000001" customHeight="1" x14ac:dyDescent="0.25">
      <c r="A15" s="19" t="s">
        <v>19</v>
      </c>
      <c r="B15" s="19"/>
      <c r="C15" s="19"/>
      <c r="D15" s="19"/>
      <c r="E15" s="20"/>
      <c r="F15" s="21"/>
      <c r="G15" s="30"/>
      <c r="H15" s="20"/>
      <c r="I15" s="19"/>
      <c r="J15" s="30"/>
      <c r="K15" s="22"/>
      <c r="L15" s="19"/>
      <c r="M15" s="19"/>
      <c r="N15" s="19"/>
      <c r="O15" s="56"/>
      <c r="P15" s="56"/>
    </row>
    <row r="16" spans="1:16" ht="20.100000000000001" customHeight="1" x14ac:dyDescent="0.25">
      <c r="A16" s="19" t="s">
        <v>19</v>
      </c>
      <c r="B16" s="19"/>
      <c r="C16" s="19"/>
      <c r="D16" s="19"/>
      <c r="E16" s="20"/>
      <c r="F16" s="21"/>
      <c r="G16" s="30"/>
      <c r="H16" s="20"/>
      <c r="I16" s="19"/>
      <c r="J16" s="30"/>
      <c r="K16" s="22"/>
      <c r="L16" s="19"/>
      <c r="M16" s="19"/>
      <c r="N16" s="19"/>
      <c r="O16" s="56"/>
      <c r="P16" s="56"/>
    </row>
    <row r="17" spans="1:16" ht="20.100000000000001" customHeight="1" x14ac:dyDescent="0.25">
      <c r="A17" s="19" t="s">
        <v>19</v>
      </c>
      <c r="B17" s="23"/>
      <c r="C17" s="19"/>
      <c r="D17" s="19"/>
      <c r="E17" s="20"/>
      <c r="F17" s="21"/>
      <c r="G17" s="30"/>
      <c r="H17" s="20"/>
      <c r="I17" s="19"/>
      <c r="J17" s="30"/>
      <c r="K17" s="22"/>
      <c r="L17" s="19"/>
      <c r="M17" s="19"/>
      <c r="N17" s="19"/>
      <c r="O17" s="56"/>
      <c r="P17" s="56"/>
    </row>
    <row r="18" spans="1:16" ht="20.100000000000001" customHeight="1" x14ac:dyDescent="0.25">
      <c r="A18" s="19" t="s">
        <v>19</v>
      </c>
      <c r="B18" s="19"/>
      <c r="C18" s="19"/>
      <c r="D18" s="19"/>
      <c r="E18" s="20"/>
      <c r="F18" s="21"/>
      <c r="G18" s="30"/>
      <c r="H18" s="20"/>
      <c r="I18" s="19"/>
      <c r="J18" s="30"/>
      <c r="K18" s="22"/>
      <c r="L18" s="19"/>
      <c r="M18" s="19"/>
      <c r="N18" s="19"/>
      <c r="O18" s="56"/>
      <c r="P18" s="56"/>
    </row>
    <row r="19" spans="1:16" ht="20.100000000000001" customHeight="1" x14ac:dyDescent="0.25">
      <c r="A19" s="19" t="s">
        <v>19</v>
      </c>
      <c r="B19" s="19"/>
      <c r="C19" s="19"/>
      <c r="D19" s="19"/>
      <c r="E19" s="20"/>
      <c r="F19" s="21"/>
      <c r="G19" s="30"/>
      <c r="H19" s="20"/>
      <c r="I19" s="19"/>
      <c r="J19" s="30"/>
      <c r="K19" s="22"/>
      <c r="L19" s="19"/>
      <c r="M19" s="19"/>
      <c r="N19" s="19"/>
      <c r="O19" s="56"/>
      <c r="P19" s="56"/>
    </row>
    <row r="20" spans="1:16" ht="20.100000000000001" customHeight="1" x14ac:dyDescent="0.25">
      <c r="A20" s="19" t="s">
        <v>19</v>
      </c>
      <c r="B20" s="19"/>
      <c r="C20" s="19"/>
      <c r="D20" s="19"/>
      <c r="E20" s="20"/>
      <c r="F20" s="21"/>
      <c r="G20" s="30"/>
      <c r="H20" s="20"/>
      <c r="I20" s="19"/>
      <c r="J20" s="30"/>
      <c r="K20" s="22"/>
      <c r="L20" s="19"/>
      <c r="M20" s="19"/>
      <c r="N20" s="19"/>
      <c r="O20" s="56"/>
      <c r="P20" s="56"/>
    </row>
    <row r="21" spans="1:16" ht="20.100000000000001" customHeight="1" x14ac:dyDescent="0.25">
      <c r="A21" s="19" t="s">
        <v>19</v>
      </c>
      <c r="B21" s="19"/>
      <c r="C21" s="19"/>
      <c r="D21" s="19"/>
      <c r="E21" s="20"/>
      <c r="F21" s="21"/>
      <c r="G21" s="30"/>
      <c r="H21" s="20"/>
      <c r="I21" s="19"/>
      <c r="J21" s="30"/>
      <c r="K21" s="22"/>
      <c r="L21" s="19"/>
      <c r="M21" s="19"/>
      <c r="N21" s="19"/>
      <c r="O21" s="56"/>
      <c r="P21" s="56"/>
    </row>
    <row r="22" spans="1:16" ht="20.100000000000001" customHeight="1" x14ac:dyDescent="0.25">
      <c r="A22" s="19" t="s">
        <v>19</v>
      </c>
      <c r="B22" s="19"/>
      <c r="C22" s="19"/>
      <c r="D22" s="19"/>
      <c r="E22" s="20"/>
      <c r="F22" s="21"/>
      <c r="G22" s="30"/>
      <c r="H22" s="20"/>
      <c r="I22" s="19"/>
      <c r="J22" s="30"/>
      <c r="K22" s="22"/>
      <c r="L22" s="19"/>
      <c r="M22" s="19"/>
      <c r="N22" s="19"/>
      <c r="O22" s="56"/>
      <c r="P22" s="56"/>
    </row>
    <row r="23" spans="1:16" ht="20.100000000000001" customHeight="1" x14ac:dyDescent="0.25">
      <c r="A23" s="19" t="s">
        <v>19</v>
      </c>
      <c r="B23" s="19"/>
      <c r="C23" s="19"/>
      <c r="D23" s="19"/>
      <c r="E23" s="20"/>
      <c r="F23" s="21"/>
      <c r="G23" s="30"/>
      <c r="H23" s="20"/>
      <c r="I23" s="19"/>
      <c r="J23" s="30"/>
      <c r="K23" s="22"/>
      <c r="L23" s="19"/>
      <c r="M23" s="19"/>
      <c r="N23" s="19"/>
      <c r="O23" s="56"/>
      <c r="P23" s="56"/>
    </row>
    <row r="24" spans="1:16" ht="20.100000000000001" customHeight="1" x14ac:dyDescent="0.25">
      <c r="A24" s="19" t="s">
        <v>19</v>
      </c>
      <c r="B24" s="19"/>
      <c r="C24" s="19"/>
      <c r="D24" s="19"/>
      <c r="E24" s="20"/>
      <c r="F24" s="21"/>
      <c r="G24" s="30"/>
      <c r="H24" s="20"/>
      <c r="I24" s="19"/>
      <c r="J24" s="30"/>
      <c r="K24" s="22"/>
      <c r="L24" s="19"/>
      <c r="M24" s="19"/>
      <c r="N24" s="19"/>
      <c r="O24" s="56"/>
      <c r="P24" s="56"/>
    </row>
    <row r="25" spans="1:16" ht="20.100000000000001" customHeight="1" x14ac:dyDescent="0.25">
      <c r="A25" s="19" t="s">
        <v>19</v>
      </c>
      <c r="B25" s="19"/>
      <c r="C25" s="19"/>
      <c r="D25" s="19"/>
      <c r="E25" s="20"/>
      <c r="F25" s="21"/>
      <c r="G25" s="30"/>
      <c r="H25" s="20"/>
      <c r="I25" s="19"/>
      <c r="J25" s="30"/>
      <c r="K25" s="22"/>
      <c r="L25" s="19"/>
      <c r="M25" s="19"/>
      <c r="N25" s="19"/>
      <c r="O25" s="56"/>
      <c r="P25" s="56"/>
    </row>
    <row r="26" spans="1:16" ht="20.100000000000001" customHeight="1" x14ac:dyDescent="0.25">
      <c r="A26" s="19" t="s">
        <v>19</v>
      </c>
      <c r="B26" s="19"/>
      <c r="C26" s="19"/>
      <c r="D26" s="19"/>
      <c r="E26" s="20"/>
      <c r="F26" s="21"/>
      <c r="G26" s="30"/>
      <c r="H26" s="20"/>
      <c r="I26" s="19"/>
      <c r="J26" s="30"/>
      <c r="K26" s="22"/>
      <c r="L26" s="19"/>
      <c r="M26" s="19"/>
      <c r="N26" s="19"/>
      <c r="O26" s="56"/>
      <c r="P26" s="56"/>
    </row>
    <row r="27" spans="1:16" ht="20.100000000000001" customHeight="1" x14ac:dyDescent="0.25">
      <c r="A27" s="19" t="s">
        <v>19</v>
      </c>
      <c r="B27" s="19"/>
      <c r="C27" s="19"/>
      <c r="D27" s="19"/>
      <c r="E27" s="20"/>
      <c r="F27" s="21"/>
      <c r="G27" s="30"/>
      <c r="H27" s="20"/>
      <c r="I27" s="19"/>
      <c r="J27" s="30"/>
      <c r="K27" s="22"/>
      <c r="L27" s="19"/>
      <c r="M27" s="19"/>
      <c r="N27" s="19"/>
      <c r="O27" s="56"/>
      <c r="P27" s="56"/>
    </row>
    <row r="28" spans="1:16" ht="20.100000000000001" customHeight="1" x14ac:dyDescent="0.25">
      <c r="A28" s="19" t="s">
        <v>19</v>
      </c>
      <c r="B28" s="19"/>
      <c r="C28" s="19"/>
      <c r="D28" s="19"/>
      <c r="E28" s="20"/>
      <c r="F28" s="21"/>
      <c r="G28" s="30"/>
      <c r="H28" s="20"/>
      <c r="I28" s="19"/>
      <c r="J28" s="30"/>
      <c r="K28" s="22"/>
      <c r="L28" s="19"/>
      <c r="M28" s="19"/>
      <c r="N28" s="19"/>
      <c r="O28" s="56"/>
      <c r="P28" s="56"/>
    </row>
    <row r="29" spans="1:16" ht="20.100000000000001" customHeight="1" x14ac:dyDescent="0.25">
      <c r="A29" s="19" t="s">
        <v>19</v>
      </c>
      <c r="B29" s="19"/>
      <c r="C29" s="19"/>
      <c r="D29" s="19"/>
      <c r="E29" s="20"/>
      <c r="F29" s="21"/>
      <c r="G29" s="30"/>
      <c r="H29" s="20"/>
      <c r="I29" s="19"/>
      <c r="J29" s="30"/>
      <c r="K29" s="22"/>
      <c r="L29" s="19"/>
      <c r="M29" s="19"/>
      <c r="N29" s="19"/>
      <c r="O29" s="56"/>
      <c r="P29" s="56"/>
    </row>
    <row r="30" spans="1:16" ht="20.100000000000001" customHeight="1" x14ac:dyDescent="0.25">
      <c r="A30" s="19" t="s">
        <v>19</v>
      </c>
      <c r="B30" s="19"/>
      <c r="C30" s="19"/>
      <c r="D30" s="19"/>
      <c r="E30" s="20"/>
      <c r="F30" s="21"/>
      <c r="G30" s="30"/>
      <c r="H30" s="20"/>
      <c r="I30" s="19"/>
      <c r="J30" s="30"/>
      <c r="K30" s="22"/>
      <c r="L30" s="19"/>
      <c r="M30" s="19"/>
      <c r="N30" s="19"/>
      <c r="O30" s="56"/>
      <c r="P30" s="56"/>
    </row>
    <row r="31" spans="1:16" ht="20.100000000000001" customHeight="1" x14ac:dyDescent="0.25">
      <c r="A31" s="19" t="s">
        <v>19</v>
      </c>
      <c r="B31" s="19"/>
      <c r="C31" s="19"/>
      <c r="D31" s="19"/>
      <c r="E31" s="20"/>
      <c r="F31" s="21"/>
      <c r="G31" s="30"/>
      <c r="H31" s="20"/>
      <c r="I31" s="19"/>
      <c r="J31" s="30"/>
      <c r="K31" s="19"/>
      <c r="L31" s="19"/>
      <c r="M31" s="19"/>
      <c r="N31" s="19"/>
      <c r="O31" s="56"/>
      <c r="P31" s="56"/>
    </row>
    <row r="32" spans="1:16" ht="20.100000000000001" customHeight="1" x14ac:dyDescent="0.25">
      <c r="A32" s="19" t="s">
        <v>19</v>
      </c>
      <c r="B32" s="19"/>
      <c r="C32" s="19"/>
      <c r="D32" s="19"/>
      <c r="E32" s="20"/>
      <c r="F32" s="21"/>
      <c r="G32" s="30"/>
      <c r="H32" s="20"/>
      <c r="I32" s="19"/>
      <c r="J32" s="30"/>
      <c r="K32" s="19"/>
      <c r="L32" s="19"/>
      <c r="M32" s="19"/>
      <c r="N32" s="19"/>
      <c r="O32" s="56"/>
      <c r="P32" s="56"/>
    </row>
    <row r="33" spans="1:16" ht="20.100000000000001" customHeight="1" x14ac:dyDescent="0.25">
      <c r="A33" s="19" t="s">
        <v>19</v>
      </c>
      <c r="B33" s="19"/>
      <c r="C33" s="19"/>
      <c r="D33" s="19"/>
      <c r="E33" s="20"/>
      <c r="F33" s="21"/>
      <c r="G33" s="30"/>
      <c r="H33" s="20"/>
      <c r="I33" s="19"/>
      <c r="J33" s="30"/>
      <c r="K33" s="19"/>
      <c r="L33" s="19"/>
      <c r="M33" s="19"/>
      <c r="N33" s="19"/>
      <c r="O33" s="56"/>
      <c r="P33" s="56"/>
    </row>
    <row r="34" spans="1:16" ht="20.100000000000001" customHeight="1" x14ac:dyDescent="0.25">
      <c r="A34" s="19" t="s">
        <v>19</v>
      </c>
      <c r="B34" s="19"/>
      <c r="C34" s="19"/>
      <c r="D34" s="20"/>
      <c r="E34" s="20"/>
      <c r="F34" s="21"/>
      <c r="G34" s="30"/>
      <c r="H34" s="20"/>
      <c r="I34" s="19"/>
      <c r="J34" s="30"/>
      <c r="K34" s="19"/>
      <c r="L34" s="19"/>
      <c r="M34" s="19"/>
      <c r="N34" s="19"/>
      <c r="O34" s="56"/>
      <c r="P34" s="56"/>
    </row>
    <row r="35" spans="1:16" ht="20.100000000000001" customHeight="1" x14ac:dyDescent="0.25">
      <c r="A35" s="19" t="s">
        <v>19</v>
      </c>
      <c r="B35" s="19"/>
      <c r="C35" s="19"/>
      <c r="D35" s="19"/>
      <c r="E35" s="20"/>
      <c r="F35" s="21"/>
      <c r="G35" s="30"/>
      <c r="H35" s="20"/>
      <c r="I35" s="19"/>
      <c r="J35" s="30"/>
      <c r="K35" s="19"/>
      <c r="L35" s="19"/>
      <c r="M35" s="19"/>
      <c r="N35" s="19"/>
      <c r="O35" s="56"/>
      <c r="P35" s="56"/>
    </row>
    <row r="36" spans="1:16" ht="20.100000000000001" customHeight="1" x14ac:dyDescent="0.25">
      <c r="A36" s="19" t="s">
        <v>19</v>
      </c>
      <c r="B36" s="19"/>
      <c r="C36" s="19"/>
      <c r="D36" s="19"/>
      <c r="E36" s="20"/>
      <c r="F36" s="21"/>
      <c r="G36" s="30"/>
      <c r="H36" s="20"/>
      <c r="I36" s="19"/>
      <c r="J36" s="30"/>
      <c r="K36" s="19"/>
      <c r="L36" s="19"/>
      <c r="M36" s="19"/>
      <c r="N36" s="19"/>
      <c r="O36" s="56"/>
      <c r="P36" s="56"/>
    </row>
    <row r="37" spans="1:16" ht="20.100000000000001" customHeight="1" x14ac:dyDescent="0.25">
      <c r="A37" s="19" t="s">
        <v>19</v>
      </c>
      <c r="B37" s="19"/>
      <c r="C37" s="19"/>
      <c r="D37" s="19"/>
      <c r="E37" s="20"/>
      <c r="F37" s="21"/>
      <c r="G37" s="30"/>
      <c r="H37" s="20"/>
      <c r="I37" s="19"/>
      <c r="J37" s="30"/>
      <c r="K37" s="19"/>
      <c r="L37" s="19"/>
      <c r="M37" s="19"/>
      <c r="N37" s="19"/>
      <c r="O37" s="56"/>
      <c r="P37" s="56"/>
    </row>
    <row r="38" spans="1:16" ht="20.100000000000001" customHeight="1" x14ac:dyDescent="0.25">
      <c r="A38" s="19" t="s">
        <v>19</v>
      </c>
      <c r="B38" s="19"/>
      <c r="C38" s="19"/>
      <c r="D38" s="19"/>
      <c r="E38" s="20"/>
      <c r="F38" s="21"/>
      <c r="G38" s="30"/>
      <c r="H38" s="20"/>
      <c r="I38" s="19"/>
      <c r="J38" s="30"/>
      <c r="K38" s="19"/>
      <c r="L38" s="19"/>
      <c r="M38" s="19"/>
      <c r="N38" s="19"/>
      <c r="O38" s="56"/>
      <c r="P38" s="56"/>
    </row>
    <row r="39" spans="1:16" ht="20.100000000000001" customHeight="1" x14ac:dyDescent="0.25">
      <c r="A39" s="19" t="s">
        <v>19</v>
      </c>
      <c r="B39" s="19"/>
      <c r="C39" s="19"/>
      <c r="D39" s="19"/>
      <c r="E39" s="20"/>
      <c r="F39" s="21"/>
      <c r="G39" s="30"/>
      <c r="H39" s="20"/>
      <c r="I39" s="19"/>
      <c r="J39" s="30"/>
      <c r="K39" s="19"/>
      <c r="L39" s="19"/>
      <c r="M39" s="19"/>
      <c r="N39" s="19"/>
      <c r="O39" s="56"/>
      <c r="P39" s="56"/>
    </row>
    <row r="40" spans="1:16" ht="20.100000000000001" customHeight="1" x14ac:dyDescent="0.25">
      <c r="A40" s="19" t="s">
        <v>19</v>
      </c>
      <c r="B40" s="19"/>
      <c r="C40" s="19"/>
      <c r="D40" s="19"/>
      <c r="E40" s="20"/>
      <c r="F40" s="21"/>
      <c r="G40" s="30"/>
      <c r="H40" s="20"/>
      <c r="I40" s="19"/>
      <c r="J40" s="30"/>
      <c r="K40" s="19"/>
      <c r="L40" s="19"/>
      <c r="M40" s="19"/>
      <c r="N40" s="19"/>
      <c r="O40" s="56"/>
      <c r="P40" s="56"/>
    </row>
    <row r="41" spans="1:16" ht="20.100000000000001" customHeight="1" x14ac:dyDescent="0.25">
      <c r="A41" s="19" t="s">
        <v>19</v>
      </c>
      <c r="B41" s="19"/>
      <c r="C41" s="19"/>
      <c r="D41" s="19"/>
      <c r="E41" s="20"/>
      <c r="F41" s="21"/>
      <c r="G41" s="30"/>
      <c r="H41" s="20"/>
      <c r="I41" s="19"/>
      <c r="J41" s="30"/>
      <c r="K41" s="19"/>
      <c r="L41" s="19"/>
      <c r="M41" s="19"/>
      <c r="N41" s="19"/>
      <c r="O41" s="56"/>
      <c r="P41" s="56"/>
    </row>
    <row r="42" spans="1:16" ht="20.100000000000001" customHeight="1" x14ac:dyDescent="0.25">
      <c r="A42" s="19" t="s">
        <v>19</v>
      </c>
      <c r="B42" s="19"/>
      <c r="C42" s="19"/>
      <c r="D42" s="19"/>
      <c r="E42" s="20"/>
      <c r="F42" s="21"/>
      <c r="G42" s="30"/>
      <c r="H42" s="20"/>
      <c r="I42" s="19"/>
      <c r="J42" s="30"/>
      <c r="K42" s="19"/>
      <c r="L42" s="19"/>
      <c r="M42" s="19"/>
      <c r="N42" s="19"/>
      <c r="O42" s="56"/>
      <c r="P42" s="56"/>
    </row>
    <row r="43" spans="1:16" ht="20.100000000000001" customHeight="1" x14ac:dyDescent="0.25">
      <c r="A43" s="19" t="s">
        <v>19</v>
      </c>
      <c r="B43" s="19"/>
      <c r="C43" s="19"/>
      <c r="D43" s="19"/>
      <c r="E43" s="20"/>
      <c r="F43" s="21"/>
      <c r="G43" s="30"/>
      <c r="H43" s="20"/>
      <c r="I43" s="19"/>
      <c r="J43" s="30"/>
      <c r="K43" s="19"/>
      <c r="L43" s="19"/>
      <c r="M43" s="19"/>
      <c r="N43" s="19"/>
      <c r="O43" s="56"/>
      <c r="P43" s="56"/>
    </row>
    <row r="44" spans="1:16" ht="20.100000000000001" customHeight="1" x14ac:dyDescent="0.25">
      <c r="A44" s="19" t="s">
        <v>19</v>
      </c>
      <c r="B44" s="19"/>
      <c r="C44" s="19"/>
      <c r="D44" s="19"/>
      <c r="E44" s="20"/>
      <c r="F44" s="21"/>
      <c r="G44" s="30"/>
      <c r="H44" s="20"/>
      <c r="I44" s="19"/>
      <c r="J44" s="30"/>
      <c r="K44" s="19"/>
      <c r="L44" s="19"/>
      <c r="M44" s="19"/>
      <c r="N44" s="19"/>
      <c r="O44" s="56"/>
      <c r="P44" s="56"/>
    </row>
    <row r="45" spans="1:16" ht="20.100000000000001" customHeight="1" x14ac:dyDescent="0.25">
      <c r="A45" s="19" t="s">
        <v>19</v>
      </c>
      <c r="B45" s="19"/>
      <c r="C45" s="19"/>
      <c r="D45" s="19"/>
      <c r="E45" s="20"/>
      <c r="F45" s="45"/>
      <c r="G45" s="30"/>
      <c r="H45" s="20"/>
      <c r="I45" s="19"/>
      <c r="J45" s="30"/>
      <c r="K45" s="19"/>
      <c r="L45" s="19"/>
      <c r="M45" s="19"/>
      <c r="N45" s="19"/>
      <c r="O45" s="56"/>
      <c r="P45" s="56"/>
    </row>
    <row r="46" spans="1:16" ht="20.100000000000001" customHeight="1" x14ac:dyDescent="0.25">
      <c r="A46" s="19" t="s">
        <v>19</v>
      </c>
      <c r="B46" s="19"/>
      <c r="C46" s="19"/>
      <c r="D46" s="19"/>
      <c r="E46" s="20"/>
      <c r="F46" s="21"/>
      <c r="G46" s="30"/>
      <c r="H46" s="20"/>
      <c r="I46" s="19"/>
      <c r="J46" s="30"/>
      <c r="K46" s="19"/>
      <c r="L46" s="19"/>
      <c r="M46" s="19"/>
      <c r="N46" s="19"/>
      <c r="O46" s="56"/>
      <c r="P46" s="56"/>
    </row>
    <row r="47" spans="1:16" ht="20.100000000000001" customHeight="1" x14ac:dyDescent="0.25">
      <c r="A47" s="19" t="s">
        <v>19</v>
      </c>
      <c r="B47" s="19"/>
      <c r="C47" s="19"/>
      <c r="D47" s="19"/>
      <c r="E47" s="20"/>
      <c r="F47" s="21"/>
      <c r="G47" s="30"/>
      <c r="H47" s="20"/>
      <c r="I47" s="19"/>
      <c r="J47" s="30"/>
      <c r="K47" s="19"/>
      <c r="L47" s="19"/>
      <c r="M47" s="19"/>
      <c r="N47" s="19"/>
      <c r="O47" s="56"/>
      <c r="P47" s="56"/>
    </row>
    <row r="48" spans="1:16" ht="20.100000000000001" customHeight="1" x14ac:dyDescent="0.25">
      <c r="A48" s="19" t="s">
        <v>19</v>
      </c>
      <c r="B48" s="19"/>
      <c r="C48" s="19"/>
      <c r="D48" s="19"/>
      <c r="E48" s="20"/>
      <c r="F48" s="21"/>
      <c r="G48" s="30"/>
      <c r="H48" s="20"/>
      <c r="I48" s="19"/>
      <c r="J48" s="30"/>
      <c r="K48" s="19"/>
      <c r="L48" s="19"/>
      <c r="M48" s="19"/>
      <c r="N48" s="19"/>
      <c r="O48" s="56"/>
      <c r="P48" s="56"/>
    </row>
    <row r="49" spans="1:16" ht="20.100000000000001" customHeight="1" x14ac:dyDescent="0.25">
      <c r="A49" s="19" t="s">
        <v>19</v>
      </c>
      <c r="B49" s="19"/>
      <c r="C49" s="19"/>
      <c r="D49" s="19"/>
      <c r="E49" s="20"/>
      <c r="F49" s="21"/>
      <c r="G49" s="30"/>
      <c r="H49" s="20"/>
      <c r="I49" s="19"/>
      <c r="J49" s="30"/>
      <c r="K49" s="19"/>
      <c r="L49" s="19"/>
      <c r="M49" s="19"/>
      <c r="N49" s="19"/>
      <c r="O49" s="56"/>
      <c r="P49" s="56"/>
    </row>
    <row r="50" spans="1:16" ht="20.100000000000001" customHeight="1" x14ac:dyDescent="0.25">
      <c r="A50" s="19" t="s">
        <v>19</v>
      </c>
      <c r="B50" s="19"/>
      <c r="C50" s="19"/>
      <c r="D50" s="19"/>
      <c r="E50" s="20"/>
      <c r="F50" s="21"/>
      <c r="G50" s="30"/>
      <c r="H50" s="20"/>
      <c r="I50" s="19"/>
      <c r="J50" s="30"/>
      <c r="K50" s="19"/>
      <c r="L50" s="19"/>
      <c r="M50" s="19"/>
      <c r="N50" s="19"/>
      <c r="O50" s="56"/>
      <c r="P50" s="56"/>
    </row>
    <row r="51" spans="1:16" ht="20.100000000000001" customHeight="1" x14ac:dyDescent="0.25">
      <c r="A51" s="19" t="s">
        <v>19</v>
      </c>
      <c r="B51" s="19"/>
      <c r="C51" s="19"/>
      <c r="D51" s="19"/>
      <c r="E51" s="20"/>
      <c r="F51" s="21"/>
      <c r="G51" s="30"/>
      <c r="H51" s="20"/>
      <c r="I51" s="19"/>
      <c r="J51" s="30"/>
      <c r="K51" s="22"/>
      <c r="L51" s="19"/>
      <c r="M51" s="19"/>
      <c r="N51" s="19"/>
      <c r="O51" s="56"/>
      <c r="P51" s="56"/>
    </row>
    <row r="52" spans="1:16" ht="20.100000000000001" customHeight="1" x14ac:dyDescent="0.25">
      <c r="A52" s="19" t="s">
        <v>19</v>
      </c>
      <c r="B52" s="19"/>
      <c r="C52" s="19"/>
      <c r="D52" s="19"/>
      <c r="E52" s="20"/>
      <c r="F52" s="21"/>
      <c r="G52" s="30"/>
      <c r="H52" s="20"/>
      <c r="I52" s="19"/>
      <c r="J52" s="30"/>
      <c r="K52" s="19"/>
      <c r="L52" s="19"/>
      <c r="M52" s="19"/>
      <c r="O52" s="56"/>
      <c r="P52" s="56"/>
    </row>
    <row r="53" spans="1:16" ht="20.100000000000001" customHeight="1" x14ac:dyDescent="0.25">
      <c r="A53" s="19" t="s">
        <v>19</v>
      </c>
      <c r="B53" s="19"/>
      <c r="C53" s="19"/>
      <c r="D53" s="19"/>
      <c r="E53" s="20"/>
      <c r="F53" s="21"/>
      <c r="G53" s="30"/>
      <c r="H53" s="20"/>
      <c r="I53" s="19"/>
      <c r="J53" s="30"/>
      <c r="K53" s="19"/>
      <c r="L53" s="19"/>
      <c r="M53" s="19"/>
      <c r="N53" s="19"/>
      <c r="O53" s="56"/>
      <c r="P53" s="56"/>
    </row>
    <row r="54" spans="1:16" ht="20.100000000000001" customHeight="1" x14ac:dyDescent="0.25">
      <c r="A54" s="19" t="s">
        <v>19</v>
      </c>
      <c r="B54" s="19"/>
      <c r="D54" s="19"/>
      <c r="E54" s="20"/>
      <c r="F54" s="21"/>
      <c r="G54" s="30"/>
      <c r="H54" s="20"/>
      <c r="I54" s="19"/>
      <c r="J54" s="30"/>
      <c r="K54" s="19"/>
      <c r="L54" s="19"/>
      <c r="M54" s="19"/>
      <c r="N54" s="19"/>
      <c r="O54" s="56"/>
      <c r="P54" s="56"/>
    </row>
    <row r="55" spans="1:16" ht="20.100000000000001" customHeight="1" x14ac:dyDescent="0.25">
      <c r="A55" s="19" t="s">
        <v>19</v>
      </c>
      <c r="B55" s="19"/>
      <c r="C55" s="19"/>
      <c r="D55" s="19"/>
      <c r="E55" s="20"/>
      <c r="F55" s="21"/>
      <c r="G55" s="30"/>
      <c r="H55" s="20"/>
      <c r="I55" s="19"/>
      <c r="J55" s="30"/>
      <c r="K55" s="19"/>
      <c r="L55" s="19"/>
      <c r="M55" s="19"/>
      <c r="N55" s="19"/>
      <c r="O55" s="56"/>
      <c r="P55" s="56"/>
    </row>
    <row r="56" spans="1:16" ht="20.100000000000001" customHeight="1" x14ac:dyDescent="0.25">
      <c r="A56" s="19" t="s">
        <v>19</v>
      </c>
      <c r="B56" s="19"/>
      <c r="C56" s="19"/>
      <c r="D56" s="19"/>
      <c r="E56" s="20"/>
      <c r="F56" s="21"/>
      <c r="G56" s="30"/>
      <c r="H56" s="20"/>
      <c r="I56" s="19"/>
      <c r="J56" s="30"/>
      <c r="K56" s="19"/>
      <c r="L56" s="19"/>
      <c r="M56" s="19"/>
      <c r="N56" s="19"/>
      <c r="O56" s="56"/>
      <c r="P56" s="56"/>
    </row>
    <row r="57" spans="1:16" ht="20.100000000000001" customHeight="1" x14ac:dyDescent="0.25">
      <c r="A57" s="19" t="s">
        <v>19</v>
      </c>
      <c r="B57" s="19"/>
      <c r="C57" s="19"/>
      <c r="D57" s="19"/>
      <c r="E57" s="20"/>
      <c r="F57" s="21"/>
      <c r="G57" s="30"/>
      <c r="H57" s="20"/>
      <c r="I57" s="19"/>
      <c r="J57" s="30"/>
      <c r="K57" s="19"/>
      <c r="L57" s="19"/>
      <c r="N57" s="56"/>
      <c r="O57" s="56"/>
      <c r="P57" s="56"/>
    </row>
    <row r="58" spans="1:16" ht="20.100000000000001" customHeight="1" x14ac:dyDescent="0.25">
      <c r="A58" s="19" t="s">
        <v>19</v>
      </c>
      <c r="B58" s="19"/>
      <c r="C58" s="19"/>
      <c r="D58" s="24"/>
      <c r="E58" s="7"/>
      <c r="F58" s="21"/>
      <c r="G58" s="30"/>
      <c r="H58" s="20"/>
      <c r="I58" s="19"/>
      <c r="J58" s="30"/>
      <c r="K58" s="19"/>
      <c r="L58" s="19"/>
      <c r="M58" s="19"/>
      <c r="N58" s="19"/>
      <c r="O58" s="56"/>
      <c r="P58" s="56"/>
    </row>
    <row r="59" spans="1:16" ht="20.100000000000001" customHeight="1" x14ac:dyDescent="0.25">
      <c r="A59" s="19" t="s">
        <v>19</v>
      </c>
      <c r="B59" s="25"/>
      <c r="C59" s="25"/>
      <c r="D59" s="25"/>
      <c r="E59" s="20"/>
      <c r="F59" s="21"/>
      <c r="G59" s="30"/>
      <c r="H59" s="20"/>
      <c r="I59" s="19"/>
      <c r="J59" s="30"/>
      <c r="K59" s="25"/>
      <c r="L59" s="19"/>
      <c r="M59" s="25"/>
      <c r="N59" s="25"/>
      <c r="O59" s="28"/>
      <c r="P59" s="28"/>
    </row>
    <row r="60" spans="1:16" s="29" customFormat="1" ht="20.100000000000001" customHeight="1" x14ac:dyDescent="0.25">
      <c r="A60" s="19" t="s">
        <v>19</v>
      </c>
      <c r="B60" s="19"/>
      <c r="C60" s="19"/>
      <c r="D60" s="19"/>
      <c r="E60" s="20"/>
      <c r="F60" s="21"/>
      <c r="G60" s="30"/>
      <c r="H60" s="20"/>
      <c r="I60" s="19"/>
      <c r="J60" s="30"/>
      <c r="K60" s="19"/>
      <c r="L60" s="19"/>
      <c r="M60" s="19"/>
      <c r="N60" s="19"/>
      <c r="O60" s="56"/>
      <c r="P60" s="56"/>
    </row>
    <row r="61" spans="1:16" s="29" customFormat="1" ht="20.100000000000001" customHeight="1" x14ac:dyDescent="0.25">
      <c r="A61" s="19" t="s">
        <v>19</v>
      </c>
      <c r="B61" s="19"/>
      <c r="C61" s="19"/>
      <c r="D61" s="19"/>
      <c r="E61" s="20"/>
      <c r="F61" s="21"/>
      <c r="G61" s="30"/>
      <c r="H61" s="20"/>
      <c r="I61" s="19"/>
      <c r="J61" s="30"/>
      <c r="K61" s="19"/>
      <c r="L61" s="19"/>
      <c r="M61" s="56"/>
      <c r="N61" s="56"/>
      <c r="O61" s="56"/>
      <c r="P61" s="56"/>
    </row>
    <row r="62" spans="1:16" s="29" customFormat="1" ht="20.100000000000001" customHeight="1" x14ac:dyDescent="0.25">
      <c r="A62" s="19" t="s">
        <v>19</v>
      </c>
      <c r="B62" s="19"/>
      <c r="C62" s="19"/>
      <c r="D62" s="19"/>
      <c r="E62" s="20"/>
      <c r="F62" s="21"/>
      <c r="G62" s="30"/>
      <c r="H62" s="20"/>
      <c r="I62" s="19"/>
      <c r="J62" s="30"/>
      <c r="K62" s="19"/>
      <c r="L62" s="19"/>
      <c r="M62" s="56"/>
      <c r="N62" s="56"/>
      <c r="O62" s="56"/>
      <c r="P62" s="56"/>
    </row>
    <row r="63" spans="1:16" s="29" customFormat="1" ht="20.100000000000001" customHeight="1" x14ac:dyDescent="0.25">
      <c r="A63" s="19" t="s">
        <v>19</v>
      </c>
      <c r="B63" s="19"/>
      <c r="C63" s="19"/>
      <c r="D63" s="19"/>
      <c r="E63" s="20"/>
      <c r="F63" s="21"/>
      <c r="G63" s="30"/>
      <c r="H63" s="20"/>
      <c r="I63" s="19"/>
      <c r="J63" s="30"/>
      <c r="K63" s="19"/>
      <c r="L63" s="19"/>
      <c r="M63" s="56"/>
      <c r="N63" s="56"/>
      <c r="O63" s="56"/>
      <c r="P63" s="56"/>
    </row>
    <row r="64" spans="1:16" s="29" customFormat="1" ht="20.100000000000001" customHeight="1" x14ac:dyDescent="0.25">
      <c r="A64" s="19" t="s">
        <v>19</v>
      </c>
      <c r="B64" s="19"/>
      <c r="C64" s="19"/>
      <c r="D64" s="19"/>
      <c r="E64" s="20"/>
      <c r="F64" s="21"/>
      <c r="G64" s="30"/>
      <c r="H64" s="20"/>
      <c r="I64" s="19"/>
      <c r="J64" s="30"/>
      <c r="K64" s="19"/>
      <c r="L64" s="19"/>
      <c r="M64" s="56"/>
      <c r="N64" s="56"/>
      <c r="O64" s="56"/>
      <c r="P64" s="56"/>
    </row>
    <row r="65" spans="1:16" s="29" customFormat="1" ht="20.100000000000001" customHeight="1" x14ac:dyDescent="0.25">
      <c r="A65" s="19" t="s">
        <v>19</v>
      </c>
      <c r="B65" s="19"/>
      <c r="C65" s="19"/>
      <c r="D65" s="19"/>
      <c r="E65" s="20"/>
      <c r="F65" s="21"/>
      <c r="G65" s="30"/>
      <c r="H65" s="20"/>
      <c r="I65" s="19"/>
      <c r="J65" s="30"/>
      <c r="K65" s="19"/>
      <c r="L65" s="19"/>
      <c r="M65" s="56"/>
      <c r="N65" s="56"/>
      <c r="O65" s="56"/>
      <c r="P65" s="56"/>
    </row>
    <row r="66" spans="1:16" s="29" customFormat="1" ht="20.100000000000001" customHeight="1" x14ac:dyDescent="0.25">
      <c r="A66" s="19" t="s">
        <v>19</v>
      </c>
      <c r="B66" s="19"/>
      <c r="C66" s="19"/>
      <c r="D66" s="19"/>
      <c r="E66" s="20"/>
      <c r="F66" s="21"/>
      <c r="G66" s="30"/>
      <c r="H66" s="20"/>
      <c r="I66" s="19"/>
      <c r="J66" s="30"/>
      <c r="K66" s="19"/>
      <c r="L66" s="19"/>
      <c r="M66" s="56"/>
      <c r="N66" s="56"/>
      <c r="O66" s="56"/>
      <c r="P66" s="56"/>
    </row>
    <row r="67" spans="1:16" ht="20.100000000000001" customHeight="1" x14ac:dyDescent="0.25">
      <c r="A67" s="19" t="s">
        <v>19</v>
      </c>
      <c r="B67" s="19"/>
      <c r="C67" s="19"/>
      <c r="D67" s="19"/>
      <c r="E67" s="20"/>
      <c r="F67" s="21"/>
      <c r="G67" s="30"/>
      <c r="H67" s="20"/>
      <c r="I67" s="19"/>
      <c r="J67" s="30"/>
      <c r="K67" s="19"/>
      <c r="L67" s="19"/>
      <c r="M67" s="56"/>
      <c r="N67" s="56"/>
      <c r="O67" s="56"/>
      <c r="P67" s="56"/>
    </row>
    <row r="68" spans="1:16" ht="20.100000000000001" customHeight="1" x14ac:dyDescent="0.25">
      <c r="A68" s="19" t="s">
        <v>19</v>
      </c>
      <c r="B68" s="19"/>
      <c r="C68" s="19"/>
      <c r="D68" s="19"/>
      <c r="E68" s="20"/>
      <c r="F68" s="21"/>
      <c r="G68" s="30"/>
      <c r="H68" s="20"/>
      <c r="I68" s="19"/>
      <c r="J68" s="31"/>
      <c r="K68" s="19"/>
      <c r="L68" s="19"/>
      <c r="M68" s="56"/>
      <c r="N68" s="56"/>
      <c r="O68" s="56"/>
      <c r="P68" s="56"/>
    </row>
    <row r="69" spans="1:16" ht="20.100000000000001" customHeight="1" x14ac:dyDescent="0.25">
      <c r="A69" s="19" t="s">
        <v>19</v>
      </c>
      <c r="B69" s="19"/>
      <c r="C69" s="19"/>
      <c r="D69" s="19"/>
      <c r="E69" s="20"/>
      <c r="F69" s="21"/>
      <c r="G69" s="30"/>
      <c r="H69" s="20"/>
      <c r="I69" s="19"/>
      <c r="J69" s="31"/>
      <c r="K69" s="19"/>
      <c r="L69" s="19"/>
      <c r="M69" s="56"/>
      <c r="N69" s="56"/>
      <c r="O69" s="56"/>
      <c r="P69" s="56"/>
    </row>
    <row r="70" spans="1:16" ht="20.100000000000001" customHeight="1" x14ac:dyDescent="0.25">
      <c r="A70" s="19" t="s">
        <v>19</v>
      </c>
      <c r="B70" s="19"/>
      <c r="C70" s="19"/>
      <c r="D70" s="19"/>
      <c r="E70" s="20"/>
      <c r="F70" s="21"/>
      <c r="G70" s="30"/>
      <c r="H70" s="20"/>
      <c r="I70" s="19"/>
      <c r="J70" s="31"/>
      <c r="K70" s="19"/>
      <c r="L70" s="19"/>
      <c r="M70" s="56"/>
      <c r="N70" s="56"/>
      <c r="O70" s="56"/>
      <c r="P70" s="56"/>
    </row>
    <row r="71" spans="1:16" ht="20.100000000000001" customHeight="1" x14ac:dyDescent="0.25">
      <c r="A71" s="19" t="s">
        <v>19</v>
      </c>
      <c r="B71" s="56"/>
      <c r="C71" s="56"/>
      <c r="D71" s="56"/>
      <c r="E71" s="6"/>
      <c r="F71" s="21"/>
      <c r="G71" s="30"/>
      <c r="H71" s="20"/>
      <c r="I71" s="19"/>
      <c r="J71" s="38"/>
      <c r="K71" s="56"/>
      <c r="L71" s="19"/>
    </row>
    <row r="72" spans="1:16" ht="20.100000000000001" customHeight="1" x14ac:dyDescent="0.25">
      <c r="A72" s="19" t="s">
        <v>19</v>
      </c>
      <c r="B72" s="56"/>
      <c r="C72" s="56"/>
      <c r="D72" s="56"/>
      <c r="E72" s="6"/>
      <c r="F72" s="40"/>
      <c r="G72" s="30"/>
      <c r="H72" s="20"/>
      <c r="I72" s="19"/>
      <c r="J72" s="38"/>
      <c r="K72" s="56"/>
      <c r="L72" s="39"/>
    </row>
    <row r="73" spans="1:16" ht="20.100000000000001" customHeight="1" x14ac:dyDescent="0.25">
      <c r="A73" s="19" t="s">
        <v>19</v>
      </c>
      <c r="B73" s="56"/>
      <c r="C73" s="56"/>
      <c r="D73" s="56"/>
      <c r="E73" s="7"/>
      <c r="F73" s="40"/>
      <c r="G73" s="30"/>
      <c r="H73" s="20"/>
      <c r="I73" s="19"/>
      <c r="J73" s="38"/>
      <c r="K73" s="56"/>
      <c r="L73" s="39"/>
    </row>
    <row r="74" spans="1:16" ht="20.100000000000001" customHeight="1" x14ac:dyDescent="0.25">
      <c r="A74" s="39" t="s">
        <v>19</v>
      </c>
      <c r="B74" s="39"/>
      <c r="C74" s="39"/>
      <c r="D74" s="39"/>
      <c r="E74" s="49"/>
      <c r="F74" s="50"/>
      <c r="G74" s="30"/>
      <c r="H74" s="49"/>
      <c r="I74" s="39"/>
      <c r="J74" s="51"/>
      <c r="K74" s="39"/>
      <c r="L74" s="39"/>
    </row>
    <row r="75" spans="1:16" ht="20.100000000000001" customHeight="1" x14ac:dyDescent="0.25">
      <c r="A75" s="39" t="s">
        <v>19</v>
      </c>
      <c r="B75" s="39"/>
      <c r="C75" s="39"/>
      <c r="D75" s="39"/>
      <c r="E75" s="49"/>
      <c r="F75" s="50"/>
      <c r="G75" s="30"/>
      <c r="H75" s="49"/>
      <c r="I75" s="39"/>
      <c r="J75" s="51"/>
      <c r="K75" s="39"/>
      <c r="L75" s="39"/>
    </row>
    <row r="76" spans="1:16" ht="20.100000000000001" customHeight="1" x14ac:dyDescent="0.25">
      <c r="A76" s="39" t="s">
        <v>19</v>
      </c>
      <c r="B76" s="39"/>
      <c r="C76" s="39"/>
      <c r="D76" s="39"/>
      <c r="E76" s="49"/>
      <c r="F76" s="50"/>
      <c r="G76" s="30"/>
      <c r="H76" s="49"/>
      <c r="I76" s="39"/>
      <c r="J76" s="51"/>
      <c r="K76" s="39"/>
      <c r="L76" s="39"/>
    </row>
    <row r="77" spans="1:16" ht="20.100000000000001" customHeight="1" x14ac:dyDescent="0.25">
      <c r="A77" s="39" t="s">
        <v>19</v>
      </c>
      <c r="B77" s="39"/>
      <c r="C77" s="39"/>
      <c r="D77" s="39"/>
      <c r="E77" s="49"/>
      <c r="F77" s="50"/>
      <c r="G77" s="30"/>
      <c r="H77" s="49"/>
      <c r="I77" s="39"/>
      <c r="J77" s="51"/>
      <c r="K77" s="39"/>
      <c r="L77" s="39"/>
    </row>
    <row r="78" spans="1:16" ht="20.100000000000001" customHeight="1" x14ac:dyDescent="0.25">
      <c r="A78" s="39" t="s">
        <v>19</v>
      </c>
      <c r="B78" s="39"/>
      <c r="C78" s="39"/>
      <c r="D78" s="39"/>
      <c r="E78" s="49"/>
      <c r="F78" s="50"/>
      <c r="G78" s="30"/>
      <c r="H78" s="49"/>
      <c r="I78" s="39"/>
      <c r="J78" s="51"/>
      <c r="K78" s="39"/>
      <c r="L78" s="39"/>
    </row>
    <row r="79" spans="1:16" ht="20.100000000000001" customHeight="1" x14ac:dyDescent="0.25">
      <c r="A79" s="52" t="s">
        <v>19</v>
      </c>
      <c r="B79" s="52"/>
      <c r="C79" s="52"/>
      <c r="D79" s="52"/>
      <c r="E79" s="53"/>
      <c r="F79" s="55"/>
      <c r="G79" s="30"/>
      <c r="H79" s="53"/>
      <c r="I79" s="52"/>
      <c r="J79" s="54"/>
      <c r="K79" s="52"/>
      <c r="L79" s="52"/>
    </row>
    <row r="80" spans="1:16" ht="20.100000000000001" customHeight="1" x14ac:dyDescent="0.25">
      <c r="A80" s="52" t="s">
        <v>19</v>
      </c>
      <c r="B80" s="39"/>
      <c r="C80" s="39"/>
      <c r="D80" s="39"/>
      <c r="E80" s="49"/>
      <c r="F80" s="50"/>
      <c r="G80" s="39"/>
      <c r="H80" s="49"/>
      <c r="I80" s="31"/>
      <c r="J80" s="51"/>
      <c r="K80" s="39"/>
      <c r="L80" s="39"/>
    </row>
    <row r="81" spans="1:12" ht="20.100000000000001" customHeight="1" x14ac:dyDescent="0.25">
      <c r="A81" s="52" t="s">
        <v>19</v>
      </c>
      <c r="B81" s="39"/>
      <c r="C81" s="39"/>
      <c r="D81" s="39"/>
      <c r="E81" s="49"/>
      <c r="F81" s="50"/>
      <c r="G81" s="39"/>
      <c r="H81" s="49"/>
      <c r="I81" s="31"/>
      <c r="J81" s="51"/>
      <c r="K81" s="39"/>
      <c r="L81" s="39"/>
    </row>
    <row r="82" spans="1:12" ht="20.100000000000001" customHeight="1" x14ac:dyDescent="0.25">
      <c r="A82" s="52" t="s">
        <v>19</v>
      </c>
      <c r="B82" s="39"/>
      <c r="C82" s="39"/>
      <c r="D82" s="39"/>
      <c r="E82" s="49"/>
      <c r="F82" s="50"/>
      <c r="G82" s="39"/>
      <c r="H82" s="49"/>
      <c r="I82" s="31"/>
      <c r="J82" s="51"/>
      <c r="K82" s="39"/>
      <c r="L82" s="39"/>
    </row>
    <row r="83" spans="1:12" ht="20.100000000000001" customHeight="1" x14ac:dyDescent="0.25">
      <c r="A83" s="52" t="s">
        <v>19</v>
      </c>
      <c r="B83" s="39"/>
      <c r="C83" s="39"/>
      <c r="D83" s="39"/>
      <c r="E83" s="49"/>
      <c r="F83" s="50"/>
      <c r="G83" s="39"/>
      <c r="H83" s="49"/>
      <c r="I83" s="31"/>
      <c r="J83" s="51"/>
      <c r="K83" s="39"/>
      <c r="L83" s="39"/>
    </row>
    <row r="84" spans="1:12" ht="20.100000000000001" customHeight="1" x14ac:dyDescent="0.25">
      <c r="A84" s="52" t="s">
        <v>19</v>
      </c>
      <c r="B84" s="39"/>
      <c r="C84" s="39"/>
      <c r="D84" s="39"/>
      <c r="E84" s="49"/>
      <c r="F84" s="50"/>
      <c r="G84" s="39"/>
      <c r="H84" s="49"/>
      <c r="I84" s="31"/>
      <c r="J84" s="51"/>
      <c r="K84" s="39"/>
      <c r="L84" s="39"/>
    </row>
    <row r="85" spans="1:12" ht="20.100000000000001" customHeight="1" x14ac:dyDescent="0.25">
      <c r="A85" s="39" t="s">
        <v>19</v>
      </c>
      <c r="B85" s="39"/>
      <c r="C85" s="39"/>
      <c r="D85" s="39"/>
      <c r="E85" s="49"/>
      <c r="F85" s="50"/>
      <c r="G85" s="39"/>
      <c r="H85" s="49"/>
      <c r="I85" s="31"/>
      <c r="J85" s="51"/>
      <c r="K85" s="39"/>
      <c r="L85" s="39"/>
    </row>
    <row r="86" spans="1:12" ht="20.100000000000001" customHeight="1" x14ac:dyDescent="0.25">
      <c r="I86" s="48"/>
      <c r="J86" s="32"/>
    </row>
    <row r="87" spans="1:12" ht="20.100000000000001" customHeight="1" x14ac:dyDescent="0.25">
      <c r="I87" s="48"/>
      <c r="J87" s="32"/>
    </row>
    <row r="88" spans="1:12" ht="20.100000000000001" customHeight="1" x14ac:dyDescent="0.25">
      <c r="I88" s="48"/>
      <c r="J88" s="32"/>
    </row>
    <row r="89" spans="1:12" ht="20.100000000000001" customHeight="1" x14ac:dyDescent="0.25">
      <c r="I89" s="48"/>
      <c r="J89" s="32"/>
    </row>
    <row r="90" spans="1:12" ht="20.100000000000001" customHeight="1" x14ac:dyDescent="0.25">
      <c r="I90" s="48"/>
      <c r="J90" s="32"/>
    </row>
    <row r="91" spans="1:12" ht="20.100000000000001" customHeight="1" x14ac:dyDescent="0.25">
      <c r="I91" s="48"/>
      <c r="J91" s="32"/>
    </row>
    <row r="92" spans="1:12" ht="20.100000000000001" customHeight="1" x14ac:dyDescent="0.25">
      <c r="I92" s="48"/>
      <c r="J92" s="32"/>
    </row>
    <row r="93" spans="1:12" ht="20.100000000000001" customHeight="1" x14ac:dyDescent="0.25">
      <c r="I93" s="48"/>
      <c r="J93" s="32"/>
    </row>
    <row r="94" spans="1:12" ht="20.100000000000001" customHeight="1" x14ac:dyDescent="0.25">
      <c r="I94" s="48"/>
      <c r="J94" s="32"/>
    </row>
    <row r="95" spans="1:12" ht="20.100000000000001" customHeight="1" x14ac:dyDescent="0.25">
      <c r="I95" s="48"/>
      <c r="J95" s="32"/>
    </row>
    <row r="96" spans="1:12" ht="20.100000000000001" customHeight="1" x14ac:dyDescent="0.25">
      <c r="I96" s="48"/>
      <c r="J96" s="32"/>
    </row>
    <row r="97" spans="9:10" ht="20.100000000000001" customHeight="1" x14ac:dyDescent="0.25">
      <c r="I97" s="48"/>
      <c r="J97" s="32"/>
    </row>
    <row r="98" spans="9:10" ht="20.100000000000001" customHeight="1" x14ac:dyDescent="0.25">
      <c r="I98" s="48"/>
      <c r="J98" s="32"/>
    </row>
    <row r="99" spans="9:10" ht="20.100000000000001" customHeight="1" x14ac:dyDescent="0.25">
      <c r="I99" s="48"/>
      <c r="J99" s="32"/>
    </row>
    <row r="100" spans="9:10" x14ac:dyDescent="0.25">
      <c r="I100" s="32"/>
      <c r="J100" s="32"/>
    </row>
    <row r="1048256" spans="8:9" s="5" customFormat="1" x14ac:dyDescent="0.25">
      <c r="H1048256" s="6"/>
      <c r="I1048256" s="7"/>
    </row>
  </sheetData>
  <autoFilter ref="A3:P70" xr:uid="{00000000-0009-0000-0000-000000000000}"/>
  <mergeCells count="5">
    <mergeCell ref="A1:E2"/>
    <mergeCell ref="F1:G2"/>
    <mergeCell ref="H1:I2"/>
    <mergeCell ref="J1:K2"/>
    <mergeCell ref="L1:N2"/>
  </mergeCells>
  <conditionalFormatting sqref="I13:I99">
    <cfRule type="expression" dxfId="3" priority="1">
      <formula>I13:I88&lt;0</formula>
    </cfRule>
    <cfRule type="expression" dxfId="2" priority="2">
      <formula>I13:I88&gt;=0</formula>
    </cfRule>
  </conditionalFormatting>
  <conditionalFormatting sqref="I4:I12">
    <cfRule type="expression" dxfId="1" priority="3">
      <formula>I4:I78&lt;0</formula>
    </cfRule>
    <cfRule type="expression" dxfId="0" priority="4">
      <formula>I4:I78&gt;=0</formula>
    </cfRule>
  </conditionalFormatting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ENERO</vt:lpstr>
      <vt:lpstr>FEBRERO</vt:lpstr>
      <vt:lpstr>MARZO</vt:lpstr>
      <vt:lpstr>ABRIL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2024-06-14T15:28:02Z</cp:lastPrinted>
  <dcterms:created xsi:type="dcterms:W3CDTF">2018-04-12T16:40:11Z</dcterms:created>
  <dcterms:modified xsi:type="dcterms:W3CDTF">2026-04-01T21:17:37Z</dcterms:modified>
</cp:coreProperties>
</file>