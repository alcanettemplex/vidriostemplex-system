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Servidor\vidrios templex\PLANTILLA PEDIDOS DIA 2025\"/>
    </mc:Choice>
  </mc:AlternateContent>
  <xr:revisionPtr revIDLastSave="0" documentId="13_ncr:1_{25DEC588-64AF-4096-9982-928CB26E4FDF}" xr6:coauthVersionLast="47" xr6:coauthVersionMax="47" xr10:uidLastSave="{00000000-0000-0000-0000-000000000000}"/>
  <bookViews>
    <workbookView xWindow="-120" yWindow="-120" windowWidth="20730" windowHeight="11160" tabRatio="783" firstSheet="1" activeTab="7" xr2:uid="{00000000-000D-0000-FFFF-FFFF00000000}"/>
  </bookViews>
  <sheets>
    <sheet name="Instructivo o manual" sheetId="3" r:id="rId1"/>
    <sheet name="ENERO 2025" sheetId="18" r:id="rId2"/>
    <sheet name="FEBRERO 2025" sheetId="4" r:id="rId3"/>
    <sheet name="MARZO" sheetId="23" r:id="rId4"/>
    <sheet name="ABRIL" sheetId="24" r:id="rId5"/>
    <sheet name="MAYO" sheetId="25" r:id="rId6"/>
    <sheet name="JUNIO" sheetId="29" r:id="rId7"/>
    <sheet name="JULIO" sheetId="31" r:id="rId8"/>
    <sheet name="ODP AZULES 2025" sheetId="17" r:id="rId9"/>
    <sheet name="Gráfico1" sheetId="30" state="hidden" r:id="rId10"/>
    <sheet name="ALCALA" sheetId="26" r:id="rId11"/>
    <sheet name="CONTROL" sheetId="27" state="hidden" r:id="rId12"/>
    <sheet name="Hoja1" sheetId="28" state="hidden" r:id="rId13"/>
    <sheet name="plantilla" sheetId="1" state="hidden" r:id="rId14"/>
    <sheet name="LiSTAS" sheetId="15" state="hidden" r:id="rId15"/>
  </sheets>
  <definedNames>
    <definedName name="_xlnm._FilterDatabase" localSheetId="4" hidden="1">ABRIL!$A$1:$AK$106</definedName>
    <definedName name="_xlnm._FilterDatabase" localSheetId="1" hidden="1">'ENERO 2025'!$A$1:$AJ$101</definedName>
    <definedName name="_xlnm._FilterDatabase" localSheetId="2" hidden="1">'FEBRERO 2025'!$A$1:$AK$103</definedName>
    <definedName name="_xlnm._FilterDatabase" localSheetId="7" hidden="1">JULIO!$A$1:$AK$114</definedName>
    <definedName name="_xlnm._FilterDatabase" localSheetId="6" hidden="1">JUNIO!$A$1:$AK$109</definedName>
    <definedName name="_xlnm._FilterDatabase" localSheetId="3" hidden="1">MARZO!$A$1:$AK$138</definedName>
    <definedName name="_xlnm._FilterDatabase" localSheetId="5" hidden="1">MAYO!$A$1:$AK$115</definedName>
    <definedName name="_xlnm._FilterDatabase" localSheetId="8" hidden="1">'ODP AZULES 2025'!$A$1:$T$33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37" i="31" l="1"/>
  <c r="AD41" i="31"/>
  <c r="AD3" i="31"/>
  <c r="AD4" i="31"/>
  <c r="AD5" i="31"/>
  <c r="AD6" i="31"/>
  <c r="AD7" i="31"/>
  <c r="AD8" i="31"/>
  <c r="AD9" i="31"/>
  <c r="AD10" i="31"/>
  <c r="AD11" i="31"/>
  <c r="AD12" i="31"/>
  <c r="AD13" i="31"/>
  <c r="AD14" i="31"/>
  <c r="AD15" i="31"/>
  <c r="AD16" i="31"/>
  <c r="AD17" i="31"/>
  <c r="AD18" i="31"/>
  <c r="AD19" i="31"/>
  <c r="AD20" i="31"/>
  <c r="AD21" i="31"/>
  <c r="AD22" i="31"/>
  <c r="AD23" i="31"/>
  <c r="AD24" i="31"/>
  <c r="AD25" i="31"/>
  <c r="AD26" i="31"/>
  <c r="AD27" i="31"/>
  <c r="AD28" i="31"/>
  <c r="AD29" i="31"/>
  <c r="AD30" i="31"/>
  <c r="AD31" i="31"/>
  <c r="AD32" i="31"/>
  <c r="AD33" i="31"/>
  <c r="AD34" i="31"/>
  <c r="AD35" i="31"/>
  <c r="AD36" i="31"/>
  <c r="AD37" i="31"/>
  <c r="AD38" i="31"/>
  <c r="AD39" i="31"/>
  <c r="AD40" i="31"/>
  <c r="AD42" i="31"/>
  <c r="AD43" i="31"/>
  <c r="AD44" i="31"/>
  <c r="AD45" i="31"/>
  <c r="AD46" i="31"/>
  <c r="AD47" i="31"/>
  <c r="AD48" i="31"/>
  <c r="AD49" i="31"/>
  <c r="AD50" i="31"/>
  <c r="AD51" i="31"/>
  <c r="AD52" i="31"/>
  <c r="AD53" i="31"/>
  <c r="AD54" i="31"/>
  <c r="AD55" i="31"/>
  <c r="AD56" i="31"/>
  <c r="AD57" i="31"/>
  <c r="AD58" i="31"/>
  <c r="AD59" i="31"/>
  <c r="AD60" i="31"/>
  <c r="AD61" i="31"/>
  <c r="AD62" i="31"/>
  <c r="AD63" i="31"/>
  <c r="AD64" i="31"/>
  <c r="AD65" i="31"/>
  <c r="AD66" i="31"/>
  <c r="AD67" i="31"/>
  <c r="AD68" i="31"/>
  <c r="AD69" i="31"/>
  <c r="AD70" i="31"/>
  <c r="AD71" i="31"/>
  <c r="AD72" i="31"/>
  <c r="AD73" i="31"/>
  <c r="AD74" i="31"/>
  <c r="AD75" i="31"/>
  <c r="AD76" i="31"/>
  <c r="AD77" i="31"/>
  <c r="AD78" i="31"/>
  <c r="AD79" i="31"/>
  <c r="AD80" i="31"/>
  <c r="AD81" i="31"/>
  <c r="AD82" i="31"/>
  <c r="AD83" i="31"/>
  <c r="AD84" i="31"/>
  <c r="AD85" i="31"/>
  <c r="AD86" i="31"/>
  <c r="AD87" i="31"/>
  <c r="AD88" i="31"/>
  <c r="AD89" i="31"/>
  <c r="AD90" i="31"/>
  <c r="AD91" i="31"/>
  <c r="AD92" i="31"/>
  <c r="AD93" i="31"/>
  <c r="AD94" i="31"/>
  <c r="AD95" i="31"/>
  <c r="AD96" i="31"/>
  <c r="AD97" i="31"/>
  <c r="AD98" i="31"/>
  <c r="AD99" i="31"/>
  <c r="AD100" i="31"/>
  <c r="AD101" i="31"/>
  <c r="AD102" i="31"/>
  <c r="AD103" i="31"/>
  <c r="AD104" i="31"/>
  <c r="AD105" i="31"/>
  <c r="AD106" i="31"/>
  <c r="AD107" i="31"/>
  <c r="AD108" i="31"/>
  <c r="AD109" i="31"/>
  <c r="AD110" i="31"/>
  <c r="AD111" i="31"/>
  <c r="AD112" i="31"/>
  <c r="AD113" i="31"/>
  <c r="AD114" i="31"/>
  <c r="AD2" i="31"/>
  <c r="AD109" i="29"/>
  <c r="AA63" i="29"/>
  <c r="AD62" i="29"/>
  <c r="AE33" i="29" l="1"/>
  <c r="AD102" i="25" l="1"/>
  <c r="AD108" i="29"/>
  <c r="AD107" i="29"/>
  <c r="AD106" i="29"/>
  <c r="AD105" i="29"/>
  <c r="AD104" i="29"/>
  <c r="AD103" i="29"/>
  <c r="AD102" i="29"/>
  <c r="AD101" i="29"/>
  <c r="AD100" i="29"/>
  <c r="AD99" i="29"/>
  <c r="AD98" i="29"/>
  <c r="AD97" i="29"/>
  <c r="AD96" i="29"/>
  <c r="AD95" i="29"/>
  <c r="AD94" i="29"/>
  <c r="AD93" i="29"/>
  <c r="AD92" i="29"/>
  <c r="AD91" i="29"/>
  <c r="AD90" i="29"/>
  <c r="AD89" i="29"/>
  <c r="AD88" i="29"/>
  <c r="AD87" i="29"/>
  <c r="AD86" i="29"/>
  <c r="AD85" i="29"/>
  <c r="AD84" i="29"/>
  <c r="AD83" i="29"/>
  <c r="AD82" i="29"/>
  <c r="AD81" i="29"/>
  <c r="AD80" i="29"/>
  <c r="AD79" i="29"/>
  <c r="AD78" i="29"/>
  <c r="AD77" i="29"/>
  <c r="AD76" i="29"/>
  <c r="AD75" i="29"/>
  <c r="AD74" i="29"/>
  <c r="AD73" i="29"/>
  <c r="AD72" i="29"/>
  <c r="AD71" i="29"/>
  <c r="AD70" i="29"/>
  <c r="AD69" i="29"/>
  <c r="AD68" i="29"/>
  <c r="AD67" i="29"/>
  <c r="AD66" i="29"/>
  <c r="AD65" i="29"/>
  <c r="AD64" i="29"/>
  <c r="AD63" i="29"/>
  <c r="AD61" i="29"/>
  <c r="AD60" i="29"/>
  <c r="AD59" i="29"/>
  <c r="AD58" i="29"/>
  <c r="AD57" i="29"/>
  <c r="AD56" i="29"/>
  <c r="AD55" i="29"/>
  <c r="AD54" i="29"/>
  <c r="AD53" i="29"/>
  <c r="AD52" i="29"/>
  <c r="AD51" i="29"/>
  <c r="AD50" i="29"/>
  <c r="AD49" i="29"/>
  <c r="AD48" i="29"/>
  <c r="AD47" i="29"/>
  <c r="AD46" i="29"/>
  <c r="AD45" i="29"/>
  <c r="AD44" i="29"/>
  <c r="AD43" i="29"/>
  <c r="AD42" i="29"/>
  <c r="AD41" i="29"/>
  <c r="AD40" i="29"/>
  <c r="AD39" i="29"/>
  <c r="AD38" i="29"/>
  <c r="AD37" i="29"/>
  <c r="AD36" i="29"/>
  <c r="AD35" i="29"/>
  <c r="AD34" i="29"/>
  <c r="AD33" i="29"/>
  <c r="AD32" i="29"/>
  <c r="AD31" i="29"/>
  <c r="AD30" i="29"/>
  <c r="AD29" i="29"/>
  <c r="AD28" i="29"/>
  <c r="AD27" i="29"/>
  <c r="AD26" i="29"/>
  <c r="AD25" i="29"/>
  <c r="AD24" i="29"/>
  <c r="AD23" i="29"/>
  <c r="AD22" i="29"/>
  <c r="AD21" i="29"/>
  <c r="AD20" i="29"/>
  <c r="AD19" i="29"/>
  <c r="AD18" i="29"/>
  <c r="AD17" i="29"/>
  <c r="AD16" i="29"/>
  <c r="AD15" i="29"/>
  <c r="AD14" i="29"/>
  <c r="AD13" i="29"/>
  <c r="AD12" i="29"/>
  <c r="AD11" i="29"/>
  <c r="AD10" i="29"/>
  <c r="AD9" i="29"/>
  <c r="AD8" i="29"/>
  <c r="AD7" i="29"/>
  <c r="AD6" i="29"/>
  <c r="AD5" i="29"/>
  <c r="AD4" i="29"/>
  <c r="AD3" i="29"/>
  <c r="AD2" i="29"/>
  <c r="O1" i="27" l="1"/>
  <c r="O1" i="26"/>
  <c r="AD13" i="25"/>
  <c r="AD37" i="25" l="1"/>
  <c r="AD57" i="25"/>
  <c r="AD65" i="25"/>
  <c r="AD31" i="25"/>
  <c r="AD22" i="25"/>
  <c r="AD2" i="25" l="1"/>
  <c r="AD3" i="25"/>
  <c r="AD17" i="25" l="1"/>
  <c r="AD18" i="25"/>
  <c r="AD20" i="25"/>
  <c r="AD21" i="25"/>
  <c r="AD23" i="25"/>
  <c r="AD24" i="25"/>
  <c r="AD25" i="25"/>
  <c r="AD26" i="25"/>
  <c r="AD27" i="25"/>
  <c r="AD28" i="25"/>
  <c r="AD29" i="25"/>
  <c r="AD30" i="25"/>
  <c r="AD32" i="25"/>
  <c r="AD33" i="25"/>
  <c r="AD34" i="25"/>
  <c r="AD35" i="25"/>
  <c r="AD36" i="25"/>
  <c r="AD38" i="25"/>
  <c r="AD39" i="25"/>
  <c r="AD40" i="25"/>
  <c r="AD41" i="25"/>
  <c r="AD42" i="25"/>
  <c r="AD43" i="25"/>
  <c r="AD44" i="25"/>
  <c r="AD45" i="25"/>
  <c r="AD46" i="25"/>
  <c r="AD47" i="25"/>
  <c r="AD48" i="25"/>
  <c r="AD49" i="25"/>
  <c r="AD50" i="25"/>
  <c r="AD51" i="25"/>
  <c r="AD52" i="25"/>
  <c r="AD53" i="25"/>
  <c r="AD54" i="25"/>
  <c r="AD55" i="25"/>
  <c r="AD56" i="25"/>
  <c r="AD58" i="25"/>
  <c r="AD59" i="25"/>
  <c r="AD60" i="25"/>
  <c r="AD61" i="25"/>
  <c r="AD62" i="25"/>
  <c r="AD63" i="25"/>
  <c r="AD64" i="25"/>
  <c r="AD66" i="25"/>
  <c r="AD67" i="25"/>
  <c r="AD68" i="25"/>
  <c r="AD69" i="25"/>
  <c r="AD70" i="25"/>
  <c r="AD71" i="25"/>
  <c r="AD72" i="25"/>
  <c r="AD73" i="25"/>
  <c r="AD74" i="25"/>
  <c r="AD75" i="25"/>
  <c r="AD76" i="25"/>
  <c r="AD77" i="25"/>
  <c r="AD78" i="25"/>
  <c r="AD79" i="25"/>
  <c r="AD80" i="25"/>
  <c r="AD81" i="25"/>
  <c r="AD82" i="25"/>
  <c r="AD83" i="25"/>
  <c r="AD84" i="25"/>
  <c r="AD85" i="25"/>
  <c r="AD86" i="25"/>
  <c r="AD87" i="25"/>
  <c r="AD88" i="25"/>
  <c r="AD89" i="25"/>
  <c r="AD90" i="25"/>
  <c r="AD91" i="25"/>
  <c r="AD92" i="25"/>
  <c r="AD93" i="25"/>
  <c r="AD94" i="25"/>
  <c r="AD95" i="25"/>
  <c r="AD96" i="25"/>
  <c r="AD97" i="25"/>
  <c r="AD98" i="25"/>
  <c r="AD99" i="25"/>
  <c r="AD100" i="25"/>
  <c r="AD101" i="25"/>
  <c r="AD103" i="25"/>
  <c r="AD5" i="25"/>
  <c r="AD6" i="25"/>
  <c r="AD7" i="25"/>
  <c r="AD8" i="25"/>
  <c r="AD9" i="25"/>
  <c r="AD10" i="25"/>
  <c r="AD11" i="25"/>
  <c r="AD12" i="25"/>
  <c r="AD14" i="25"/>
  <c r="AD15" i="25"/>
  <c r="AD16" i="25"/>
  <c r="AD2" i="24"/>
  <c r="AD3" i="23"/>
  <c r="AD58" i="18" l="1"/>
  <c r="AE78" i="24"/>
  <c r="AD78" i="24"/>
  <c r="AD83" i="24"/>
  <c r="AD70" i="24"/>
  <c r="AD75" i="24"/>
  <c r="AD79" i="24"/>
  <c r="AD80" i="24"/>
  <c r="AD81" i="24"/>
  <c r="AD82" i="24"/>
  <c r="AD84" i="24"/>
  <c r="AD85" i="24"/>
  <c r="AD86" i="24"/>
  <c r="AD87" i="24"/>
  <c r="AD88" i="24"/>
  <c r="AD89" i="24"/>
  <c r="AD90" i="24"/>
  <c r="AD91" i="24"/>
  <c r="AD92" i="24"/>
  <c r="AD93" i="24"/>
  <c r="AD94" i="24"/>
  <c r="AD95" i="24"/>
  <c r="AD96" i="24"/>
  <c r="AD97" i="24"/>
  <c r="AD98" i="24"/>
  <c r="AD99" i="24"/>
  <c r="AD100" i="24"/>
  <c r="AD101" i="24"/>
  <c r="AD102" i="24"/>
  <c r="AD103" i="24"/>
  <c r="AD104" i="24"/>
  <c r="AD105" i="24"/>
  <c r="AD106" i="24"/>
  <c r="AD77" i="24"/>
  <c r="AD65" i="24" l="1"/>
  <c r="AD54" i="24"/>
  <c r="AD53" i="23"/>
  <c r="AD52" i="24" l="1"/>
  <c r="AD53" i="24"/>
  <c r="AD55" i="24"/>
  <c r="AD56" i="24"/>
  <c r="AD57" i="24"/>
  <c r="AD58" i="24"/>
  <c r="AD59" i="24"/>
  <c r="AD60" i="24"/>
  <c r="AD61" i="24"/>
  <c r="AD62" i="24"/>
  <c r="AD63" i="24"/>
  <c r="AD64" i="24"/>
  <c r="AD66" i="24"/>
  <c r="AD67" i="24"/>
  <c r="AD68" i="24"/>
  <c r="AD71" i="24"/>
  <c r="AD72" i="24"/>
  <c r="AD73" i="24"/>
  <c r="AD74" i="24"/>
  <c r="AD76" i="24"/>
  <c r="AC139" i="23"/>
  <c r="AE24" i="24"/>
  <c r="AD24" i="24"/>
  <c r="AD22" i="24"/>
  <c r="AD23" i="24"/>
  <c r="AD25" i="24"/>
  <c r="AD26" i="24"/>
  <c r="AD27" i="24"/>
  <c r="AD28" i="24"/>
  <c r="AD29" i="24"/>
  <c r="AD30" i="24"/>
  <c r="AD31" i="24"/>
  <c r="AD32" i="24"/>
  <c r="AD33" i="24"/>
  <c r="AD34" i="24"/>
  <c r="AD35" i="24"/>
  <c r="AD36" i="24"/>
  <c r="AD37" i="24"/>
  <c r="AD38" i="24"/>
  <c r="AD39" i="24"/>
  <c r="AD40" i="24"/>
  <c r="AD41" i="24"/>
  <c r="AD42" i="24"/>
  <c r="AD43" i="24"/>
  <c r="AD44" i="24"/>
  <c r="AD45" i="24"/>
  <c r="AD46" i="24"/>
  <c r="AD47" i="24"/>
  <c r="AD48" i="24"/>
  <c r="AD49" i="24"/>
  <c r="AD50" i="24"/>
  <c r="AD51" i="24"/>
  <c r="AD12" i="24"/>
  <c r="AD13" i="24"/>
  <c r="AD14" i="24"/>
  <c r="AD15" i="24"/>
  <c r="AD16" i="24"/>
  <c r="AD17" i="24"/>
  <c r="AD18" i="24"/>
  <c r="AD19" i="24"/>
  <c r="AD20" i="24"/>
  <c r="AD21" i="24"/>
  <c r="AD11" i="24"/>
  <c r="AD10" i="24"/>
  <c r="AD3" i="24"/>
  <c r="AD4" i="24"/>
  <c r="AE93" i="4" l="1"/>
  <c r="AD9" i="24"/>
  <c r="AD6" i="24"/>
  <c r="AD7" i="24"/>
  <c r="AD8" i="24"/>
  <c r="AD5" i="24"/>
  <c r="AD59" i="23"/>
  <c r="AD7" i="23"/>
  <c r="AD55" i="23"/>
  <c r="AD52" i="23"/>
  <c r="AD42" i="23"/>
  <c r="AD39" i="23"/>
  <c r="AD38" i="23"/>
  <c r="AD33" i="23"/>
  <c r="AD30" i="23"/>
  <c r="AD29" i="23"/>
  <c r="AD28" i="23"/>
  <c r="AD27" i="23"/>
  <c r="AD26" i="23"/>
  <c r="AD24" i="23"/>
  <c r="AD23" i="23"/>
  <c r="AD19" i="23"/>
  <c r="AD22" i="23"/>
  <c r="AD16" i="23"/>
  <c r="AD35" i="23"/>
  <c r="AD54" i="23"/>
  <c r="AD18" i="23"/>
  <c r="AD46" i="23"/>
  <c r="AD49" i="23" l="1"/>
  <c r="AD66" i="23" l="1"/>
  <c r="AD69" i="23" l="1"/>
  <c r="AD71" i="23"/>
  <c r="AD72" i="23"/>
  <c r="AD73" i="23"/>
  <c r="AD74" i="23"/>
  <c r="AD75" i="23"/>
  <c r="AD76" i="23"/>
  <c r="AD77" i="23"/>
  <c r="AD78" i="23"/>
  <c r="AD79" i="23"/>
  <c r="AD80" i="23"/>
  <c r="AD81" i="23"/>
  <c r="AD82" i="23"/>
  <c r="AD83" i="23"/>
  <c r="AD84" i="23"/>
  <c r="AD85" i="23"/>
  <c r="AD86" i="23"/>
  <c r="AD87" i="23"/>
  <c r="AD88" i="23"/>
  <c r="AD89" i="23"/>
  <c r="AD90" i="23"/>
  <c r="AD91" i="23"/>
  <c r="AD92" i="23"/>
  <c r="AD93" i="23"/>
  <c r="AD94" i="23"/>
  <c r="AD95" i="23"/>
  <c r="AD96" i="23"/>
  <c r="AD97" i="23"/>
  <c r="AD98" i="23"/>
  <c r="AD99" i="23"/>
  <c r="AD100" i="23"/>
  <c r="AD70" i="23"/>
  <c r="AD67" i="23"/>
  <c r="AD12" i="23" l="1"/>
  <c r="AD2" i="23"/>
  <c r="AD11" i="23"/>
  <c r="AD13" i="23"/>
  <c r="AD14" i="23"/>
  <c r="AD15" i="23"/>
  <c r="AD17" i="23"/>
  <c r="AD20" i="23"/>
  <c r="AD31" i="23"/>
  <c r="AD32" i="23"/>
  <c r="AD34" i="23"/>
  <c r="AD37" i="23"/>
  <c r="AD40" i="23"/>
  <c r="AD41" i="23"/>
  <c r="AD43" i="23"/>
  <c r="AD45" i="23"/>
  <c r="AD47" i="23"/>
  <c r="AD48" i="23"/>
  <c r="AD50" i="23"/>
  <c r="AD51" i="23"/>
  <c r="AD56" i="23"/>
  <c r="AD57" i="23"/>
  <c r="AD58" i="23"/>
  <c r="AD60" i="23"/>
  <c r="AD61" i="23"/>
  <c r="AD62" i="23"/>
  <c r="AD63" i="23"/>
  <c r="AD64" i="23"/>
  <c r="AD65" i="23"/>
  <c r="AD5" i="23"/>
  <c r="AD6" i="23"/>
  <c r="AD9" i="23"/>
  <c r="AD101" i="4"/>
  <c r="AD100" i="4"/>
  <c r="AD10" i="23"/>
  <c r="AD4" i="23"/>
  <c r="AD49" i="4"/>
  <c r="AD71" i="4"/>
  <c r="AD54" i="4"/>
  <c r="AD63" i="4"/>
  <c r="AD64" i="4"/>
  <c r="AD65" i="4"/>
  <c r="AD50" i="4"/>
  <c r="AD61" i="4"/>
  <c r="AD57" i="4"/>
  <c r="AD66" i="4"/>
  <c r="AD67" i="4"/>
  <c r="AD69" i="4"/>
  <c r="AD70" i="4"/>
  <c r="AD68" i="4"/>
  <c r="AD74" i="4"/>
  <c r="AD75" i="4"/>
  <c r="AD76" i="4"/>
  <c r="AD77" i="4"/>
  <c r="AD78" i="4"/>
  <c r="AD79" i="4"/>
  <c r="AD80" i="4"/>
  <c r="AD81" i="4"/>
  <c r="AD82" i="4"/>
  <c r="AD83" i="4"/>
  <c r="AD84" i="4"/>
  <c r="AD85" i="4"/>
  <c r="AD86" i="4"/>
  <c r="AD87" i="4"/>
  <c r="AD88" i="4"/>
  <c r="AD89" i="4"/>
  <c r="AD90" i="4"/>
  <c r="AD91" i="4"/>
  <c r="AD92" i="4"/>
  <c r="AD93" i="4"/>
  <c r="AD94" i="4"/>
  <c r="AD95" i="4"/>
  <c r="AD96" i="4"/>
  <c r="AD97" i="4"/>
  <c r="AD99" i="4"/>
  <c r="AD55" i="4"/>
  <c r="AD58" i="4" l="1"/>
  <c r="AD59" i="4"/>
  <c r="AD60" i="4"/>
  <c r="AD62" i="4"/>
  <c r="AD26" i="4" l="1"/>
  <c r="AD36" i="4"/>
  <c r="AD35" i="4"/>
  <c r="AD34" i="4"/>
  <c r="AD29" i="4"/>
  <c r="AD28" i="4"/>
  <c r="AD27" i="4"/>
  <c r="AD25" i="4"/>
  <c r="AD30" i="4"/>
  <c r="AC31" i="4"/>
  <c r="AD37" i="4"/>
  <c r="AD38" i="4"/>
  <c r="AD39" i="4"/>
  <c r="AD40" i="4"/>
  <c r="AD41" i="4"/>
  <c r="AD42" i="4"/>
  <c r="AD43" i="4"/>
  <c r="AD44" i="4"/>
  <c r="AD45" i="4"/>
  <c r="AD46" i="4"/>
  <c r="AD47" i="4"/>
  <c r="AD48" i="4"/>
  <c r="AD51" i="4"/>
  <c r="AD69" i="18" l="1"/>
  <c r="AD87" i="18"/>
  <c r="AD100" i="18" l="1"/>
  <c r="AD98" i="18"/>
  <c r="AD8" i="18"/>
  <c r="AD6" i="18"/>
  <c r="AD65" i="18"/>
  <c r="AD26" i="18" l="1"/>
  <c r="AD42" i="18"/>
  <c r="AD43" i="18"/>
  <c r="AD34" i="18"/>
  <c r="AD33" i="18"/>
  <c r="AD35" i="18"/>
  <c r="AD19" i="18" l="1"/>
  <c r="AD18" i="18"/>
  <c r="AD41" i="18"/>
  <c r="AD45" i="18"/>
  <c r="AD46" i="18"/>
  <c r="AD47" i="18"/>
  <c r="AD48" i="18"/>
  <c r="AD50" i="18"/>
  <c r="AD51" i="18"/>
  <c r="AD52" i="18"/>
  <c r="AD53" i="18"/>
  <c r="AD54" i="18"/>
  <c r="AD55" i="18"/>
  <c r="AD56" i="18"/>
  <c r="AD57" i="18"/>
  <c r="AD60" i="18"/>
  <c r="AD61" i="18"/>
  <c r="AD62" i="18"/>
  <c r="AD63" i="18"/>
  <c r="AD64" i="18"/>
  <c r="AD66" i="18"/>
  <c r="AD67" i="18"/>
  <c r="AD68" i="18"/>
  <c r="AD70" i="18"/>
  <c r="AD71" i="18"/>
  <c r="AD72" i="18"/>
  <c r="AD75" i="18"/>
  <c r="AD76" i="18"/>
  <c r="AD77" i="18"/>
  <c r="AD78" i="18"/>
  <c r="AD79" i="18"/>
  <c r="AD80" i="18"/>
  <c r="AD81" i="18"/>
  <c r="AD83" i="18"/>
  <c r="AD84" i="18"/>
  <c r="AD85" i="18"/>
  <c r="AD86" i="18"/>
  <c r="AD88" i="18"/>
  <c r="AD89" i="18"/>
  <c r="AD90" i="18"/>
  <c r="AD91" i="18"/>
  <c r="AD92" i="18"/>
  <c r="AD93" i="18"/>
  <c r="AD94" i="18"/>
  <c r="AD96" i="18"/>
  <c r="AD97" i="18"/>
  <c r="AD99" i="18"/>
  <c r="AD40" i="18"/>
  <c r="AD36" i="18"/>
  <c r="AD37" i="18"/>
  <c r="AD38" i="18"/>
  <c r="AD17" i="18"/>
  <c r="AD28" i="18"/>
  <c r="AD39" i="18"/>
  <c r="Y39" i="18"/>
  <c r="AD5" i="18"/>
  <c r="AD2" i="18" l="1"/>
  <c r="AD4" i="18"/>
  <c r="AD9" i="18"/>
  <c r="AD10" i="18"/>
  <c r="AD11" i="18"/>
  <c r="AD12" i="18"/>
  <c r="AD13" i="18"/>
  <c r="AD14" i="18"/>
  <c r="AD15" i="18"/>
  <c r="AD16" i="18"/>
  <c r="AD21" i="18"/>
  <c r="AD22" i="18"/>
  <c r="AD23" i="18"/>
  <c r="AD24" i="18"/>
  <c r="AD25" i="18"/>
  <c r="AD27" i="18"/>
  <c r="AD29" i="18"/>
  <c r="AD30" i="18"/>
  <c r="AD31" i="18"/>
  <c r="AD3" i="4"/>
  <c r="AD4" i="4"/>
  <c r="AD5" i="4"/>
  <c r="AD6" i="4"/>
  <c r="AD7" i="4"/>
  <c r="AD8" i="4"/>
  <c r="AD9" i="4"/>
  <c r="AD10" i="4"/>
  <c r="AD11" i="4"/>
  <c r="AD12" i="4"/>
  <c r="AD13" i="4"/>
  <c r="AD14" i="4"/>
  <c r="AD15" i="4"/>
  <c r="AD16" i="4"/>
  <c r="AD17" i="4"/>
  <c r="AD18" i="4"/>
  <c r="AD19" i="4"/>
  <c r="AD20" i="4"/>
  <c r="AD21" i="4"/>
  <c r="AD22" i="4"/>
  <c r="AD23" i="4"/>
  <c r="AD24" i="4"/>
  <c r="AD2" i="4"/>
  <c r="AD32" i="4" l="1"/>
  <c r="AD33" i="4"/>
  <c r="AK63" i="4"/>
  <c r="AJ88" i="18"/>
  <c r="AJ87"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 de Windows</author>
  </authors>
  <commentList>
    <comment ref="I2" authorId="0" shapeId="0" xr:uid="{00000000-0006-0000-0000-000001000000}">
      <text>
        <r>
          <rPr>
            <b/>
            <sz val="9"/>
            <color indexed="81"/>
            <rFont val="Tahoma"/>
            <family val="2"/>
          </rPr>
          <t>Usuario de Windows:</t>
        </r>
        <r>
          <rPr>
            <sz val="9"/>
            <color indexed="81"/>
            <rFont val="Tahoma"/>
            <family val="2"/>
          </rPr>
          <t xml:space="preserve">
Servicio de transporte
instalado</t>
        </r>
      </text>
    </comment>
    <comment ref="I3" authorId="0" shapeId="0" xr:uid="{00000000-0006-0000-0000-000002000000}">
      <text>
        <r>
          <rPr>
            <b/>
            <sz val="9"/>
            <color indexed="81"/>
            <rFont val="Tahoma"/>
            <family val="2"/>
          </rPr>
          <t>Usuario de Windows:</t>
        </r>
        <r>
          <rPr>
            <sz val="9"/>
            <color indexed="81"/>
            <rFont val="Tahoma"/>
            <family val="2"/>
          </rPr>
          <t xml:space="preserve">
Instalación.</t>
        </r>
      </text>
    </comment>
    <comment ref="I4" authorId="0" shapeId="0" xr:uid="{00000000-0006-0000-0000-000003000000}">
      <text>
        <r>
          <rPr>
            <b/>
            <sz val="9"/>
            <color indexed="81"/>
            <rFont val="Tahoma"/>
            <family val="2"/>
          </rPr>
          <t xml:space="preserve">Usuario de Windows:
COLOQUE SI CUANDO VENDA VIDRIO, ACCESORIO Y/O ALUMINIO </t>
        </r>
        <r>
          <rPr>
            <sz val="9"/>
            <color indexed="81"/>
            <rFont val="Tahoma"/>
            <family val="2"/>
          </rPr>
          <t xml:space="preserve">
NO HAY INSTALACION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Y1" authorId="0" shapeId="0" xr:uid="{00000000-0006-0000-0200-000001000000}">
      <text>
        <r>
          <rPr>
            <sz val="9"/>
            <color indexed="81"/>
            <rFont val="Tahoma"/>
            <family val="2"/>
          </rPr>
          <t xml:space="preserve">resultado (resta)  de dias entre la fecha de liberacion y la fecha de entrega pactada con el cliente 27-06-2020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Y1" authorId="0" shapeId="0" xr:uid="{00000000-0006-0000-0300-000001000000}">
      <text>
        <r>
          <rPr>
            <sz val="9"/>
            <color indexed="81"/>
            <rFont val="Tahoma"/>
            <family val="2"/>
          </rPr>
          <t xml:space="preserve">resultado (resta)  de dias entre la fecha de liberacion y la fecha de entrega pactada con el cliente 27-06-2020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Y1" authorId="0" shapeId="0" xr:uid="{00000000-0006-0000-0400-000001000000}">
      <text>
        <r>
          <rPr>
            <sz val="9"/>
            <color indexed="81"/>
            <rFont val="Tahoma"/>
            <family val="2"/>
          </rPr>
          <t xml:space="preserve">resultado (resta)  de dias entre la fecha de liberacion y la fecha de entrega pactada con el cliente 27-06-2020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Y1" authorId="0" shapeId="0" xr:uid="{00000000-0006-0000-0500-000001000000}">
      <text>
        <r>
          <rPr>
            <sz val="9"/>
            <color indexed="81"/>
            <rFont val="Tahoma"/>
            <family val="2"/>
          </rPr>
          <t xml:space="preserve">resultado (resta)  de dias entre la fecha de liberacion y la fecha de entrega pactada con el cliente 27-06-2020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Y1" authorId="0" shapeId="0" xr:uid="{00000000-0006-0000-0600-000001000000}">
      <text>
        <r>
          <rPr>
            <sz val="9"/>
            <color indexed="81"/>
            <rFont val="Tahoma"/>
            <family val="2"/>
          </rPr>
          <t xml:space="preserve">resultado (resta)  de dias entre la fecha de liberacion y la fecha de entrega pactada con el cliente 27-06-2020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Y1" authorId="0" shapeId="0" xr:uid="{00000000-0006-0000-0700-000001000000}">
      <text>
        <r>
          <rPr>
            <sz val="9"/>
            <color indexed="81"/>
            <rFont val="Tahoma"/>
            <family val="2"/>
          </rPr>
          <t xml:space="preserve">resultado (resta)  de dias entre la fecha de liberacion y la fecha de entrega pactada con el cliente 27-06-2020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Usuario</author>
    <author>Usuario de Windows</author>
  </authors>
  <commentList>
    <comment ref="J1" authorId="0" shapeId="0" xr:uid="{00000000-0006-0000-0D00-000001000000}">
      <text>
        <r>
          <rPr>
            <sz val="9"/>
            <color indexed="81"/>
            <rFont val="Tahoma"/>
            <family val="2"/>
          </rPr>
          <t xml:space="preserve">Fecha de compromiso con cliente para que consigne el otro 50% del valor del pedido (27-06-2020)
</t>
        </r>
      </text>
    </comment>
    <comment ref="N1" authorId="1" shapeId="0" xr:uid="{00000000-0006-0000-0D00-000002000000}">
      <text>
        <r>
          <rPr>
            <sz val="9"/>
            <color indexed="81"/>
            <rFont val="Tahoma"/>
            <family val="2"/>
          </rPr>
          <t>Orden de compra de vidrio (Templado, laminado, entre otros.) 27-06-2020</t>
        </r>
      </text>
    </comment>
    <comment ref="O1" authorId="1" shapeId="0" xr:uid="{00000000-0006-0000-0D00-000003000000}">
      <text>
        <r>
          <rPr>
            <b/>
            <sz val="9"/>
            <color indexed="81"/>
            <rFont val="Tahoma"/>
            <family val="2"/>
          </rPr>
          <t>Usuario de Windows:</t>
        </r>
        <r>
          <rPr>
            <sz val="9"/>
            <color indexed="81"/>
            <rFont val="Tahoma"/>
            <family val="2"/>
          </rPr>
          <t xml:space="preserve">
Solicitud de accesorios y perfileria.
</t>
        </r>
      </text>
    </comment>
    <comment ref="S1" authorId="1" shapeId="0" xr:uid="{00000000-0006-0000-0D00-000004000000}">
      <text>
        <r>
          <rPr>
            <b/>
            <sz val="9"/>
            <color indexed="81"/>
            <rFont val="Tahoma"/>
            <family val="2"/>
          </rPr>
          <t>Usuario de Windows:</t>
        </r>
        <r>
          <rPr>
            <sz val="9"/>
            <color indexed="81"/>
            <rFont val="Tahoma"/>
            <family val="2"/>
          </rPr>
          <t xml:space="preserve">
Servicio de transporte
instalado</t>
        </r>
      </text>
    </comment>
    <comment ref="T1" authorId="1" shapeId="0" xr:uid="{00000000-0006-0000-0D00-000005000000}">
      <text>
        <r>
          <rPr>
            <b/>
            <sz val="9"/>
            <color indexed="81"/>
            <rFont val="Tahoma"/>
            <family val="2"/>
          </rPr>
          <t>Usuario de Windows:</t>
        </r>
        <r>
          <rPr>
            <sz val="9"/>
            <color indexed="81"/>
            <rFont val="Tahoma"/>
            <family val="2"/>
          </rPr>
          <t xml:space="preserve">
Instalación.</t>
        </r>
      </text>
    </comment>
    <comment ref="W1" authorId="0" shapeId="0" xr:uid="{00000000-0006-0000-0D00-000006000000}">
      <text>
        <r>
          <rPr>
            <sz val="9"/>
            <color indexed="81"/>
            <rFont val="Tahoma"/>
            <family val="2"/>
          </rPr>
          <t xml:space="preserve">Fecha dada por produccion para llamar al cliente e informarle del pago del 50% pendiente, se debe dejar en odp quien responde la llamada y observaciones al respecto 27-06-2020
</t>
        </r>
      </text>
    </comment>
    <comment ref="X1" authorId="0" shapeId="0" xr:uid="{00000000-0006-0000-0D00-000007000000}">
      <text>
        <r>
          <rPr>
            <sz val="9"/>
            <color indexed="81"/>
            <rFont val="Tahoma"/>
            <family val="2"/>
          </rPr>
          <t xml:space="preserve">Fecha real de instalacion informada por produccion
27-06-2020
</t>
        </r>
      </text>
    </comment>
    <comment ref="Y1" authorId="0" shapeId="0" xr:uid="{00000000-0006-0000-0D00-000008000000}">
      <text>
        <r>
          <rPr>
            <sz val="9"/>
            <color indexed="81"/>
            <rFont val="Tahoma"/>
            <family val="2"/>
          </rPr>
          <t xml:space="preserve">resultado (resta)  de dias entre la fecha de liberacion y la fecha de entrega pactada con el cliente 27-06-2020
</t>
        </r>
      </text>
    </comment>
  </commentList>
</comments>
</file>

<file path=xl/sharedStrings.xml><?xml version="1.0" encoding="utf-8"?>
<sst xmlns="http://schemas.openxmlformats.org/spreadsheetml/2006/main" count="11784" uniqueCount="2516">
  <si>
    <t>AÑO</t>
  </si>
  <si>
    <t>MES</t>
  </si>
  <si>
    <t>ODP</t>
  </si>
  <si>
    <t>FECHA DE TOMA DE PEDIDO</t>
  </si>
  <si>
    <t>CLIENTE</t>
  </si>
  <si>
    <t>CONTACTO</t>
  </si>
  <si>
    <t>CARGO DEL CONTACTO</t>
  </si>
  <si>
    <t>TELEFONO CONTACTO</t>
  </si>
  <si>
    <t>TELEFONO</t>
  </si>
  <si>
    <t>FECHA DE ODP LISTO MATERIAL</t>
  </si>
  <si>
    <t>SEGMENTO</t>
  </si>
  <si>
    <t>PRODUCTO VENDIDO</t>
  </si>
  <si>
    <t xml:space="preserve">CR/STV/ESP/S/T/TE
</t>
  </si>
  <si>
    <t>N° ODC PV/LAM</t>
  </si>
  <si>
    <t>SAP</t>
  </si>
  <si>
    <t>COT.</t>
  </si>
  <si>
    <t>TM</t>
  </si>
  <si>
    <t>MATIZ/PELI.</t>
  </si>
  <si>
    <t>ACARREO</t>
  </si>
  <si>
    <t>INST.</t>
  </si>
  <si>
    <t>SERVICIO</t>
  </si>
  <si>
    <t>ASESOR</t>
  </si>
  <si>
    <t>PEDIDO LIBERADO</t>
  </si>
  <si>
    <t>FECHA DE INST/ENTR.</t>
  </si>
  <si>
    <t xml:space="preserve">Dias de Cumplimiento de pedido </t>
  </si>
  <si>
    <t>ESTADO DE PEDIDO</t>
  </si>
  <si>
    <t>PAGO ANTI.</t>
  </si>
  <si>
    <t>FACT(FE)</t>
  </si>
  <si>
    <t>VALOR DEL PEDIDO SIN IVA</t>
  </si>
  <si>
    <t>VALOR PEDIDO CON IVA</t>
  </si>
  <si>
    <t>ANTICIPO</t>
  </si>
  <si>
    <t>ENTREGA REAL</t>
  </si>
  <si>
    <t xml:space="preserve">OBSERVACIONES </t>
  </si>
  <si>
    <t>SEGUIMIENTO PEDIDO</t>
  </si>
  <si>
    <t>INGRESO INFORMACION</t>
  </si>
  <si>
    <t>V&amp;A-A</t>
  </si>
  <si>
    <t>VIDRIO</t>
  </si>
  <si>
    <t>ESPESOR</t>
  </si>
  <si>
    <r>
      <t>M</t>
    </r>
    <r>
      <rPr>
        <b/>
        <vertAlign val="superscript"/>
        <sz val="9"/>
        <color rgb="FFFF0000"/>
        <rFont val="Arial"/>
        <family val="2"/>
      </rPr>
      <t>2</t>
    </r>
  </si>
  <si>
    <t>DIAS CUMPLIMIENTO DE PEDIDO</t>
  </si>
  <si>
    <t>Manual para diligenciar la planilla de ordenes de compra cliente</t>
  </si>
  <si>
    <t>Objetivo</t>
  </si>
  <si>
    <t>Llevar un registro de las ventas por cliente con especificaciones para lograr indicadores de cumplimiento. Ventas por asesor, valores sin facturar, segmentacion, seguimiento del cliente.
Logrando la satisfaccion de todos nuestros clientes con el diferenciador de respaldo y confianza.</t>
  </si>
  <si>
    <t>Encabezado</t>
  </si>
  <si>
    <t>Detalle a cosiderar al momento de diligenciarlo</t>
  </si>
  <si>
    <t>Corresponde al año de ingreso de la orden de produccion a la compañía</t>
  </si>
  <si>
    <t>Corresponde al mes de ingreso de la orden de producion a la compañía</t>
  </si>
  <si>
    <t>Es el numero superior de la orden de produccion que se encuentra al lado derecho.</t>
  </si>
  <si>
    <t>indique dia. Mes. Año en que se tomo el pedido</t>
  </si>
  <si>
    <t>Por favor indique según la razon social o si es persona natural el nombre completo, conservando puntos, abreviaturas del mismo.  Valide que si el cliente ha comprado varias veces, se ingrese el nombre de la misma forma.</t>
  </si>
  <si>
    <t>Corresponde inicialmente al numero fijo del cliente, posteriormente y separado por barra puede colocarse el numero de celular del contacto del solicitante o del que recibe</t>
  </si>
  <si>
    <t>Indique según la lista desplegable a cual segmento corresponde este cliente- por favor conserve el mismo segmento para este cliente en todo el proceso comercial si ha tenido otras compras u ordenes de pedido este año.</t>
  </si>
  <si>
    <t>Transcriba textualmente la descripicion del producto o productos que se asumen en la odp y que deben entregarse al cliente</t>
  </si>
  <si>
    <t xml:space="preserve">Es la relacion de Orden de compra de vidrio (Templado, laminado, entre otros.), esta corresponde al consecutivo del proveedor en la fecha en la que se solicito, esta dada por el proceso de compras. </t>
  </si>
  <si>
    <t>ES la relacion de la SAP que acompaña este pedido, pueden existir pedidos que no tengan esta relacion. La SAP es la descripcion de materiales que se utilizaron en la fabricacion, escriba el numero respectivo y unico para este pedido</t>
  </si>
  <si>
    <t>COT</t>
  </si>
  <si>
    <t>Es el numero de la cotizacion interna con la que se enlaza este pedido</t>
  </si>
  <si>
    <t>Numero de la toma de medidas antes de cotizacion para especificacion completa , en esta toma de medidas tambien se especifica  la direccion exacta y las condiciones de instalacion</t>
  </si>
  <si>
    <t>Indique si el producto a suministrar lleva matizado o pelicula, lo encuenta en el campo inferior izquierdo de la ODP</t>
  </si>
  <si>
    <t>Indique si el producto suministrado debe ser entregado por nuestro personal en el camion, puede existir que se entregue mas no que se instale,  este valor es un valor economico adicional</t>
  </si>
  <si>
    <t>Indique si el producto que se esta entregando en esta orden de produccion corresponde a una instalacion, (montaje y puesta a punto del producto que se elaboro) si, No.</t>
  </si>
  <si>
    <t>Indique si el producto que se entrega es un servicio solamente, sin producto adicional.  Por ejemplo es un desmonte, mantenimiento entre otros. SI o No</t>
  </si>
  <si>
    <t>Indique según la lista desplegable cual es el nombre del asesor interno que atendio esta orden de pedido.</t>
  </si>
  <si>
    <r>
      <t xml:space="preserve">Fecha en que se libera desde produccion esta orden de produccion, verfique dicha fecha en el cuaderno de liberacion cuando este totalmente las partes que este pedido requiere. Es indispensable este campo antes de cambiar el estado de la odp en colores o cierre de mes .
</t>
    </r>
    <r>
      <rPr>
        <sz val="11"/>
        <color rgb="FFFF0000"/>
        <rFont val="Calibri"/>
        <family val="2"/>
        <scheme val="minor"/>
      </rPr>
      <t xml:space="preserve">Fecha dada por produccion para llamar al cliente e informarle del pago del 50% pendiente, se debe dejar en odp quien responde la llamada y observaciones al respecto </t>
    </r>
  </si>
  <si>
    <t>Fecha en que se realiza la entrega o instalacion de la orden de pedido, esta fecha debe ser consultada con produccion y para que pueda darse el pedido debe estar totalmente pagado por el cliente.</t>
  </si>
  <si>
    <t>ESTADO PEDIDO</t>
  </si>
  <si>
    <t xml:space="preserve">Es la ubicación administrativa del pedido, debe ser consultado en cual carpeta se encuentra para anexarlo y cuando se conozca del cambio se debe registrar actualizando la informacion del archivo ODP PEDIDOS </t>
  </si>
  <si>
    <t>PAGO ANTICIPADO</t>
  </si>
  <si>
    <t>Indique el numero de la factura electronica con la que se liquido este pedido, puede en algunos casos tener el numero de la factura y aun no haber despachado el producto.</t>
  </si>
  <si>
    <t>Es el valor del pedido (sumatoria de productos, servicios o bienes), por ley debemos dejar el valor expresado y a este se le adicionara el valor que la compañía debe reportar a la DIAN, cuando se liquide el IVA mensualmente.</t>
  </si>
  <si>
    <t xml:space="preserve">Es el valor del pedido sin IVA mas el IVA obtenido del valor total, tener en cuenta que el IVA es el valor autorizado por el gobierno nacional </t>
  </si>
  <si>
    <t>Es el valor que el cliente puede entregar a la empresa para realizar el pedido , es una politica organizacional que se pagara el 50% para inicio del traajo y se le debe decir al cliente que se le avisara telefonicamente cuando el producto este listo para la entrega Y/o instalacion y que proceda a pagar el 50% restane</t>
  </si>
  <si>
    <t>Tiempo en dias transcurrido entre la fecha de liberacion y la fecha de instalacion o entrega. Es una resta</t>
  </si>
  <si>
    <t>En este campo digite las observaciones dadas por el cliente o que se puedan presentar en el proceso comercial con el mismo. Aquí puede indicar condiciones de la instalacion, condiciones de la entrega, condiciones del pago o justificar los retrasos respectivos del producto o servicio</t>
  </si>
  <si>
    <t>Es la fecha en la que se eta validando la informacion del pedido a nivel administrativo, esto con el fin de dar tramite y mejorar las condiciones de entrega a nuestros clientes, todo pedido que sea actualizado en sus condiciones de fechas de entrega o disposiciones de proceso, debe ser actualizado en fecha y posible en las observaciones que lleguen.</t>
  </si>
  <si>
    <t>son las iniciales del responsable que  ingreso a control de los pedidos (ejemplo Alba Lucia Castro- ALC)</t>
  </si>
  <si>
    <t>entregados</t>
  </si>
  <si>
    <t xml:space="preserve">segundo verde </t>
  </si>
  <si>
    <t>liberados</t>
  </si>
  <si>
    <t>segundo amarillo</t>
  </si>
  <si>
    <t>pedido dia</t>
  </si>
  <si>
    <t>segundo azul</t>
  </si>
  <si>
    <t>anulado</t>
  </si>
  <si>
    <t>segundo rosado</t>
  </si>
  <si>
    <t>CLIENTE FINAL</t>
  </si>
  <si>
    <t>ARCHIVADO</t>
  </si>
  <si>
    <t>INDUSTRIAL</t>
  </si>
  <si>
    <t>ALEJANDRO</t>
  </si>
  <si>
    <t>INSTITUCIONAL</t>
  </si>
  <si>
    <t>BRYAM</t>
  </si>
  <si>
    <t>PROGRAMACION BRYAM</t>
  </si>
  <si>
    <t>ANULADO</t>
  </si>
  <si>
    <t>FACTURACION</t>
  </si>
  <si>
    <t>ALBA LUCIA</t>
  </si>
  <si>
    <t>INTERVID</t>
  </si>
  <si>
    <t>ARQUITECTO</t>
  </si>
  <si>
    <t>FUELLE LISTAS PARA ENTREGAR</t>
  </si>
  <si>
    <t>CARPETAS FACTURACION</t>
  </si>
  <si>
    <t>COMPRAS</t>
  </si>
  <si>
    <t>TERCERO</t>
  </si>
  <si>
    <t>ASESORES</t>
  </si>
  <si>
    <t>SEGMENTOS</t>
  </si>
  <si>
    <t>ESTADO DEL PEDIDO</t>
  </si>
  <si>
    <t>por favor no eliminar esta hoja ya que afecta la hoja y casillas en color rojo</t>
  </si>
  <si>
    <t>Mes</t>
  </si>
  <si>
    <t>N° ODP AZUL</t>
  </si>
  <si>
    <t>CANT</t>
  </si>
  <si>
    <t>FECHA TOMA PEDIDO</t>
  </si>
  <si>
    <t>FECHA DE ENTREGA SOLICITADA</t>
  </si>
  <si>
    <t xml:space="preserve">FECHA LIBERACION </t>
  </si>
  <si>
    <t>DESCRIPCION</t>
  </si>
  <si>
    <t>OBSERVACIÓN / UBICACIÓN</t>
  </si>
  <si>
    <t>COMPRA PV VIDRIO TEMPLADO</t>
  </si>
  <si>
    <t>OBSERVACIONES</t>
  </si>
  <si>
    <t>PEDIDO DIA</t>
  </si>
  <si>
    <t>segmento</t>
  </si>
  <si>
    <t>MATIZ/PELI/HUA</t>
  </si>
  <si>
    <t xml:space="preserve">CR/ESP/
</t>
  </si>
  <si>
    <t>COTIZ.</t>
  </si>
  <si>
    <t>JUAN DIEGO</t>
  </si>
  <si>
    <t>Digite el valor que el cliente paga anticipadamente o el pago total del pedido. Digite NA si no pagaron anticipado</t>
  </si>
  <si>
    <t>CR/ESP/TE</t>
  </si>
  <si>
    <t>CREDITO</t>
  </si>
  <si>
    <t>FECHA DE ENTREGA / INSTALACION</t>
  </si>
  <si>
    <t>Fecha de compromiso con cliente donde todo el material esta listo para la entrega (anunciar al cliente para que  consigne el otro 50% del valor del pedido).</t>
  </si>
  <si>
    <t>Indique si el producto a suministrar en esta orden de pedido es CR= crudo, ESP= espejo, TE= templado con pinza.</t>
  </si>
  <si>
    <t>NC/GAR.</t>
  </si>
  <si>
    <t>NC / GAR.</t>
  </si>
  <si>
    <t xml:space="preserve">Resultado (resta)  de dias entre la fecha de liberacion y la fecha de ODP listo material pactada con el cliente </t>
  </si>
  <si>
    <t xml:space="preserve">INGRESO </t>
  </si>
  <si>
    <t xml:space="preserve">FECHA </t>
  </si>
  <si>
    <t xml:space="preserve">                                                                                               </t>
  </si>
  <si>
    <t>GARANTIA/
NC</t>
  </si>
  <si>
    <t>PAPELSA SA</t>
  </si>
  <si>
    <t>SI</t>
  </si>
  <si>
    <t>SARITA GRANADA</t>
  </si>
  <si>
    <t>NA</t>
  </si>
  <si>
    <t>AV</t>
  </si>
  <si>
    <t>MAS EQUIPOS PARA LA CONSTRUCCION</t>
  </si>
  <si>
    <t>LITO SAS</t>
  </si>
  <si>
    <t>YESICA TOBON</t>
  </si>
  <si>
    <t>FERROSERVICE SAS</t>
  </si>
  <si>
    <t>LARRY RIOS</t>
  </si>
  <si>
    <t>PROPIETARIO</t>
  </si>
  <si>
    <t>TALENT GROUP SOCIEDAD POR ACCIONES SIMPLIFICADA</t>
  </si>
  <si>
    <t xml:space="preserve">CESAR CORRALES </t>
  </si>
  <si>
    <t>PROFECIONALES INTREGADOS SAS</t>
  </si>
  <si>
    <t>WILSON VEGA</t>
  </si>
  <si>
    <t>GERENTE</t>
  </si>
  <si>
    <t>KARIBIK SAS</t>
  </si>
  <si>
    <t>MANTENIMIENTO</t>
  </si>
  <si>
    <t>DANIEL FERNANDO OROZCO QUICENO</t>
  </si>
  <si>
    <t>ELKIN DARIO OSORIO HENAO</t>
  </si>
  <si>
    <t>DAVID MEJIA</t>
  </si>
  <si>
    <t xml:space="preserve">PROPIETARIO </t>
  </si>
  <si>
    <t>NC 001</t>
  </si>
  <si>
    <t>YEINER DAVID MENDOZA LARA</t>
  </si>
  <si>
    <t>YEINER MENDOZA</t>
  </si>
  <si>
    <t>SORPLAST SAS</t>
  </si>
  <si>
    <t xml:space="preserve">SRA WENDY JMENEZ </t>
  </si>
  <si>
    <t>SECRETARIA</t>
  </si>
  <si>
    <t>9- S/I DE CERRAMIENTO EN VIDRIO TEMPLADO INCOLORO 8MM, BPB. VIDRIOS INSTALADOS EN VANOS EXISTENTES CON TOCETOS ESTANDAR EN ACERO INOXIDABLE 10 CMS MEDIDA: 3,00 X 1,20 MTS.</t>
  </si>
  <si>
    <t>LABORATORIOS ECAR S.A</t>
  </si>
  <si>
    <t>JONATHAN VELAZQUEZ</t>
  </si>
  <si>
    <t>GIOVANNY ALBERTO RODRIGUEZ YEPEZ</t>
  </si>
  <si>
    <t xml:space="preserve">GIOVANNY RODRIGUEZ </t>
  </si>
  <si>
    <t>JUAN PABLO</t>
  </si>
  <si>
    <t>ALMACENES CORONONA SAS</t>
  </si>
  <si>
    <t>AMANDA ALZATE</t>
  </si>
  <si>
    <t>HERNAN PELAEZ</t>
  </si>
  <si>
    <t xml:space="preserve">SI </t>
  </si>
  <si>
    <t>1- SERVICIO DE INSTALACION DE DIVISION DE OFICINA EXISTENTE , INCLUYE PUERTAS, VIDRIOS FIJOS Y VIDRIOS MONTANTES.</t>
  </si>
  <si>
    <t>JUAN CARLOS</t>
  </si>
  <si>
    <t>ADMINISTRADOR</t>
  </si>
  <si>
    <t>EDIIFICIO PORTON DE ANTARES P.H</t>
  </si>
  <si>
    <t xml:space="preserve">HERNAN CADAVID </t>
  </si>
  <si>
    <t>INGENIERIA MANTENIMIENTO SOPORTE Y CONTROL DE ACCESO SAS</t>
  </si>
  <si>
    <t xml:space="preserve">ALVARO GUISAO </t>
  </si>
  <si>
    <t>PAPAN SAS</t>
  </si>
  <si>
    <t>MONICA</t>
  </si>
  <si>
    <t>RUPERTO ANTONIO MURILLO SALAZAR</t>
  </si>
  <si>
    <t>RUPERTO MURILLO</t>
  </si>
  <si>
    <t>CONSEGUR SAS</t>
  </si>
  <si>
    <t>JESUS MONTOYA</t>
  </si>
  <si>
    <t>MARGARITA MARIA SIERRA</t>
  </si>
  <si>
    <r>
      <t>O</t>
    </r>
    <r>
      <rPr>
        <b/>
        <sz val="11"/>
        <color theme="1"/>
        <rFont val="Calibri"/>
        <family val="2"/>
        <scheme val="minor"/>
      </rPr>
      <t xml:space="preserve">´ </t>
    </r>
    <r>
      <rPr>
        <sz val="11"/>
        <color theme="1"/>
        <rFont val="Calibri"/>
        <family val="2"/>
        <scheme val="minor"/>
      </rPr>
      <t>CONNELL S.A.S</t>
    </r>
  </si>
  <si>
    <t>LEYDY MOSQUERA</t>
  </si>
  <si>
    <t>WILSON EDUARDO RAMIREZ OSORIO</t>
  </si>
  <si>
    <t>WILSON RAMIREZ</t>
  </si>
  <si>
    <t>CASTAÑO COSNTRUCTORES SAS</t>
  </si>
  <si>
    <t>DARIO ALVAREZ</t>
  </si>
  <si>
    <t>ALVARO JAVIER ROLDAN PARDO</t>
  </si>
  <si>
    <t>ALVARO ROLDAN</t>
  </si>
  <si>
    <t>IVAN DARIO CIFUENTES ORTIZ</t>
  </si>
  <si>
    <t xml:space="preserve">IVAN CIFUENTES </t>
  </si>
  <si>
    <t>INMUEBLES ARMONIA SAS</t>
  </si>
  <si>
    <t>FRANCISCO BRAVO</t>
  </si>
  <si>
    <t>3- SUMINISTRO DE TEXTO EN ADHESIVO, PARA INSTALACION EN VIDRIOS EXISTENTES. DIVICIONES DE OFICINA.</t>
  </si>
  <si>
    <t>EL HORNO DE MIKAELA</t>
  </si>
  <si>
    <t>CAMBIO DE VIDRIOS POR ERROR EN MEDIDA DE LA ODP 3704 
EL CLIENTE ASUME EL VIDRIO PEQUEÑO</t>
  </si>
  <si>
    <t>JUAN CARLOS LONDOÑO CASTAÑO</t>
  </si>
  <si>
    <t xml:space="preserve">JUAN CARLOS LONDOÑO </t>
  </si>
  <si>
    <t>2- S/I VENTANA ALUMINIO SISTEMA 3831 CON VIDRIO TEMPLADO INCOLORO 6MM, ESTRUCTURA EN TABULAR 1101 CON PISAVIDRIO A PRESION. ALUMINIO NEGRO. MEDIDAS VARIAS.
2- S/I VIDRIO TEMPLADO INCOLORO 6MM, INSTALADOS EN ESTRUCTURA DE PERGOLA EXISTENTE.INCLUYE EMPAQUES CAUCHO Y SELLAMIENTO EN SILICONA. MEDIDAS: VARIAS.
50- APLICACION SELLO PERIMETRAL INTERIOR EN VENTANAS EXISTENTES.
23- S/I VENTANAS PROYECTANTES ALUMINIO, INCLUYE BRAZOS,VIDRIO LAMINADO 3+3 AJUSTE Y NIVELACION , MEDIDAS: VARIAS.</t>
  </si>
  <si>
    <t>1- S/I CABINA CORREDIZA GLASVIT EN VIDRIO TEMPLADO INCOLORO 8MM, INCLUYE BOTA HALADERA Y PERFILERIA ALUMINIO NATURAL MATE. MEDIDA: 1040 X  1900.</t>
  </si>
  <si>
    <t>GB SUCESORES SAS</t>
  </si>
  <si>
    <t>YOLIMA GARCIA</t>
  </si>
  <si>
    <t>ARQUITECTA</t>
  </si>
  <si>
    <t>LA FOUNEE S.A.S</t>
  </si>
  <si>
    <t>KARIM</t>
  </si>
  <si>
    <t>JORGE HERNAN GIRALDO RAMIREZ</t>
  </si>
  <si>
    <t>JORGE GIRALDO</t>
  </si>
  <si>
    <t>DECORADOR</t>
  </si>
  <si>
    <t>2- S/I VIDRIO TEMPLADO INCOLORO 10MM BPB,INSTALADO EN CABINA DE BAÑO, INSTALADO CON TOCETOS EN ACERO INOXIDABLE (ESTANDAR). MEDIDAS:1205 X 1590; 585 X 1590.</t>
  </si>
  <si>
    <t>CESAR AUGUSTO NARVAEZ ARANGO</t>
  </si>
  <si>
    <t>CESAR NARVAEZ</t>
  </si>
  <si>
    <t>1- VIDRIO TEMPLADO INCOLORO 6MM, BPB Y 4 BOQUETES. MEDIDA: 840 X 1900, VIDRIO PARA CABINA DE BAÑO.</t>
  </si>
  <si>
    <t>SERVICIOS TECNICOS INDUSTRIALES SEFEIN SAS</t>
  </si>
  <si>
    <t>MELISSA</t>
  </si>
  <si>
    <t>IDENTIDAD CREATIVA SAS</t>
  </si>
  <si>
    <t>DANIELA</t>
  </si>
  <si>
    <t>1- VENTA DE VIDRIO TEMPLADO INCOLORO 6MM,BPB.MEDIDA: 1100 X 500.
1- VENTA DE VIDRIO TEMPLADO INCOLORO 6MM,BPB,INCLUYE PERFORACION 5CM; MEDIDA:1800 X 601.
1- VENTA DE VIDRIO TEMPLADO INCOLORO 8MM, BPB.</t>
  </si>
  <si>
    <t>CR. PARQUE CENTRAL DEL RIO 1RA ETAPA PH</t>
  </si>
  <si>
    <t>CLAUDIA</t>
  </si>
  <si>
    <t>BIOTRENDS LABORATORIOS SAS</t>
  </si>
  <si>
    <t>DAVID NIETO</t>
  </si>
  <si>
    <t>SOCIO</t>
  </si>
  <si>
    <t>B&amp;L REDES E INGENIERIA SAS</t>
  </si>
  <si>
    <t>LILIANA TEJEDOR</t>
  </si>
  <si>
    <t>VLADIMIR CASAS CRUZ</t>
  </si>
  <si>
    <t>LADY MEJIA</t>
  </si>
  <si>
    <t>2- S/I DE CABINAS BATIENTES CON ACCESORIOS EXISTENTES.</t>
  </si>
  <si>
    <t>CR URBANIZACION ATENAS PH</t>
  </si>
  <si>
    <t>1-  SERVICIO MANTENIEMIENTO PUERTA BATIENTE VIDRIO, EMPAQUE PARA ZOCALO, AJUSTE Y NIVELACION.
1- SERVICIO MANTENIEMIENTO PUERTA BATIENTE, INCLUYE CAMBIO BASES PARA ZOCALO, ESQUINEROS,AJUSTE Y NIVELACION.
1- SERVICIO MANTENIEMIENTO PARA PUERTA BATIENTE DE ALUMINIO DOBE, INCLUYE CORTE DE ALUMINIO, AJUSTE Y NIVELACION.
1- SERVICIO MANTENIEMIENTO PUERTA BATIENTE ALUMINIO, INCLUYE CAMBIO DE PERFILES, COLOCACION TENSORES, AJUSTE Y NIVELACION.</t>
  </si>
  <si>
    <t>JUAN FERNANDO GARCIA GOMEZ</t>
  </si>
  <si>
    <t xml:space="preserve">MARTA ELENA GOMEZ </t>
  </si>
  <si>
    <t>OBRACERO SAS</t>
  </si>
  <si>
    <t>NC</t>
  </si>
  <si>
    <t>3- S/I VIDRIO TEMPLADO 5MM, BPB. VIDRIOS INSTALADOS CON ANGULOS DE ALUMINIO 1/2 (EXISTENTES)</t>
  </si>
  <si>
    <t>4- SERVICIO DE MANTENIMIENTO CORRECTIVOS, AJUSTES Y NIVELACIONES,INCLUYE SUMINISTRO DE BISAGRA HIDRAULICA Y EMPAQUES PARA SELLAMIENTOS, INCLUYE DESMONTE Y REINSTALACION DE PUERTAS EXISTENTES.</t>
  </si>
  <si>
    <t xml:space="preserve">EDGAR </t>
  </si>
  <si>
    <t>INSTALACION JOSE-FERNEY</t>
  </si>
  <si>
    <t>5- SERVICIO DE MANTENIMIENTO PARA CABINAS DE BAÑO, INCLUYE CAMBIO DE RODAMIENTOS PARA DOS CABINAS, AJUSTE Y NIVELACION.</t>
  </si>
  <si>
    <t>VIDRIOS TEMPLEX SAS</t>
  </si>
  <si>
    <t>DAVID NIETO (BIOTRENDS)</t>
  </si>
  <si>
    <t xml:space="preserve">FRANCY PEREZ CARDONA </t>
  </si>
  <si>
    <t>MC</t>
  </si>
  <si>
    <t xml:space="preserve">CI HERMECO </t>
  </si>
  <si>
    <t>HEIDER OSPINA</t>
  </si>
  <si>
    <t>JUAN GUILLERMO ALVAREZ TIRADO</t>
  </si>
  <si>
    <t xml:space="preserve">UNIVERCIDAD NACIONAL DE COLOMBIA </t>
  </si>
  <si>
    <t xml:space="preserve">ARA NADIA PENAGOS </t>
  </si>
  <si>
    <t xml:space="preserve">JEFE DE INFRAESTRUCTURA </t>
  </si>
  <si>
    <t xml:space="preserve">DEJANDO HUELLA FERTILADAD </t>
  </si>
  <si>
    <t xml:space="preserve">LORENA </t>
  </si>
  <si>
    <t xml:space="preserve">LUS GUILLERMO RAMIREZ ESCOBAR </t>
  </si>
  <si>
    <t>22/ENE/2025 SERVICIO MANTENIMIENTO FERNEY</t>
  </si>
  <si>
    <t>ADMIN OPS SAS</t>
  </si>
  <si>
    <t>MARIA FERNANDA</t>
  </si>
  <si>
    <t>8292-8293</t>
  </si>
  <si>
    <t>MEGAMARKET SAS</t>
  </si>
  <si>
    <t>MARIA MEJIA</t>
  </si>
  <si>
    <t xml:space="preserve">CONJUNTO RESIDENIAL URBANICACION ATENAS </t>
  </si>
  <si>
    <t xml:space="preserve">JUAN CARLOS </t>
  </si>
  <si>
    <t xml:space="preserve">ALEJANDRO </t>
  </si>
  <si>
    <t>MARIA LORENA RAMIREZ GOMEZ</t>
  </si>
  <si>
    <t>ADMINISTRADORA</t>
  </si>
  <si>
    <t xml:space="preserve">JUAN DIEGO BUSTAMANTE ARISTISABAL </t>
  </si>
  <si>
    <t xml:space="preserve">ALEJANDRO DIAZ MARIN </t>
  </si>
  <si>
    <t>CLUB UNION SA</t>
  </si>
  <si>
    <t xml:space="preserve">ALEJANDRA RESTREPO </t>
  </si>
  <si>
    <t>RICARDO LEON ARANGO PEREIRA</t>
  </si>
  <si>
    <t>GRUPO MARUPLAS SAS</t>
  </si>
  <si>
    <t>CARLOS RIVERA</t>
  </si>
  <si>
    <t>ESPUMAS MEDELLIN SA</t>
  </si>
  <si>
    <t>EDISON BLANDON</t>
  </si>
  <si>
    <t xml:space="preserve">DAVID ALZATE GAVIRIA </t>
  </si>
  <si>
    <t xml:space="preserve">LINA MADEL </t>
  </si>
  <si>
    <t>#004</t>
  </si>
  <si>
    <t>CARLOS ENRIQUE RODRIGUEZ</t>
  </si>
  <si>
    <t>CARLOS RODRIGUEZ</t>
  </si>
  <si>
    <t>FECHA CANCELACION</t>
  </si>
  <si>
    <t>CR</t>
  </si>
  <si>
    <t>ESP</t>
  </si>
  <si>
    <t>PV-ESP</t>
  </si>
  <si>
    <t xml:space="preserve">DIEZ ELEMENTOS SAS </t>
  </si>
  <si>
    <t xml:space="preserve">CAMILO ALBERTO GALLEGO FERRER </t>
  </si>
  <si>
    <t xml:space="preserve">CAMILO GALLEGO </t>
  </si>
  <si>
    <t>INTEGRADOS SAS</t>
  </si>
  <si>
    <t>15/ENE/2025 ENTREGADO AL CLIENTE</t>
  </si>
  <si>
    <t>INDUSTRIAS HACEB S.A</t>
  </si>
  <si>
    <t xml:space="preserve">CLAUDIA ALVAREZ </t>
  </si>
  <si>
    <t>ANDRES LOPEZ</t>
  </si>
  <si>
    <t>CONSTRUCCIONES CIVILES IJJ SAS</t>
  </si>
  <si>
    <t xml:space="preserve">JUAN JOSE RODRIGUES </t>
  </si>
  <si>
    <t>SUPERVISOR</t>
  </si>
  <si>
    <t>ANDRES FELIPE CARDONA CARDONA</t>
  </si>
  <si>
    <t>ANDRES CARDONA</t>
  </si>
  <si>
    <t>JUAN ALVAREZ</t>
  </si>
  <si>
    <t>1- VENTA DE VIDRIO TEMPLADO INCOLORO 8MM, PARA CABNINAS DE BAÑO TIPO GLASSVIT, INCLUYE PERFORACIONES.MEDIDAS VARIAS.</t>
  </si>
  <si>
    <t>EMMA LUCIA CANO CORDOBA</t>
  </si>
  <si>
    <t>EMMA LUCIA CANO</t>
  </si>
  <si>
    <t>LUZ ESTHER RINCON ZAPATA</t>
  </si>
  <si>
    <t>LUZ ESTHER RINCON</t>
  </si>
  <si>
    <t>1- S/I CABINA CORREDIZA GLASSVIT 8MM, VIDRIO TEMPLADO INCOLORO 8MM,INCLUYE TOHALLERO VERTICAL 20 CMS Y RODAMIENTOS EN ACERO INOXIDABLE. MEDIDA: 1,30 X 1,90 MTS</t>
  </si>
  <si>
    <t>28/ENE/2025 INSTALACION JOSE-FERNEY
CLIENTE RECIBIO FACTURAS HASTA 27/ENE/2025
PASA A FACTURACION PARA FACTURAR EL 1 DE FEBRERO</t>
  </si>
  <si>
    <t>FELIPE CANDAMIL</t>
  </si>
  <si>
    <t>6 - SUMINISTRO DE VIDRIOS TEMPLADOS INCOLOROS PARA PECERA, BORDES PULIDOS Y BRILLADOS MEDIDAS VARIAS</t>
  </si>
  <si>
    <t xml:space="preserve">22/ENE/2025 ANOTADO PENDIENTE VIDRIO
28/ENE/2025 ACARREO JUAN DIEGO
</t>
  </si>
  <si>
    <t>2- S/I CABINA BATIENTE (PUERTA Y FJO) CON VIDRIO TEMPLADO INCOLORO 8MM, INVLUYE BISAGRAS. BOTON HALADERA, INCLUYE PERFIL ACRILICO INFERIOR.
1- S/I CABINA BATIENTE CON VIDRIO TEMPLADO INCOLORO 6MM INCLUYE BISAGRAS,BOTON HALADERA, INCLUYE PERFIL ACRILICO. MEDIDAS VARIAS.</t>
  </si>
  <si>
    <t>27/ENE/2025 INSTALACION LEIDER EXTERNO</t>
  </si>
  <si>
    <t>28/ENE/2025 INSTALACION JOSE-FERNEY</t>
  </si>
  <si>
    <t>29/ENE/2025 INSTALACION CARLOS-YEISON</t>
  </si>
  <si>
    <t xml:space="preserve">22/ENE/2025 ANOTADO PENDIENTE MATIZADO
28/ENE/2025 LIBERADO 
PASA A PROGRAMACION POR SOLICITUD DE BRAYAM DEBE INSTALAR EL 29/ENE/2025 INSTALACION CARLOS-YEISON
</t>
  </si>
  <si>
    <t>GLORIA PATRICIA MIRANDA AGUIAR</t>
  </si>
  <si>
    <t xml:space="preserve">GLORIA MIRANDA </t>
  </si>
  <si>
    <t>1- S/I CABINA CORREDIZA EN SISTEMA GLASSVIT, VIDRIO TEMPLADO INC 6MM, PUERTA BOTON HALADERA EN ACERO INOXIDABLE, INCLUYE PERFILERIA EN ALUMINIO (SILLAR,PERFIL U-68) ALUMINIO ANODIZAD NATURAL MATE, MEDIDA: 1000 X 1800H.
1- S/I CABINA BATIENTE EN L CON VIDRIO TEMPLADO INC 6MM, BORDES PULIDOS Y BRILLADOS,INSTALADA CON ACCESORIOS EN ACERO INOXIDABLE ( BISAGRAS, CHAPETAS Y BOTON HALADERA) INCLUYE PERFIL ACRILICO INFERIOR, INCLUYE BARRA ESTABILIZADORA MEDIDA: 800-900 X 1900.</t>
  </si>
  <si>
    <t>FALTA INFORMACION, FALTABA TOMAR MEDIDAS, LA SEÑORA TENIA QUE ABRIR UNA VANO Y DESMONTAR.
28/ENE/2025 SE CONFIRMAN MEDIDAS Y A PARTIR DE LA FECHA28/ENE  EMPIEZA A CONTAR EL INGRESO DEL PEDIDO</t>
  </si>
  <si>
    <t>13- S/I DE VENTANAS EN ALUMINIO SISTEMA 744, VIDRIO CRUDO INC 4MM, CERRADURA IMPACTO, ALUMINIO NEGRO, INCLUYE FALSA RETICULA. MEDIDAS VARIAS.
5- S/I DE VENTANAS DE ALUMINIO SISTEMA 744, VIDRIO CRUDO INC 4MM CERRADURA IMPACTO,ALUMINIO NEGRO, ALFAJIA. MEDIDAS VARIAS.
12- S/I DE VENTANAS DE ALUMINIO SISTEMA 3831 CON VIDRIO CRUDO INCOLORO 4MM, INCLUYE PISAVIDRIOS A PRESION, INCLUYE ALFAJIA. ALUMINIO NEGRO.  MEDIDAS VARIAS.</t>
  </si>
  <si>
    <t>ANDES LOGISTICS COLOMBIA SAS</t>
  </si>
  <si>
    <t>1- SERVICIO DE MANTENIMIENTO PAR APUERTA BATIENTE DE ALUMINIO VIDRIO, INCLUYE PIVOTE AJUESTA Y NIVELACION.
3- S/I DE TOPE CAZUELA MEDIA LUNA PARA PUERTAS BATIENTES.</t>
  </si>
  <si>
    <t>30/ENE/2025 INSTALACION JOSE FERNEY</t>
  </si>
  <si>
    <t>REPOSICION POR VIDRIO ROTO PARA BIOTRENDS ASUMIDA POR VIDRIOS TEMPLEX
30/ENE/2025 INSTALACION JOSE-FERNEY</t>
  </si>
  <si>
    <t xml:space="preserve">SOLUCIONES AZUR </t>
  </si>
  <si>
    <t xml:space="preserve">JOHAN AGUDELO </t>
  </si>
  <si>
    <t>LTO S.A.S</t>
  </si>
  <si>
    <t xml:space="preserve">JONATHAN </t>
  </si>
  <si>
    <t>HEIGHT ACCESS S.A.S</t>
  </si>
  <si>
    <t xml:space="preserve">DUVAN GOMEZ </t>
  </si>
  <si>
    <t>MAR INVERSIONES Y TRASPORTES</t>
  </si>
  <si>
    <t>MAURICIO ARIAS</t>
  </si>
  <si>
    <t>ACARRE</t>
  </si>
  <si>
    <t xml:space="preserve">LIBARDO GIRALDO MONTOYA </t>
  </si>
  <si>
    <t>GONZALO DE JESUS YEPES</t>
  </si>
  <si>
    <t xml:space="preserve">INSTALADOR </t>
  </si>
  <si>
    <t>TIENDA MEDICA MEDELLIN</t>
  </si>
  <si>
    <t xml:space="preserve">ANA MILENA </t>
  </si>
  <si>
    <t xml:space="preserve">CENTRO CLINICO DE INVESTIGACION </t>
  </si>
  <si>
    <t>LILIANA</t>
  </si>
  <si>
    <t xml:space="preserve">RUBIEL ANTONIO </t>
  </si>
  <si>
    <t>C.I HERMECO S.A</t>
  </si>
  <si>
    <t xml:space="preserve">HUNDER OSPINA </t>
  </si>
  <si>
    <t xml:space="preserve">JONAHTHAN VELASQUEZ </t>
  </si>
  <si>
    <t>ESPACIO ARQUITECTURAS DISEÑO INTERIOR</t>
  </si>
  <si>
    <t xml:space="preserve">NEYDER BUITRAGO </t>
  </si>
  <si>
    <t>1- S/I CABINA EN "L" SISTEMA OPTIGLASS EN VIDRIO TEMPLADO INCOLORO 8MM INCLUYE MANIJA ACERO 20CM Y CENOJO ALUMNIO BLANCO INCLUYE DISEÑO FALSA RETICULA Y PELICULA SEGURIDAD TRASPARENTE MEDIDA 1150 X 1500 X 2000H.
1- S/I DE ESPEJO 4MM, BBP, INCLUYE BOQUQTES ESPEJO INDIVIDIO EN 3 SECCIONES INSTALADO A PARED CON CINTA ADHESIVA Y SILICONA MEDIDA 1900 X 200.
1- S/I CABINA BATIENTE EN VIDRIO TEMPLADO INCOLORO 8MM, BPB INSTALADO CON ACCESORIOS PALO ROSA, CBISAGRUAL, CHEPETAS Y BOTA INTADERAL INCLUYE PERFIL ACRILICO INFERIOR MEDIDA 1150 X 1800.</t>
  </si>
  <si>
    <t>WENDY</t>
  </si>
  <si>
    <t xml:space="preserve">ADMINISTRADORA </t>
  </si>
  <si>
    <t>DARIO ACEVEDO</t>
  </si>
  <si>
    <t xml:space="preserve">6- S/I DE CABINAS DE BAÑO TIPO GLASVIT,EN VIDRIO TEMPLADO INCOLORO 8MM INCLUYE QUIT BOTA HELADERA Y PERFILERIA DE ALUMINIO. ALUMINIO Y ACCESORIOS COLOR NEGRO. MEDIDAS VERIAS </t>
  </si>
  <si>
    <t>ANGIE DUQUE</t>
  </si>
  <si>
    <t xml:space="preserve">3- S/I DE CHAPAS DE IMPACTO SENCILLA COLOR NEGRAS PARA VENTANAS </t>
  </si>
  <si>
    <t>S/I VIDRIOS TEMPLADOS 6MM INCOLOROS INSTALADOS EN VITRINA EXISTENTE INCLUIDO ANGULOS 1/2 X 1/2</t>
  </si>
  <si>
    <t>VA</t>
  </si>
  <si>
    <t xml:space="preserve">CARPINTERO </t>
  </si>
  <si>
    <t>MARIA ISABEL HENAO MEJIA</t>
  </si>
  <si>
    <t xml:space="preserve">PROPIETARIA </t>
  </si>
  <si>
    <t xml:space="preserve">CAMILO ALBERTO GALLEGO </t>
  </si>
  <si>
    <t>1- S/I VIDRIO TEMPLADO INCOLORO 6MM INSTALADO EN ESTRUCTURA DE PUERTA EXISTENTE INCLUIDO EMPAQUES Y SELLAMIENTO MEDIDA 2222 X 1403</t>
  </si>
  <si>
    <t>MAPER S.A.S</t>
  </si>
  <si>
    <t xml:space="preserve">ADRIANA </t>
  </si>
  <si>
    <t>MARIA LORENSA RAMIREZ GOMEZ</t>
  </si>
  <si>
    <t xml:space="preserve">RESI PLAST DE COLOMBIA </t>
  </si>
  <si>
    <t xml:space="preserve">HENEY LLANO </t>
  </si>
  <si>
    <t>TE</t>
  </si>
  <si>
    <t>DALTON RICARDO TOBON GIRALDO</t>
  </si>
  <si>
    <t xml:space="preserve">BRL REDES E INGENIERIAS </t>
  </si>
  <si>
    <t xml:space="preserve">LILIANA </t>
  </si>
  <si>
    <t>#008</t>
  </si>
  <si>
    <t xml:space="preserve">CRUZ ROJA COLOMBIA </t>
  </si>
  <si>
    <t>KAREN RUZIZO</t>
  </si>
  <si>
    <t>3505300 EXT 671</t>
  </si>
  <si>
    <t>FELIX BENJAMIN SANCHES AGUDELO</t>
  </si>
  <si>
    <t>FELIX SANCHES</t>
  </si>
  <si>
    <t xml:space="preserve">CERRAJERO </t>
  </si>
  <si>
    <t>UDIGITAL S.A.S</t>
  </si>
  <si>
    <t xml:space="preserve">JULIA RAMIREZ </t>
  </si>
  <si>
    <t xml:space="preserve">JAIME ALONSO YEPES </t>
  </si>
  <si>
    <t xml:space="preserve">ANDRES GARCIA </t>
  </si>
  <si>
    <t xml:space="preserve">1- S/I DE DIVISIONE DE OFICINA CON VIDRIO TWMPLADO INOLORO 8MM INCLUYE PUETA DOBLE INSTALADA CON SISTEMA OPTIGLASS ICNLUYE MANIJA TIPO ROMA Y CERRADURA PICOLORO VIDRIOS FIJOS CON PERFIL ALUMINIO COLOR NEGRO MEDIDA 4000 X 2065 </t>
  </si>
  <si>
    <t xml:space="preserve">FANNY BOTERO ISAZA </t>
  </si>
  <si>
    <t xml:space="preserve">PAOLA </t>
  </si>
  <si>
    <t xml:space="preserve">GERENTE </t>
  </si>
  <si>
    <t xml:space="preserve">SECRETARIA </t>
  </si>
  <si>
    <t>RESIPLAST DE COLOMBIA S.A.S</t>
  </si>
  <si>
    <t xml:space="preserve">HENY LLANO </t>
  </si>
  <si>
    <t xml:space="preserve">DILAN MARIA RUA </t>
  </si>
  <si>
    <t>NC 005</t>
  </si>
  <si>
    <t xml:space="preserve">ALMACENES CORONA </t>
  </si>
  <si>
    <t>CORP DE ACUEDUCTOS MULTIVEREDAL</t>
  </si>
  <si>
    <t xml:space="preserve">ANGELICA ARTEAGA </t>
  </si>
  <si>
    <t>OLIGAS S.A.S</t>
  </si>
  <si>
    <t xml:space="preserve">VIETA SANCHES </t>
  </si>
  <si>
    <t>1- S/I DE VIDRIOS TEMPLADOS INCOLOROS 6MM INSTALADOS EN ESTRUCTURA DE PERGOLA EXISTENTE INCLYE INSTALADORES CON EMPAQUE TIPO NEOPRENO Y SELLAMIENTO EN SILICON. VIDRIOS INCLUYE PELICULA ADHESIVA CONTROL SOLAR XHIBRIDA MEDIDA 4.90 X 3,60.</t>
  </si>
  <si>
    <t>BIG S.A.S</t>
  </si>
  <si>
    <t xml:space="preserve">FELIPE OSORIO </t>
  </si>
  <si>
    <t>TERRY KOLLM</t>
  </si>
  <si>
    <t xml:space="preserve">1- REPOSICION DE PELICULA ADHESIVA DE CONTROL SOLAR MEDIDA 1300 X 2800 
1- S/I PELICULA ADHESIVA CONTROL SOLAR HIBIDA MEDIDA 2600 X 2950
1- S/I PELICULA ADHECIBA TIPO SAND- BLASTING MEDIDA 550 X 1400 
7- S/I TOPE SIST. 7038 PARA PUERTAS VIDRIERAS </t>
  </si>
  <si>
    <t xml:space="preserve">MC </t>
  </si>
  <si>
    <t xml:space="preserve">FECHA DE CANCELACION </t>
  </si>
  <si>
    <t xml:space="preserve">MONICA BIBIANA RESTREPO BENJAMIN </t>
  </si>
  <si>
    <t>MONICA BIBIANA RESTREPO</t>
  </si>
  <si>
    <t>UNIVERSIDAD ECCIL</t>
  </si>
  <si>
    <t xml:space="preserve">LUISA LONDOÑO </t>
  </si>
  <si>
    <t xml:space="preserve">COMPARAS </t>
  </si>
  <si>
    <t>CONJUNTO RESIDELCIAL CONTREE PALMAS PH</t>
  </si>
  <si>
    <t>SOLFEX SAS</t>
  </si>
  <si>
    <t xml:space="preserve">ESTEFANIA </t>
  </si>
  <si>
    <t>INGENIERIA Y CONSTRUCCIONES</t>
  </si>
  <si>
    <t xml:space="preserve">FELIPE ORREGO </t>
  </si>
  <si>
    <t xml:space="preserve">ENCARGADO </t>
  </si>
  <si>
    <t xml:space="preserve">RAFAEL ARRUBLA </t>
  </si>
  <si>
    <t xml:space="preserve">CAMBIO DE BISAGRASA 28-40 DE ACERO INOXIDABLE </t>
  </si>
  <si>
    <t xml:space="preserve">FACTURACIOM </t>
  </si>
  <si>
    <t xml:space="preserve">ALBA </t>
  </si>
  <si>
    <t xml:space="preserve">INVERSIONES EN SALUD VEGAS </t>
  </si>
  <si>
    <t xml:space="preserve">CRISTIAN </t>
  </si>
  <si>
    <t xml:space="preserve">GRUPO CHARBEL </t>
  </si>
  <si>
    <t>LEIDY BONNIE</t>
  </si>
  <si>
    <t xml:space="preserve">PROMOTORA INMOBILIARIA </t>
  </si>
  <si>
    <t xml:space="preserve">JUAN ACEBEDO </t>
  </si>
  <si>
    <t xml:space="preserve">ARQUITECTO </t>
  </si>
  <si>
    <t>5699
5700</t>
  </si>
  <si>
    <t xml:space="preserve">HUVER GOMEZ VALENCIA </t>
  </si>
  <si>
    <t xml:space="preserve">DISTRIBUIDORA GENERAL FERRELECTRICA </t>
  </si>
  <si>
    <t>MARIAN</t>
  </si>
  <si>
    <t>1- SUMINISTRO DE TABLERO EN VIDRIO TEMPLADO INCOLORO 6MM BPB TABLERO INSTALADO CON 4 ELEVADORES ACERO INOXIDABLE . 1 X 3 CMS INCLUYE PELICULA ADHESIVA SAND- BLASTING MEDIDA 1.20 X 1,00</t>
  </si>
  <si>
    <t xml:space="preserve">INGENIERIA LAVADO E IMPECCION </t>
  </si>
  <si>
    <t xml:space="preserve">JUAN DAVIS </t>
  </si>
  <si>
    <t xml:space="preserve">BONEM S.A.S </t>
  </si>
  <si>
    <t xml:space="preserve">YIZENIA FRANCO </t>
  </si>
  <si>
    <t xml:space="preserve">WILLIAM ANDRES MORALES </t>
  </si>
  <si>
    <t xml:space="preserve">WILLIAM ANDRES </t>
  </si>
  <si>
    <t xml:space="preserve">GB SUCESORES S.A.S </t>
  </si>
  <si>
    <t xml:space="preserve">YOLIMA GARCES </t>
  </si>
  <si>
    <t xml:space="preserve">GABRIEL JAIME BEDOYA </t>
  </si>
  <si>
    <t xml:space="preserve">OFIR GALLEGO </t>
  </si>
  <si>
    <t xml:space="preserve">JULIANA PALACIO DUQUE </t>
  </si>
  <si>
    <t xml:space="preserve">LUIS ORLADO OSPINA </t>
  </si>
  <si>
    <t xml:space="preserve">MAQUINAS TU MARCA </t>
  </si>
  <si>
    <t xml:space="preserve">ALEJANDRO MANTEL </t>
  </si>
  <si>
    <t xml:space="preserve">SOFIA MONTOYA GALLON </t>
  </si>
  <si>
    <t xml:space="preserve">ADLFO </t>
  </si>
  <si>
    <t>29-2-25</t>
  </si>
  <si>
    <t>SORPLAST S.A.S</t>
  </si>
  <si>
    <t xml:space="preserve">C.R URBANIZACION ALTENAS </t>
  </si>
  <si>
    <t xml:space="preserve">ADMINISTRADOR </t>
  </si>
  <si>
    <t xml:space="preserve">VERONICA GIL ORTIZ </t>
  </si>
  <si>
    <t xml:space="preserve">DANIEL BETANCUR CORREA </t>
  </si>
  <si>
    <t xml:space="preserve">JHON FREDY MENESES </t>
  </si>
  <si>
    <t xml:space="preserve">EDGAR MENESES </t>
  </si>
  <si>
    <t xml:space="preserve">FAMILIAR </t>
  </si>
  <si>
    <t xml:space="preserve">CENTRO ACEROS S.A.S </t>
  </si>
  <si>
    <t xml:space="preserve">JUAN ESTEBAN ZULUAGA </t>
  </si>
  <si>
    <t xml:space="preserve">JUAN FERNANDO GARCIA </t>
  </si>
  <si>
    <t xml:space="preserve">MARTA ELENA </t>
  </si>
  <si>
    <t xml:space="preserve">ANTONIO  MARIA SANTA </t>
  </si>
  <si>
    <t xml:space="preserve">ESPACIO ARQUITECTONICA </t>
  </si>
  <si>
    <t xml:space="preserve">HERNAN CAMILO CARDENAS GALLEGO </t>
  </si>
  <si>
    <t>NOBERTO DE JESUS PERES</t>
  </si>
  <si>
    <t xml:space="preserve">CARLOS RIVERA </t>
  </si>
  <si>
    <t xml:space="preserve">COMPRAS </t>
  </si>
  <si>
    <t xml:space="preserve">EDUARDO CAMPO </t>
  </si>
  <si>
    <t xml:space="preserve">EDUARDO OCAMPO </t>
  </si>
  <si>
    <t xml:space="preserve">MARIA SANDRA RAMIREZ </t>
  </si>
  <si>
    <t xml:space="preserve">ARNOLDO ALVAREZ </t>
  </si>
  <si>
    <t xml:space="preserve">JORGE </t>
  </si>
  <si>
    <t xml:space="preserve">EDIFICIO SAN MARTIN </t>
  </si>
  <si>
    <t>ALEJANDRA ZULUAGA</t>
  </si>
  <si>
    <t xml:space="preserve">JUAN ESTEBAN RUIS </t>
  </si>
  <si>
    <t xml:space="preserve">GUILLERMO LEAN </t>
  </si>
  <si>
    <t xml:space="preserve">AMLIA GUITIERREZ </t>
  </si>
  <si>
    <t xml:space="preserve">ANDERSON MAYA ARANGO </t>
  </si>
  <si>
    <t xml:space="preserve">EDUARDO JARAMILLO </t>
  </si>
  <si>
    <t xml:space="preserve">SANDRA MILENA </t>
  </si>
  <si>
    <t xml:space="preserve">TATIANA LONDOÑO </t>
  </si>
  <si>
    <t xml:space="preserve">INGENIERIA EFICIENTE </t>
  </si>
  <si>
    <t xml:space="preserve">ANDRES GALLEGO </t>
  </si>
  <si>
    <t xml:space="preserve">EDIFICIO PORTAL DEL ANTAREL </t>
  </si>
  <si>
    <t xml:space="preserve">HERNAN CADABID </t>
  </si>
  <si>
    <t xml:space="preserve">MIGUEL ANGU PERES </t>
  </si>
  <si>
    <t xml:space="preserve">B-L REDES E INGENIERIAS </t>
  </si>
  <si>
    <t xml:space="preserve">DANIELA </t>
  </si>
  <si>
    <t xml:space="preserve">S/I VIDRIOS CRUDOS INCOLOROS 4MM BMF MEDIDA 1118 X 735 INCLUYE MANTENIMIENTO DE VENTANAL </t>
  </si>
  <si>
    <t xml:space="preserve">NELSON ALBER ESCOBAR </t>
  </si>
  <si>
    <t xml:space="preserve">SILVIA GIRALDO GERRA </t>
  </si>
  <si>
    <t xml:space="preserve">DEJANDO HUELLA FERTILIDAD </t>
  </si>
  <si>
    <t>5423/ 5437</t>
  </si>
  <si>
    <t>8505/ 8526</t>
  </si>
  <si>
    <t xml:space="preserve">JUAN DAVID LOPEZ QUINTANA </t>
  </si>
  <si>
    <t xml:space="preserve">HEAVEN COMPANY </t>
  </si>
  <si>
    <t xml:space="preserve">CARLOS VERGARA </t>
  </si>
  <si>
    <t xml:space="preserve">SALDARRIAGA GONZALES </t>
  </si>
  <si>
    <t xml:space="preserve">NATALIA SALDARRIAGA </t>
  </si>
  <si>
    <t xml:space="preserve">NIDIA DE JESUS VASQUEZ </t>
  </si>
  <si>
    <t xml:space="preserve">1- S/I DE SERVICIO MANTENIMIENTO PV DE ALUMIIO SISTEMA 744 INCLYUYE CAMBIO RODAMIENTOS AJUSTE Y NIVELACION </t>
  </si>
  <si>
    <t>S</t>
  </si>
  <si>
    <t xml:space="preserve"> ARQUITECTA </t>
  </si>
  <si>
    <t xml:space="preserve">ALBERTO JOSE CORTES </t>
  </si>
  <si>
    <t xml:space="preserve">IGLESIA EL CAMINO </t>
  </si>
  <si>
    <t xml:space="preserve">YISEL GARCIA </t>
  </si>
  <si>
    <t xml:space="preserve">CENTRO DE FERTILIDAD DEL TESORO </t>
  </si>
  <si>
    <t xml:space="preserve">RUBEN DARIO HERRERA </t>
  </si>
  <si>
    <t xml:space="preserve">TIENDA MEDIA DE MEDELLIN </t>
  </si>
  <si>
    <t xml:space="preserve">ANA MILINA </t>
  </si>
  <si>
    <t xml:space="preserve">EL COLOMBIANO </t>
  </si>
  <si>
    <t xml:space="preserve">MARIANA GIRALDO </t>
  </si>
  <si>
    <t xml:space="preserve">VANESA FERNANDA LOPEZ </t>
  </si>
  <si>
    <t xml:space="preserve">DYNANY CIA </t>
  </si>
  <si>
    <t xml:space="preserve">EDWION VARGOS </t>
  </si>
  <si>
    <t xml:space="preserve">JURUZ SERNA </t>
  </si>
  <si>
    <t xml:space="preserve">INMUEBLES ARMONIA </t>
  </si>
  <si>
    <t xml:space="preserve">FRANSISCO BRAVO </t>
  </si>
  <si>
    <t xml:space="preserve">ALEJANDRO MUÑOS </t>
  </si>
  <si>
    <t xml:space="preserve">AGROPLASMECOL </t>
  </si>
  <si>
    <t xml:space="preserve">YOVANI PULGARIN </t>
  </si>
  <si>
    <t xml:space="preserve">B Y L REDES INGENIERIA </t>
  </si>
  <si>
    <t xml:space="preserve">JOSE ALEJANDRO PINO </t>
  </si>
  <si>
    <t xml:space="preserve">DIGO OCAMPO </t>
  </si>
  <si>
    <t xml:space="preserve">CONHYDRA S.A ESP </t>
  </si>
  <si>
    <t xml:space="preserve">SANDRA GAVIRIA </t>
  </si>
  <si>
    <t xml:space="preserve">UNIVERSIDAD ECCI </t>
  </si>
  <si>
    <t xml:space="preserve">OBRAS Y TERRENOS S.A.S </t>
  </si>
  <si>
    <t xml:space="preserve">YESSICA </t>
  </si>
  <si>
    <t xml:space="preserve">AUX ADMINISTRATIVA </t>
  </si>
  <si>
    <t>EDIFICIO PORTON DE ANTARES</t>
  </si>
  <si>
    <t>HERNAN CADAVID</t>
  </si>
  <si>
    <t>METRIC HOST S.A.S</t>
  </si>
  <si>
    <t>CARLOS</t>
  </si>
  <si>
    <t xml:space="preserve">HERHUR S.A.S </t>
  </si>
  <si>
    <t xml:space="preserve">GABRIELA </t>
  </si>
  <si>
    <t xml:space="preserve">INGENIERIA Y CONTRUCCIONES </t>
  </si>
  <si>
    <t xml:space="preserve">LABORATORIOS ECAR </t>
  </si>
  <si>
    <t xml:space="preserve">ROCIO RESTREPO </t>
  </si>
  <si>
    <t xml:space="preserve">DARIO ACEVEDO </t>
  </si>
  <si>
    <t xml:space="preserve">1-S/I DE CABINA TIPO GLASSVIT EN VIDRIO TEMPLADO INCOLORO 8MM INCLUYE SISTEMA GLASSVIT BOTON SILLAR Y PERFIL U-32 ALUMINIO NATURAL MEDIDA 1,25 X 1,90 </t>
  </si>
  <si>
    <t xml:space="preserve">DARIO MEJIA </t>
  </si>
  <si>
    <t xml:space="preserve">1- S/I SAMBIZ DE VIDRIP CRUDO INCOLORO 4MM INSTALADO EN MASCO METALICO MEDIDA 1,15 X 1,10 </t>
  </si>
  <si>
    <t xml:space="preserve">LUIS ARMANDO ACOSTA </t>
  </si>
  <si>
    <t xml:space="preserve">VENTANA DE PERSIANA EN ALUMINIO AIN - 315 MEDIDA 395 X 495 </t>
  </si>
  <si>
    <t>8290
8424</t>
  </si>
  <si>
    <t xml:space="preserve">JUAN DAVID CATAÑO </t>
  </si>
  <si>
    <t xml:space="preserve">RAMIRO DE JESUS </t>
  </si>
  <si>
    <t>JORGE MARIO TAMAYO JARAMILLO</t>
  </si>
  <si>
    <t xml:space="preserve">ANGELICA </t>
  </si>
  <si>
    <t xml:space="preserve">VENTANA DE PERSIANA EN ALUMINIO AIN - 315 MEDIDA 495 X 395  </t>
  </si>
  <si>
    <t xml:space="preserve">MANTENIMIENTO </t>
  </si>
  <si>
    <t xml:space="preserve">CRUZ ROJA </t>
  </si>
  <si>
    <t>KAREN RIUAZO</t>
  </si>
  <si>
    <t xml:space="preserve">AUX COMPRAS </t>
  </si>
  <si>
    <t xml:space="preserve">JAIME ROBERTO GALLEGO </t>
  </si>
  <si>
    <t xml:space="preserve">ELKIN ALEXANDER ARANGO </t>
  </si>
  <si>
    <t>1- S/I CABINA BATIENTE TIPO ACARDEN EN VIDRIO TEMPLADO INCOLORO 6MM BPB INSTALADA CON ACCESORIOS EN ACERO INOX INCLUYE PERFIL ACRILICO INFERIOR MRDIDA 750 X 1800</t>
  </si>
  <si>
    <t>NELSON (MENSAJERO)</t>
  </si>
  <si>
    <t xml:space="preserve">1- S/I CABINA CORREDIZA GLASVIT INCLUYE BOTA Y PERFILERIA ALUMINIO MEIDA 1000 + 1000 X 1900 H </t>
  </si>
  <si>
    <t xml:space="preserve">1- S/I CABINA VIDRIO TEMPLADO 6MM CON ACCESORIOS EN ACERO INOX MEDIDA 1,13 X 1,90 </t>
  </si>
  <si>
    <t xml:space="preserve">DEISY NATALIA RUA </t>
  </si>
  <si>
    <t>HENRY</t>
  </si>
  <si>
    <t xml:space="preserve">ESPOSO </t>
  </si>
  <si>
    <t>LUZ ELENA MACADA</t>
  </si>
  <si>
    <t xml:space="preserve">ANDREA ALZATE RINCON </t>
  </si>
  <si>
    <t xml:space="preserve">JUAN PABLO DIAZ </t>
  </si>
  <si>
    <t xml:space="preserve">S/I DE TUBO ACERO INOXIDABLE 01 CON CODO Y ANCLAJES A MURO MEDIDA 700 X 830 </t>
  </si>
  <si>
    <t xml:space="preserve">JUNATHAN </t>
  </si>
  <si>
    <t xml:space="preserve">MANTANIMIENTO </t>
  </si>
  <si>
    <t xml:space="preserve">MIGUEL ANGEL PEREZ </t>
  </si>
  <si>
    <t xml:space="preserve">MY COPANY </t>
  </si>
  <si>
    <t xml:space="preserve">ROSMERI GRISALES </t>
  </si>
  <si>
    <t xml:space="preserve">INVERSIONES TURISTICAS </t>
  </si>
  <si>
    <t xml:space="preserve">ESP </t>
  </si>
  <si>
    <t xml:space="preserve">DANNY </t>
  </si>
  <si>
    <t>CONTRATISTA</t>
  </si>
  <si>
    <t>SA</t>
  </si>
  <si>
    <t>ARKIX S.A.S</t>
  </si>
  <si>
    <t xml:space="preserve">ISABEL URIBE </t>
  </si>
  <si>
    <t xml:space="preserve"> GRUPO NORDIKA</t>
  </si>
  <si>
    <t>MARCELA CASTRO HIDALGO</t>
  </si>
  <si>
    <t>INVERSIONES ESCOBAR RUIZ Y CIA S.A.S</t>
  </si>
  <si>
    <t>SEBASTIAN VARGAS</t>
  </si>
  <si>
    <t>LIZETH DAYANA CARDONA AVILA</t>
  </si>
  <si>
    <t>LIZETH DAYANA</t>
  </si>
  <si>
    <t xml:space="preserve">MARIANA </t>
  </si>
  <si>
    <t xml:space="preserve">ODONTOLOGIA ESPECIALIZADA LAURELES </t>
  </si>
  <si>
    <t xml:space="preserve">FULL SEGURIDAD CAJAS FUERTES Y BLINDADAS </t>
  </si>
  <si>
    <t>ANDRES RUA</t>
  </si>
  <si>
    <t>HECTOR SANCHEZ PILONIETA</t>
  </si>
  <si>
    <t>EDI. SAN MARTIN PH</t>
  </si>
  <si>
    <t xml:space="preserve">ALAEJANDRA ZULUAGA </t>
  </si>
  <si>
    <t xml:space="preserve">ADMINISTRACION </t>
  </si>
  <si>
    <t>JINATHAN VELASQUEZ</t>
  </si>
  <si>
    <t>CENTRAL P IMPRESIÓN DIGITAL S.A.S</t>
  </si>
  <si>
    <t>CRISTIAN</t>
  </si>
  <si>
    <t>CARLOS ARTURO VALENCIA RAMIREZ</t>
  </si>
  <si>
    <t>INSTALADOR</t>
  </si>
  <si>
    <t>CONVENIO EMPRESARIAL S.A.S</t>
  </si>
  <si>
    <t>ARNUNDO ALVAREZ</t>
  </si>
  <si>
    <t>COMERCIALIZADORA ANDINA DE ALIMENTOS S.A.S</t>
  </si>
  <si>
    <t xml:space="preserve">ALEJANDRO CORREA </t>
  </si>
  <si>
    <t>RADIO ENLACE S.A.S</t>
  </si>
  <si>
    <t>ANDR4EA BOLIVAR</t>
  </si>
  <si>
    <t>ARCHIVADA</t>
  </si>
  <si>
    <t>YULY MARCELA ZAPATA CARDONA</t>
  </si>
  <si>
    <t>TATIANA</t>
  </si>
  <si>
    <t>GULUPA DIGITAL S.A.S</t>
  </si>
  <si>
    <t>MICHEL</t>
  </si>
  <si>
    <t>ASESORA</t>
  </si>
  <si>
    <t>5678-5679</t>
  </si>
  <si>
    <t>ALEJANDRO CAMPO</t>
  </si>
  <si>
    <t>ALEJANDRO OSORIO</t>
  </si>
  <si>
    <t>JOJN JAIRO SALDARRIAGA</t>
  </si>
  <si>
    <t>DAIRO ACEVEDO</t>
  </si>
  <si>
    <t>310 3963936</t>
  </si>
  <si>
    <t>S/I DE CABINA TIPO GLASSVIT EN VIDRIO TEMPLADO INCOLORO 8MM, INCLUYE SIETMA GLASIV, BOTA, SILVER Y PERFIL U-32, ALUMINO  NATURAL MATE. MEDIDAD:1250*1900 MEIDAD: 1200*19000</t>
  </si>
  <si>
    <t>SANITY FOOD S.A.S</t>
  </si>
  <si>
    <t>DANIEL</t>
  </si>
  <si>
    <t>ESTEBAN ALBAREZ MARTINES</t>
  </si>
  <si>
    <t>ENRIQUE CARLOS PITTA PEÑARANDA</t>
  </si>
  <si>
    <t>HIJA</t>
  </si>
  <si>
    <t>BALCONES DEL CEPIRO</t>
  </si>
  <si>
    <t>JUAN CAMILO SANCHEZ</t>
  </si>
  <si>
    <t>B-L REDES E INGENIERIA S.A.S</t>
  </si>
  <si>
    <t>LULIANA TEJE RUIZ</t>
  </si>
  <si>
    <t>INMELAC S.A.S</t>
  </si>
  <si>
    <t>MAURICIO JARAMILLO</t>
  </si>
  <si>
    <t>25-03-225</t>
  </si>
  <si>
    <t>DOBLE J S.A.S</t>
  </si>
  <si>
    <t>NATALIA RIOS</t>
  </si>
  <si>
    <t>5786-5788</t>
  </si>
  <si>
    <t>CARLOS ANDRES LONDOÑO SOSA</t>
  </si>
  <si>
    <t xml:space="preserve">CARLOS LONDOÑO </t>
  </si>
  <si>
    <t>DINAMIC MODULAR SYSTEM DMS SAS</t>
  </si>
  <si>
    <t>MARIA ISABEL</t>
  </si>
  <si>
    <t>KARIBIK</t>
  </si>
  <si>
    <t>JUAN PABLO DIAR</t>
  </si>
  <si>
    <t>RENE</t>
  </si>
  <si>
    <t>WORKING SERVICES S.A.S</t>
  </si>
  <si>
    <t>ANDRES QUINTERO</t>
  </si>
  <si>
    <t>6025-1</t>
  </si>
  <si>
    <t>ROWAN BADO</t>
  </si>
  <si>
    <t>(+1) 4138241709</t>
  </si>
  <si>
    <t>PV/CR</t>
  </si>
  <si>
    <t>WILMAR ANDRES BUITRAGO</t>
  </si>
  <si>
    <t>10-03-025</t>
  </si>
  <si>
    <t>SR.ARNULDO ALVAREZ</t>
  </si>
  <si>
    <t>LIRO S.A.S</t>
  </si>
  <si>
    <t>SAMIR CHACON USQUIAN</t>
  </si>
  <si>
    <t>JACOBO TESHINA RIVERA</t>
  </si>
  <si>
    <t>CONSTRUCCIONES Y COMERCIALIZA BREMEN S.A.S</t>
  </si>
  <si>
    <t>JAIRO ALFONSO MEJIA ROCHA</t>
  </si>
  <si>
    <t>FABIO HUMBERTO CASTRO PALO</t>
  </si>
  <si>
    <t xml:space="preserve">FABIO HUMBERTO </t>
  </si>
  <si>
    <t>NOVEX DIFITAL S.A.S</t>
  </si>
  <si>
    <t xml:space="preserve">CONJUNTO RESIDENCIAL CONTRES PALMAS PH </t>
  </si>
  <si>
    <t>HRO LUXE</t>
  </si>
  <si>
    <t>ELECTRICAS DE MEDELLIN</t>
  </si>
  <si>
    <t xml:space="preserve">WILMER OSPINA </t>
  </si>
  <si>
    <t xml:space="preserve">CR/ESP/TE
</t>
  </si>
  <si>
    <t>INSTALARON 17/MAR/2025 JOSE - FERNEY</t>
  </si>
  <si>
    <t>CONTINUACION ODP 22247, SE INSTALA  EÑ 18/MAR/2025 JOSE - ALBERTO, ESTA ORDEN LE FALTA INSTALAR EL TECHO QUE SE DAÑO POR UN VENDABAL</t>
  </si>
  <si>
    <t>5687/5688</t>
  </si>
  <si>
    <t>INSTALARON 13-MAR-2025 JORGE / ALBERTO</t>
  </si>
  <si>
    <t>DECOLERE S.A.S</t>
  </si>
  <si>
    <t>GLORIA GUITIERRES</t>
  </si>
  <si>
    <t>CARLOS HOYOS</t>
  </si>
  <si>
    <t>CONTARTITAS</t>
  </si>
  <si>
    <t>33-SUMINISTRO DE VENTANALES PARA VENTANERIA SISTEMA 8025-3831, DIVISIONES CON PUERTAS CORREIDZAS Y BATIENTES Y PASAMANOS. MEDIDAS VARIAS.                                                 
33-INSTALACION DE VENTANERIA SISTEMA 8025-3831, DIVISIONES DE OFICINA CON PUERTAS CORREDIZAS Y BATENTES Y PASAMANOS. MEDIDAS VARIAS.</t>
  </si>
  <si>
    <t>INTERVENTORIAS NEGOCIOS Y CONSTRUCCIONES</t>
  </si>
  <si>
    <t>DANIEL ALEXANDER VALLEJO</t>
  </si>
  <si>
    <t>YULIANA GIRALDO</t>
  </si>
  <si>
    <t>PROMOTORA INMOBILIARIA EQUILIBRIUM S.A.S</t>
  </si>
  <si>
    <t>PAOLA MAZO</t>
  </si>
  <si>
    <t>ENCARGADO PROYECTOS</t>
  </si>
  <si>
    <t>WILMAR OCAMPO</t>
  </si>
  <si>
    <t>PENDIENTE DE PAGO SIN ENTREGAR, VIDRIO EN PLANTA. 31/MAR/2025 SE LLAMA AL SEÑOR WILMAR Y QUEDA DE PASAR POR EL HOY</t>
  </si>
  <si>
    <t>ENCARGADO DE PROYECTOS</t>
  </si>
  <si>
    <t>WILIAM CASTILLO</t>
  </si>
  <si>
    <t>WILIAM  CASTILLO</t>
  </si>
  <si>
    <t>ANDRES ALEXANDER CARO SERNA</t>
  </si>
  <si>
    <t>LABORATORIO ECAR S.A</t>
  </si>
  <si>
    <t>10-VENTA DE JUEGO DE MANIJAS TOVIC, COLOR NEGRO. CANTI.10UND</t>
  </si>
  <si>
    <t>INTERVENTORIAS NEGOCIOS Y CONSTRUCCIONES S.A.S</t>
  </si>
  <si>
    <t xml:space="preserve">JHON DIEGO </t>
  </si>
  <si>
    <t>INGENIERIA Y CONTRUCCIONES MS</t>
  </si>
  <si>
    <t>ZIBILVAU INGENIERIA S.A.S</t>
  </si>
  <si>
    <t xml:space="preserve">YULIANA SALDOVAL </t>
  </si>
  <si>
    <t>ACABADOS JB. S.A.S</t>
  </si>
  <si>
    <t>ESTEBAN BAENA</t>
  </si>
  <si>
    <t>MANTING SAS</t>
  </si>
  <si>
    <t xml:space="preserve">MARIO VILLEGAS </t>
  </si>
  <si>
    <t>GERENTE DE SERVICIOS</t>
  </si>
  <si>
    <t>2-S/I DE VIDRIO TEMPLADO INCOLORO 6MM, INCLUYE PELICULA ADHESIVA DE CONTROL SOLAR. MEDIDA 660*1750//MEDIDA. 1375*860
2-S/I DE VIDRIO CRUDO INCOLORO 8MM, INSTALADO EN TECHOS. MEDIDA,. 1850*200. MEDIDA. 350*730.</t>
  </si>
  <si>
    <t>JHON FERNEY JIMENEZ RAMIREZ</t>
  </si>
  <si>
    <t>JONATHA VELASQUEZ</t>
  </si>
  <si>
    <t>1-S/I VIDRIO LAMINADO CREUDO 4+4, INSTAADO EN DIVISION EXISTENTE. MEDIDA. 360*2350 (GRAN EN TRANSITO).
1-S/I VIDRIO LAMINADO CRUDO INCOLORO 4+4, INSTALADO EN DIVISION EXIATENTE. MEDIDA. 550*2300(TABLETADO).</t>
  </si>
  <si>
    <t>LM-CR</t>
  </si>
  <si>
    <t>CRSITIAN</t>
  </si>
  <si>
    <t xml:space="preserve">NA </t>
  </si>
  <si>
    <t xml:space="preserve">FELIPE </t>
  </si>
  <si>
    <t>17-S/I DE VIDRIOS LAMINADOS Y TEMPLADOS PARA DIVISIONES DE LABORATO, SERVICIO DE MANTENIMIENTO CORRECTIVOS Y AJUSTES Y SUMINISTRO E INSTALACION DE PERFILERIA Y ACCESORIOS.</t>
  </si>
  <si>
    <t>LAM-CR</t>
  </si>
  <si>
    <t>ARTURO HERNANDEZ SANCHEZ SANCHEZ</t>
  </si>
  <si>
    <t>GRUPO CHARBEL S.A.S</t>
  </si>
  <si>
    <t>OBSERVACIONES NC/GAR</t>
  </si>
  <si>
    <t>SE REALIZO GARANTIA A CABINA DE BAÑO PRINCIPAL PORQUE TINE FUGA DE AGUA, REALIZADO POR:</t>
  </si>
  <si>
    <t>SE REALIZO GARANTIA PARA COLOCAR TOPE UNIVERSAL</t>
  </si>
  <si>
    <t>GAR/400</t>
  </si>
  <si>
    <t>SE REALIZO GRANTIA A PUERTA PORQUE NO ESTBA CERRANDO, SE REVISO LA CERRADURA</t>
  </si>
  <si>
    <t>ALEJANDRO DIAS MARIN</t>
  </si>
  <si>
    <t>2-S/I VIDRIOS CRUDOS INCOLOROS 4MM, PARA PV ALUMINIO. MEDIDA:925*1995</t>
  </si>
  <si>
    <t>INTELIGENTE ELECTRIC SOLUTIONS SAS</t>
  </si>
  <si>
    <t>INGRID GIRALDO</t>
  </si>
  <si>
    <t>3188894975 - 3137473359</t>
  </si>
  <si>
    <t>1-SERVICIO DE INSTALACION DE TABLERO EXISTENTE EN VIDRIO TEMPLADO INCOLORO. MEDIDA:1,90*1,30MTS</t>
  </si>
  <si>
    <t>OMAR ALFONSO ARDILA</t>
  </si>
  <si>
    <t>2-S/I VIDRIOS TEMPLADOS PATA VENTANA, INCLUYE PUERTAS BATIENTES CON VIDRIO TEMPLADO INCOLORO 6MM, INSTALADOS CON ESQUINEROS PUERTA DUCHA, BOTA HELADERA Y CERRADURA ESQUINERAS, VIDRIOS FIJOS INSTALADOS CON PERFILES ALUMINIO. PERFILERIA Y ACCESORIOS NEGROS. MEDIDAS VARIAS</t>
  </si>
  <si>
    <t>EMPAQUETADORA Y SELLO SAS</t>
  </si>
  <si>
    <t>KATERINE CONDAO</t>
  </si>
  <si>
    <t>3203381507 - 3123038911</t>
  </si>
  <si>
    <t>HUVER GOMEZ VALENCIA</t>
  </si>
  <si>
    <t>1-VENTA DE VIDRIO TEMPLADO INCOLORO 6MM, BPB, MEDIDA.210*320 USO HORNO.</t>
  </si>
  <si>
    <t>FABIO GUSTAVO BURGOS DELGADO</t>
  </si>
  <si>
    <t>IGNACIO POSADA VASQUEZ</t>
  </si>
  <si>
    <t>CARLOS MARIO BELLO OSPINA</t>
  </si>
  <si>
    <t>1-S/I VIDRIO TEMPLADO INCOLORO 6MM, INCLUYE TORRACHINES PARA REPOSICION DE PUERTA CORREDIZA. MEDIDA.550*1890.
1-SERVICIO MANTENIMIENTO CABINA CORREDIZA ALUMINIO, INCLUYE RODACHINES, AJUSTE Y NIVELACION.</t>
  </si>
  <si>
    <t xml:space="preserve">CAMILA </t>
  </si>
  <si>
    <t>1-S/I TABLERO DE VIDRIO TEMPLADO INCOLORO 6MM, BPB, INCLUYE 6 ELEVADORES DE ACERO INOX Y PELICULA SANDLASTING. MEDIDA:2000*900.</t>
  </si>
  <si>
    <t>YEFER SALAMANCA LOPEZ</t>
  </si>
  <si>
    <t>YEFER</t>
  </si>
  <si>
    <t>SE REALIZO MANTENIMINETO EL 31-MARZO POR ANDRES</t>
  </si>
  <si>
    <t>SE INSTALO EL 03-MARZO, POR FERNEY Y JOSE</t>
  </si>
  <si>
    <t>SE INSTALO EL 6-MARZO POR JOSE Y FERNEY</t>
  </si>
  <si>
    <t>SE INSTALO EL 24-FEBRERO POR JOSE - FERNEY</t>
  </si>
  <si>
    <t>SE DESPACHO EL 24-FEBRERO POR JUAN DIEGO</t>
  </si>
  <si>
    <t>1-VENTA Y TRANSPORTE DE CIDRIO TEMPLADO INCOLORO 8MM, BPB, UNCLUYE METALIZADO TOTAL 1 CARA . MEDIDA: 1340-1140</t>
  </si>
  <si>
    <t>LITO S.A.S</t>
  </si>
  <si>
    <t>MARTHA CECILIA CASTRO</t>
  </si>
  <si>
    <t>1-S/I DE VIDRIO TEMPLADO INCOLOR 6MM, PARA REPOSCISION DE PUERTA EN CABINA CORREDIZA, INCLUYE RODACHINAS Y BOTON HALADERA. MEDIDA. 490*1800</t>
  </si>
  <si>
    <t>RAUL MEJIA JARAMILLO</t>
  </si>
  <si>
    <t>CONSTRUCCION Y COMERCIALIZADORA BREMEN SAS</t>
  </si>
  <si>
    <t xml:space="preserve">CARLOS HOYOS </t>
  </si>
  <si>
    <t>JULIAN DURANGO</t>
  </si>
  <si>
    <t>1-S/I DE PUERTA BATIENTE DOBLE ALA EN VIDRIO TEMPLADO INC.10MM, PUERTAS INSTALADAS CON SAQNEGROS SUPERIORES, ZOCALOS INFERIORES, KIT CERRADURA CENTRAL YAIZ 170 1/4 CON ESCUDOS Y MANIJAS EN ACERO INOCIDABLE DE 60CMS. INCLUYE PELICULA ADHESIVA TIPO FROSTED(SIN DISEÑO). MEDIDA:2,00*2,00MMTS</t>
  </si>
  <si>
    <t>INMUEBLES ARMONIA</t>
  </si>
  <si>
    <t>FRANCISCO BRUNO</t>
  </si>
  <si>
    <t>5-S/I CABINA BATIENTES EN VIDRIO TEMPLADO 8MM, INSTALADO CON ACCESORIOS COLOR NEGRO. (BISAGRAS, PERFIL U-32 Y BOTON HALADURA). INCLUYE PERFIL ACRILICO TRASPARENTE.
2-S/I PASAMANOS EMPOTRADOS EN VIDRIO TEMPLADO INCOLOR 8MM, BORDES PULIDOS Y BRILLADOS INCOLORO RELLENO DE RANURA. M/I=28,45.</t>
  </si>
  <si>
    <t>8245
8750</t>
  </si>
  <si>
    <t>SE INSTALO EL 29-MARZO POR JOSE-ALBERTO
SE INSTALO EL 04-ABRIL POR CALOR-JUAN</t>
  </si>
  <si>
    <t>SE INSTALO EL 04/ABRIL/2025 POR CARLOS-JUAN</t>
  </si>
  <si>
    <t>22401
22531</t>
  </si>
  <si>
    <t>8647
8688</t>
  </si>
  <si>
    <t>CONTINUACION ODP 22247</t>
  </si>
  <si>
    <t>SE DESPACHO EL 05-ABRIL CON JUAN DIEGO</t>
  </si>
  <si>
    <t>FUE ENTREGADO EL 04/ABRIL POR LUIS</t>
  </si>
  <si>
    <t>SE INTEALO EL 05/ABRIL POR JORGE</t>
  </si>
  <si>
    <t>1-VENTA DE VIDRIO TEMPLADO 10MM, BORDES PULIDOS Y BRILLANTES, INCLUYES BOQUETES Y PERFORACIONES, VIDRIO PARA PUERTA BATIENTE. MEDODA:1183*2130</t>
  </si>
  <si>
    <t xml:space="preserve">REPOSICION DE VITELSA
05/ABRIL SE INTSALO </t>
  </si>
  <si>
    <t>GABRIEL JAIME MORENO SALAZAR</t>
  </si>
  <si>
    <t>METALICAS JGM SAS</t>
  </si>
  <si>
    <t>WILSON CHAVARRIA</t>
  </si>
  <si>
    <t>1-VENTA DE VIDRIO TEMPLADO INCOLORO 10MM, BPB, USO FACHADA, MEDIDA:414*2280.</t>
  </si>
  <si>
    <t>SEBASTIAN JIMENEZ GARCIA</t>
  </si>
  <si>
    <t>2-VENTA DE VIDRIOS TEMPLADOS INCOLOROS 5MM, BPM, USO VENTANAL. MEDIDA:1185*1205, 1185*1215</t>
  </si>
  <si>
    <t>CESAR AUGUSTO LONDOÑO DUARTE</t>
  </si>
  <si>
    <t>CESAR</t>
  </si>
  <si>
    <t>2-VENTA DE ESPEJO 4MM, BPB, INCLUYE PERFIL PARA FLOTADO. MEDIDA :900*500</t>
  </si>
  <si>
    <t>SE ENTREGO EL 05/ABRIL POR LUIS</t>
  </si>
  <si>
    <t>BIG SAS</t>
  </si>
  <si>
    <t>FELIPE OSORIO</t>
  </si>
  <si>
    <t>2-S/I DE ESPEJO 4MM, BPB, INCLUYE MARCOCON ANGULO DE ALUMINIO. MEDIDA:1662*583MM</t>
  </si>
  <si>
    <t>ANSIRED SAS</t>
  </si>
  <si>
    <t>MAURICIO BUSTOS</t>
  </si>
  <si>
    <t>INGENIERO</t>
  </si>
  <si>
    <t>2-S/I DE VIDRIO INCOLORO 8MM, BPB, INSTALADOS EN FACHADA CON ELEMENTOS EXISTENTES(PERFILERIA). INCLUYE DESMONTE DE VIDRIOS EXISTENTES.MEDIDA:1700*2880/MEDIDA:1780*2810</t>
  </si>
  <si>
    <t>CLINICA OFTAMOLOGICA DE MEDELLIN</t>
  </si>
  <si>
    <t>CLAUDIA VILLEGAS</t>
  </si>
  <si>
    <t>1-S/I DE PELICULA ADHESIVA TIPO SAND-BLASTING, PARA VIDRIOS DE FACHADA EXISTENTE. AREA 7,38 MT2</t>
  </si>
  <si>
    <t>ALEJANDRO PINEDA LOAIZA</t>
  </si>
  <si>
    <t>SANTIAGO BETANCUR PAVAS</t>
  </si>
  <si>
    <t>1-S/I DE TABLERO EN VIDRIO TEMPLADO INCOLORO 6MM, BORDES PILIDOS Y BRILLADOS. TABLERO INSTALADO CON ELEVADORES (4UND) DE ACERO INOX DE 1´*3CMS. INCLUYE VINILO ADHESIVO NEGRO. MEDIDA:1200*1100MM.</t>
  </si>
  <si>
    <t>1-S/I DE CABINA BATIENTE EN VIDRIO TEMPLADO INCOLORO 6MM, BORDES PULIDOS Y BRILLADOS. INSTALADA CON ACCESORIOS EN ACERO INOX. (BISAGRAS,CHAPETAS Y BOTON HELADERA). INCLUYE PERFIL ACRILICO INFERIROR. MEDIDA:950*1800.
1-S/I DE CABINA CORREDIZA, SISTEMA GLAVIT, EN VIDRIO TEMPLADO INCOLORO 6MM, PUERTA CORREDIZA CON BOTON HELADERA EN ACERO INOXIDABLE. INCLUYE PERFILERIA EN ALUMINIO(SILLAR, PERFILES U-68). ALUMINIO ANODIZADO NATURAL MATE:MEDIDA:1250*1400.</t>
  </si>
  <si>
    <t>CLARYCON SAS</t>
  </si>
  <si>
    <t>ALEXANDER BERMUDEZ</t>
  </si>
  <si>
    <t>1-S/I DE VIDRIO LAMINADO CRUDO INCOLORO 3+3 MM, PARA REPOSICION EN VENTANA. MEDIDA:900*1960MM</t>
  </si>
  <si>
    <t>JUAN MANUEL ARROYAVE</t>
  </si>
  <si>
    <t>1-V/T DE VIDRIO TEMPLADO INCOLORO 8MM, BPB, INCLUYE 2 BOQUETES, USO CABINA. MEDIDA:230*1810</t>
  </si>
  <si>
    <t>MANUELA CORREA UPEGUI</t>
  </si>
  <si>
    <t>PROPIETARIA</t>
  </si>
  <si>
    <t>1-SERVICIO DE MANTENIMINETO CORRECTIVO PARA MEJORAR SELLAMINETO Y PERFILACIONES DE AGUA EN FACHADA. INCLUYE DESMONTE, MODIFICACION Y REINSTALACION DE VENTANERIA DE ALUMINIO Y VIDRIO DE FACHADA, INCLUYENDO SELLAMINETO DE SILICONA S/I DE ALFAJA INFERIOR 160MS</t>
  </si>
  <si>
    <t>CREDITO
12/FEB SE LIBERO
27/FEB SE INSTALO POR JOSE Y FERNEY</t>
  </si>
  <si>
    <t>SE ENTREGO EL 7/ABRIL POR LUIS</t>
  </si>
  <si>
    <t xml:space="preserve">CREDITO
SE INSTALO EL 7/ABRIL </t>
  </si>
  <si>
    <t xml:space="preserve">EDWIN MAURICIO HERRERA </t>
  </si>
  <si>
    <t>1-VENTA DE VIDRIO TEMPLADO INCOLORO 6MM, BPB, MAQUINA ESTAMPACION. MEDIDA:450*500MM. INCLUYE MATIZADO TOTAL 1 CARA.</t>
  </si>
  <si>
    <t>SOLUCIONES AZUR SAS</t>
  </si>
  <si>
    <t>JESSICA</t>
  </si>
  <si>
    <t>1-S/I VIDRIO TEMPLADO INCOLORO 6MM, INCLUYE SERIGRAFIA NEGRA 1 CARA, ISNTALADO EN FACHADA CON SILICONA Y CORTE DOBLE FAX. MEDIDA:1556*1155.</t>
  </si>
  <si>
    <t>ELIANY MANJARREZ MARQUEZ</t>
  </si>
  <si>
    <t>1-S/I CABINA CORREDIZA GLASVIT VIDRIO TEMPLADO INCOLORO 8MM, IINCLUYE PERFILERIA ALUMINIO ACCESORIOS Y PERFILERIA DORAODS. MEDIDA:1150*1950.
3-S/I REPISAS EN VIDRIO CRUDO INCOLORO 8MM, BPB, INSTALADOS CON PERFILERIA DE ALUMINIO. MEDIDA:2-730*470/1-84*450.
1-S/I VENTA DE VIDRIO TEMPLADO INCOLORO 6MM, BPB, INCLUYE PERFILES U DE ALUMINIO Y PELICULA. MEIDA:460*460.</t>
  </si>
  <si>
    <t>WILVER DANIEL GOMEZ PINO</t>
  </si>
  <si>
    <t>1-VENTA DE VIDRIO TEMPLADO INCOLORO 5MM, BPB, MEDIDA:590*570.</t>
  </si>
  <si>
    <t>LINA CLAUDIA URREA JIMENEZ</t>
  </si>
  <si>
    <t>HUGO</t>
  </si>
  <si>
    <t>1-VENTA DE VIDRIO TEMPLADO INCOLORO 6MM, BPB, INCLUYE  PERFORACIONES Y METALIZADO TOTAL 1 CARA. MEDIDA:200*370</t>
  </si>
  <si>
    <t>CLAVE SEGURIDAD</t>
  </si>
  <si>
    <t>OLGA</t>
  </si>
  <si>
    <t>1-S/I DE VIDRIO EN 6MM TEMPLADO INCOLORO PARA REPOSICION DE PUERTA DE CABINA DE BAÑO.</t>
  </si>
  <si>
    <t>IMPORTADORA AUTOPARTES SAS</t>
  </si>
  <si>
    <t>LINA CARMONA</t>
  </si>
  <si>
    <t>2-VENTA DE VIDRIO TEMPLADO INCOLORO 6MM, BPB, SIN PERFORACIONES NI MAQUILADOS. MEDIDA:1100*1040MM</t>
  </si>
  <si>
    <t>ALMACENES CORONA SAS</t>
  </si>
  <si>
    <t>2-S/I DE CABINA CORREDIZA. GLASVIT EN VIDRIO TEMPLADO INCOLORO 8MM, CON BOTON HELADERA Y GUIA DE PISO Y ALUMINIO U32 MATE.</t>
  </si>
  <si>
    <t>PARROQUIA LA DIVINA MISERICORDIA</t>
  </si>
  <si>
    <t>WILSA FERNEY LOPEZ CASTILLON</t>
  </si>
  <si>
    <t>1-S/I DE VIDRIO TEMPLADO 10MM, COLOR AZUL LAGO. VIDRIO INSTALADO EN FACHADA (PISO3) CON ACCESORIOS EXISTENTES. MEDIDA:1560*2900</t>
  </si>
  <si>
    <t xml:space="preserve">JHON KENEDY CARMERO VILLALOBOS </t>
  </si>
  <si>
    <t>METALMECANICA MEBUM SAS</t>
  </si>
  <si>
    <t>ANDRES</t>
  </si>
  <si>
    <t>INVERSIONES FRANCO DIAS SAS</t>
  </si>
  <si>
    <t>JHONA</t>
  </si>
  <si>
    <t>2-S/I DE VIDRIO EN PERFORACIONES PARA ESTRUCTURA EXISTENTE.</t>
  </si>
  <si>
    <t>1-S/I VIDRIO CAMARA COMPOSICION 4+4 LAMINADO TEMPLADO/SEPARADOR 9MM/4+4 LAMINADO TEMPLADO PARA INSTALACION EN MAQUINA. MEDIDA:990*300.</t>
  </si>
  <si>
    <t>1-VENTA DE VIDRIO TEMPLADO INCOLORO 8MM, BPB, INCLUYE EMPAQUE , Y HUACAL DE MADERA Y CORTON. MEDIDA:1600*1600.</t>
  </si>
  <si>
    <t>SE LIBERO EL 09/ABRIL
SE ENTREGO EL 09/ABRIL POR LUIS</t>
  </si>
  <si>
    <t>SE LIBERO EL 09/ABRIL
SE ENTREGO EL 08/ABRIL POR LUIS</t>
  </si>
  <si>
    <t>NC #013
SE INSTALO EL 08/ABRIL</t>
  </si>
  <si>
    <t>2- SUM/ INS DE VENTANA EN ALUMINIO SISTEMA 3831 CON VIDRIO TEMPLADO 6MM INCOLORO INCLUYE NAUZ BATIENTE CON MANIJA Y ALFAJIA ALUMINIO NEGRO MEDIDA 0,60 X 2,40.</t>
  </si>
  <si>
    <t>SE REMPLAZO POR ODP 22531</t>
  </si>
  <si>
    <t>PENDIENTE 1 VIDRIO 31-MARZO-205
LIBERADO 03/ABRIL
SE INSTALO EL 03/ABRIL POR ALBERTO-FERNEY
SE INSTALO EL 08/ABRIL POR FERNEY-ALBERT</t>
  </si>
  <si>
    <t>1- S/I VIDRIO FIJO TEMPLADO INC 8MM, INTALACION CON PERFILERIA SIST.3831(SUP+INF)Y CON PELICULA TIPO SAND-BLASTING. MEDIDA:1,00*2,20MTS.
1 - S/I PELICULA ADHESIVA TIPO SAND-BLASTING, PARA VIDRIOS EXISTENTES.
1- S/I BISAGRA HIDRAULICA SPEEOY M-60 Y ESQUINERO INFERIOR, PARA PIERTA EXISTENTE.</t>
  </si>
  <si>
    <t>ANOTADO 19/MAR/2025, PENDIENTE PELICULA, SANDBLASTING,SOLO SE INTALO ITM C 
LA BISAGRA HIRAULICA, FECHA =15/MAR/2025, PENDIENTE AVERIGUAR CON LEIDER OTRAS PELICULAS
SE TERMINO DE INSTALAR EL 04/ABRIL JOSE-FERNEY</t>
  </si>
  <si>
    <t>FUE LIBERADO EL 27/MARZO
SE INSTALO EL 01/ABRIL POR JOSE-FERNEY</t>
  </si>
  <si>
    <t>SE LIBERO EL 03/ABRIL</t>
  </si>
  <si>
    <t>DONUTS DE ANTIOQUIA SAS</t>
  </si>
  <si>
    <t>1-S/I DE VIDRIO TEMPLADO INCOLORO 4+4, CON BORDES PULIDOS Y BRILLADOS. VIDRIOS INSTALADO EN VITRINA EXISTENTE. MEDIDA:1700*600.</t>
  </si>
  <si>
    <t>JUAN DAVID GALLEGO</t>
  </si>
  <si>
    <t>SE ENTREGO EL 11/ABRIL POR LUIS</t>
  </si>
  <si>
    <t>NC#015
SE REALIZO EL 07/ANRIL POR ANDRES</t>
  </si>
  <si>
    <t>SE LIBERO EL 10/ABRIL
SE REALIZO EL 11/ABRIL POR JOSE-ALBERTO</t>
  </si>
  <si>
    <t>SE INTALO EL 04/ABRIL POR JOSE-FERNEY</t>
  </si>
  <si>
    <t>SE LIBERO EL 07/ABRIL
SE ENTREGO EL 09/ABRIL POR LUIS</t>
  </si>
  <si>
    <t>PENDIENTE PELI 31-MARZO-2025
SE LIBERO EL 03/ABRIL
SE DESPACHO EL 09/ABRIL POR JUAN D</t>
  </si>
  <si>
    <t>MULT</t>
  </si>
  <si>
    <t>SE LIBERO EL 26/MARZO
SE INTALO EL 02/ABRIL POR JOSE - FERNEY</t>
  </si>
  <si>
    <t>SE LIBERO EL 27/MARZO
SE INSTALO EL 03/ABRIL POR FERNEY</t>
  </si>
  <si>
    <t>SE LIBERO EL 03/ABRIL
SE INSTALO EL 04/ABRIL/2025 POR CARLOS-JUAN</t>
  </si>
  <si>
    <t>SE LIBERO EL 26/MARZO
SE INSTALO EL 02/ABRIL POR JORGE Y FERNEY</t>
  </si>
  <si>
    <t>SE LIBERO EL 19/MARZO
SE HIZO MANTENIMINETO EL 19/MARZO</t>
  </si>
  <si>
    <t>PEN. PELI 27-MARZO
LIBERADO EL 31/MARZO
SE INSTALO EL 08/ABRIL POR JOSE - FERNEY</t>
  </si>
  <si>
    <t>PENDIENTE PELICULA 1 - 27-MARZO
LIBERADO EL 31/MARZO
INSTALADO EL 01/ABRIL POR JOSE - FERNEY</t>
  </si>
  <si>
    <t>LABORATORIOS ECAR SA</t>
  </si>
  <si>
    <t xml:space="preserve">SE INSTALO EL 01/MARZO POR JORGE - FERNEY </t>
  </si>
  <si>
    <t>SE LIBERO EL 22/MARZO
SE INSTALO EL 22/MARZO POR JOSE,FERNEY Y JORGE</t>
  </si>
  <si>
    <t>INEGENIERIA Y CONSTRUCIONES MS SAS</t>
  </si>
  <si>
    <t xml:space="preserve">FELIPE URREGO </t>
  </si>
  <si>
    <t>ENCARGADO</t>
  </si>
  <si>
    <t>1-SERVICIO MANTENIMIETO PARA PUERTA CORREDIZA, INCLUYE CAMBIO DE PERFIL T-244 MATE, INCLUYENDO MANIJAS ACERO IMAX 20*40 Y CERRADURA.
1S/I DE PUERTA BATIENTE DEOBLE ALA CON VIDRIO TEMPLADO INCOLORO 5MM, ESTRUCTURA TUBULAR T-244, INCLUYE MANIJAS Y CERRADURA, ALUMINIO NATURAL MATE, MEDIDA:2300*2300</t>
  </si>
  <si>
    <t xml:space="preserve">INDUSTRIAS DE ACERO SAS </t>
  </si>
  <si>
    <t>1/SERVICIO MANTENIMIENTO VENTANA, INCLUYE RODAMINETOS, CERRADURA JAGUAR SENCILLA, AJUSTE Y NIVELACION.
1/S/I VENTANA ALUMINIO SISTEMA 5020 CON VIDRIO MINIBOREAL 4MM, INCLUYE CERRADURA DE IMPACTO SENCILLA. ALUMINIO NATURAL MATE. DISEÑO:*0. MEIDA:450*450.</t>
  </si>
  <si>
    <t>8698
8759</t>
  </si>
  <si>
    <t>SE ANULO, LA INFORMACION QUEDO EN 22546</t>
  </si>
  <si>
    <t>WORKING SERVICES SAS</t>
  </si>
  <si>
    <t>1-S/I VIDRIO TEMPLADO INCOLORO10MM, BPB, PARA PASAMANOS. MEDIDA:1355*1000</t>
  </si>
  <si>
    <t>NC#016</t>
  </si>
  <si>
    <t>SOCIEDAD IMPORTADORA Y DISTRIBUIDORA JAPAN Y RACING SAS</t>
  </si>
  <si>
    <t>FERNEY</t>
  </si>
  <si>
    <t>3234543341
3188276456</t>
  </si>
  <si>
    <t>1-S/I DE PV DE ALUMINIO DE REDUCCION ACUSTICA SISTEMA NOVOS CON VIDRIO CAMARA COMPOSICION 3+4 +SEPARADOR+3+4MM. ALUMINIO NEGRO. DISEÑO:*(CORREDIZA PARCHE ). MEDIDA:950*2200.</t>
  </si>
  <si>
    <t xml:space="preserve">SE LIBERO EL 02/ABRIL
SE ENTREGO EL 04/ABRIL POR LUIS </t>
  </si>
  <si>
    <t>PENDIENTE 1 VIDRIO PROVEEDOR
PENDIENTE 1 MALA MEDIDA
SE INSTALO EL 05/ABRIL</t>
  </si>
  <si>
    <t>SE LIBERO EL 03/ABRIL
SE INSTALO EL 05/ABRIL JORGE</t>
  </si>
  <si>
    <t>PILAR MEJIA</t>
  </si>
  <si>
    <t>2-S/I CABINA CORREDIZA GALASSUIT VIDRIO TEMPLADO 6MM, INCLUYE SILLAR, BOTON Y PERFILERIA, BOTON Y PERFILERIA VIDRIO CON MATIZADO, MEDIDA: 1,45*1,90</t>
  </si>
  <si>
    <t>8-S/I CABINA CORREDIZA GLASFIT VIDRIO TEMPLADO 6MM, INCLUYE BOTA HELADERA Y PERFILERIA ALUMINIO MEDIDA: 1050*900*1900</t>
  </si>
  <si>
    <t>1-S/I DE MESA DE ESCRITORIO "L", FABRCADO EN ESTRUCTURA DE ACERO INOX TUBERIA CUADRADA 2", CON NIVELADORES A PISO. INCLUYE SUPER</t>
  </si>
  <si>
    <t>PAOLA ANDREA ORSUELA</t>
  </si>
  <si>
    <t>CARMENZA</t>
  </si>
  <si>
    <t>1-S/I PUERTA  BATIENTE EN VIDRIO TEMPLADO 10MM SISTEMA FLAUTA M,LUHA, TIRADERA REDONDA ACERO INOX. INCLUYE PELICULA SANDBLASTING. MEDIDA:792*2295.</t>
  </si>
  <si>
    <t>INVERSIONES IMPRIMA SAS</t>
  </si>
  <si>
    <t>GLORIA GOMEZ</t>
  </si>
  <si>
    <t>1-V/T DE TRABLERO EN VIDRIO TEMPLADO INCOLORO 6MM, INCLUYE ELEVADORES DE ACERO INOX T PELICULA SANDBLASTINGS, INCLUYE HUACAL DE MADERA Y CARTO. MEDIDA:780MM</t>
  </si>
  <si>
    <t>1-VENTA DE TABLERO EN VIDRIO INCOLOR 6MM, INCLUYE ELEVADORES DE ACERO INX Y PELICULA SANBLASTING, INOX HUACAL DE MADERA Y CARTON. MEDIDA:1200*1400MM</t>
  </si>
  <si>
    <t>REPOSTERIAS TDG SAS</t>
  </si>
  <si>
    <t>HERNAN</t>
  </si>
  <si>
    <t>1-VENTA DE VIDRIO TEMPLADO INCOLORO 4MM, BORDES PULIDO MATE, SIN MAQUINADOS NI PERFORACIONES. MEDIDA1190*350</t>
  </si>
  <si>
    <t>JAIME HIGUITA CASTRO</t>
  </si>
  <si>
    <t>1-VENTA DE VIDRIO TEMPLADO 8MM, BPB, INCLUYE 1 BOQUETE, MATIZADO TOTAL CARA. MEDIDA: 670*2000
1-VENTA VIDRIO TEMPLADO INC 6MM, BPB, VIDRIO FIJO. MEDIDA: 550*1850
1-VENTA VIDRIO TEMPLADO INC 6MM, BPB, VIDRIO CORREDIZO. MEDIDA:640*1908
1-VENTA VIDRIO TEMPLADO MC 6MM, BPB, INCLUYE PERFORACIONES, PUERTA BATIENTE. MEDIDA:640*1895
1-VENTA VIDRIO TEMPLADO MC 6MM, BPB, VIDRIO FIJO. MEDIDA:450*1900</t>
  </si>
  <si>
    <t>ACABADOS JB SAS</t>
  </si>
  <si>
    <t>JORGE BUENA</t>
  </si>
  <si>
    <t>3168581716
3013242950</t>
  </si>
  <si>
    <t>1-VENTA DE VIDRIO DE ALUMNIO SISTEMA 3031, VIDRIO LAMINADO CRUDO 3+3 INCLUYE PISAVIDRIO A PRESIANA. ALUMINIO NATURAL MATE. SISEÑO:00FIJOS. MEDIDA:1500*1200</t>
  </si>
  <si>
    <t>RADIO ENLACE SAS</t>
  </si>
  <si>
    <t>ANDREA BLANCO</t>
  </si>
  <si>
    <t>1-S/I VIDRIO TEMPLADO INCOLORO 6MM, BPB, INCLUYE PELICULA SANDLASTING PARA REPOSICION TABLERO. MEDIDA:750*1500.</t>
  </si>
  <si>
    <t>PAGO ANTICIPADO
SE LIBERO EL 12/ABRIL
SE DESPACHO EL 12/ABRIL POR JUAN DIEGO</t>
  </si>
  <si>
    <t>1-S/I DE VIDRIO 4MM CRUDO (MINIBOLIZAL), INSTALADO EN VENTANA EXISTENTE. MEDIDA:745*1320</t>
  </si>
  <si>
    <t>RED.N 304
SE LIBERO EL 07/ABRIL</t>
  </si>
  <si>
    <t>DIEGO MEDINA</t>
  </si>
  <si>
    <t>RODAMIENTOS 80-25, AJUSTE Y NIVELACION</t>
  </si>
  <si>
    <t>REMISION 303</t>
  </si>
  <si>
    <t>VIDRIOS TEMPLEX</t>
  </si>
  <si>
    <t>10-VIDRIOS TEMPLADOS INCOLOROS EN 6MM, BPB USO PARA TABLERO, INCLUYE ELEVADOSRES DE ACERO Y PELICULA SANBLASTING. MEDIDAS 5-1000*800, 5-1500*1000</t>
  </si>
  <si>
    <t>GAR</t>
  </si>
  <si>
    <t>JULIANA BRAVO</t>
  </si>
  <si>
    <t>1-VIDRIO CRUDO 4MM INCOLORO. MEDIDAS: 932*830</t>
  </si>
  <si>
    <t>PAGO ANTICIPADO
SE LIBERO EL 14/ABRIL
SE ENTREGO EL 14 DE ABRIL POR LUIS</t>
  </si>
  <si>
    <t>EL LABORATORIO DEL CAFÉ SAS</t>
  </si>
  <si>
    <t>FELIPE CENDAMIL</t>
  </si>
  <si>
    <t>1-S/I PV SISTENA 7038 MONUMENTAL CON VIDRIO LAMINADO CRUDO 3+3 INCLUYE CERRADURA OVERSAL CON LLAVE Y MANIJA. ALUMINIO NEGRO. DISEÑO:XX. MEDIDA:1,55*2,60
1-S/I PUERTA PLEGABLE DOBLE ALA, EN ESTRUCTURA ALUMINIO UP-1102 CON VIDRIO LAMINADO CRUDO INCOLORO 3+3. ALUMINIO NEGRO. MEDIDA:1,30*2,60</t>
  </si>
  <si>
    <t>NO CONFORMIDAD: SE INSTALARON VIDRIOS SOBRE LA ESTRUCTURA Y NO SE ASEGURARON SOBRE ESTA CON PERFILES O TORNILLOS.
SE INSTALO EL 14/ABRIL POR CARLOS - JOSE - FERNEY</t>
  </si>
  <si>
    <t>CREDITO
SE LIBERO EL 20/ FEBRERO
SE INSTALO EL 26/FEBRERO POR JORGE - JUAN</t>
  </si>
  <si>
    <t>CREDITO
SE LIBERO EL 20/FEBRERO
SE INTALO EL 27/FEBRERO POR ALBERTO</t>
  </si>
  <si>
    <t>CREDITO
SE LIBERO EL 20/FEBRERO
SE INSTALO EL 26/FEBRERO POR JORGE-JUAN D</t>
  </si>
  <si>
    <t>SE LIBERO EL 12/ABRIL
SE INSTALO EL 12/ABRIL POR JORGE</t>
  </si>
  <si>
    <t>27/ENE/2025 EL MATERIAL ESTA COMPLETO, SIN CORTE,SIN ENSAMBLE, SE CORTA EN OBRA
SE INTALO POR ULTIMA VEZ EL 14/ABRIL POR CARLOS - FERNEY
30/ENE/2025 INSTALACION CARLOS ,JORGE,YEISON,ALBERTO. SOLO SE ESTA MONTANDO LA VENTANERIA SE VANA  TOMAR MEDIDAS PARA LOS VIDRIO</t>
  </si>
  <si>
    <t>SE LIBERO EL 17/FEBRERO
SE INTALO EL 15/ABRIL POR JORGE - ALBERTO
EL ALUMINIO NO ERA NEGRO, ERA MATE</t>
  </si>
  <si>
    <t>SE LIBERO EL 10/ABRIL
SE ENTREGO EL 15/ABRIL POR LUIS</t>
  </si>
  <si>
    <t>SE LIBERO EL 27/MARZO
SE INTALO EL 15/ABRIL POR JOSE - FERNEY</t>
  </si>
  <si>
    <t>LIBERADO EL 15/ABRIL</t>
  </si>
  <si>
    <t>JONATHAN</t>
  </si>
  <si>
    <t>1-S/I VIDRIO LAMINADO CRUDO INCOLORO 4+4, INSTALADO EN DIVISION EXISTENTE. INCLUYE PERFIL U-32(LATERAL). MEDIDA:1000*2300.</t>
  </si>
  <si>
    <t>1-S/I DE PELICULA ADHESIVA TIPO SAND-BLASTING, PARA VIDRIOS DE FACHADA EXISTENTE. AREA 7,8 MT2</t>
  </si>
  <si>
    <t>YULY MARCELA ZAPATA CARDENAZ</t>
  </si>
  <si>
    <t>1-S/I CABINA DE BAÑO EN VIDRIO TEMPLADO INCOLORO 8MM, INCLUYE PUERTA CORREDIZA CON SISTEMA OPTIGLASS. BOTA HELADERA. ALUMINIO Y ACCESORIOS NEGROS. MEDIDA:</t>
  </si>
  <si>
    <t>SE ENTRGO EL 02/ABRIL POR LUIS</t>
  </si>
  <si>
    <t>CENTRO CLINICO DE INVESTIGACION SICOR</t>
  </si>
  <si>
    <t>SE LIBERO EL 15/ABRIL
SE INSTALO EL 15/ABRIL POR JOSE - FERNEY</t>
  </si>
  <si>
    <t>SE LIBERO EL 31/ENERO
SE INSTALO EL 07/FEBRERO POR CARLOS- YEISON</t>
  </si>
  <si>
    <t>SE LIBERO EL 15/ABRIL
SE INSTALO EL 15/ABRIL</t>
  </si>
  <si>
    <t>31/04</t>
  </si>
  <si>
    <t>SOFIA MONTOYA GALLON</t>
  </si>
  <si>
    <t>PAPA</t>
  </si>
  <si>
    <t>LEONEL DE JESUS  SALAZAR MARIN</t>
  </si>
  <si>
    <t>1-VENTA DE VIDRIO TEMPLADO INCOLORO 6MM, BPB, INCLUYE 3 PERFORACIONES. MEDIDA:630*1777</t>
  </si>
  <si>
    <t>CAMVA SAS</t>
  </si>
  <si>
    <t>ALEJANDRA</t>
  </si>
  <si>
    <t>3-S/I DE CABINA BATIENTE EN VIDRIO TEMPLADO 8MM, INCLUYE BISAGRAS Y CHAPETAS, BOTON HELADERA. MEDIDA: 1,2,3</t>
  </si>
  <si>
    <t>GRUPO IMPRESMED SAS</t>
  </si>
  <si>
    <t>P. ADOLFO</t>
  </si>
  <si>
    <t>FERNANDO QUINTANA</t>
  </si>
  <si>
    <t>3137539736
3105159029</t>
  </si>
  <si>
    <t>1-VENTA DE VIDRIO TEMPLADO INCOLORO 6MM, BPB, INCLUYE 4 PERFORACIONES, MEDID:390*1600</t>
  </si>
  <si>
    <t>QUALIMED SAS</t>
  </si>
  <si>
    <t>RAFAEL VELASQUEZ</t>
  </si>
  <si>
    <t>1-VENTA DE TABLERO EN VIDRIO TEMPLADO 6MM, CON PELICULA SANBLASTING INCLUYE 4 ELEVADORS DE ACERO INOX. MEDIDA:200*800</t>
  </si>
  <si>
    <t>MARGIL SAS</t>
  </si>
  <si>
    <t>ALEX GOMEX</t>
  </si>
  <si>
    <t>3-S/I DE PUERTA BATIENTE EN VIDRIO TEMPLADO 8MM INCOLOR CON ESQUINEROS, MENIJA TIPO ROMA Y TOPE CASUELA. MEDIDA:</t>
  </si>
  <si>
    <t>STIVEN VALENCIA RUEDA</t>
  </si>
  <si>
    <t>1/S/I DE VIDRIO TEMPLADO INCOLOR 6MM, INNSTALADO CON ACCESORIOS, RODACHINES Y BOTA. MEDIDA:670*870MM</t>
  </si>
  <si>
    <t>MARTHA HOYOS</t>
  </si>
  <si>
    <t>2-S/I DE CAINA BATIENTE EN VIDRIO TEMPLADO 6MM INCOLORO MEDIDA: 1338*1900. MEDIDA:1321*9000.</t>
  </si>
  <si>
    <t>1-VENATA DE VENTANA DE ALUMINIO SISTEMA 744 CON CIDRIO TEMPLADO INCOLORO 5MM, INCLUYE CERRADURA DEL IMPACTO SENCILLA. ALUMINIO NEGRO. DISEÑO. XX. CORREDIZAS, INCLUYE EMPAQUE EN CARTON. MEDIDA:1600*2000</t>
  </si>
  <si>
    <t>AVICOLA VENECIANA SA</t>
  </si>
  <si>
    <t>1-SUMINISTRO E INSTALACION DE CHAPA DE IMPACTO, INCLUYE CAMBIO DE TRASLAPE ALUMINIO COLOR NATURAL MATE. MEDIDA:1200</t>
  </si>
  <si>
    <t>NORA PATRICIA MUÑOS GAVIRIA</t>
  </si>
  <si>
    <t>INGENIERIAS Y CONSTRUCIONES MS SAS</t>
  </si>
  <si>
    <t>1-S/I VENTANA ALUMINIO SISTEMA 3831 CON VIDRIO CRUDO INCOLORO 5MM, INCLUYE PISAVIDRIO A PRESION. MEDIDA:1595*1087.</t>
  </si>
  <si>
    <t>SOLUCIONES NETALICAS Y CIVILES SAS</t>
  </si>
  <si>
    <t>GABRIEL OSPINA</t>
  </si>
  <si>
    <t>2-VENTA DE VIDRIO LAMINADO TERMOENDURECIDO 4+4, BPB. MEDIDA:2490*1190. MEDIDA:900*600.</t>
  </si>
  <si>
    <t>LAM-TERMO</t>
  </si>
  <si>
    <t>JUAN CAMILO</t>
  </si>
  <si>
    <t>9-S/I DE CABINA BATIENTES EN VIDRIO TEMPLADO INCOLORO 6MM, BPB, ACCESORIOS NEGROS BIZAGRAS, CHAPETAS Y BOTA INCLUYE PERFIL ACRILICO INFERIROR. MEIDAS VARIAS.
3-S/I DE PASAMANOS EMPORTANDO EN VARANDA, VIDRIO TEMPLADO INCOLOR 8MM, BPB, INCLUYE INSTALACION Y SELLAMIENTO CON RELLENO TIPO BINDA EXTRA CERRADURA INFERIOR. ICLUYE BOLILLO RANURADO 2 CON PINTUAR NEGRA, MEDIDA: VARIAS.</t>
  </si>
  <si>
    <t>8641
8465</t>
  </si>
  <si>
    <t>5471
5472</t>
  </si>
  <si>
    <t>GINSOL SAS</t>
  </si>
  <si>
    <t>JONH JAIME VELASQUEZ</t>
  </si>
  <si>
    <t>1-VENTA DE VIDRIO TEMPLADO 6MM, BPB, INCLUYE 4 RODIOS USO PARA MESA. MEDIDA:1410*700</t>
  </si>
  <si>
    <t>GABRIEL ANGEL ARISTIZABAL MEDINA</t>
  </si>
  <si>
    <t>CERRAJERO</t>
  </si>
  <si>
    <t>17-VENTA Y TRASPORTE DE VINILO TEMPALDO INCOLORO 6MM, BPM, USO PARA PUERTAS, MEDIDAS VARIAS.</t>
  </si>
  <si>
    <t>AZELIS COLOMBIA SAS</t>
  </si>
  <si>
    <t>PAOLA SALAZAR</t>
  </si>
  <si>
    <t>1-S/I TABLERO EN VIDRIO TEMPLADO INCOLOR 6MM, BPB, TABLERO INSTALADO CON ELEVADORES (4UND) DE ACERO INOX DE 1 * 3CMS NCLUYE PELICULA ADHESIVA SANBLASTING Y PERFORADORES DE ACERO INOX. MEDIDA:900*1600</t>
  </si>
  <si>
    <t>HUGO MARTINEZ MONSALE</t>
  </si>
  <si>
    <t>1-SUMINISTRO DE VIDRIO TEMPLADO 4MM, INCOLORO PULIDO MATE. MEDIDA:505*255</t>
  </si>
  <si>
    <t>1-REPOSICION VIDRIO 8MM TEMPLADO</t>
  </si>
  <si>
    <t>2-S/I CABINA CORREDIZA EN VIDRIO TEMPLADO DE 8MM CO ACCESORIOS EN ACERO INOXIDABLE.</t>
  </si>
  <si>
    <t>JESICA PERDOMO</t>
  </si>
  <si>
    <t>REPOCISION</t>
  </si>
  <si>
    <t>5885
5886</t>
  </si>
  <si>
    <t xml:space="preserve">PENDIENTE MATIZADO 31/MARZO
LIBERADO EL 15/ABRIL
SE INSTALO POR JORGE Y ALBERTO EL 23/ABRIL </t>
  </si>
  <si>
    <t>MAPER SAS</t>
  </si>
  <si>
    <t>MIGUEL</t>
  </si>
  <si>
    <t>3-VENTA DE VIDRIO TEMPLADO INCOLOR 6MM, BPB, INCLUYE 4 VIDRIOS 37,5 MM. VIDRIO TEMPLADO CON PINZA. MEDIDA:75X260.</t>
  </si>
  <si>
    <t>PAGO ANTICIPADO
PENDIENTE VINILO 15/ABRIL
LIBERADO 22/ABRIL
SE INSTALO EL 23/ABRIL POR JORGE Y ALBERTO</t>
  </si>
  <si>
    <t>TECNOESTETICA INTEGRAL SAS</t>
  </si>
  <si>
    <t>LUISA NARANJO</t>
  </si>
  <si>
    <t>1-S/I DE VIDRIO TEMPLADO INCOLORO 8MM, INSTALADO CON POSTE BISAGRA DE ACERO INOX. INCLUYE MANIJA, CERRADURA Y PELICULA FROSTED. MEDIDA:863X2262.</t>
  </si>
  <si>
    <t>CASTAÑO CONSTRUCTORES SAS</t>
  </si>
  <si>
    <t>DAIRO ALVAREZ</t>
  </si>
  <si>
    <t>3207575119
3217831789</t>
  </si>
  <si>
    <t>1-SERICIO DE MANTENIMIENTO DE CABINA DE BAÑO, SILICONA, AJUSTE Y NIVELACION
1-SERVICIO DE MANTENIIMINETO CAMBIO DE BISAGRAS ACERO INOX, AJUSTE, NIVELACION.
1-DESMONTE Y DISPOSICION FINAL DE ESPEJO FLOTANTE, INCLUYE INST DE ESEPJO REDONDO.</t>
  </si>
  <si>
    <t>YS INGEIERIA SAS</t>
  </si>
  <si>
    <t>WILSON ROJAS</t>
  </si>
  <si>
    <t>1-S/I VIDRIO TEMPLADO 10MM CON SERIGRAFIA NEGRA. MEDIDA:1600X714.</t>
  </si>
  <si>
    <t>1-S/I DE ESPEJO FLOTADO 4MM PULIDO Y BRILLADO + S/I DE MANIJA 3831 IMPORTADA.</t>
  </si>
  <si>
    <t>6-VENTA DE VIDRIO CON PINZA EN 4MM. MEDIDA: 250X250MM, FILO MATIZADO.</t>
  </si>
  <si>
    <t>JOHAN ESTEBAN GARCES NOREÑA</t>
  </si>
  <si>
    <t>PROPIETARIOS</t>
  </si>
  <si>
    <t>1-S/I VIDRIO TEMPLADO INCOLORO 8MM, INCLUYE BISAGRAS Y BOTA HELADERA PUERTA BATIENTE DE CABINA. MEDIDA:600X1800</t>
  </si>
  <si>
    <t>FULL SEGURIDAD CAJAS FUERTES Y BLINDAJE</t>
  </si>
  <si>
    <t>1-SUMINISTRO DE PUERTA EN VIDRIO TEMPLADO INCOLORO 10MM, INCLUYE ACCESORIOS PARA INSTITUCIONAL(PIVOTES, ESQUINEROS Y BISAGRAS SPPEEDY). ACCSESORIOS ALUMINIO NAURAL MATE. MEIDA:1000X2100.</t>
  </si>
  <si>
    <t>NANCY MILENA ARROYABE PANIAGUA</t>
  </si>
  <si>
    <t>1-S/I DE CABINA DE BAÑO CORREDIZA EN VIDRIO TEMPLADO 6MM EN ALUMINIO COLOR NATURAL MATE EN L. MEDIDA: 740+880X18000.
1-S/I DE CABIA DE BAÑO BATIENTE EN VIDRIO TEMPLADO 6MM BPB ACC EN ACERO INX. MEDIDA:930X1670.</t>
  </si>
  <si>
    <t>PENDIENTE MATIZADO 15/ABRIL
SE ENTREGO EL 24/ABRIL POR LUIS</t>
  </si>
  <si>
    <t>PAGO ANTICIPADO
SE LIBERO EL 24/ABRIL
SE ENTREGO EL 25/ABRIL POR LUIS</t>
  </si>
  <si>
    <t>11-S/I VENTANA ALUMINIO SISTEMA 3831 VIDRIO MINIBORAL 4MM, ALUMINIO NEGRO, FIJOS Y PROYECRANTES MEDIDAS VARIAS.
1-S/I VENTANA ALUMINIO SISTEMA 3031 VIDRIO TEMPLADO 6MM Y PELICULA REFLETIVA, FIJO Y PERSIANA.
1-S/I PV 8025 VIDRIO TEMPLADO 6MM Y PELICULA REFLETIVA, ALUMINIO NEGRO INCLUYE CERRADURA. MEIDA:2150X2450.
1-S/I PUERTA BATIENTE DOBLE ALA VIDRIO TEMPLADO 6MM Y PELICUL REFECTIVA. MARO TUBULAR T-244 NEGRO. MEIDA:1200X2050.
1-S/I PUERTA BATIENTE DOBLE ALA, TUBULAR T-244 Y PERSIANA, INCLUYE CORREDIZA, ALUMINIO NEGRO. MEDIDA:800X2050.</t>
  </si>
  <si>
    <t>SE LIBERO EL 9/ABRIL
SE INSTALO EL 25/ABRIL POR JORGE</t>
  </si>
  <si>
    <t>SE LIBERO EL 24/ABRIL
SE ENTREGO EL 24/ABRIL</t>
  </si>
  <si>
    <t>SE LIBERO EL 24/ABRIL
SE ENTRGO EL 25/ABRIL POR LUIS</t>
  </si>
  <si>
    <t>PAGO ANTICIPADO
SE LIBERO EL 24/ABRIL
SE ENTRGO EL 25/ABRIL POR LUIS</t>
  </si>
  <si>
    <t>1-S/I DE CHAPA DE SOBRE PONER.</t>
  </si>
  <si>
    <t>SE ISNTALO EL 16/ABRIL POR JOSE Y FERNEY</t>
  </si>
  <si>
    <t>SE LIBERO EL 24/ABRIL</t>
  </si>
  <si>
    <t>DIEGO MEJIA</t>
  </si>
  <si>
    <t>1-S/I VENTANA ALUMINIO 7MM, VIDRIO CRUDO INCOLOR 4MM, INCLUYE CERRADURA IMOACTO. ALUMINIO GRISPLATA. DISEÑO:OXXO. MEIDA:2785X1300.
1-S/I VENTANA ALUMINIO SISTEMA 3831, VIDRIO CRUDO MC 4M, INCLUYE PERSIANA Y NAVE PROYECTANTE. ALUMINIO GRIS PLATA. MEDIDA:464X1275.</t>
  </si>
  <si>
    <t>SE LIBERO EL 12/ABRIL
YA PAGO EL RESTANTE ESTA EN FACTURACION
SE INSTALO EL 24/04 POR JOSE</t>
  </si>
  <si>
    <t>SE LIBERO EL 09/ABRIL
SE INSTALO EL 11/ABRIL POR JORGE</t>
  </si>
  <si>
    <t>SE LIBERO EL 09/ABRIL
SE INSTALO EL 24/04 POR JAVIER Y FERNEY</t>
  </si>
  <si>
    <t>PAGO ANTICIPADO
LIBERADO 12/ABRIL
SE INETALO EL 14/04 JUSN DIEGO</t>
  </si>
  <si>
    <t>LEBERADO EL 04/ABRIL
SE INSTALO EL 10/04 POR LEIDER</t>
  </si>
  <si>
    <t>PAGO ANTICIPADO
LIBERADO EL 22/ABRIL
SE IENTALO EL 24/04 POR JOSE</t>
  </si>
  <si>
    <t>PAGO ANTICIPADO
SE LIBERO EL 15/ABRIL
SE IENTALO EL 22/04 POR JORGE</t>
  </si>
  <si>
    <t>PAGO ANTICIPADO
PENDIENTE PELICULA 15/ABRIL
SE ENTREGO EL 23/04 LUIS</t>
  </si>
  <si>
    <t>SE INSTALO EL 28/ABRIL/2025 JOSE -ALBERTO CON NOVEDAD DE CHAPA(ERA POR DENTRO Y POR FUERA CHAPA)</t>
  </si>
  <si>
    <t>SE LIBERO EL 03/MARZO/2025
SE INSTALO EL 08/MARO/2025
SE HIZO GARANIA N°414 EL 29/ABRIL/2025 POR JORGE - ALBERTO</t>
  </si>
  <si>
    <t>Muestra naranjado</t>
  </si>
  <si>
    <t>con novedad</t>
  </si>
  <si>
    <t xml:space="preserve">SE LIBERO 24/ABRIL
SE HIZO ACARREO EL 29/ABRIL/2025 POR JUAN DIEGO </t>
  </si>
  <si>
    <t>SE LIBERO EL 28/ABRIL
SE HIZO ACARREO EL 28/ABRIL POR JUAN DIEGO</t>
  </si>
  <si>
    <t>30/ENE/2025 ANOTADO PENDIENTE CORTE Y ENSAMBLE
SE LIBERO EL 05/FEBSE 
INSTALO EL 08/FEB POR JORGE - ALBERTO
SE REALIZO GARANTIA 29/FEB POR JAVIER Y J.DIEGO</t>
  </si>
  <si>
    <t>PENDIENTE PELICULA 12/ABRIL
SE LIBERO EL 15/ABRIL
SE INTALO EL 29/ABRIL POR JAVIER - JUAN D.</t>
  </si>
  <si>
    <t>PAGO ANTICIPADO
SE LIBERO EL 25/ABRIL
SE ENTREGO EL 29/ABRIL POR LUIS</t>
  </si>
  <si>
    <t>SE LIBERO EL 25/ABRIL
SE DESPACHO EL 24/ABRIL POR JUAN D.</t>
  </si>
  <si>
    <t xml:space="preserve">PENDIENTE MATIZADO 15/ABRIL
SE LIBERO EL 24/ABRIL
SE ENTREGO EL 30/SBRIL POR LUIS </t>
  </si>
  <si>
    <t>SE LIBERO EL 29/ABRIL
SE INSTALO EL 29/ABRIL POR JOSE - ALBERTO</t>
  </si>
  <si>
    <t>SE LIBERO EL 25/ABRIL
SE INSTALO EL 29/ABRIL POR JOSE - ALBERTO</t>
  </si>
  <si>
    <t>SE LIBERO 15/ABRIL
SE INSTALO EL 30/ABRIL POR JORGE</t>
  </si>
  <si>
    <t>SE LIBERO EL 03/ABRIL
SE INSTALO EL 14/ABRIL POR LEIDER</t>
  </si>
  <si>
    <t>PAGO ANTICIPADO
SE LIBERO EL 15/ABRIL
SE EINTALO EL 22/04 POR JOSE Y FERNEY</t>
  </si>
  <si>
    <t>LIBERADO 09/ABRIL
SE INSTALO EL 31/SBRIL POR JAVIER</t>
  </si>
  <si>
    <t xml:space="preserve">SE LIBERO EL 15/ABRIL
SE ENTREGO EL 16/ABRIL POR LUIS </t>
  </si>
  <si>
    <t>SE LIBERO EL 15/ABRIL
SE INSTALO EL 23/ABRIL POR JORGE - ALBERTO</t>
  </si>
  <si>
    <t>PENDIENTE ALUMNIO 12/ABRIL
DEVOLUCION VIDRIO 12/ABRIL</t>
  </si>
  <si>
    <t>SE LIBERO EL 15/ABRIL
SE ENTREGO EL 23/ABRIL POR LUIS</t>
  </si>
  <si>
    <t>SE LIBERO EL 23/ABRIL
SE INSTALO EL 23/ABRIL POR JOSE - FERNEY</t>
  </si>
  <si>
    <t>PROMOTYRA INMOBILIARIA EQUILIBRIUM SAS</t>
  </si>
  <si>
    <t>PAULA MAZO</t>
  </si>
  <si>
    <t>1-S/I DE PELICULA ADHESIVA, DISEÑO TIPO FRUSTED CON FRANJAS, SEGÚN DISEÑO. ALTURA: 1,10MTS.</t>
  </si>
  <si>
    <t>SE LIBERO EL 28/ABRIL
SE INSTAALO E 28/ABRIL POR LEIDER</t>
  </si>
  <si>
    <t>2-VENTA DE VENTANA ALUMINIO SISTEMA 744, CON VIDRIO 4MM CRUDO INCOLOR, INCLUYE CERRADURA PUERTA IMPACTO. ALUMINIO NEGRO. DISEÑO:XX (2CORREAS)MEDIDA:1300*1195.</t>
  </si>
  <si>
    <t>CAMARA DE COMERIO ABURRA SUR</t>
  </si>
  <si>
    <t>1-S/I DE 7 VIDRIOS TEMPLADOS INCOLOROS 10MM FACHADA FLOTANTE INCLUYE CINTA 3M DE 25MM UND LOS VIDRIOS INCLUYE PARASOLES Y BANDEJA, INCLUYE PERSIANA SUPERIOR DE ALUMINIO Y DESMONTE DE VIDRIOS EXISTENTES. MEDIDA:12,60X2,30.</t>
  </si>
  <si>
    <t>ALEGRIA ALEGRI SAS</t>
  </si>
  <si>
    <t>SARA PALACIO</t>
  </si>
  <si>
    <t>1-S/I CERRAMMINETO EN VIDRIO TEMPLADO INCOLOR 8MM, INCLUYE DOBLE PUERTA CORREDIZA CON SISTEMA OPTIGLASS, CONCERRADURA PICOLORO Y TIRADERAS REDONDAS EN AACERO INX. VIDRIOS INSTALADOS CON PERFILERIA DE ALUMINIO Y TOCETOS DE ACERO INOX. MEDIDA:1,85X1,20MTS.</t>
  </si>
  <si>
    <t>DATA FINANZAS SAS</t>
  </si>
  <si>
    <t>ALEJANDRO MONTOYA</t>
  </si>
  <si>
    <t>1-S/I DIVIISON DE OFICINA CON VIDRIO TEMPLADO INCOLOR 8MM, INCLUYE 3 PUERTAS CORREDIZAS SISTEMA OPTIGLASS CON MANIJA REDONDA SERIEL LAUNA 2 PUERTA CON CERRADURA PICOLORO, VIDRIOS FIJOS CON PERFIL F Y U32 ALUMINIO NEGRO. MEDIDA:8,60+2,50+2,50+0,69X2,57 ALTO.</t>
  </si>
  <si>
    <t>WILLIAM ANDRES MORALES HENAO</t>
  </si>
  <si>
    <t>CONVEL SAS</t>
  </si>
  <si>
    <t>ALLADIE GUARIN</t>
  </si>
  <si>
    <t>1-S/I DE TABLERO EN VIDRIO TEMPLADO 6MM BB, CON 4 ELEVADORES EN ACERO INOX. DE 1"X3CMS, ICLUYEND PELICULA SAND.BLASTING. MEDIDA:1100X900.</t>
  </si>
  <si>
    <t xml:space="preserve">JUAN CARLOS MESA GERALDO </t>
  </si>
  <si>
    <t>3-S/I DE CABINAS BATIENTES 2 CON VIDRIO DE 8MM Y 1 VIDRIO CON 10MM ACCEROSRIOS EN ACEERO INOX.
1-S/I DE DIVISION DE CABINAS PARA CABO EN FORMA DE T VIDRIO TEMPLADO 10MM ACCER INOX PELICULA SANDBLASTING. MEDIDA.2,75+1,60X1,90.
5-S/I DE ESPEJOS 4MM BPB INCLUYE PERFILEREIA PARA FLOTANTE CON LUZ LED Y SIN LUD LED. MEDIDA:VARIAS.
1-S/I DE ESPEJO REDONDO 4MM BPB INCLUYE MARCO METALICO NEGRO. MEDIDA:900 DIAMETRO.</t>
  </si>
  <si>
    <t>8838
8851</t>
  </si>
  <si>
    <t>CARIOCA BS SAS</t>
  </si>
  <si>
    <t>JORGYE FLOREZ</t>
  </si>
  <si>
    <t>1-S/I PUERTA DOBLE ALA BATIENTE CON VIDRIO ICOLOR 10MM, INCLUYE ZOCALO INFRIRO Y SUPERIOR ALUMINIO, MANIJAS TIPO ROA 60CM ACERO Y CERRAADURA YALE CON ESCUDOS. MEDIDA:1200X2880.
1-DESMONTE Y RESTALACION DE VIDRIO TEMPLADO INCOLORO 10MM, INSTALADO CN ACCESORIOS EXISTENTES. MEDIDA:1550X2880.</t>
  </si>
  <si>
    <t>1-S/I DE TABLERO EN VIDRIO TEMPLADO 6MM BPB CON 4 ELEVADORES Y PELICULA SANDBLASTING. MEDIDA:1200X900.</t>
  </si>
  <si>
    <t>HECTOR FERNEY HOLGUIN</t>
  </si>
  <si>
    <t>4-V/T DE VIDRIOS TEMPLADOS INCLOLOROS 6MM, BP, USO PERGOLA INCLUYE PELICULA COMTROL SOLA. MEDIDA:1345X1770.</t>
  </si>
  <si>
    <t>LINA OROZCO</t>
  </si>
  <si>
    <t>1-VENTA DE VIDRIO TEMPALDO INCOLORO 6MM, BPB, INCLUYE METALIZADO TOTAL 1 CARA. MEDIDA:1000X600.</t>
  </si>
  <si>
    <t>COMERCIALIZADORA Y REMATES EL PADRINO SAS</t>
  </si>
  <si>
    <t>EDWIN GIL</t>
  </si>
  <si>
    <t xml:space="preserve">ADRIANA PATRICIA DE LOS RIOS </t>
  </si>
  <si>
    <t>1-S/I CAMBIO DE SILLAR 7038 NEGRO. MEDIDA:4500, 2 PISTAS INCLINADO.</t>
  </si>
  <si>
    <t xml:space="preserve">JORGE FLORES </t>
  </si>
  <si>
    <t>2-S/I ESPEJOS 4MM, BPB, INSTALADOS CON COTA ADHESIVA Y SILICONA. MEDIDA:1280X2200.</t>
  </si>
  <si>
    <t>EMPAQUETADURAS Y SELLOS</t>
  </si>
  <si>
    <t>KATERINE LONDOÑO</t>
  </si>
  <si>
    <t>3123038911
6046628257</t>
  </si>
  <si>
    <t>3-VENTA DE VIDRIO TEMPLADOS 8MM, BPB, INCLUYE PERFORACIONES Y RADIOS. MEDIDAS VARIAS.</t>
  </si>
  <si>
    <t>CONSTRUCCIONES Y COMERCIALIZADORA BREMEN SAS</t>
  </si>
  <si>
    <t>1-S/I VIDRIO TEMPLADO INCOLORO 8MM, PARA PERGOLA, INCLUTE PELICULA CONTROL SOLAR. MEDIDA:2005X1400.</t>
  </si>
  <si>
    <t>GONZALO CASTAÑO ACEVEDO</t>
  </si>
  <si>
    <t>LABORATORIOS ECAR SAS</t>
  </si>
  <si>
    <t>FELIPE</t>
  </si>
  <si>
    <t>LAM-CRU</t>
  </si>
  <si>
    <t>HORMED SAS</t>
  </si>
  <si>
    <t>NORBUY JIMENEZ</t>
  </si>
  <si>
    <t>2-VENTA DE VIDRIO TEMPLADO INCOLORO 6MM, BPB. INCLUYE 4 PERFORACIONES 12MM. MEDIDA:490X1090.
2-VENTA DE VIDRIO TEMPLADO INCOLORO 6MM, BPB. INCLUYE 4 PERFORACIONES 12MM. MEDIDA:390X1050.</t>
  </si>
  <si>
    <t>YUDI VARGAS SERNA</t>
  </si>
  <si>
    <t>1-VENTA DE CABINA BATIENTE VIDRIO TEMPLADOIMCOLOR 6MM, ACCESORIOS DE ACERO INOX, (CHAPETAS, BISAGRAS Y BOTA). INCLUYE PERFIL ACRILICO. MEDIDA:790X1900.</t>
  </si>
  <si>
    <t>ECOCARDIOGRAFIA INFANTIL SAS</t>
  </si>
  <si>
    <t>ANDRES BOHORGUES</t>
  </si>
  <si>
    <t>1-S/I DE VIDRIO TEMPLADO 5MM PARA REPOSICION DE VIDRIO QUEBRADO EN PUERTA VIDRIERA EXISTENTE.</t>
  </si>
  <si>
    <t>SE INSTALO EL 24/ABRIL POR JORGE Y ALBERTO</t>
  </si>
  <si>
    <t>MARTA ELENA GOMEZ</t>
  </si>
  <si>
    <t>1-S/ TEMPLADO INCOLOR 8MM, BPB, REPOSICION PUERTA OPTIGLAS, ACCESOROS EXISTENTES. INCLUYE PELICULA SANDBLASTING. MEDIA:784X1980.</t>
  </si>
  <si>
    <t>NC#021</t>
  </si>
  <si>
    <t>PAGO ANTICIPADO
SE LIBERO EL 29/ABRIL
FUE NETREGADO EL 29/ABRIL POR LUIS</t>
  </si>
  <si>
    <t>B-L REDES E INGENIERIA SAS</t>
  </si>
  <si>
    <t>BRYAM ARRUBLA</t>
  </si>
  <si>
    <t>1-SERVICIO DE AJUSTE DE BISAGRAS HIDRAULICA (EXISTENTE). COLPATRIA, (CITY PLAZA).</t>
  </si>
  <si>
    <t>PENDIENTE CORTE EMSAMBLE 22/ABRIL
SE LIBERO EL 29/ABRIL 
SE INSTALO EL 02/MAYO POR JOSE - FERNEY</t>
  </si>
  <si>
    <t>ANOTADO EL 29/ABRILR
SE LIBERO EL 30/ABRIL
SE INSTALO EL 02/MAYO POR JORGE - ALBERTO</t>
  </si>
  <si>
    <t>SE LIBERO EL 25/ABRIL
SE INSTALO EL 02/MAYO POR JORGE - ALBERTO</t>
  </si>
  <si>
    <t>SE REALIZO SERVIIO EL 31/MARZO POR JOSE-JORGE-FERNEY-ALBERTO</t>
  </si>
  <si>
    <t>SE LIBERO EL 04/ABRIL
SE INSTALO EL 04/ABRIL POR JOSE - FERNEY</t>
  </si>
  <si>
    <t>SE INSTALO EL 25/MARZO POR JORGE - ALBERTO</t>
  </si>
  <si>
    <t xml:space="preserve">SE ENTREGO EL 20/MARZO POR LUIS </t>
  </si>
  <si>
    <t xml:space="preserve">SE LIBERO EL 24/ABRIL
SE ENTREGO EL 24/ABRIL POR LUIS </t>
  </si>
  <si>
    <t>SE INSTALO EL 13/MARZO POR JOSE-FERNEY</t>
  </si>
  <si>
    <t>SE INSTALO EL 19/MARZO POR JOSE - FERNEY</t>
  </si>
  <si>
    <t>SE INSTALO EL 15/MARZO POR JORGE</t>
  </si>
  <si>
    <t>SE INSTALO EL 10/MARO POR CARLOS -JUAN</t>
  </si>
  <si>
    <t>SE INSTALO EN 19/MARZO POR JOSE-ALBERTO</t>
  </si>
  <si>
    <t>SE ENTREGO EL 13/MARZO POR LUIS</t>
  </si>
  <si>
    <t>SE INSTALO EL 13/MARZO POR CARLOS</t>
  </si>
  <si>
    <t>SE INSTALO EL 31/ENERO POR JORGE -YEISON</t>
  </si>
  <si>
    <t>SE INSTALO EL 04/03 POR LEIDER - FERNEY</t>
  </si>
  <si>
    <t>SE ENTREGO EL 10-FEBRERO POR LUIS</t>
  </si>
  <si>
    <t>SE INSTALO EL 4/FEBRERO POR JORGE - YEISON</t>
  </si>
  <si>
    <t>ADMINISTRACION</t>
  </si>
  <si>
    <t>PENDIENTE PELICULA 15/ABRIL
LIBERADO 25/ABRIL
SE DESPACHO EL 29/ABRIL/2025
SE INSTALO EL 30/ABRIL/2025
QUEDARON FALTANDO UNOS VIDRIOS
SE TERMINO DE INSTALAR EL 30/ABRIL POR JORGE-FERNEY-JOSE-ALBERTO</t>
  </si>
  <si>
    <t>SE LIBERO EL 15/ABRIL
SE INSTALO EL 02/MAYO POR JAVIER</t>
  </si>
  <si>
    <t>SE LIBERO EL 25/ABRIL
SE DESPACCHO EL 30/ABRIL POR JUAN D</t>
  </si>
  <si>
    <t>SE LIBERO EL 25/ABRIL
SE INSTALO EL 25/ABRIL POR JORGE</t>
  </si>
  <si>
    <t>SE HIZO MANTENIMIENTO EL 30/ABRIL POR JAVIER</t>
  </si>
  <si>
    <t>CRISTINA YANETH VILLALOBO RAMOS</t>
  </si>
  <si>
    <t>1-S/I CABINA DE BAÑO BATIENTE, VIDRIO TEMPALDO INCOLORO 6MM, ACCESORIOS ACABDOS ACERO BRILLANTE (BISAGRAS Y CHAPETAS). MEDIDA: 1320X1800.</t>
  </si>
  <si>
    <t>NC#022</t>
  </si>
  <si>
    <t>INGENIERIA Y CONSTRUCCIONES MS SAS</t>
  </si>
  <si>
    <t>1-S/I DIVISION DE OFICINA VIDRIO TEMPLADO INCOLORO 8MM, VIDRIOS FIJOS INSTALADOS CON ZOACALO INFERIOR Y F SUPERIOR ALUMINIO NATURAL MATE. MEDIDA:3800X2490.
1-S/I DIVISION OFICINA VIDRIO TEMPLADO INCOLORO 8MM, VIDRIOS FIJOS INSTALADOS CON ZOCALO INFERIOR Y F SUPERIOR. ALUMNIO NEGRO. MEDIDA:3520X2490.
1-S/I PUERTA BATIENTE, VIDRIO TEMPLADO EN 8MM, INCLUYE ZOCALO, MANIJA, ESQUINERO Y CERRADURA. MEDIDA:800X2490.
3-S/I VENTNAS ALUMNIO SISTEMA 3831, VIDRIO CRUDO EN 5MM, PISAVIDRIO A PRESION, BRAZOS Y MANIJA. ALUMINIO NEGRO. DISEÑO: PROYECTANTES. MEDIDA:880X1640.</t>
  </si>
  <si>
    <t>3137539736
310 5159029</t>
  </si>
  <si>
    <t>1-VENTA DE VIDRIO TEMPLADO INCOLOR 6MM, BPB, INCLUYE 4 PERFORACIONES. MEDIDA:390X1900.</t>
  </si>
  <si>
    <t>NC#003
NC#001</t>
  </si>
  <si>
    <t>RUBEN HERRERA</t>
  </si>
  <si>
    <t>2-SERVICIO MANTENIMINETO CABINA CORREDIZA ALUMINIO, INCLUYE CABEZAL, SILLAR, PERFILES U Y RODACHINES. ALUMINIO NEGRO. MEDIDA:1010X1800
SELLAMIENTO PERIMENTAL DE VENTANAS EXISTENTE.</t>
  </si>
  <si>
    <t>SE LIBERO EL 15/ABRIL
SE INSTALO EL 03/MAYO POR JOSE - FERNEY</t>
  </si>
  <si>
    <t>JHON JENNEDY CAMERO</t>
  </si>
  <si>
    <t>SE LIBERO EL 03/MAYO
SE REALIZO EL 05/MAYO POR JOSE - FENEY</t>
  </si>
  <si>
    <t>SE LIBERO EL 29/ABRIL 
SE REALIZO EL 05/MAYO POR JOSE-FERNEY</t>
  </si>
  <si>
    <t>AVANCIVIL SAS</t>
  </si>
  <si>
    <t>SRA ADRIANA RIUNS</t>
  </si>
  <si>
    <t>3017623345
3205221009</t>
  </si>
  <si>
    <t>3217457540
3116348294</t>
  </si>
  <si>
    <t>2-S/I DE PUERTAS EN ALUMINIO T-244, CON TABLILLA F*08 Y VIDRIO CRUDO INCOLORO 5MM CON PELICULA SAND-BLASTING, INCLUYE CERRADURA INCRUSTADA CON MANIJA SERIE MINI.</t>
  </si>
  <si>
    <t>CARLOS FELIPE VELES GIRALDO</t>
  </si>
  <si>
    <t>1-SERVICIO DE MANTENIMIENTO PARA PUERTA BATIENTE DE VIDRIO, INCLUYE BASE PARA ZOCALO, AJUSTE Y NIVELACION.</t>
  </si>
  <si>
    <t>1-SERVICIO DE INSTALACION DE TABLERO EXISTENTE EN VICRIO TEMPLADO. MEDIDA:1,50X0,090 MTS (ACCESORIOS EXISTENTES)</t>
  </si>
  <si>
    <t>JUAN ANDRES GOMEZ ACEVEDO</t>
  </si>
  <si>
    <t xml:space="preserve">MARIA VICORIA SIERRA </t>
  </si>
  <si>
    <t>1-SUMINISTRO DE VIDRIO TEMPLADO 6MM BPB INCOLORO.</t>
  </si>
  <si>
    <t>SE LIBERO EL 29/ABRIL
SE ENTREGO EL 05/MAYO POR LUIS</t>
  </si>
  <si>
    <t>INSTALADO 20/FEBRERO POR JOSE - FERNEY</t>
  </si>
  <si>
    <t>INSTALADO EL 26/FEBRERO POR JOSE - FERNEY</t>
  </si>
  <si>
    <t>1- S/I VIDRIO CRUDO INCOLORO 6MM, INSTALADO EN VENTANA EXISTENTE MEDIDA 49 X 803.</t>
  </si>
  <si>
    <t>1- S/I PUERTA BATIENTE ESTRUCTIRA DE ALUMINIO T-244 CON VIDIO TEMPLADO INCOLORO 6M, SOPORTADO CON PISA-VIDRIOS A PRESION INCLUYE MANIJAS DE ALUMINIO Y CERRADURAS ALUMINIO ANDIZADO NATURALMENTE .</t>
  </si>
  <si>
    <t>1- S/I PUERTA BATIENTE , VIDRIO LAMINADO TEMPLADO INCOLORO 5+5 INCLUYE MANIJA, CERRADURA, ESQUINERIO, LOCALO MEDIDA:680 X 1950. 
1- S/I PUERTA BATIENTE VIDRIO LAMINADO TAMPLADO INCOLORO 5+5 INCLUYE MAIJA CERRADURA, BISAGRAS Y PELICULAS SANDBLASTING MEDIDA 585+1900.</t>
  </si>
  <si>
    <t xml:space="preserve">NO CONFORMIDAD DE LA ODP 22264
SE INSTALO EL 14/FEBRERO POR JOSE-FERNEY </t>
  </si>
  <si>
    <t>1 -  VENTA DE VIDRIO TEMPLADO INCOLORO 8MM, BPB VIDRIO PARA VENTANA MEDIDA 895 X 1595.</t>
  </si>
  <si>
    <t>2- S/I VENTANERIA ALUMINIO SISTEMA 744 CON VIDRIO CRUDO INCOLORO 5MM INCLUYR CERRADURA IMPACTO, PERSIANA SUPERIOR. ALUMINIO GRISPLATA. MEDIDAS VARIAS.
2- S/I VENTANERIA ALUMINIO SISTEMA 744 CON VIDRIO CRUDO INCOLORO 5MM INCLUYR CERRADURA IMPACTO. ALUMINIO GRISPLATA. MEDIDAS VARIAS.
2- S/I VENTANERIA ALUMINO SISTEMA 3831 VIDRIO CRUDO 5MM ALUMINIO GRIS PLATA MEDIDAS VARIAS.
1- S/I PV ALUMINIO SISTEMA 744 ALUMINIO BLANCO VIDRIO CRUSO 5MM INCLUYE CERRADURA Y MANIJAS MEDIDA 2800 X 2000.</t>
  </si>
  <si>
    <t>SE INSTALO EL 12/MARZO POR CARLOS
SE INSTALO EL 17/MARZO POR JORGE - ALBERTO</t>
  </si>
  <si>
    <t>GAR#402</t>
  </si>
  <si>
    <t>3- VENTANA DE VIDRIOS TEMPLADO INCOLORO 5MM BPB INCLUYE 4 PERFORACIONES 1) 900X 1300 2) 620 X 1300.</t>
  </si>
  <si>
    <t>SE ENTREGO EL 13/FEBRERO POR JUAN D.</t>
  </si>
  <si>
    <t>1- S/I VIDRIO TEMPLADO INCOLORO 6MM INSTALADO EN ESTRUCTURA DE PERGOLA EXISTENTE INCLUYE INSTALASIONES CON EMPAQUE TIPO NEOPRENO Y SELLAMIENTO CON SILICONA INCLYE PELICULA CONTROL SOLAR HIBRIDA MEDIDA: 1600 X 2600.</t>
  </si>
  <si>
    <t>SE INSTALO EL 05/MARZO POR JOSE - FERNEY - CARLOS - JUAN.</t>
  </si>
  <si>
    <t>5- VENTA DE VIDRIOS TEMPLADOS INCOLOROS 6MM CON PINZATURA BPM USO PARA MIVILLAS DE ANAQUINA MEDIDAS 2- 60 X 240 3- 65 X 240.</t>
  </si>
  <si>
    <t>SE ENTREGO EL 21/FEBRERO POR LUIS</t>
  </si>
  <si>
    <t>FACTURA ANTICIPADA
SE INSTALO EL 12/MARZO POR JOSE-FERNEY
SE INSTALO SELLAMIENTO EL 17/MARZO POR JOSE - FERNEY</t>
  </si>
  <si>
    <t>1- VENTA DE VIDRIO TEMPLADO INCOLORO 6MM INCLUYE RADIOS SEGÚN EL PLANO MEDIDAS 75 X 320.
2- VENTA DE VIDRIO TEMPLADO 6MM INCLUYE RADIOS SEGÚN PLANO MEDIDAS 75 X 190.</t>
  </si>
  <si>
    <t>SE ENTREGO EL 14/FEBRERO POR LUIS</t>
  </si>
  <si>
    <t>1- S/I DE TABLERO EN VIDRO TAMPLADO INCOLORO 6MM INCLUYE ESTRUCTURA RODANTE EN ACERO INOXIDABLE, INCLUYE PELICULA SAND BLASTING MEDIDA 1500 X 1000.</t>
  </si>
  <si>
    <t>SE INSTALO EL 05/MARZO POR CARLOS - JUAN.</t>
  </si>
  <si>
    <t>1- VENTA Y TRASPORTE DE VIDRIO TEMPLADO INCOLORO 6MM EN FORMA TRAPESCIDAD BPB USO PARA VENTANA MEDIDA 2720 X 500.</t>
  </si>
  <si>
    <t>SE ENTREGO EL 24/FEBRERO POR JUAN D.</t>
  </si>
  <si>
    <t>2- VENTANA DE VIDRIOS TEMPLADOS INCOLOROS 5MM BPB USO PARA TECHO MEDIDAS 1- 1400 X 400 / 1- 600 X 400.</t>
  </si>
  <si>
    <t>SE ENTREGO EL 26/FEBRERO POR LUIS</t>
  </si>
  <si>
    <t>1- S/I PUERTA BATIENTE EN VIDRIO TEMPLADO  INCOLORO 10MM INSTALADA EN LA FACHADA CON ACCESORIOS EXISTENTES MEDIDA; 1,00 X 2,40 MTS.</t>
  </si>
  <si>
    <t>NO CONFORIDAD
SE DESPACHO EL 17/FEBRERO POR JUAN D.</t>
  </si>
  <si>
    <t>1- VENTA DE VIDRIO TEMPLADO INCOLORO 6MM PBM PARA TECHO MEDIDA 877 X 624.</t>
  </si>
  <si>
    <t>SE ENTREGO EL 15/FEBRERO POR LUIS.</t>
  </si>
  <si>
    <t>1- S/I PASAMANOS EN VIDRIO TEMPLADO INCOLORO 8MM INCLUYE ESTRUCTURAS DE ACERO INOXIDABLE, PARALES Y VODAMIOS MEDIDA 2200 X 850.
1- SERVICIO DE MANTENIMIENTO PARA PUERTA VIDRIERA ALUMINIO SISTEMA 744 INCLUYE CAMBIO DE RODAMIENTOS SELLAR ALUMINIO AJUSTE Y NIVELASCION.
1- S/I VENTANA DE ALUMINIO SISTEMA 3831 Y744 VIDRIO CRUDO INCOLORO 5MM ALUMINIO NATURAL MATE MEDIDA 1500 X 1100 INCLUYE PALICULA CONTROL SOLAR .</t>
  </si>
  <si>
    <t>SE INSTALO EL 28/FEBRERO POR JOSE - FERNEY</t>
  </si>
  <si>
    <t>1-SERVICIO DE MANTENIMENTO CORRECTIVO PARA CABINA BATIENTE EXISTENTE INCLUYE CABIO DE SILICONA ADHESIVA Y AJUSTE Y NIUZION CANTIDAD 1 UNI.</t>
  </si>
  <si>
    <t>SE REALIZO EL MANTENIMIENTO EL 22/FEBRERO POR JORGE</t>
  </si>
  <si>
    <t>2- S/I CABINAS BATIENTES EN VIDRIO TEMPLADO INCOLORO 8MM INSTALADA CON ACCESORIOS EN ACERO INOXIDABLE (BISAGRAS, CHAPETAS Y BOTOL) INCLUYE PERFIL ACRILICO TRASPORTE MEDIDA 4,40 MT2.</t>
  </si>
  <si>
    <t>1- S/I DE DIVISION DE OFICIONA EN ESTRUCTURA TUBULAR DE ALUMINIO VP-1101 Y VIDRIO TEMPLADO INCLUYE PUERTAS BATIENTES CON VIDRIO TEMPLADO 6MM Y CERRADURA DOBLE MANOA VIDRIOS TEMPLADOS INC 8MM FIJOS INSTALADOS CON PISA-VIDRIOS A PRESION ALUMINIO ANODRIZADO NATURAL MATZ.</t>
  </si>
  <si>
    <t>SE INSTALO EL 21/ FEBRERO POR JORGE - ALBERTO</t>
  </si>
  <si>
    <t>1- VENTA DE PUERTA BATIENTE EN VIDRIO TEMPLADO INCOLORO 8MM INCLUYE ACCESORIOS EN ACESRO INOXIDABLE Y METALIZADO TOTAL 1CARA MEDIDA 720 X 1800.</t>
  </si>
  <si>
    <t>SE REALIZO ACARRERO EL 05/MARZO POR JUAN D.</t>
  </si>
  <si>
    <t>SE ENTREGO EL 20/FEBRERO POR LUIS</t>
  </si>
  <si>
    <t>1- VENTANA DE VIDRIO TEMPLADO INCOLORO 5MM BPB USO PARA REFLECTOR MEDIDA 418 X 338.</t>
  </si>
  <si>
    <t>SE ENTREGO EL 24/FEBRERO POR LUIS.</t>
  </si>
  <si>
    <t xml:space="preserve">GARANTIA Y INSTALACIONES FALTANTES
SE INSTALO EL 27/FEBRERO POR LEIDER </t>
  </si>
  <si>
    <t>1- VENTA DE VIDRIO INCOLORO 5MM CON RADIO 5MM INCLUYE PELICULA DE SEGURIDAD MEDIDA 552 X 925.</t>
  </si>
  <si>
    <t>1- SEVICIO DE MANTENIMIENTO PARA PUETA MATIENTE INCLUYE CAMBIO DE PIVOTES BASE PARA ZOALO AJUSTES Y NIVELACION.
1- SERVICIO MANTENIMINETO VENTANA PROYECTOR INCLUYE CAMBIO DE BRAZO ESCUALIZOBLE.</t>
  </si>
  <si>
    <t>SE REALIZO EL MANTENIMIENTO EL 11/FEBRERO POR JOSE - FERNEY</t>
  </si>
  <si>
    <t>1- S/I PUERTAS COREDIZAS SISTEMA OPTIGLASS CON VIDRIO TEMPLADO INCOLORO 8MM INCLUYE VIEL DOBLE Y CERRADURA PICOLORO MEDIDA 1300 X 2199.</t>
  </si>
  <si>
    <t xml:space="preserve">SE INETALO EL 12/MARZO POR JORGE - ALBERTO </t>
  </si>
  <si>
    <t>4- VENTA DE VIDRIO TEMPLADO INCOLORO 10MM  BPB INCLUYE PERFORAIONES MEDIDAS VARIAS.</t>
  </si>
  <si>
    <t>SE ENTREGO EL 14/MARZO POR JUAN D.</t>
  </si>
  <si>
    <t>1- S/I  CABINA BATIENTE EN VIDRIO TEMPLADO INCOLORO 8MM BPB INCLUYE ACCESORIOS INOXIDABLES INCLUYE PERFIL ACRILICO INFERIOR MEDIDA 1445 X 1900.
1- S/I VIDRIO TEMPLADO INCOLORO 8MM PARA FIJO CABINA INCLUYE CHUPETAL Y POSTE DE ACERO INOXIDABLE MEDIDA 340 X 1900.</t>
  </si>
  <si>
    <t>SE INSTALO EL 24/FEBRERO POR ANDRES</t>
  </si>
  <si>
    <t>GAR#398</t>
  </si>
  <si>
    <t>1- VENTA DE VIDRIO TEMPLADO INCOLORO 6MM PARA CABINA CORREDIZA INCLUYE RODAMIENTOS BOTON Y PERFIL ACRILICO MEDIDA 440 X 1780.</t>
  </si>
  <si>
    <t>SE ENTRO EL 22/FEBRERO POR LUIS</t>
  </si>
  <si>
    <t>1- S/I DIVISION DE VIDRIO FIJO 8MM CON ACCESORIOS EN ACERO INOXIDABLE AREA 1,00 MT.
1- S/I DIVISION DE VIDRIO CORREDIZO TEMPLADO 8MM INCOLORO INSTALADO CON ACCESORIOS EN ACERO INOXIDABLE AREA 2,90 MT.</t>
  </si>
  <si>
    <t>1- S/I DIVISION DE VIDRIO FIJO 8MM CON ACCESORIOS EN ACERO INOXIDABLE AREA 1,00 MT.
1- S/I DIVISION DE VIDRIO CORREDIZO TEMPLADO 8MM INCOLORO INSTALADO CON ACCESORIOS EN ACERO INOXIDABLE AREA 2,30 MT.</t>
  </si>
  <si>
    <t>1- S/I DE MANIJA TIPO ROMA EN ALUMINIO PARA BATIENTE INCLYE AJUSTE Y NIUZION DE PUERTA EXISTENTE.</t>
  </si>
  <si>
    <t>9- VETNA DE ESPEJO 4MM BPB INCLUYE PERFILERIA ALUMINIO PARA FLOTADO A PARED INCLUYE SISTEMA DE ILUMINACION LED MEDIDA VARIAS.</t>
  </si>
  <si>
    <t>SE INSTALO EL 17/MARZO POR JORGE - ALBERTO</t>
  </si>
  <si>
    <t>1- S/I DE PASAMAMNOS A MURO EN TUBO DE ACERO MOX 1 1/2 CON SOPORTES MEDIDAS VARIAS.</t>
  </si>
  <si>
    <t>SE INSTALO EL 03/MARZO POR JOSE - FERNEY
SE ENCUENTRA EN CARPETAS DE FACTURACION, LA SEÑORA DICE QUE NO DEBE NADA.</t>
  </si>
  <si>
    <t>1- S/I VIDRIO TEMPLADO INCOLORO 6MM PARA REPOCION DE PUERTA EN CABINA CORREDIZA INLUYE RODAMINETOS MEDIDA 570 X 1775.</t>
  </si>
  <si>
    <t>SE INSTALO EL 06/MARZO POR CARLOS - JUAN D.</t>
  </si>
  <si>
    <t>2- S/I DE CABINAS BATIENTES EN VIDRIO TEMPLADO INCOLORO 8MM BPB INSTALADO CON ACCESORIOS NEGROS INCLUYE PERIL ACRILICO INFERIOR MEDIDA 1200 X 1900.</t>
  </si>
  <si>
    <t>SE INSTALO EL 22/FEBRERO POR ANDRES</t>
  </si>
  <si>
    <t>1-S/I CABINA BATIENTE VIDRIO TEMPLADO INCOLORO 6MM BPB INSTALADO CON ACCESORIOS DE ACERO INOXIDABLE INCLUYE PERFIL DE ACRILICO INFEROS MEDIDA 100 X 1800.
1- S/I CABINA CORREDIZA GLASVIT VIDRIO TEMPLADO INCOLORO 6MM INCLUYE BOTA Y PERFILERIA DE ALUMINIO COLOR NATURAL MATE MEDIDA 1200 X 200.</t>
  </si>
  <si>
    <t>1- S/I TABLERO EN VIDRIO TEMPLADO INCOLORO 6MM CON PELICULA SAD BLESTING INCLUYE 6 ELEVADORES EN ACERO INOXIDABLE MEDIDA: 1800 X 1300.</t>
  </si>
  <si>
    <t>1- S/I VIDRIO TEMPLADO INCOLORO 6MM PARA REPOCION DE PUERTA EN CABINA CORREDIZA INLUYE RODAMINETOS Y BOTA  MEDIDA 620 X 1780.</t>
  </si>
  <si>
    <t>SE INSTALO EL 07/MARZO POR JOSE - FERNEY</t>
  </si>
  <si>
    <t>1- VENTA DE VIDRIO TEMPLADO INCOLORO 5MM CON PERFORACIONES SEON PLANO CIDRIO PARA HORNO MEDIDA 443 X 341.</t>
  </si>
  <si>
    <t>SE ENTREGO EL 25/FEBRERO POR LUIS</t>
  </si>
  <si>
    <t>1- S/I DE TABLERO DE 150 X 1000 EN VIDRIO TEMPLADO 6MM PBPB 4 PEET 4 ELEVADORES PERLICULA SANDBLETINGO.</t>
  </si>
  <si>
    <t>1- SERVICIO DE INSTALACION DE VIDRIO EXSISTENTE INCLUYE SUMINISTRO E INSTALACION DE TOCETOS ESTANDAR MEDIDA 2,25 X 1,55 MTS.</t>
  </si>
  <si>
    <t>SE INSTALO EL 12/FEBRERO POR JORGE</t>
  </si>
  <si>
    <t>1- VENTANA DE VIDRIO TEMPLADO INCOLORO 10MM BPB INCLUYE 8 PERFORACIONES Y BOQUETE MEDIDA 1050 X 2700.</t>
  </si>
  <si>
    <t>1- S/I DE BISAGRA HIDRAUALICA SPREEDY M60 TRAFICO PESADO PARA PUERTA BATIENTE.</t>
  </si>
  <si>
    <t>INSTALADO EL 05/MARZO POR JOSE - FERNEY</t>
  </si>
  <si>
    <t>7- VENTANAS DE VIDRIO TEMPLADO INCOLORO 8MM BORDES PULIDOS Y BRILLANTES INCLUYE PERFORACIONES MEDIDAS VARIAS.</t>
  </si>
  <si>
    <t>SE ENTREGO EL 07/MARZO POR LUIS</t>
  </si>
  <si>
    <t>1- S/I CABINA CORREDIZA GLASSVIT EN VIDRIO TEMPLADO INCOLORO 6MM INCLUYE GOTON HALADERA Y GUIA DE PISO EN ACERO INOXIDABLE INLUYE PARA PERFIL ACRILICO TRASPARENTE MEDIDA 1,08 X 1,80.</t>
  </si>
  <si>
    <t>SE INSTALO EL 07/MARZO POR JORGE - ALBERTO</t>
  </si>
  <si>
    <t>1- SERVICIO DE TRASPORTE E INSTALACION DE DIVICION DE OFICINA INSTALADA CON ACCESORIOS EXISTENTES MEDIDA 2,0 X 2,30.</t>
  </si>
  <si>
    <t>SE INSTALO EL 06/MARZO POR JOSE - FERNEY</t>
  </si>
  <si>
    <t>1- S/I DE FACHADA EN VIDRIO TEMPLADO INCOLORO 10MM INCLUYE PURTA INSTALADA CON SISTEMA OPTIGLASS ZOCALO INFERIOR MENIJA TIPO ROMA Y CERRADURA PICOLORO VIDRIO FIJO INSTALADO CON PERFIL DE ALUMINIO COLOR MATE MEDIDAS 2850 X 2471.</t>
  </si>
  <si>
    <t>SE INSTALO EL 10/MARZO POR JORGE - ALBERTO</t>
  </si>
  <si>
    <t>32- SUMINISTROS DE VIDRIO TEMPLADO INCOLORO 4MM BPB INCLUYE PELICULA DE SEGIRIDAD TRASPATENTE MEDIDAS VARIAS.</t>
  </si>
  <si>
    <t>SE HIZO ACARREO EL 05/MARZO POR BRYAM</t>
  </si>
  <si>
    <t>1- VENTANA DE VIDRIO CRUDO 10MM CRUDO BORDES PECHO PALOMA INCLUYE RADIO DE 15MM MEDIDA 500 X 860 VIDRIO SEGUN MUESTRA.</t>
  </si>
  <si>
    <t>SE ENTREGO EL 26/MARZO POR LUIS</t>
  </si>
  <si>
    <t>1- S/I VIDRIO TEMPLADO INCOLORO 10MM EMPOTRADO EN NURO, MEDIDA NVARIAS NO INCLUYE ACCESORIOS.</t>
  </si>
  <si>
    <t>SE INSTALO EL 05/MARZO POR JOSE - FERNEY</t>
  </si>
  <si>
    <t>1- SERVCIO DE MANTENIMIENTO CORRECTIVO PARA PUERTAS EN VIDRIO TEMPLADO INCOLORO EN FACHADA EXISTENTE INCLUYE INSTALACIONES DE EMPAQUES PARA ACCESORIOS EXISTENTENS.</t>
  </si>
  <si>
    <t>SE REALIZO MANTENIMINETO EL 27/FEBRERO POR JOSE - FERNEY</t>
  </si>
  <si>
    <t>2- VENTANA DE VIDRIO TEMPLADO INCOLORO 6MM BPB INCLUYE RADIOS 42MM MEDIDA 340 X 290.</t>
  </si>
  <si>
    <t>1-S/I VIDRIO TEMPLADO INCOLORO 6MM BPB INCLUYE RODAMIENTOS PARA RESPOCION EN CABINA BATIENTE MEDIDA 590 X 17800.</t>
  </si>
  <si>
    <t>SE INSTALO EL 03/MARZO POR JORGE - ALBERTO</t>
  </si>
  <si>
    <t xml:space="preserve">2- S/I ESPEJOS 4MM BPB INCLUYE BOQUETES INSTALADOS A PARED CON CINTA ADHESIVA Y SILICONA 608 X 1984. </t>
  </si>
  <si>
    <t>NC#009
SE INSTALO EL 22/FEBRERO POR JOSE - FERNEY</t>
  </si>
  <si>
    <t xml:space="preserve">GRUPO MARUPLAS </t>
  </si>
  <si>
    <t>1- S/I VIDRIO TEMPLADO INCOLORO 6MM BPB INSTALADO EN ESTRUCTURA DE PERGDS EXISTENTE INCLUYE PELICULA CONTROL SOLAR MEDIDA 1050 X 1280.</t>
  </si>
  <si>
    <t>NC#010
SE INSTALO EL 28/FEBRERO POR JOSE - FERNEY</t>
  </si>
  <si>
    <t>1- S/I DE VIDRIO TEMPLADO INCOLORO 6MM PARA REPOSION EN PERGOLA MEDIDA 900 X 2000.</t>
  </si>
  <si>
    <t>NC#010</t>
  </si>
  <si>
    <t>2- S/I DE CABINA BATIENTE EN VIDRIO TEMPLADO INCOLORO 6MM INCLUYE ACCESORIOS EN ACERO INOXIDABLE BISAGRAS CHAPETAS Y BOTON Y PERFIL ACRILICO MEDIDA 1630 X 1800.</t>
  </si>
  <si>
    <t>1- S/I DE VISRIOS TEMPLADOS INCOLOROS 8MM INTSALDOS EN PERGOLA INCLUYE PELICULAS DE SEGURIDAD TRASPORTE BOQUETES ESPECIALES Y SELLAMIENTOS CON SILICONA MEDIDAS 1,97 X 2,90.</t>
  </si>
  <si>
    <t>3- VENTA DE VIDRIOS TEMPLADOS NCOLOROS 6MM BPB SIN PERFORACIONES NI MAQUINARIAS MEDIDA 314 X 420.</t>
  </si>
  <si>
    <t>SE ENTREGO EL 27/MARZO POR LUIS</t>
  </si>
  <si>
    <t>1- S/I CERRADURA YAIZ 170 1/4 CON ESCUDO ESQUINERO INSTALADO EN PUERTA BATIENTE ESQUINERA 
1- SEVICIO DE MANTENIMIENTO Y AJUSTE DE VIDRIOS FEOS DE FACHADA EXISITENTE.</t>
  </si>
  <si>
    <t>SE INSTALO EL 10/MARZO POR JOSE - FERNEY</t>
  </si>
  <si>
    <t>2- VENTA DE VISRIO TEMPLADOS INCOLOROS 6M BPB INCLUYE PERFORACIOES Y MATIZADO TOTAL 1 CARA MEDIDAS 1 DE 600 X 800 1 DE 600 X 275 INCLUYE MONEDA TORNILLO SOLDADO 6.</t>
  </si>
  <si>
    <t>SE ENTREGO EL 05/MARZO POR LUIS</t>
  </si>
  <si>
    <t>2-VENTA DE VIDRIOS TEMPLADOS INCOLOROS 5MM BPB PARA ESTREPAÑOS MEDIDAS 250 X 382.</t>
  </si>
  <si>
    <t>SE ENTREGO EL 03/MARZO POR LUIS</t>
  </si>
  <si>
    <t>1- S/I VIDRIO TEMPLADO INCOLORO 6MM BPB INCLUYE RODAMIENTOS Y BOTON HALADERA PARA REPOSICION DE PUERTA DE CABINA CORREDIZA MEDIA 750 X 1500.</t>
  </si>
  <si>
    <t>1- S/I CABINA GLASSIT EN VIDRIO TEMPLADO 8MM INCLUYE BOTON HALADERA GUIA DE PISO Y PERFIL ACRILICO MEDIDA 1,24 X 1,90.
2 S/I DE PELICULA ADHESIVA DE CONTROL SOLAR TITANO PARA VENTANAS EXISTENTES INCLUYE DESMONTE DE PELICULA EXSISTENTE MEDIDA 1,35 X 1,60 MTS.
1- SERVICIO DE MANTENNIMIENTO PARA VENTANA 8025 INCLUYEN CAMBIO DE RODAMIENTOS.</t>
  </si>
  <si>
    <t>SE INSTALO EL 04/MARZO POR JOSE - FERNEY</t>
  </si>
  <si>
    <t>1- S/I DE BISAGRA HIDRAULICA ESEEDY M-GO TRAFICO PESADO INCLUYE CAMBIO DE BASES DE ZOCALO INFERIOR INCLUYE AJUSTES Y CALIBRACION.</t>
  </si>
  <si>
    <t>SE INSTALO EL 24/FEBRERO POR JOSE - FERNEY</t>
  </si>
  <si>
    <t>1- VENTANA DE VIDIRIO TEMPLADO INCOLORO 6MM BPB MEDIDA 780 X 385.</t>
  </si>
  <si>
    <t>SE ENTREGO EL 28/FEBRERO POR LUIS</t>
  </si>
  <si>
    <t>NC#011
SE INSTALO EL 18/MARZO POR JOSE - ALBERTO</t>
  </si>
  <si>
    <t>3- VIDRIOS TEMPLADOS INCOLOROS 5MM BPB USO PARA GABINETES MEDIDA 165 X 1800.
2- VIDRIOSLAMINADOS CRUDOS INCOLOROS 3+3 BPB USO PARA VENTANAS MEDIDAS 1020 X 330.</t>
  </si>
  <si>
    <t>1- SERVICIO DE MANTENIMIENTO CABINA CORREDIZA ALUMINIO EN L  INCLUYE RODAMIENTOS BOANES HELADERA PERFIL PLASTICO, AJUSE Y NIVELASCION.</t>
  </si>
  <si>
    <t>SE HIZO MANTENIMIENTO EL 22/FEBRERO POR JORGE</t>
  </si>
  <si>
    <t>7 -VENTANAS TEMPLADAS INCOLOROSAS 6MM BORDES PULIDOS NATC. INCLUYE ACABADO MATIZADO TOTAL CHORRO ARNA MEDIDA 950 X 870 MEDIDA 950 X 865.</t>
  </si>
  <si>
    <t>SE HIZO ACARREO EL 12/MARZO</t>
  </si>
  <si>
    <t>SE LIBERO EL 15/ABRIL
SE INSTALO EL 06/MAYO POR CARLOS - JOSE - FERNEY - JORGE - ALBERTO</t>
  </si>
  <si>
    <t>1- S/I DE CABINAS BATIENTE EN VIDRIO TEMPLADO INCOLORO 6MM INSTALADO CON ACCESESORIOS DE ACSERO INOXIDABLE Y PERFILERIA ACRILICA MEDIDA 820 X 1800.</t>
  </si>
  <si>
    <t>SE INSTALO EL 12/MARZO POR JORGE -ALBERTO</t>
  </si>
  <si>
    <t>1- S/I DE VIDRIOS TEMPLADOS INCOLROLOS 6MM IINCLUYE PUERTA BATIENTE CON BISAGRAS Y CERRADURA ESQUINERA VIDRIO FIJO INSTALADO CON PERFIL DE ALUMINIO MEDIDA 665 X 1850.</t>
  </si>
  <si>
    <t>SE INSTALO EL 10/MARZO JORGE - ALBERTO</t>
  </si>
  <si>
    <t>1- SERVICIO DE MANTENIMIENTO DE PUERTA BATIENTE EN VIDRIO TEMPLADO INCLUYE PERFORACIONES.
1- SERVICIO DE MANTENIMIENTO DE PUERTA BATIENTE EN VIDRIO TEMPLADO INCLUYE AJUSTE DE BISAGRA.
1- S/I DE PUERTA CORREDIZA SISTEMA OPTIGLASS EN VIDRIO TEMPLADO INCOLORO 8MM INCLUYE ACCESORIOS PARA LA INSTALACION MEDIDA 1.10 X 2 HO MTS.</t>
  </si>
  <si>
    <t>1- SERV DE MANTENIMIENTO DE PUERTA VIDRIERA EN ALUMINIO INCLUYE CAMBIO DE CERRADURA RODAMIENTOS  AJUSTES Y ELEVACION 
2- S/I DE CERROJOS PUNTO RIJO PARA VENTANERIA DE ALUMINIO.</t>
  </si>
  <si>
    <t>SE REALIZO MANTENIMINETO EL 01/MARZO POR JOSE - ALBERTO</t>
  </si>
  <si>
    <t>3- S/I CABINAS GLASSVIT EN VIDRIO TEMPLADO INCOLRO 6MM PUERTA CON BOTON HALADERA INCLUYE SILLAR Y PERFILES DE ALUMINIO NATUAL MATE  MEDIDAS 1,27 X 2,00 // 1,38 X 2,00 // 0,86 X0,86 X 1,90.</t>
  </si>
  <si>
    <t xml:space="preserve">SE INSTALO EL 08/MARZO </t>
  </si>
  <si>
    <t>2- S/I TABLEROS VIDRIOS TEMPLADOS INCOLOROS 6MM BPB INNCLUYE ELEVADORES DE ACERO INOX Y PELICULA SANDBLESTING MEDIDA 1- 1600 X 00 1- 1200 X 800.</t>
  </si>
  <si>
    <t>1- S/I DE VIDRIO TEMPLADO INCOLORO 10MM BPB INSTALADO CON TOCETOS EN ACERO INOX INCLUYE VINILO ADHESIVO COLOR BLANCO MEDIDA 800 X 2400.</t>
  </si>
  <si>
    <t>1- SERV DE MANTENIMIENTO CORREDIZO PARA PUERTA BATIENTE EXISTENTE INCLUYE AJUSTE Y NIVELACION.</t>
  </si>
  <si>
    <t>SE LIBERO EL 19/MARZO
SE HIZO MANTENIMINETO EL 10/MARZO POR JOSE - FERNEY</t>
  </si>
  <si>
    <t>1- S/I DE CERRADURA YAIZ 170 1/4 INSTALADO EN FACHADA EXISTENTE.
2- SERV DE AMTENIMIENTO DE PUERTAS BATIENTES DE FACHADA INCLUYE AJUSTE Y NIVELACION DE BASES.</t>
  </si>
  <si>
    <t>SE REALIZO INSTALACION EL 07/MARZO POR JOSE - FERNEY
SE HIZO MANTENIMIENTO 07/MARZO POR JOSE - FERNEY</t>
  </si>
  <si>
    <t>1- S/I FACHADA EN VIDRO TEMPLADOINCOLORO 10MM BPB INCLUYE PUERTA DOBLE ALA BATIENTE CON ESQUINEROS Y ZOCALO INFERIOR INCLUYE BISAGRAA INDUSTRIALES M60 TRAFICO PESADO.</t>
  </si>
  <si>
    <t>SE INSTALO EL 11/MARZO POR JOSE - FERNEY</t>
  </si>
  <si>
    <t>1- S/I TABLERO EN VIDRIO TEMPLADO INCOLORO 6MM INSTALADO CON EIZUADORES 4OND DE ACERO ONXIDABLE 1 X 3CMT INCLUYE PELICULA ADHESIVA TIPO SAND - BIASTING INCLUYE SOPORTE PORTA -- BURRADOR LABINADO DE ACERO MEDIDA 1,20 X 0,80.</t>
  </si>
  <si>
    <t>SE INSTALO EL 12/MARZO POR JOSE - FERNEY</t>
  </si>
  <si>
    <t xml:space="preserve">PERTENECE A LA ODP 22113 VENTANAS FALTANTES
SE INSTALO EL 10/MARZO POR JOSE - FERNEY </t>
  </si>
  <si>
    <t>1- S/I DE VIDRIO TEMPLADO INCOLORO 8MM BPB INSTALADO CON ACCESORIOS EXISTENTES EN PASAMANOS INCLUYE PELICULA DE SEGURIDAD TRASPARENTE MEDIDA 155 X 515.</t>
  </si>
  <si>
    <t>1- S/I DE VIDRIO SISTEMA EN ALUMINIO 3831 CON VIDRIO CRUDO 4MM INCOLORO INCLUYE NAUZ PROYECCION Y ALFAJIA INFERIOR ALUMINIO ANDDIZADO NATURAL MATE MEDIDA 1,05 X 1,50.</t>
  </si>
  <si>
    <t>4- S/I DE PASAMANOS DE PARCHE EN VIDRIO TEMPLADO INCOLRO 8MM VIDRIOS INSTALADOS CON ELEVADORES DE ACERO INOXIDABLE.
1 S/I DE PELICULA DE CONTROL SOLAR PARA VENTANA EXISTENTE.</t>
  </si>
  <si>
    <t xml:space="preserve"> 1- S/I DE VIDRIO TEMPLADO INCOLORO 8MM INCLUYE PELICULA TIPO - SAND BUISTINC 1 CARA VIDRIO INSTALADO EN ESTRUCRUR DE PELICUOLS EXISTENTE 1.35 X 1,30.</t>
  </si>
  <si>
    <t>SE INSTALO EL 03/MARZO POR FERNEY Y JOSE</t>
  </si>
  <si>
    <t>2- S/I PUERTAS CORREDIZAS VIDRIO TEMPLADO 8MM PARA CABINAS SISTEMA GLASSVIT MEDIDA 770 X 1925 MEDIDA 620 X 1915.</t>
  </si>
  <si>
    <t>REPOCION PUERTAS CORREDIZAS ODP 22340 Y 22341 MEDIDAS DE PUETAS MALAS EN LA ALTURA.
SE INSTALO EL 14/MARZO POR JORGE</t>
  </si>
  <si>
    <t>1-S/I DZ PV-7038(MONUMENTAL), CON VIDRIO TEMPLADO 8MM, INCLUYE CERRADURA Y MANIJAS DISEÑO O/UXX-XXO. ALUMINIO NEGRO MEDIDAS:4650+7400*2580.
1-S/I DZ DIVISION DZ OFICINA, VIDRIO TEMPLADO 10MM (NUZNO). SE REUTILIZAN 2 VIDRIOS EXISTENTES Y ACCESORIOS. INCLUYE TUBULARES T-244 (ESTRUCTURAL). MEDIDA 4,75*2,55.</t>
  </si>
  <si>
    <t xml:space="preserve">1- VENTANA DE VIDRIO TEMPLADO INCOLORO 10MM BPB SIN PERFORACIONES NI MAQUINADO MEDIDAS 1600 X 750. </t>
  </si>
  <si>
    <t>SE HIZO ACARREO EL 12/MARZO POR JUAN D.</t>
  </si>
  <si>
    <t>1- S/I VIDRIO TEMPLADO INCOLORO 6MM BPB PARA REPOSION EN CABINA DE BAÑO INCLUYE RODAMIENTOS MEDIDA 700 X 1790.</t>
  </si>
  <si>
    <t>SE INSTALO EL 18/MARZO POR FERNEY - JUAN D.</t>
  </si>
  <si>
    <t>2-S/I VIDRIOS TEMPLADOS PATA VENTANA, INCLUYE PUERTAS BATIENTES CON VIDRIO TEMPLADO INCOLORO 6MM, INSTALADOS CON ESQUINEROS PUERTA DUCHA, BOTA HELADERA Y CERRADURA ESQUINERAS, VIDRIOS FIJOS INSTALADOS CON PERFILES ALUMINIO. PERFILERIA Y ACCESORIOS NEGROS. MEDIDAS VARIAS.</t>
  </si>
  <si>
    <t>7- S/I DE PELICULA ADHESIVA TIPO SAND-BLASTING INSTALADO EN YIDRIOS DE DIVICION 1 MEDIDA 0.70 X 1.15  4 MEDIDA  0,85 X 1,15 2 MEDIDA 1,12 X 1,15.</t>
  </si>
  <si>
    <t>CREDITO
SE INSTALO EL 04/MARZO POR SERGIO</t>
  </si>
  <si>
    <t>1- S/I DE BARRERA EN VIDRIO TEMPLADO 6MM INSTALADO CON PARALES DE ACERO INOX DE 1 1/2 X 60 CMS DE ALTURA Y BOJES MEDIDA 2200 X 500 MEDIDA 1300 X 500.</t>
  </si>
  <si>
    <t>2- VENTANAS DE VIDRIO TEMPLADOINCOLRO 6MM BORDES PULIDOS VIDRIOS PARA PERGOLA MEDIDA : 900 X 1400 MEMIDA : 900 X 1600.</t>
  </si>
  <si>
    <t>1- SERV DE MANTENIMIENTO PARA PUERTA EXISTENTE INCLUYE AJUSTES Y NIVELACION DE PUERTA Y ALIBRACION DE BISAGRA HIDRAULICA.</t>
  </si>
  <si>
    <t>1- S/I VIDRIO CORREDIZO 5MM TEMPLADO INSTALADO EN CABINA DE BAÑO MEDIDA 610 X 1780.</t>
  </si>
  <si>
    <t>2- S/I DE BRAZO HIDRAULICO MARCA YAIZ PARA PUERTA EXISTENTE IINCLUYE CAMBIO DE FALLABA.</t>
  </si>
  <si>
    <t>SE INSTALO EL 01/MARZO POR JORGE - ALBERTO</t>
  </si>
  <si>
    <t>1- VENTANA DE VIDRIO TEMPLADO INCOLORO 6MM PUERTA BATIENTE ON PERFORACONES MEDIDAS 720 X 1800.</t>
  </si>
  <si>
    <t>SE ENTREGO EL 17/MARZO POR LUIS</t>
  </si>
  <si>
    <t>1- S/I VIDRIO TEMPLADO INCOLORO 6MM BPB PARA REPOCION DE FIJO DE CABINA DE BAÑO MEDIDA 480 X 2075.</t>
  </si>
  <si>
    <t>UNA NO CONFORMIDAD
SE INSTALO EL 03/FEBRERO POR JOSE - YEISON</t>
  </si>
  <si>
    <t>1- VENTA DE VIDRIO TEMPLADO INCOLORO 6MM BPB USO PARA TECHO MEDIDAS 1200 X 1175.</t>
  </si>
  <si>
    <t>SE ENTREGO EL 12/MARZO POR LUIS</t>
  </si>
  <si>
    <t>1- FERIAZA: SERV DE MANTENIMIENTO CORRECTICO PARA PUERTA BATIENTE DOBLE ALA DE VIDRIO INCLUYE EMPAQUE ODEMA,AJUSTE Y NIVELACION.
1- PPAL: SERV DE MANTENIMIENO PREVENTIVO PARA PUERTA BATIENTE DOBLE ALA DE VIDRIO INCLUYE AJUSTE Y NIVELACION.</t>
  </si>
  <si>
    <t>SE REALIZO MANTENIMIENTO EL 19/MARZO POR JORGE - ALBERTO</t>
  </si>
  <si>
    <t>7- S/I DE MANIJA PARA VENTANAS PROYECTANTES MATE.</t>
  </si>
  <si>
    <t>1- S/I DE TABLERO EN VIDRIO TEMPLADO INCOLORO 6MM BPB INCLUYE 6 ELEVADORES DE ACERO INOX Y PELICULA SAD BLASTING MEDIDA 2000 X 1200.</t>
  </si>
  <si>
    <t>1- S/I DE VIDRIO TEMPLADO INCOLORO 5MM PARA REPOSICION ENN LA PUERTA DE ALUMINIO MEDIDA 820 X 1080.</t>
  </si>
  <si>
    <t>14- S/I VENTANAS PROYECTANTE ALUMINIO, INCLUYE VIDRIO LAMINADO,AJUSTE Y NIVELACION  MEDIDAS VARIAS.</t>
  </si>
  <si>
    <t>1- VIDRIO TEMPLADO INCOLORO 5MM BPB PARA PROTECTOR DE PISO MEDIDAS 1,00 X 0,90 MTS.</t>
  </si>
  <si>
    <t>INSTALACION 14/MARZO POR JOSE-FERNEY</t>
  </si>
  <si>
    <t>INSTALACION 20/MARZO POR ALBERTO - JORGE</t>
  </si>
  <si>
    <t>INSTALACION 11/MARZO POR JUAN D</t>
  </si>
  <si>
    <t>2- SERV DE DESMONTE  Y RE- INSTALACION DE PUERTA BATIENTE ALA EXISTENTE NO INCLUYE ACCESORIOS NI PERFILERIA MEDIDA 1,30 X 2,50.
1- SERV DE DESMONTE Y RE- INSTALACION DE VIDRIO FIJO EXISTENTE NO INCLUYE ACCESORIOS NI PERFILERIA MEDIDAS 1,60 X 2,35.</t>
  </si>
  <si>
    <t>SE REALIZO SERVIIO EL 03/MARZO POR JORGE - FERNEY</t>
  </si>
  <si>
    <t>1-VENTA DE VIDRIOS TEMPLADOS INCOLOROS 6MM BPB INCLUYE RODAMIENTOS Y BOTA HIDRAULICA. MEDIDA 1180 X 1800.</t>
  </si>
  <si>
    <t>1-S/I VIDRIO TEMPLADO INCOLORO 6MM PARA REPOSICION EN PERGOLA EXISTENTE INCLUYE PELICULA CONTROL SOLAR MEDIDA 870 X 1425.</t>
  </si>
  <si>
    <t>1-S/I DE VIDRIO TEMPLADO INCOLORO 6MM INSTALADO EN PIERTA VIDRIERA EXISTENTE INCLUYE PELICULA AGHSIVA DE CONTROL SOLAR MEDIDA 2,05 X 2,25 MTS.</t>
  </si>
  <si>
    <t>INSTALACION 12/MARZO POR JOSE / FERNEY</t>
  </si>
  <si>
    <t>1-S/I DE VIDRIO CRUDO INCOLORO 5MM INSTALADO EN VENTANA EXISTENTE MEDIDA 950 X 950.</t>
  </si>
  <si>
    <t>INSTALACION 15/MARZO POR JORGE</t>
  </si>
  <si>
    <t>1-SERVICIO DE DESMONTE Y RE-INSTALACION DE VIDRIO FIJO EXISTENTE. NO INCLUYE ACCESORIOS. MEDIDA:1,60*2,35 MTS.</t>
  </si>
  <si>
    <t>1-S/I VIDRIO TEMPLADO INCOLORO 6MM BPB PARA REPOSICION DE PUERTA CABINA BATIENTE INCLUYE BISAGRAS BOTA Y PERFIL ACRILICO MEDIDA 610 X 1800.</t>
  </si>
  <si>
    <t>INSTALACION 12/MARZO POR JORGE - ALBERTO</t>
  </si>
  <si>
    <t>2-S/I DE DIVISION DE OFICINA EN VIDRIO TEMPLADO INCOLORO 8MM, VIDRIOS FIJOS INSTALADOS CON PERFIL DE ALUMINIO. MEDIDA: 2140*2400.</t>
  </si>
  <si>
    <t>1-VENTA DE VIDRIO TEMPLADO INCOLORO 6MM, CON RADIOS MEDIDA 547 X 428. VIDRIO TEMPLADO PARA ENTREPAÑO DE NEVERA.</t>
  </si>
  <si>
    <t>1-SERVICIO DE DESMANTE Y RE-INSTALACION DE DIVISION EXISTENTE EN ALUMINIO Y VIDRIO MEDIDA: 2,80*2,25 TS.
1-S/I DIVISIONES EN VIDRIO LAMINADO 444 Y VIDRIO TEMPLADO 10MM CON PELICULA DE SEGURIDAD INCLUYENDO PERFILERIA PARA INSTALACION. MEDIDA: 2,80*2,55.
1-SERVICIO DE DESMONTE, CORTE DE VIDRIO Y PERFILERIA, Y RE-INSTALACION DE DIVISION DE OFICINA EXISTENTE, MEDIDA: 3,00*2,55MTS.</t>
  </si>
  <si>
    <t>INSTALADO 25/MARZO POR JOSE / FERNEY</t>
  </si>
  <si>
    <t>1-S/I CABINA BATIENTE EN VIDRIO TEMPLADO INCOLORO 8MM, INSTALADA CON ACCESORIOS EN ACERO INOXIDABLE, AREA=3,00MT2.
1-S/I CABINA BATIENTE EN VIDRIO TEMPLADO INCOLORO 8MM, INSTALADA CON ACCESORIOS EN ACERO INOXIDABLE. AREA=4,00MT2.</t>
  </si>
  <si>
    <t>CREDITO
SE INSTALO 18/MARZO JORGE-ALBERTO</t>
  </si>
  <si>
    <t>2-VENTA DE VIDRIO TEMPLADOINCOLORO 6MM, BPB, YABLA APOYO. MEDIDA:240*300.
1-VENTA DE VIDRIO CRUDO INCOLORO 6MM, BPB, MEDIDA:420*345 EXISTENTE.</t>
  </si>
  <si>
    <t>1-S/I VIDRIO TEMPLADO INCOLORO 8MM, BPB, PARA REPOSICION DE PUERTA CORREDIZA CABINA DE BAÑO, INCLUYE MACHADO PAREJA.</t>
  </si>
  <si>
    <t>PENDIENTE FRANJAS 27-03
SE INSTALO EL 11/ABRI POR JORGE</t>
  </si>
  <si>
    <t>1-SERVICIO DE DESMANTE DE FACHADA EN VIDRIO TEMPLADO INCOLORO MEDIDAS VARIAS.</t>
  </si>
  <si>
    <t>1-VENTA DZ VIDRIO TEMPLADO 10MM, BORDES PULIDOS Y BRILLADOS INCLUYENDO BOQUETES Y PERFEROCIONES. VIDRIO PARA PUERTA BATIZANTE MEDIDA: 1183*2130.</t>
  </si>
  <si>
    <t>1-S/I PV-7038, CON VIDRIO TEMPLADO INCOLORO  6MM, CON MANIJAS Y CERRADURA INVERSAS DISEÑO OXXO-ALUMINIO PINTURA NEGRA. MEDIDA:8,00*2,90MTS.
1-S/I DZ VIDRIO TEMPLADO INCOLORO 10MM, PARA FACHADA FIAC, INSTALADO CON TORCITOS DE ACERO INOXIDABLE. MEDIDAS:1,00*3,00MTS.</t>
  </si>
  <si>
    <t>1-S/I CABINA PLEGABLE EN VIDRIO TEMPLADO INCLORUDO 8MM, INCLUYE ACCESOSRIOS EN ACERO INOXIDABLE (BISAGRAS Y BOTON HALADERA). VIDRIOS INCLUYEN PELICULAS ADESIVA TIPO SAND-BLASTING. MZDIDA:810*1900.</t>
  </si>
  <si>
    <t>SE LIBERO EL 18/MARZO
SE INSALO EL 22/MARZO POR JOSE - FERNEY</t>
  </si>
  <si>
    <t xml:space="preserve">1-S/I DE VIDRIO CRUDO 4MM INCOLORO, INSTALADO EN VENTANA EXISTENTE. INCLUYE PELICULA ADHESIVA DE CONTRA SOLAR (REFLETIVA). MEDIDA1210*1,15MTS.
2-S/IDE PELICULA ADHESIVA DE CONTROL SOLAR (REFLETIVA), INSTALADA EN VIDRIOS EXISTENTES
3-SERVICIO DE APLICACION DE SALAMIENTO EN SILICONA TRASPARENTE, PARA VENTANAS.                                    </t>
  </si>
  <si>
    <t>SE INSTALO EL 18/MARZO POR FERNEY</t>
  </si>
  <si>
    <t>1-VENTADE VIDRIO TEMPLADO INCOLORO 6MM, BPB, PARA ENTREPAÑO NEVERA.</t>
  </si>
  <si>
    <t>SE ENTREGO EL 21/MARZO POR LUIS</t>
  </si>
  <si>
    <t>1- SERVICIO DE INSTALACION DE VIDRIO TEMPLADO EXISTENTE INCLUYE ANGULO Y SELLO SILICONA.
2- S/I ESPEJOS EMM BPB INCLUYE MARCO CON ANGULO ALUMINIO MEDIA 560 X 1400.</t>
  </si>
  <si>
    <t>SE INTALO EL 20/MARZO POR JORGE-ALBERTO</t>
  </si>
  <si>
    <t>1-VENTA Y TRASPORTE DE VIDRIO CRUDO INCOLORO 5MM BPB INCLUYE PELICULA AFHESIVA MEDIDA 1910 X 240.</t>
  </si>
  <si>
    <t>SE REALIZO ACARREO EL 22/ABRIL POR JUAN D.</t>
  </si>
  <si>
    <t>1-S/I DE VIDRIO LAMINADO TEMPLADO INCLORO 5+5 INSTALADOS EN ESTRUCTURA DE PERGOLA EXISTATE. INCLUYE INSTALACION CON EMPAQUE TIPO NEOPROPIETARIO Y SELLAMIENTO CON SILEICONA. INCLUYE PELICULA SOLAR, MEDIDA:1920-1635.</t>
  </si>
  <si>
    <t>23-V/T DE VIDRIOS INCOLOROS 6MM, BPB, USO PARA TECHO, MEDIDAS VARIAS.</t>
  </si>
  <si>
    <t>5784
5793
5821</t>
  </si>
  <si>
    <t>5460
61
62
63</t>
  </si>
  <si>
    <t>NC#016
SE INSTALO EL 22/ABRIL POR JOSE Y ACOMPAÑANTES</t>
  </si>
  <si>
    <t>5821 SE HIZO /29-MARZO-2025
SE INTALO EL 29-MARZO-2025, JOSE Y ACOMPAÑANTES
ODP - 22547</t>
  </si>
  <si>
    <t>1-VENTA DE VIDRIO TEMPLADO INCOLORO 6MM, BPB, PARA UTILIZAR EN TECHO, MEDIDA:1,50*2,00MTS.</t>
  </si>
  <si>
    <t>SE DESPACHO EL 25/ABRIL POR JUAN D.</t>
  </si>
  <si>
    <t>5-VENTA DE VIDRIOS TEMPLADOS INCOLOROS 10MM, BORDADES BRILLANTES, INCLUYE PELICULA REFLETIVA SILVER. MEIDA:1300*2000.</t>
  </si>
  <si>
    <t>SE DESPACHO EL 19/ABRIL POR JUAN D.</t>
  </si>
  <si>
    <t>1-VENTA DE VIDRIO TEMPLADO INCOLORO 5MM, BPB, INCLUYE 2 RADIAN DE 15MM. MEDIDA:595*460.</t>
  </si>
  <si>
    <t>1-S/I VIDRIO TEMPLADO INCOLORO 8MM, PARA REPOSICION DE FIJO DE CABINA BATIENTE, INCLUYE CHAPETA DE ANCLEJE A 90. INCLUYE INSTALACION DE PUERTA CON ACCESORIOS EXIXTENTES. MEDIDA: 520*2050.</t>
  </si>
  <si>
    <t>1-S/I CABINA CORREDIZA TIPO GLASSVIT, EN VIDRIO TEMPLADO INCOLORO 8MM. INCLUYE PUERTA CORREDIZA Y BOTA HELADERA EN ACERO INOXIDABLE, GUIA DE PESO Y PERFIL ACRILICO. INCLUYE MARCO PERIMETRAL EN U DE ALUMINIO Y CUADRICULA EN PLATINNO. ALUMNIO NEGRO. MEDIDA:1500*2350.</t>
  </si>
  <si>
    <t>FALTA CORTINA ALUMINIO - 03-ABRIL
SE LIBERO EL 10/ABRIL
SE INSTALO EL 15/ABRIL POR CARLOS - JAVIER</t>
  </si>
  <si>
    <t>3-S/I VENTANAL DE ALUMINO SISTEMA 744, VIDRIO CRUDO INCOLORO 5MM, CERRADURA IMPACTO SENCILLA, ALUMNIO NEGRO, INCLUYE ALFAGA, MEDIDAS VARIAS.</t>
  </si>
  <si>
    <t>1-S/I DE PUERTA BATIANTE DEBLE A LA EN VIDRIO TEMPLADO DE 8MM CON BISAGRA MEDIALUNA CENTAS ACERO INOX, PELICULA SOLUBLE.</t>
  </si>
  <si>
    <t>3-S/I DE TABLERO EN VIDRIO TEMPLADO INCOLORO 6MM, PULIDO Y BRILLADO. TABLERO INTALADO CON ECUADORS (4UND) ACERO INOXIDABLE 1*30MS INCLUYE ACABADO MATIZADO TOTAL. MEDIDA 1000*800.</t>
  </si>
  <si>
    <t>1. S/I DE FACHADA EN VIDRIO TEMPLADO INCOLORO 10 MM Y 8MM, INSTALADO CON PERFILERIA DE ALUMINIO Y ACCESORIOS CON PINTURA ELECTRO-ESTATICA, INCLUYE PUERTA BATIENTE CON MANIJA Y CERRADURA. VIDRIOS FIJOS ENMARCADOS EN PERFILES. MEDIDAS ACORDADAS.
1. SERVICIO DE DESMONTE, TRASLADO Y DISPOSICION FINAL DE ELEMENTOS DE VIDRIOS DE FACHADA.</t>
  </si>
  <si>
    <t xml:space="preserve">PENDIENTE CORTE Y ENSAMBLE 27/MARZO
SE LIBERO EL 28/MARZO POR JOSE - FERNEY 
SE INTALO EL 04/ABRIL POR JOSE - FERNEY </t>
  </si>
  <si>
    <t>3-S/I DE CABINA EN VIDRIO TEMPLADO INCOLORO 8MM, INCLUYE ACCESORIO EN ACERO MAX ACABADO NEGRO BISAGRAS, CHAPETA) INCLUYE PERFIL ARCRILICO IMFERIOR Y MERCO EN U32 DE ALUMINIO NEGRO. MEDIDAS VARIAS.</t>
  </si>
  <si>
    <t>1-S/I VIDRIO PISABLE MULTILAMINADO TTEMPLADO 6+6+6, CON PVB SENTRY-GLASS INCOLORO INCLUYE INSTALACION CON EMPAQUE TIPO N20-PIZENO Y SALAMINETO CON SILICONA ESTRUTURAL . MEDIDA: 985*940.</t>
  </si>
  <si>
    <t>1- S/I FACHADA EN VIDRIO 10MM. INCLUYE PUERTA BATIENTE CON MANIJA 60CMS, KIT CERRADURA YMZ 170/4Y ZOCALO INFERIRO. VIDRIO FIJO CON F Y ZOCALO. INFERIOR ALUMINIO ANGLOZADO. MEDIDA: 2,10*2,40.
1- S/I VIDRIO TEMPLADO 8MM, INSTALADO CON TOCETOS, INCLUYE PELICULA SAND-BLASTING.</t>
  </si>
  <si>
    <t xml:space="preserve">SE INSTALO EL 26/ABRIL POR JOSE -ALBERTO </t>
  </si>
  <si>
    <t>1-SERVICIO DE MATENIMINETO PARA PUERTA BATIENTE. INCLUYE SUMINISTRO E INSTALACION DE BISAGRAS EN ACERO INOXIDABLE Y TUBOLAR DE ALUMINIO.</t>
  </si>
  <si>
    <t>MANTENIMIENTO EL 05-MARZO POR JORGE/ALBERTO</t>
  </si>
  <si>
    <t>1- S/I VIDRIOS TEMPLADOS INCOLOROS 6MM INSTALADOS EN PERGOLA EXISTENTE INCLUYE EMPAQUE, ANGULOS Y PLATINA PARA FIJACION MEDIDAS VARIAS.</t>
  </si>
  <si>
    <t>NC#012</t>
  </si>
  <si>
    <t>1-S/I DE TABLERO EN VIDRIO TEMPLADO 6MM CON PELICULA DUNDABLES, INCLUYE 4 ELEVADORES EN ACERO INOX. MEDIDA:1100*600.</t>
  </si>
  <si>
    <t>1-S/I DE TABLERO EN VIDRIO TEMPLADO INCOLORO 6MM, CON PELICULA SOLUBLE INCLUYE 4 ELEVADORES.</t>
  </si>
  <si>
    <t>1-S/I DE FACHADA EN VIDRIO TEMPLADO 10MM, INCLUYE PUERTA VATIENTE DOBLE DE LA ESQUINERA (SUP INF) MENIJA TIPO ROMA 02*1,80MTS CERRADURA DE 170 1/4 CON ESCUDOS DE ALUMINIO Y BISAGRAS HIDRAULICA SPEEDY M60. VIDRIO MATANTE INCLUYE PELICULA SEGURIDAD TRASPARENTE.</t>
  </si>
  <si>
    <t>1-S/I CORTINA ENROLLABLE TIPO BLACK-OUT, COLOR BLANCO MATI NARURAL MEDIDA:1,60*1,30MTS.</t>
  </si>
  <si>
    <t>1-S/I DE VIDRIO TEMPLADO INCOLORO 8MM, INCLUYE PELICULA TIPO-SAND-BLASTING(1CARA) VIDRIO INSTALADO EN ESTRUCTURA DE PERGOLA EXISTENTE. MEDIDA:1,35*1,30.</t>
  </si>
  <si>
    <t>SE INSTALO EL 31/MARZO POR JOSE - FERNEY</t>
  </si>
  <si>
    <t>SE INSTALO EL 26/MARZO POR ALBERTO - JUAN D.</t>
  </si>
  <si>
    <t>1-S/D, TRASLADO Y RE-INSTALACION DE VISRIOS FIJOS DE FACHADA Y NAVES DE PUERTA VISRIERA SIST, 7038. SUMINISTRO DE VIDRIO TEMPLADO 10MM Y PERFIL T-101 (BLANCO).</t>
  </si>
  <si>
    <t>1- S/I DE VIDRIOS INCOLORO 5MM INSTALADO EN PUERTA EXISTENTE MEDIDA 785 X 1205.</t>
  </si>
  <si>
    <t>1- S/I DE PELICULA TIPO SAND-BLASTING MEDIDA 1,20 X 2,30.</t>
  </si>
  <si>
    <t>INSTALADO EL 21-MARZO POR LEIDER</t>
  </si>
  <si>
    <t>1-S/I DE TABLERO EN VIDRIO TEMPLADO INCOLORO 6MM, PULIDO Y BRILLADO. TABLERO INTALADO CON ECUADORS (4UND) ACERO INOXIDABLE 1*30MS INCLUYE ACABADO MATIZADO TOTAL. MEDIDA 1000*800.</t>
  </si>
  <si>
    <t>2-VENTA DE VIDRIO TEMPLADO INCOLORO 5MM, BPB, INCLUYE 4 PERFORACIONES. MEDIDAD: 1-1220*910MM, 1-1355*1075MM.</t>
  </si>
  <si>
    <t>1-SERVICIO DE MANTENIMINETO CORRECTIVO PARA CABINA CORREDIZA EN VIDRIO TEMPLADO EXISTENTE. INCLUYE AJUSTE Y NIBELACION, CAMBIO DE RODAMINETOS Y SALAMINETO DE SILICONA.</t>
  </si>
  <si>
    <t>MANTENIMIENTO EL 28-MARZO POR FERNEY</t>
  </si>
  <si>
    <t>1- SUMINISTRO DE PUERTA EN VIDRIO TEMPLADO INCOLORO 10MM INCLUYE ACCESORIOS PARA INSTALCION (PIVOTES,ESQUINEROS, MANIJA Y BISAGRAS) ACCESESORIOS ALUMINIO NATURAL MATE MEDIDA 1.00 X 2,10.</t>
  </si>
  <si>
    <t>2-S/I DE CABINA BATIENTE CON VIDRIO TEMPLADO INCOLORO 6MM, Y ACCESORIOS EN ACERO INOXIDABLE. MEDIDA:950*1800.</t>
  </si>
  <si>
    <t>SE INSTALO EL 22/ABRIL POR JORGE</t>
  </si>
  <si>
    <t>3-V/T DE VIDRIOS TEMPLADOS INCOLOROS 6MM, BPB, INCLUYE PELICULA DE CONTROL SOLAR. MEDIDAS VARIAS.</t>
  </si>
  <si>
    <t>1- SERV DE CORTE DE PELICULA EXISTENTE FRANJA DE 30 CMS.</t>
  </si>
  <si>
    <t>SE REALIZO SERVICIO EL 26/MARZO POR SERIO</t>
  </si>
  <si>
    <t>1-S/I VIDRIO TEMPLADO INCOLORO 6MM, INSTALADO EN CABONA CORREDIZZA, INCLUYE RODAMINETOS Y BOTON HELADERA ACERO INOXI, MEDIDA:360*1800.</t>
  </si>
  <si>
    <t>1-S/I DE ESPESOR DE VIGILANCIA 4MM. INCLUYE SOPORTE PARA INSTALACION A MURO. MEDIDA: 50CMS.</t>
  </si>
  <si>
    <t>SE INSTALO EL 26-MARZO POR JORGE</t>
  </si>
  <si>
    <t>1-S/I DE VIDRIO TEMPLADO 10MM PARA REPOSICION DE PUERTA BATIENTE, ACCESORIOS EXISTENTES.</t>
  </si>
  <si>
    <t>1-S/I DE COMPLEMENTOS EN PERFILERIA DE ALUMINIO TUBULARES T-70 (1 1/2U * 1/2U), ANODIZADO.
3-NATURAL. MATE INTALADOS EN DIVISIONES DE LABORATOTIO, S/I EMPAQUEZ NEOPRENO PARA SALAMINETO DE PUERTAS BATIENTES.
1-SERVICIO DDE MANTENIMINETO PARA PUERTA DOBLE ALA INCLUYE AJUSTE Y NEULIZACION.</t>
  </si>
  <si>
    <t>1-S/I TABLERO VIDRIO TEMPLADO INCOLORO 6MM, TABLERO INSTALADO CON ELEVADORES (6UND). 1*3CMS. INCLUYE PELICULA ADHESIVA TIPO SAND-BLASTING. MEDIDA:2,20-1,20MTS.</t>
  </si>
  <si>
    <t>11-S/I VENTANAS ALUMINIO SISTEMA 3831 VIDRIO MINIBOREAL 4MM, ALUMINIO NEGRO, FIJOS Y PROYECTANTE. MEDIDAS VARIAS.
1-S/I VENTANA ALUMINIO SISTEMA 3831 VIDRIO TEMPLADO 6MM,FIJO PERSIANA Y PELICULA REFLECTIVA.  MEDIDA = 1320 MM X 2370 MM.
1-S/I PV 8025 VIDRIO TEMPLADO 6MM Y PELICULA REFLETIVA, ALUMINIO NEGRO INCLUYE CERRADURA MEDIDA:2150MM*2450.
1-S/I PUERTA BATIENTE DOBLE ALA VIDRIO TEMPLADO 6MM Y PELICULA REFLETIVA. MARCO TUBULAR T-244 NEGRO. MEDIDA:1200*2050.
1-S/I PUERTA BATIENTE DOBLE ALTURA, TUBULAR T-244 Y PERSIANA, INCLUYE CERRADURA. ALUMINIO NEGRO. MEDIDA:800*2050.</t>
  </si>
  <si>
    <t>1-VENTA DE VIDIRO TEMPLADO INCOLORO 6MM, BPB, INCLUYE 3 PERFORACIONES .MEDIDA:700*1880.</t>
  </si>
  <si>
    <t>1-V/T DE VENTANA DE ALUMINIO SISTEMA 744, CON VIDRIO LAMINADO CREUDO INCOLORO 3+3, INCLUYE CERRADURA IMPACTO SENCILLA. ALUMNIO NATURAL MATE. DISEÑO:X0 (CERRADURA Y FIJA). MEIDA:1600*2000.</t>
  </si>
  <si>
    <t>1-S/I DE VIDRIO CRUDO 6MM PARA PUERTA BATIENTE, MEDIDA 940*2030.</t>
  </si>
  <si>
    <t>SE LIBERO EL 10/ABRIL
SE INETALO EL 14/ABRIL CARLOS Y ALBERTO</t>
  </si>
  <si>
    <t>1-S/I PUERTA CORREDIZA SISTEMA DUCASSE CON VIDRIO TEMPLADO INCOLORO 6MM, INCLUYE CERRADURA INCRUSTADA Y MANIJA. ALUMINIO NEGRO. ESTRUCTURAR T-1101. MEDIDA: 1250*2300
1-S/I TABLERO VIDRIO TEMPLADO INCOLORO 6MM, BPB, INCLUYE ELAVADORES Y PELICULA SUNDABLASTING. MEIDA:1500*1000.</t>
  </si>
  <si>
    <t>1-VENTA DE VIDRIO CUDO INCOLORO 6MM, BORDES MATADO FILO, USO PARA VENTANA MEDIDAS: 1470*750MM.</t>
  </si>
  <si>
    <t>SE ENTREGO EL 29-MARZO POR LUIS</t>
  </si>
  <si>
    <t>1-S/I DE VIDRIO CRUDO INCOLORO 6MM, CON PELICULA ADHESIVA, TIPO FROSTED O SIMILAR. MEDIDA: 2000*2300.</t>
  </si>
  <si>
    <t>1-VENTA DE VIDRIO TEMPLADO INCOLOR 5MM, BPB, SIN MAQUINADO. MEIDADAS. 1100*400.</t>
  </si>
  <si>
    <t>1-VENTA DE VIDRIO TEMPLADO INCOLORO 5MM, BPB, INCLUYE 4 PERFORACIONES. MEDIDAD: 1-1220*910MM.</t>
  </si>
  <si>
    <t>3-S/I TIPO GLASSVIT EN VIDRIO TEMPLADO INCOLORO 8MM, INCLUYE SISTEMA GLASSVIT Y BOTA HELADERA ACERO INOX, INCLUYE SILLAR Y PERFILES U EN ALUMINIO. ALUMINIO NATURAL MATE. MEDIDAS VARIAS.</t>
  </si>
  <si>
    <t>1-V/T DE VIDRIO TEMPLADO INCOLORO 4MM, BPB, USO ENTREPAÑO NEVERA. MEDIDA:655*380.</t>
  </si>
  <si>
    <t>SE LIBERO EL 09/ABRIL
SE DESPACHO EL 10/ABRIL POR JUAN D.</t>
  </si>
  <si>
    <t>1-S/I DE ESPEJO 4MM, CON BORDES Y BRILLADOS, ESPEJO INSTALADO A PARED CON CINTA ADHESIVA Y SILICONA. MEIDA:2340*465.</t>
  </si>
  <si>
    <t>PENDIENTE PELICULA 31-MARZO-2025
LIBERADO EL 09/ABRIL
SE INSTALO EL 06/MAYO POR JORGE-ALBERTO-JUAN D -CARLOS</t>
  </si>
  <si>
    <t>se libero el 12/abril
SE INSTALO EL 05/MAYO POR JAVIER - ALBERTO
SE INSTALO EL 07/MAYO POR JAVIER - JORGE - ALBERTO</t>
  </si>
  <si>
    <t>SE DESPACHO EL 07/MAYO POR JUAN D.</t>
  </si>
  <si>
    <t>ANOTADO FALTA KIT 29/ABRIL
SE INSTALO EL 07/MAYO POR JORGE - ALBERTO</t>
  </si>
  <si>
    <t>SE LIBERO EL 12/ABRIL
SE INSTALO EL 07/MAYO POR JOSE - FERNEY</t>
  </si>
  <si>
    <t>ZIVILBAU INGEIERIA SAS</t>
  </si>
  <si>
    <t>YULIANA SANDOVAL</t>
  </si>
  <si>
    <t>3138036058
3212906037</t>
  </si>
  <si>
    <t>1-S/I CABINA DE BAÑO TIPO PLEGABLE VIDRIO TEMPLADO INCOLORO 6MM, INCLUYE VIDRIO LATERAL ACCESORIOS EN COLOR NEGRO (BISAGRAS SENCILLAS, DOBLES, CHAPETAS Y BOTA HELADERA).
1-S/I VENTANA DE ALUMINIO SISTEMA 5020 VIDRIO CRUDO INCOLORO 4MM, CERROJO ROJO Y OELICULA SANDBLASTING. ALUMINIO NEGRO. DISEÑO: XX CORREDIZAS. MEDIDA:1000X490MM.</t>
  </si>
  <si>
    <t>JACOBO RAMIREZ PLATA</t>
  </si>
  <si>
    <t>7-VENTA DE VIDRIOS TEMPLADOS INCOLOROS 5MM, BPM, USO PARA PERGOLA. MEDIDA:1000X1500.</t>
  </si>
  <si>
    <t>1-S/I DE PUERTA BATIENTE EN VIDRIO TEMPLADO INCOLORO 10MM, BPB, PUERTA CON ESQUINEROS, PIVOTES, MANIJA 60CMS Y BISAGRA HIDRAULIXA SPEDY M-60. MEDIDA:1,00X2,100MTS.</t>
  </si>
  <si>
    <t>INTELLIGENT ELECTRONIC SOLUTIONS SAS</t>
  </si>
  <si>
    <t>INGRIT GIRALDO</t>
  </si>
  <si>
    <t>3188894975
3137473359</t>
  </si>
  <si>
    <t>1-S/I DE DIVIDION DE OFICINA EN VIDRIO TEMPLADO INCOLORO 8MM, INCLUYE PURTA CORREDIZA SISTEMA, CERRADURA PICOLORO Y MANIJA ACERO. VIDRIOS FIJOS INSTALADOS CON PERFILERIA DE ALUMINIO. INCLUYE PELICULA ADHESIVA (FRANJA 1,50).</t>
  </si>
  <si>
    <t>5-S/I DE VIDRIO LAMINADO 4+4 CRUDO INCOLOR, INSTALADO EN DIVISION EXISTENTE. NO INCLUYE ACCESORIOS Y/O PERFILERIA. MEDIDAS VARIAS.
1-S/I DE VIDRIO TEMPLADO INCOLOR 10MM, PARA DIVISION EXISTENTE. INCLUYE PELICULA DE SEGURIDAD TRANSPARENTE. INCLUYE BOQUETE. MEDIDA:950X2350.</t>
  </si>
  <si>
    <t>LUCELY RODRIGUEZ</t>
  </si>
  <si>
    <t>1-VENTA DE VENTANA DE ALUMINIO SISTEMA 744 CON VIDRIO TEMPLADO INCOLORO 5MM, INCLUYE CERRADURA DE IMPACTO SENCILLA. ALUMINIO NEGRO. DISEÑO: XX CORREDIZA. INCLUYE PELICULA SOLAR. MEDIDA:1900-1700.</t>
  </si>
  <si>
    <t>2-VENTA VIDRIOS TEMPLADOS INCOLOROS 5MM, BPB, INCLUYE 4 RADIOS DE 60MM. MEDIDA:430*232MM.
1-VENTA VIDRIO TEMPLADOS INCOLORO 8MM, BPB, INCLUYE 4 RADIOS, MEDIDA.470*400MM.
1- VENTA VIDRIO TEMPLADO INCOLORO 8MM, BPB, INCLUYE PERFORACIONES Y RADIOS. MEDIDA.470*720MM.
2-VENTA VIDRIO TEMPLADO INCOLORO 8MM, BPB, INCLUYE PERFORACIONES Y RADIOS. MEDIDA.1020*490MM.</t>
  </si>
  <si>
    <t>1-V/T DE PASAMANOS EN VIDRIO TEMPLADO, INCOLORO 8MM, INCLUYE BILILLO ALUMINIO, MEDIDA:3,0*0,70.
1-V/T DE DIVISION OPTIGLASS, VIDRIO INCOLORO 8MM, INCLUYE MENIJA REDONDOS SIRVE. 2 FIJOS Y CORREDIZAS. MEIDA: 3,0*1,10.</t>
  </si>
  <si>
    <t>1-S/I DE PELICULA ADHESIVO EN IMPRESIÓN DIGITAL, DISEÑO TIPO FROSTED CON FRANJAS NEGRAS 2 CMS, SEGÚN DISEÑO, ALTURA: 1,10MTS.</t>
  </si>
  <si>
    <t>SANTA MONICA SURFACES SAS</t>
  </si>
  <si>
    <t>1-S/I VIDRIO TEMPLADO INCOLORO 10MM, BPB, INCLUYE 1 BOQUETE, PARA DIVISION OFICINA. MEIDA:1446*2340.</t>
  </si>
  <si>
    <t>SE LIBERO EL 15/ABRIL
SE INSTALO EL 26/ABRIL POR JOSE - ALBERTO</t>
  </si>
  <si>
    <t>1-S/I VIDRIO TEMPLADO INCOLORO 10MM, PARA PUERTA BATIENTE, INCLUYE PELICULA SEGURIDAD TRASPARENTE, MEIDA: 1000*2180.</t>
  </si>
  <si>
    <t>NC#014</t>
  </si>
  <si>
    <t>1-SERVICIO DE MANTENIMIENTO PARA FACHADA CON PUERTA CORREDIZA, INCLUYE AJUSTE Y NIVELACION, NO INCLUYE ACCESORIOS.</t>
  </si>
  <si>
    <t>1-S/I CABINA BATIENTE EN VIDRIO TEMPALDO INCOLORO 6MM, INCLUYE ACCESORIOS E ACCERO IMOX Y PERFIL ACRILICO, INCLIUYE MATIZADO EN FRANJAS. MEDIDA:800*1900.</t>
  </si>
  <si>
    <t>1- S/I DIVISION DE OFICINA VIDRIO TEMPLADO 8MM, INCLUYE PUERTA SISTEMA OPTIGLASS, MANIJA TIPO ROMA, ACERO INIXIDABLE 60MM Y CERRADURA PICOLORO.VIDRIOS INSTALADOS CON PERFILES DE ALUMINIO, INCLUYE SANBLASTING MEDIDAS: 1820 X 2080.
1- S/I DIVISION DE OFICINA VIDRIO TEMPLADO 8MM, INCLUYE PUERTA SISTEMA OPTIGLASS, MANIJA TIPO ROMA Y CERRADURA PICOLORO.VIDRIOS FIJOS  CON PERFILES DE ALUMINIO, INCLUYE SANBLASTING MEDIDAS: 1460 X 2000.
1- S/I PUERTA BATIENTE VIDRIO TEMPLADO INC 8MM, INCLUYE ESQUINEROS, MANIJA Y CERRADURA YALE, INCLUYE PELICULA CON DISEÑO, MEDIDA: 900 X 2380.
1S/I DIVISION DE OFICINA VIDRIO TEMPLADO INC 8MM INSTALADOS CON PERFIL EN ALUMINIO, INCLUYE SANDBLASTING MEDIDA: 800 X 2000.</t>
  </si>
  <si>
    <t>2- S/I VIDRIOS TEMPLADOS INCOLOROS 6MM , PARA INSTALACION ENE VENTANERIA SISTEMA 7038 Y 3831.
NO CONFORMIDAD : REPOSICION ODP 22114 AA MEDIDAS DE VIDRIOS MALAS.</t>
  </si>
  <si>
    <t>SE INSTALO EL 05/FEBRERO POR JORGE - YEISON</t>
  </si>
  <si>
    <t>1- VENTA DE VIDRIO TEMPLADO INCOLORO 8MM BPB, INCLUYE 4 DESPUNTES MEDIDA:340 X 340.</t>
  </si>
  <si>
    <t>SE ENTREGO EL 05/ FEBRERO POR LUIS</t>
  </si>
  <si>
    <t>1- S/I DE ESPEJO EN 4 MM, CON MARCO DE ALUMINIO,INCLUYE PELICULA ADHESIVA DE SEGURIDAD TRANSPARENTE. ALUMINIO ANODIZADO NATURAL MATE, MEDIDA DEL MARCO: 742 X 1170. 
FALTA MEDIDAS DEL VIDRIO.</t>
  </si>
  <si>
    <t>SE  DESPACHO EL 27/ENERO POR JUAN D.</t>
  </si>
  <si>
    <t>SE LIBERO EL 24/ENERO</t>
  </si>
  <si>
    <t>1- VENTA DE VIDRIO TEMPLADO INCOLORO 6MM, BPM, INCLUYE 1 BOQUETE Y PELICULA DE CONTROL SOLAR MEDIDA: 700 X 885.</t>
  </si>
  <si>
    <t>4- S/I DE PV DE ALUMINIO SISTEMA 744 CON VIDRIO CRUDO INCOLORO 4MM, INCLUYE CERRADURA JAGUAR SENCILLA. ALUMINIO NEGRO.DISEÑO: XXX MEDIDA:2920 X 2100.
8- S/I DE VENTANAL DE ALUMINIO SISTEMA 744 CON VIDRIO CRUDO INCOLORO 4MM, INCLUYE CERRADURA JAGUAR SENCILLA. ALUMINIO NEGRO DISEÑO: XX MEDIDAS VARIAS.</t>
  </si>
  <si>
    <t>1- SUMINISTRO DE ESPEJO EN 4 MM , BPB Y MARCO PELIMETRAL BISELADO.INCLUYE PERFILERIA PARA FLOTADO . MEDIDA: 1,00 X 0,90 MTS.</t>
  </si>
  <si>
    <t>SE INSTALO EL 28/MARZO POR JORGE - JUAN D</t>
  </si>
  <si>
    <t>1- S/I DE VIDRIO TEMPLADO INCOLORO 8MM CON FRANJA TIPO SAND-BLASTING Y MARCO PERIMETRAL U-32. VIDRIO INSTALADO CON TOCETOS EXISTENTES MEDIDA: 900 X 2000.</t>
  </si>
  <si>
    <t>15/ENE/2025 ANOTADO PENDIENTE PELICULA, 25/ENERO JORGE - ALBERTO</t>
  </si>
  <si>
    <t>2- S/I DE FRANJA DE PELICULA TIPO SANDBLASTING, INSTALADA EN VIDRIOS DE DIVISION DE OFICINA. MEDIDA: 1100 X 750
2- S/I DE TEXTO EN ADHECIVO, INSTALADO EN VIDRIOS DE DIVISION DE OFICINA MEDIDAS: 2350 X 750.</t>
  </si>
  <si>
    <t>SE INSTALO EL 27/ENERO POR LEIDER</t>
  </si>
  <si>
    <t>24 - VENTA DE VIDRIOS CRUDOS INCOLOROS EN 4MM, BFM PARA VENTANAS. MEDIDAS: VARIAS.</t>
  </si>
  <si>
    <t>FUE ENTREGADO EL 13/ENERO POR LUIS</t>
  </si>
  <si>
    <t>1- SERVICIO DE AJUSTE DE VENTANA CORREDIZA 744 , INCLUYE VIDRIOS CRUDOS INCOLOROS 4MM Y PERFILERIA ALUMINIO COLOR NEGRO. MEDIDAS: 1400 X 1200.
1- S/I VENTANA DE ALUMINIO SISTEMA 744 CON VIDRIO MINIBOREAL 4MM, INCLUYE CERADURA DE IMPACTO SENCILLA. ALUMINIO NEGRO. DISEÑO: XX MEDIDA:780 X 400.</t>
  </si>
  <si>
    <t>SE INSTALO EL 20/ENERO POR JORGE -ALBERTO</t>
  </si>
  <si>
    <t xml:space="preserve">SE INSTALO EL 29/ENERO POR JOSE - FERNEY
SE INSTALO EL 11/FEBRERO POR  JORGE - ALBERTO -YEISON
</t>
  </si>
  <si>
    <t>1- S/I CABI/NA DE BAÑO VIDRIO TEMPLADO INCOLORO 8MM, INCLUYE PUERTA BATIENTE DOBLE ALA CON ESQUINEROS Y DE ACERO INOXIDABLE, VIDRIOS FIJOS INSTALADOS CON CHAPETAS DE ACERO, INCLUYE PERFIL SOPORTE (T-70).</t>
  </si>
  <si>
    <t>SE DESPACHO EL 04/FEBRERO POR JUAN D.</t>
  </si>
  <si>
    <t>2- S/I DE VIDRIO TEMPLADO INCOLORO 6MM , BORDES PULIDOS MEDIDA: 800 X 250.</t>
  </si>
  <si>
    <t>SE INSTALO EL 28/ENERO POR JOSE - FERNEY</t>
  </si>
  <si>
    <t>1- S/I DE VIDRIO CRUDO INCOLORO 4MM , PARA REPOSICION EN VENTANA DE ALUMINIO. MEDIDA: 900 X 1400.</t>
  </si>
  <si>
    <t>SE INSTALO EL 16/ENERO POR JOSE - ALBERTO</t>
  </si>
  <si>
    <t>2- SERVICIO DE DESMONTE, TRASLADO Y REINSTALACION DE DIVISIONES DE OFICINA ( PUERTAS Y VIDRIOS FIJOS).</t>
  </si>
  <si>
    <t>SE HIZO DESMONTE EL 10/ENERO POR JOSE - ALBERTO
SE HIZO 2 DESMONTE EL 17/ENERO POR JOSE - YEISON
SE INSTALA EL 6/FEBRERO POR JOSE - FERNEY</t>
  </si>
  <si>
    <t>7- VENTA DE TABLERO VIDRIO TEMPLADO 6MM INCOLORO INCLUYE 4 PERFORACIONES INCLUYE 4 ELEVADORES ACERO  1X 3 CMS MEDIDA: 1,20 X 1,00.</t>
  </si>
  <si>
    <t>SE ENTREGO EL 21/ENERO POR LUIS</t>
  </si>
  <si>
    <t>1- SUMINISTRO Y ACARREO DE VIDRIO TEMPLADO INCOLORO 6MM, VIDRIO PARA HORNO MEDIDA: 418 X 1400.</t>
  </si>
  <si>
    <t xml:space="preserve">SE DESPACHO EL 20/ENERO POR JUAN D.
</t>
  </si>
  <si>
    <t>1- S/I CABINA BATIENTE EN VIDRIO TEMPLADO INC 8MM INSTALADADO CON ACCESORIOS EN ACERO INOXIDABLE. MEDIDA: 1,20 X 190.
1- S/I ESPEJO FLOTADO 4MM, BORDES BRILLADOS MEDIDA 1,15 X 0,85 ( NO COLOCAR LA DESCRIPCION DEL ESPEJO EN LA FACTURA).</t>
  </si>
  <si>
    <t xml:space="preserve">SE INSTALO EL 11/ENERO </t>
  </si>
  <si>
    <t>1- S/I DE CABINA CORREDIZA GLASSVIT EN VIDRIO TEMPLADO INCOLORO 8MM INCLUYE ACCESORIOS EN ACERO INOXIDABLE . MEDIDA: 1,55 X 190 MTS.</t>
  </si>
  <si>
    <t>SE INSTALO EL 11/ENERO POR FERNEY - YEISON</t>
  </si>
  <si>
    <t>1- S/I VIDRIOS LAMINADO TEMPLADO INCOLORO 5+5, BPB, INCLUYE 4 PERFORACIONES. MEDIDA: 575X 2085.</t>
  </si>
  <si>
    <t>SE INSTALO EL 08/FEBRERO POR CARLOS - YEISON</t>
  </si>
  <si>
    <t>2- VENTA DE VIDRIOS MULTILAMINADOS INCOLOROS 6+6+6+6+6+6 CON PVB 0,76, USO PARA VENTANAS. MEDIDA 400 X 500.</t>
  </si>
  <si>
    <t>1- S/I DE VIDRIO TEMPLAD INCOLOR 8MM PARA PEPOSICION DE PURTA BATIENTE INSTALADO CON ACCESORIOS EXISTENTES MADIDA: 1050 X 1050.</t>
  </si>
  <si>
    <t>SE INSTALO EL 04/FEBRERO POR JORGE - YEISON</t>
  </si>
  <si>
    <t>1- S/I DE VIDRIO TEMPLADO INCOLORO 5MM BORDES PULIDOS Y BRILLADOS, INCLUYE RODACHINAS, PARA REPOSICION DE PUERTA DE CABINA CORREDIZA, MEDIDA:580 X 1800.</t>
  </si>
  <si>
    <t>SE INSTALO EL 28/ENERO POR JORGE</t>
  </si>
  <si>
    <t>1- SUMINISTRO Y ACARREO DE PUERTA BATIENTE EN ALUMINIO T-244 INCLUYE MARCO FIJO A PARED, CON VIDRIO TEMPLADO INCOLORO 5MM Y TABLILLA F08. NO INCLUYE CERRADURA DE ALUMINIOANODIZADO BRONCE.MEDIDA: 0,99 X 2,35.</t>
  </si>
  <si>
    <t>SE HIZO ACARREO EL 28/ENERO POR JUAN D</t>
  </si>
  <si>
    <t>1- S/I DE CABINA BATIENTE CON VIDRIO TEMPLADO GRIS HUMO 6MM, INCLUYE ACCESORIOS CROMADOS,BISAGRAS,CHAPETAS Y BOTON. MEDIDAS: 900 X 1900.</t>
  </si>
  <si>
    <t xml:space="preserve">SE INSTALO EL 23/ENERO POR FERNEY </t>
  </si>
  <si>
    <t>1- VENTA DE VIDRIO TEMPLADO INCOLORO 10MM, BPB, CON 4 PERF DIAMETRO DE 14MM VIDRIO PARA DIVICION DE OFICINA. MEDIDA: 870 X 1600.</t>
  </si>
  <si>
    <t>SE ENTREGO EL 27/ENERO POR BRYAM</t>
  </si>
  <si>
    <t>1- SUMINISTRO E INSTALACION DE TABLERO EN VIDRIO TEMPLADO 5MM CON PELICULA DE CUADRICULA, INCLUYE ELEVADORES EN ACERO INOXIDABLE . MEDIDA:1,20 X 8.0.</t>
  </si>
  <si>
    <t>SE INSTALO EL 25/ENERO POR JORGE - ALBERTO</t>
  </si>
  <si>
    <t>SE INSTALO EL 11/ENERO POR RAFAEL CATAÑO</t>
  </si>
  <si>
    <t>1- SERVICIO DE MANTENIEMIENTO EN VIDRIO TEMPLADO TIPO BLANCO, INCLUYE ACOMODACION DE VIDRIO MONTANTE SUPERIOR.TRABAJO REALIZADO CON ANDAMIOS.</t>
  </si>
  <si>
    <t>SE INSTALO EL 5/FEBRERO POR JOSE - FERNEY</t>
  </si>
  <si>
    <t>1- S/I DE PUERTA BATIENTE EN VIDRIO TEMPLADO INCOLORO 10MM INSTALADA EN FACHADA CON ACCESORIOS, PROPIEDAD DEL CLIENTE MEDIDA:1,00 X 2,40 MTS.</t>
  </si>
  <si>
    <t>SE INSTALO EL 05/FEBRERO POR JOSE - FERNEY</t>
  </si>
  <si>
    <t>8- S/I DE VIDIRO LAMINADO CRUDO INCOLORO 4+4 INSTALADO EN DIVISIONES EXISTENTES MEDIDAS.VARIAS.</t>
  </si>
  <si>
    <t xml:space="preserve">SE INSTALO EL 29/ENERO POR JOSE-FERNEY </t>
  </si>
  <si>
    <t>1- S/I DE VIDRIO TEMPLADO INC 6MM, PARA FIJO DE CABINA, INCLUYE MARCO PERIMETRAL CON PERFIL U DE ALUMINIO Y DISEÑO DE CUADRICULA CON PLATINA, ALUMINIO NEGRO. MEDIDAS: 670 X  1580.</t>
  </si>
  <si>
    <t>SE INSTALO EL 30/ENERO POR JOSE - FERNEY</t>
  </si>
  <si>
    <t>1- S/I VIDRIOS Y PERFILERIA PARA MODIFICACION DE VENTANA SISTEMA 8085, CON VIDRIO TEMPLADO INCOLORO 6MM. ALUMINIO NEGRO.MEDIDAS: 2530 X 500.</t>
  </si>
  <si>
    <t>SE INSTALO 20/ENERO POR JORGE-ALBERTO</t>
  </si>
  <si>
    <t>12-VENTA DE VIDRIO TEMPLADO INCOLOR 5MM, BPB. MEDIDA:350X110MM. VIDRIO PARA HORNOS.</t>
  </si>
  <si>
    <t>1-VENTA DE VIDRIO TEMPALDO INCOLOR 10MM SGUN PLANO.</t>
  </si>
  <si>
    <t>NC#19</t>
  </si>
  <si>
    <t>1-VENTA DE PUERTA BATIENTE EN VIDRIO TEMPLADO INCOLOR 8MM, INCLUYE ESQUINERO DE ALUMINIO Y CHAPA BDA CON ESCUDO. MEDIDA: 800X2100.</t>
  </si>
  <si>
    <t>HECTOR WILMAR JARAMILLO</t>
  </si>
  <si>
    <t>3-SUMINISTRO DE VIDRIO TEMPLADO DE 8 MM.
5-SUMINISTRO DE VIDRIO TEMPLADO DE 6MM.
1-SUMINISTRO DE VIDRIO TEMPLADO DE10MM
MAS ACCESORIOS PARA UNA VITRINA, INCLUYE HUACAL</t>
  </si>
  <si>
    <t>INVERPALMARES Y CIA SAS</t>
  </si>
  <si>
    <t>EDISON RAMIREZ</t>
  </si>
  <si>
    <t>1-SERVICIO DE MANTENIMINETO CORREDIZO PARA PUERTA BATIENTE. INCLUYE CAMBIO DE ACCESORIOS Y SUMINISTRO E INSTALACION DE BISAGRA HIDRAULICA SPEEDY M-60.</t>
  </si>
  <si>
    <t>FUE DESPACHADO EL 08/MAYO POR JUAN D.</t>
  </si>
  <si>
    <t>PENDIENTE PELICULA 03/MAYO
SE INSTALO EL 08/MAYO POR JAVIER - JUAN D.</t>
  </si>
  <si>
    <t>SE LIBERO EL 03/MAYO
SE INSTALO EL 08/MAYO POR JAVIER - JUAN D.</t>
  </si>
  <si>
    <t>SE INSTALO EL 08/MAYO POR JAVIER - JUAN D.</t>
  </si>
  <si>
    <t>ANOTADO EL 29/ABRIL
SE LIBERO EL 30/ABRIL
SE INSTALO EL 08/MAYO POR JOSE - ALBERTO</t>
  </si>
  <si>
    <t>NC#017
SE LIBERO EL 24/ABRIL
SE INSTALO EL 08/MAYO POR JAVIER - JUAN D</t>
  </si>
  <si>
    <t>HUGO MARTINES</t>
  </si>
  <si>
    <t>1-SUMINISTRO VIDRIO TEMPLADO 5MM INCOLORO. MEDIDAS: 710X520MM.</t>
  </si>
  <si>
    <t>NC#020</t>
  </si>
  <si>
    <t>LIBERADO EL 09/MAYO</t>
  </si>
  <si>
    <t>ANELICA MARIN URREA</t>
  </si>
  <si>
    <t>1-S/I TABLERO VIDRIO TEMPLADO INCOLORO 6MM CON PELICULA SANDBLASTING, INCLUYE 4 ELEVADORES DE ACERO INOX. MEDIDA:1200X800.</t>
  </si>
  <si>
    <t>NC#021
PENDIENTE PELICULA 08/MAYO</t>
  </si>
  <si>
    <t>SE DESPACHO EL 09/MAYO POR JUAN D.</t>
  </si>
  <si>
    <t>SE INSTALO EL 09/MAYO POR JOSE - FERNEY</t>
  </si>
  <si>
    <t>SE INSTALO EL 22/ABRIL POR JOSE - FERNEY
SE INSTALO EL 09/MAYO POR JOSE - FERNEY</t>
  </si>
  <si>
    <t>SE LIBERO 09/ABRIL
SE INSTALO EL 14/ABRIL POR JORGE
SE INSTALO EL 09/MAYO POR JORGE - ALBERTO</t>
  </si>
  <si>
    <t>SE REALIZO EL 11/ABRIEL POR CARLOS, FERNEY, JORGE, JUAN D.
SE HIZO GARANTIA EL 09/MAYO POR CARLOS - JAVIER</t>
  </si>
  <si>
    <t>SE ENTREGO EL 08/MAYO POR LUIS</t>
  </si>
  <si>
    <t>BIOTRENS LABORATORIOS SAS</t>
  </si>
  <si>
    <t>3-S/I DE PERFILES PLASTICOS BURBUJA 10MM (CANTIDAD 1) Y PERFILES PLASTICOS "H" 10MM (CANTIDAD 2). MEDIDA:2,50 MTS.</t>
  </si>
  <si>
    <t>1-S/I CABINA BATEINTE EN VIDRIO TEMPLADO INCOLORO 8MM, INSTALADO CON ACCESORIOS COLOR NERO (BISAGRAS, PERFIL U-32 Y BOTON HALADERA). MEDIDA:1.17.</t>
  </si>
  <si>
    <t>JUANITA ORLATE RUIZ</t>
  </si>
  <si>
    <t>1-MATENIMIENTO DE CABINA DE BAÑO CORREDIZA EN ALUMINIO, CAMBIO DE PERFILERIA, ALUMINIO COLOR BLANCO, CAMBIO DE RODAMIENTOS, SE REUTILIZAN VIDRIOS EXISTENTES. MEDIDA:1100X1760.
1-S/I DE ESPEJO FLOTANTE 4MM BPB. MEDIDA:1519X1030.</t>
  </si>
  <si>
    <t>FORMACOL SA</t>
  </si>
  <si>
    <t>3173652110
3105207708</t>
  </si>
  <si>
    <t>1-VENTA DE VIDRIO TEMPLADO INCOLOR 6MM, BP0B, SIN PERFORACIONES NI MAQUINADOS.MEDIDA:65X360MM.</t>
  </si>
  <si>
    <t xml:space="preserve">ELJIN FERNADO CESPEDES QUINTERO </t>
  </si>
  <si>
    <t>2-VENTA DE VIDRIOS TEMPLADOS 5MM, BPB. MEDIDA:800X1700.</t>
  </si>
  <si>
    <t>JORGE HERNAN CALDERON LUCEMA</t>
  </si>
  <si>
    <t>2-S/I DE ISTALACION DE FACHADA EN ALUMINIO SISTEMA 3831 (1/2 Y 1/2), CON VIDRIO TEMPLADO 6MM, SOPORTADO CON PISA-VIDRIOS A PRESION. DISEÑO:000. MEDIDA:3,25X2,10MM.
1-S/I DE PUERTA VIDRIERA SIST. 8025 EN ALUMINIO. CON VIDRIO TEMPLADO 6MM INCOLORO INCLUYE CERRADURA CON LLAVE Y MANIJAS. DISEÑO :XXX. MEDIDA:3,30X2,10.</t>
  </si>
  <si>
    <t>5830-B</t>
  </si>
  <si>
    <t>WALTER ADOLFO SANCHEZ</t>
  </si>
  <si>
    <t>1-S/I CABINA BATIENTE EN VIDRIO TEMPLADO 8MM, CABINA INSTALADA CON ACCESORIOS EN ACERO INOXIDABLE TOTAL (SARA EXTERNA). MEDIDA:940X1800.</t>
  </si>
  <si>
    <t>JULIE PAULINE TORRES OCHOA</t>
  </si>
  <si>
    <t>2-VENTA DE VIDRIO TEMPLADO INCOLORO 8MM, BPM, USO PARA TECHO, INCLUTE 1 TARRO SILICONA TRANSPARENTE. MEDIDA:500X1000.</t>
  </si>
  <si>
    <t>TRACTEL SERVICIOS INTEGRALES H2E SAS</t>
  </si>
  <si>
    <t xml:space="preserve">LUIS HERNSNDEZ </t>
  </si>
  <si>
    <t>3135631793
3024603852</t>
  </si>
  <si>
    <t>4-VENTA DE VIDRIOS TEMPLADOS INCOLOROS 6MM, BPM, SIN PERFORACIONES NI MAQUINADOS. USO PARA TECHO. MEDIDA:900X900.</t>
  </si>
  <si>
    <t>SE ENTREGO EL 09/MAYO POR LUIS</t>
  </si>
  <si>
    <t>PAGO ANTICIPADO
SE LIBERO EL 25/ABRIL
SE ENTREGO EL 08/MAYO POR LUIS</t>
  </si>
  <si>
    <t>SE INSTALO EL 10/MAYO POR CARLOS - JAVIER</t>
  </si>
  <si>
    <t>CENTRO ACEROS SAS</t>
  </si>
  <si>
    <t>JUAN ESTEBAN ZULUAGA</t>
  </si>
  <si>
    <t>3113723513
3012244</t>
  </si>
  <si>
    <t>11-SUMINISTRO DE VIDRIO TEMPLADO INCOLOR 4MM, BPB. INCLUYE PELICULA DE SEGURIDAD TRASNSPARENTE. MEDIDA VARIAS.</t>
  </si>
  <si>
    <t>INVERSIONES E INMOBILIARIA TOTAL SAS</t>
  </si>
  <si>
    <t>5-S/I DE VIDRIOS TEMPLADO 6MM INCOLOROS, CON PELICULA ADHESIVA DE CONTROL SOLAR. MEDIDAS VARIAS.</t>
  </si>
  <si>
    <t>AMERICAN INSAP INGENIERA Y SERVICIOS SAS</t>
  </si>
  <si>
    <t>JHON JAIRO</t>
  </si>
  <si>
    <t>2-VENTA DE VIDRIOS TEMPLADOS INCOLOROS 10MM, BPB, INCLUYE 1 BOQUETE Y 2 PERFORACIONES. MEDIDA:800X450MM.</t>
  </si>
  <si>
    <t>BRYAM OLAYA ARBOLEDA</t>
  </si>
  <si>
    <t>2-VENTA DE VIDRIO TEMPLADOS GRIS HUMO 4MM, BPM. MEDIDA: 1997X477. MEDIDA:1997X287.</t>
  </si>
  <si>
    <t>FRIO AIRE ACONDICIONADO Y VENTILACION MECANICA SAS</t>
  </si>
  <si>
    <t xml:space="preserve">ALBANT LOPERA </t>
  </si>
  <si>
    <t>3156902125
3246720338</t>
  </si>
  <si>
    <t>1-S/I TABLERO VIDRIO TEMPLADO INCOLORO 6MM, BPB. TABLERO INSTALADO CON ELEVADORES 6 UND DE ACERO INOXIDABLE DE 1"X3 CMS. INCLUYE PELICULA CUADRICULADA. INCLUYE LOGO PLOTTER DE CORTE Y PORTABORRADOR ACERO INOX. ACCESORIOS ACABADO NEGRO. MEDIDA:2700X1500MM.</t>
  </si>
  <si>
    <t>SE INSTALO EL 04/FEBRERO POR JOSE - FERNEY</t>
  </si>
  <si>
    <t>1- VENTA DE VIDRIO TEMPLADO INCOLORO 8MM,BPB, INCLUYE 4 PERFORMACIONES. USO PARA HORNO MEDIDA: 1175 X 495.</t>
  </si>
  <si>
    <t>SE REALIZO MANTENIMIENTO EL 25/ENERO POR JOSE - FERNEY
SE REALIZO MANTENIMINETO EL 10/FEBRERO POR JORGE - ALBERTO</t>
  </si>
  <si>
    <t>27/ENERO SE ENTREGO POR LUIS</t>
  </si>
  <si>
    <t>2- VENTA DE VIDRIOS TEMPLADOS INCOLOROS 5MM,BPB, PARA HORNO MEDIDA: 480 X 1185MM.</t>
  </si>
  <si>
    <t>SE ENTREGO EL 29/ENERO POR LUIS</t>
  </si>
  <si>
    <t>1-SE INSTALO EL 17/FEBERO POR JORGE - ALBERTO
2-SE INSTALO EL 18/FEBRERO POR JORGE
3-SE INSTALO EL 24/FEBRERO POR JORGE - ALBERTO
4- SE INSTALO EL 27/FEBERO POR JORGE
5-SE INSTALO EL 28/FEBRERO POR JOSE - ALBERTO
6-SE INSTALO EL 03/MARZO POR JOSE - ALBERTO
7-SE INSTALO EL 5/MARZO POR JORGE - ALBERTO
8-SE INSTALO EL 10/MARZO POR JORGE - ALBERO
9- SE INSTALO EL 11/MARZO JORGE - ALBERTO</t>
  </si>
  <si>
    <t>1-S/I DE VIDRIO TEMPLADO INCOLORO 8MM, BPB, VIDRIO INSTALADO EN FACHADA CON ACCESORIOS EXISTENTES  MEDIDAS 2125 X 2390.</t>
  </si>
  <si>
    <t>SE INSTALO EL 12/FEBRERO POR JORGE - ALBERO</t>
  </si>
  <si>
    <t>1- S/I DE VIDRIO TEMPLADO INCOLORO 5MM, INCLUYE MATIZADO TOTAL 1 CARA.  MEDIDA: 970 X 850.</t>
  </si>
  <si>
    <t>SE INSTALO EL 27/ENERO POR JUAN D.</t>
  </si>
  <si>
    <t>1- VENTA DE VIDRIO TEMPLADO INCOLORO 8M, BPD, INCLUYE PERORACIONES USO PARA PASAMANOS MEDIDAD: 2500 X 1100.</t>
  </si>
  <si>
    <t>SE ENTREGO EL 28/ENERO POR LUIS</t>
  </si>
  <si>
    <t>1-S/I PUERTA CON VIDRIO TEMPLADO INCOLORO 8MM NCLUYE ESQUINEROS Y CERRADURA ESQUINERA ACCESORIOS NEGRO MEDIDA: 600 X 2100.
1- SERVICIO INSTALACION DE PUERTA BATIENTE INSTALADA CON ACCESORIOS EXISTENTES MEDIDA: 600 X 2100.</t>
  </si>
  <si>
    <t>1- SERVICIO DE MATENIMIENTO PARA CABINA CORREDIZA ALUMINIO INCLUYE RODACHINAS.</t>
  </si>
  <si>
    <t>1- S/I PUERTA CORREDIZA OPTIGLASS, EN VIDRIO TEMPLADO 8MM INCOLORO, VIDRIO INSTALADO CON ACCESORIOS EXISTENTES. MEDIDA: 1,05 X 2,50.</t>
  </si>
  <si>
    <t>1- S/I VIDRIO TEMPLADO INCOLORO ,INSTALADO DE PELICULA EXISTENTE INCLUYE INSTALACION CON EMPAQUZS Y SEGUIMIENTO CON SILICON.</t>
  </si>
  <si>
    <t>1- S/I CABINA BATIENTE EN VIDRIO TEMPLADO INCOLORO 8MM, INSTALADO CON ACCESORIOS EN ACERO INOXIDABLE Y PERFIL ACRILICO INFERIOR. MEDIDA:1000 X 1900 MEDIDA: 940 X 1400.</t>
  </si>
  <si>
    <t>1- S/I DE FACHADA VENTATA FIJA EN VIDRIO TEMPLADO INCOLORO 5MM, CON MARCO PERIMETRAL EN ALUMINIO SISTMA 3831. ALUMINIO ANODIZADO DISEÑO: O(FIJO) MEDIDA: 1230X1962.</t>
  </si>
  <si>
    <t>SE INSTALO EL 03/FEBERO POR JOSE - YEISON</t>
  </si>
  <si>
    <t>2- VENTA DE VIDRIO TEMPLADO INCOLORO 8MM PARA CABINAS DE BAÑO TIPO GLASSVIT INCLUYE PERFORACIONES.</t>
  </si>
  <si>
    <t>1- S/I DE VIDRIO TEMPLADO INCOLORO 6MM INSTALADO EN LA PUERTA VIDRIERA EXISTENTE INCLUYE EMPAQUE PERIMETRAL Y PELICULA ADHESIVA CON DISEÑO MEDIDA: 1150 X 2250.</t>
  </si>
  <si>
    <t>SE INSTALO EL 07/FEBRERO POR JORGE - YEISON</t>
  </si>
  <si>
    <t>1- S/I DE PUERTA EN VIDRIO TEMPLADO INCOLORO 8MM PUERTA INSTALADA CON ACCESORIOS EXISTENTES MEDIDA:900 X 2400
1- SERVICIO DE DESMONTE Y RE-INSTALACION DE VIDRIOS EXISTENTES (PUERTAS Y VIDRIOS) MEDIDAS VARIAS.</t>
  </si>
  <si>
    <t>1- S/I DE FACHADA EN VIDRIO TEMPLADO INCOLORO 10MM INCLUYE UERTA INSTALADA CON SISTEMA OPTIGLESS ZOCALO INFERIOR MANIJA TIPO ROMA Y CERRADURA PICO LORO VIDRIOS FIOS ISTALADOS CON PERFIL DE ALUMINIO ALUMINIO NATURAL MATE INCLUYE PELICULA DE SEGURIDAD TRASPARENTE MEDIDA: 2900 X 2100.</t>
  </si>
  <si>
    <t>1- S/I VIDRIOS TEMPLADOS INCOLOROS 6MM INSTALADOS EN ESTRUCTURA DE PERGOL EXISTENTE INLUYE INSTALAD CON EMPAQUE TIPO NEOPRENO Y SELLAMIENTO CON SIICONA VIDRIOS INCLUYEN PELICULA ADHESIVA DE CONTROL SOLAR MEDIDA: 14,0 X 1,28.</t>
  </si>
  <si>
    <t>SE INSTALO EL 11/FEBRERO POR JOSE - FERNEY - ALBERTO</t>
  </si>
  <si>
    <t>7- S/I DE PUERTA BATIENTE EN VIDRIO TEMPLADO INCOLORO 10MM INSTALADA CON ESQUINEROS DE ALUMINIO, CERRADURA YALE 170 1/4 Y MANIJA DE ACERO DIAMETRO DE 60 CMS 
ALUMINIO ANODIZADO NATURAL MATE.</t>
  </si>
  <si>
    <t>SE INSTALO EL 08/FEBRERO POR JORGE - ALBERTO</t>
  </si>
  <si>
    <t>1- S/I  VIDRIO TEMPLADO INCOLORO 10MM BPB VIDRIO CON ACCESORIOS EXISTENTES NO INCLUYE PELICULA DEIDRATIVA MEDIDA 1,35 X 2,35.</t>
  </si>
  <si>
    <t>SE INSTALO EL 04/FEBERO POR CARLOS - ALBERO</t>
  </si>
  <si>
    <t>1- S/ DE VIDRIO CRUDO BRONCE 5MM, PARA REPOSICION EN PUERTA. MEDIDA: 600 X 1980
12- S/I DE PELICULAS DE SEGURIDAD TRANSPARENTE PARA PUERTAS VIDRIERAS.MEDIDA:600 X 1980.</t>
  </si>
  <si>
    <t>SE INSTALO EL 04/FEBERO POR FERNEY</t>
  </si>
  <si>
    <t>1- S/I DE VIDRIO TEMPLADO INCOLORO 8MM PARA REPOSICON EN PUERTA VIDRIERA INCLUYE PELICULA DE CONTROL SOLER MEDIDA 1310 X 2615.</t>
  </si>
  <si>
    <t>SE INSTALO EL 05/FEBRERO POR CARLOS - ALBERTO</t>
  </si>
  <si>
    <t>SE INSTALO EL 13/FEBRERO POR JORGE - ALBERTO</t>
  </si>
  <si>
    <t>2- S/I DE TABLERO EN VIDRIO TEMPLADO INCOLORO 6MM BORDES, PULIDOS, Y BRILLADOS INCLUYE ESTRUCTURA RODANTE EN ACERO INOXIDABLE Y INCLUYE PELICULA ADHESIVA TIPO SAND-BLASTINA MEDIDA:1500 X 1000.</t>
  </si>
  <si>
    <t>SE ISTALO EL 17/FEBRERO POR CARLOS - JUAN</t>
  </si>
  <si>
    <t>SERVICIO DE INSTALACION DE TABLERO EXISTENTE INCLUYE ELEVADORES DE ACERO INOXIDABLE (6) MEDIDA 1500X.2000</t>
  </si>
  <si>
    <t>2- S/I DE VIDRIO CRUDO INCOLORO 4MM, INSTALADO EN PUERTA, INCLUYE PELICULAS ADHESIVAS DE SEGURIDAD(TRANSPARENTE) MEDIDA: 850 X 950 - 750 X 950.</t>
  </si>
  <si>
    <t>2 S/I DE CABINA BATIENTE EN VIDRIO INCOLORO 6MM INSTALADA CON ACCESORIOS EN ACERO INOXIDABLE BISAGRADAS CHAPETAS Y TOALERO INCLUYE PERFIL ACRILICO INFERIOR.</t>
  </si>
  <si>
    <t>SE INSTALO EL 09/FEBRERO POR JORGE - ALBERTO</t>
  </si>
  <si>
    <t>1- S/I DE PELICULA ADHESIVA DE CONTROL SOLAR REFLECTIVA, MEDIDA: 1300 X 3000.</t>
  </si>
  <si>
    <t>1- VENTA SE VIDRIO TEMPLADO INCOLORO 10MM, BPB, USO CAMARA GRABADO MEDIDA 1060 X 650.</t>
  </si>
  <si>
    <t>SE ENTREGO EL 04/FEBRERO POR LUIS</t>
  </si>
  <si>
    <t>SE ENTREGO EL 10/FEBRERO POR LUIS</t>
  </si>
  <si>
    <t>1- S/I DE CABINA BATIENTE EN VIDRIO TEMPLADO INCOLORO 6MM, BPB. INSTALADA CON ACCESORIOS EN ACERO INOXIDABLE
(BISAGRAS,CHAPETAS Y TOHALLERO), INCLUYE PERFIL ACRILICO INFERIOR. MEDIDA: 1060 X 1900.</t>
  </si>
  <si>
    <t>SE INSTALO EL 07/FEBRERO POR JOSE - FERNEY</t>
  </si>
  <si>
    <t>1- S/I VIDRO TEMPLADO INCORO 8MM PUERTA CORREDIZA SISTEMA OPTIGUASS INSTALACION CON ACCESORIOS EXISTENTES MEDIDA 1010 X 2450.</t>
  </si>
  <si>
    <t>SE INSTALO EL 05/FEBRERO POR JOSE - ALBERTO</t>
  </si>
  <si>
    <t>SE INSTALO EL 15/FEBRERO POR JORGE</t>
  </si>
  <si>
    <t>3- S/I DE CABINAS PARA BAÑO EN VIDRIO TEMPLADO INCOLORO 8MM ( CABINAS BATIENTES  Y CABINA GLASSVIT INCLUYE ACCESORIOS CON PINTURA NEGRA. MEDIDAS VARIAS.</t>
  </si>
  <si>
    <t>CONTINUACION DE LA ODP 22114 CABINAS PARA BAÑO
SE INSTALO EL 5/FEBRERO POR JOSE - FERNEY</t>
  </si>
  <si>
    <t>SE INSTALO EL 13/FEBRERO POR JOSE - FERNEY</t>
  </si>
  <si>
    <t>3- S/I DE PELICULA ADHESIVA DE CONTROL SOLAR INSTALADA EN SU VENTANERIA EXISTENTE. INCLUYE DESMONTE DE PELICULAS EXISTENTES COORDINADORS DE ARTURAS Y ANDAMIOS PARA REALIZACION DE TRABAJO MEDIDA 1200 X 770.</t>
  </si>
  <si>
    <t>1- VENTA DE CABINA CORREDIZA DE ALUMINIO EN "L" CON VIDRIO TEMPLADO INCOLORO 6MM INCLUYE PERFILERIA ALUMINIO Y BOTANEL HELADERA ALUMINIO COLOR NEGRO MEDIDA 750 X 750 X 1800H.</t>
  </si>
  <si>
    <t>1- VENTA Y TRASPORTE DE VIDRIO LAMINADO CRUDO INCOLORO 3+3 BPB USO PARA VITRINA MEDIDA 705 X 2715.</t>
  </si>
  <si>
    <t>SE DESPACHO EL 06/FEBRERO POR JUAN D.</t>
  </si>
  <si>
    <t>1- SEVICIO DE DESMONTE DE DIVISA EXISTENTE MEDIDA 2,0 X2,0 X 2,40H.</t>
  </si>
  <si>
    <t>2- S/I ENRROLLAMIENTO EN SCREEN CON CEFAR METALICA NEGRA MANUALES.</t>
  </si>
  <si>
    <t>2- S/I PUERTA BATIENTE EN ALUMINIO T-244 CON VIDRIO LAMINADO INCOLORO 4+4 MM CERRADURA Y MANIJA ACERO INOXIDABLE INCLUYE MARCO FIJO Y BRAZOS HIDRAULICOS SUPERIOS ALUMINIO ANODIZADO NATURAL MATE MEDIDA 0,90 X 2,10 MTS.</t>
  </si>
  <si>
    <t>8- VENTA DE VIDRIO TEMPLADOS INCOLORO 6MM CON PINTATURA,BPM USO PARA MIRILLAS DE MADUINA MEDIDA DIAMETRO DE 100MM.</t>
  </si>
  <si>
    <t>1- S/I FCHADA VIDRIO DE TAMPLADO 10MM PUERTAS BATIENTES CON ESQUINEROS VIDRIOS FIJOS INTALADROES CON PERFIL F Y ZOCALO INFERIOR ALUMINIO ANODRIZADO NATURAL MEDIDA 7,85 X 2,90.</t>
  </si>
  <si>
    <t>SE INSTALO EL 04/FBRERO POR JOSE - FERNEY</t>
  </si>
  <si>
    <t>1- S/I DE PELICULA ADHESIVO FRANJA DE SAND- BLASTIC Y DSEÑO LETRAS EN PLOTER DE CORTE EN VINILO ADHESIVO NERO MEDIDAS VARIAS.</t>
  </si>
  <si>
    <t>SE INSTALO EL 11/FEBRERO POR LEIDER</t>
  </si>
  <si>
    <t>1- S/I TABLERO EN VIDRIO TEMPLADO INCOLORO 8MM INSTALADO CON 4 ELEVADORES ACERO INOXIDABLE 01 X 3 CMS (MONEDA AUXILIAR) INCLUYE PELICULA SAND-BLASTINC MEDIDA 1200 X 900.</t>
  </si>
  <si>
    <t>2- S/I DE VIDRIO TEMPLADO INCOLORO 8MM BPB VIDRIOS SOBRE- PUESTOS EN MESAS EXSISTENTES MEDIDA 900X 1600 Y MEDIDA 540 X 920.</t>
  </si>
  <si>
    <t>SE ENTREGO EL 20/FEBRERO POR JUAN D</t>
  </si>
  <si>
    <t>1- S/I DE VIDERIO LAMINADO CRUDO INCOLORO 4+4+ INSTALADO EN DIVISION EXISTNTE NO INCIDE ACCESORIOS Y PERFILERIA MEDIDA 870X 2350.</t>
  </si>
  <si>
    <t>1- S/I DE VIDRIO CRUDO INCOLORO 4MM INSTALADO EN VENTANAS EXISTENTE NO INCLUYE ACCESORIOS Y PERFILERIA MEDIDA 650 X 450.</t>
  </si>
  <si>
    <t>1- S/I VIDRIO TEMPLAO INCOLORO 5MM INSTALADO EN PUERTA EXISITENTE INCLUYE PELICULA SUNDBLASTING INCLUYE AJUSTES Y NIVELACION DE LA PUERTA EXISTENTE MEDIDA 700 X 2070.</t>
  </si>
  <si>
    <t>1- S/I VIDRIO TEMPLADO INCOLORO 6MM VIDRIOS INSTALADOS EN ESTRUCTURA DE PERGOLA EXISTENTE INCLUYE ENPAQUE DE CAUCHO Y SELLAMIENTO CON SILICONA MEDIDA 3200 X 1300.</t>
  </si>
  <si>
    <t>1- VENTA DE ESPAJO 4MM, BPB MEDIDA 715 X 410.</t>
  </si>
  <si>
    <t>1- VENTANA DE VIDRIO TEMPLADO INCOLORO 10MM BPM Y RADIOS 3MM VIDRIO PARA MEA MEDIDA 670 X 925.</t>
  </si>
  <si>
    <t>SE ENTREGO EL 11/FEBRERO POR LUS</t>
  </si>
  <si>
    <t>1- S/I VIDRIO TEMPLADO INCOLORO 8MM,INSTALADO CON PERFIL F, INCLUYE PELICULA TIPO SANDBLASTING. MEDIDA: 240,0,40 MTS.</t>
  </si>
  <si>
    <t>1- S/I DE MARCO DE ALUMINIO, CON MALLA MOSQUITERA, ALUMINIO ANODIZADO NATURAL MATE MEDIDA: 1,00 X 0,40.</t>
  </si>
  <si>
    <t>1-S/I DE VIDRIO EN 5MM CRUDO PARA REPOSICION EN PUERTA EXISTENTE.</t>
  </si>
  <si>
    <t>SE ENTREGO EL 12/MAYO POR LUIS</t>
  </si>
  <si>
    <t>25/ENE/2025 ANOTADO PENDIENTE PELICULA
29/ENE/2025 ANOTADO PENDIENTE PERFILERIA
30/ENE/2025 INSTALACION JOSE - FERNEY
ESTA EN CARPETAS DE FACTURACION YA QUE HAY UNA CITUACION CON BIOTRENDS</t>
  </si>
  <si>
    <t>ESTA EN CARPETAS DE FACTURACION YA QUE HAY UNA CITUACION CON BIOTRENDS</t>
  </si>
  <si>
    <t>1-S/I DE VIDRIO TEMPLADO INCOLORO 8MM, INSTALADO EN DIVISIONES DE LABORATORIO. MEDIDA:1450*2500.</t>
  </si>
  <si>
    <t>SE LIBERO EL 10/ABRIL
SE IMSTALO EL 02/MAYO POR JAVIER-JORGE-ALBERTO
ESTA EN CARPETAS DE FACTURACION YA QUE HAY UNA CITUACION CON BIOTRENDS</t>
  </si>
  <si>
    <t>2-S/I DE VIDRIOS TEMPLADOS INCOLOROS 8MM, INSTALADOS EN ESTRUCTURA DE PERGOLA EXISTENTE. INCLUYE EMPAQUE NEOPRENO Y SELLAMIENTO CON SILECONA. INCLUYE PELICULA CONTROL SOLAR. INCLUYE PLATINA DE ALUMINIO PARA FIJACION DE VIDRIOS. MEDIDA:14,5*1,40.</t>
  </si>
  <si>
    <t>SE INSTALO EL 12/MAYO POR JORGE - ALBERTO</t>
  </si>
  <si>
    <t>SE INSTALO EL 10/MAYO POR JOSE - FERNEY - JORGE - ALBERTO
SE INSTALO EL 12/MAYO POR JOSE - FERNEY.</t>
  </si>
  <si>
    <t>1-S/I DE VIDRIO CRUDO 4MM, MATIZADO TOTAL 1 CARA. MEDIDA:445*698.</t>
  </si>
  <si>
    <t>1-VEENTA DE VIDRIO TEMPLADO INCOLORO 5MM, BPB, INCLUYE 2 PERFORACIONES. MEDIDA:443*341.</t>
  </si>
  <si>
    <t>SE LIBERO EL 24/ABRIL
SE INSTALO EL 12/MAYO POR JORGE - ALBERTO.</t>
  </si>
  <si>
    <t>1-S/I DE DIVISION DE OFICINA EN VIDRIO LAMINADO CRUDO INCOLOR DE 4+4, INSTALADO CON SOCALOS Y PERFILERIA ALUMNIO. MEDIDA:4,10X2,50.
1-SERVICIO DE DESMONTE Y RE-INSTAIACION DE PUERTA BATIENTE EN ESTRUCTURA DE ALUMINIO F-244. MEDIDA:1,40X2,50MTS.</t>
  </si>
  <si>
    <t>ESTE CLIENTE SE LE FACTURA DESPUES DE REALIZADO EL TRABAJO.POR TANTO SE LE PASA AL SR. BRYAM</t>
  </si>
  <si>
    <t xml:space="preserve"> SE INSTALA 15/MAYO/2025 INSTALADORES = JORGE -CARLOS </t>
  </si>
  <si>
    <t>1-S/I CABINA TIPO GLASSVIT. EN VIDRIO TEMPLADO INCOLORO 8MM, INCLUYE SISTEMA GLASSVIT Y BOTON HALADERA EN ACERO INOX Y SILLAR Y PERFILERIAS U EN ALUMINIO NATURAL MATE. MEDIDA:1145X1900.</t>
  </si>
  <si>
    <t>FULL SEGURIDAD CAJAS FUERTES Y BLINDADAS</t>
  </si>
  <si>
    <t>1-VENTA DE VIDRIO TEMPLADO PARA CABINA EN LM EN ESPESOR 8MM, ACCESORIOS COLOR NEGRO (TUBO REDONDO, BATIENTES, GUIA PISO Y CHAPETAS). MEDIA:1200+920+2200.
1-VENTA  4MM, BPB. MEDIDA:2050X900MM.</t>
  </si>
  <si>
    <t xml:space="preserve">JUAN CARLOS MESA GIRALDO </t>
  </si>
  <si>
    <t>LUIS DARIO OROZCO RAMIREZ</t>
  </si>
  <si>
    <t>14/MAYO POR LUIS</t>
  </si>
  <si>
    <t>YULIET PULGARIN HIDALGO</t>
  </si>
  <si>
    <t>1-SUMINISTRO E NSTALACION DE CABINA BATIENTE EN VIDRIO TEMPLADO 66M BPB ACCESORIOS NEGRO Y U PERIMETRAL.</t>
  </si>
  <si>
    <t>LUISA FERNANDA ORTEGA PINTO</t>
  </si>
  <si>
    <t>1- S/I VIDIRO TEMPLADO 6MM PARA CABINA CORREDIZA. MEDIDA: 570X1785</t>
  </si>
  <si>
    <t>LA</t>
  </si>
  <si>
    <t>SIMA J.V</t>
  </si>
  <si>
    <t>JHON VERGARA</t>
  </si>
  <si>
    <t>1- S/I VIDRIO LAMINADO TEMPLADO 5+5 CON PVB BLANCO COCO EN CABINA DE BAÑO. MEDIDA: 380*1700</t>
  </si>
  <si>
    <t>ZERO RECORDS S.A.S</t>
  </si>
  <si>
    <t>1-S/I TABLERO EN VIDRIO TEMPLADO INCOLOR 6MM, BPB, TABLERO INSTALADO CON ELEVADORES (4UND) DE ACERO INOX DE 1 * 3CMS NCLUYE PELICULA ADHESIVA NEGRO Y PERFORADORES DE ACERO INOX. MEDIDA:1200*800</t>
  </si>
  <si>
    <t>INGENIERIA Y CONSTRUCCIONES MS S.A.S</t>
  </si>
  <si>
    <t>MABEL MONTOYA</t>
  </si>
  <si>
    <t>DIRECTORA PROYECTOS</t>
  </si>
  <si>
    <t>1- S/I VIDRIO TEMPLADO INCOLORO 8MM PARA PERGOLAA EXISTENTE. MEDIDA: 2000*1540
3- S/I ESPEJO BISELADO 4MM FLOTADO. MEDIDAS VARIAS</t>
  </si>
  <si>
    <t>CARDIOSAM S.A.S</t>
  </si>
  <si>
    <t>SARA PEREZ</t>
  </si>
  <si>
    <t xml:space="preserve">11- S/I PUERTAS BATIENTES CON VIDRIO TEMPLADO 8MM, INCLUYE PELICULA SANDBLASTING Y ACCESORIOS. MEDIDAS VARIAS.
1- S/I PUERTA CORREDIZA OPTIGLASS EN VIDRIO TEMPLADO 8MM, INCLUYE PELICULA SANDBLASTING Y ACCESORIOS.
1- S/I VENTANA FIJA 3831 EN VIDRIO TEMPLADO 6MM, MEDIDA: 3700*1600
1- S/I PUERTA CORREDIZA EN VIDRIO TEMPLADO 8MM, MEDIDA: 4240*2870. </t>
  </si>
  <si>
    <t>VICTOR HUGO GIL GALLEGO</t>
  </si>
  <si>
    <t>VICTOR HUGO GIL</t>
  </si>
  <si>
    <t xml:space="preserve">1- S/I VIDRIO TEMPLADO INCOLORO 6MM TEMPLADO PARA CABINA BATIENTE. MEDIDA: 550*1800  </t>
  </si>
  <si>
    <t>CARLOS VALENCIA</t>
  </si>
  <si>
    <t>6- VENTA DE VIDIROS TEMPLADOS INCOLOROS 6MM. MEDIDAS: VARIAS</t>
  </si>
  <si>
    <t>CONSTRUYENDO AMBIENTE S.A.S.</t>
  </si>
  <si>
    <t>DAVID VALENCIA</t>
  </si>
  <si>
    <t>1- S/I VIDRIO CRUDO INCOLORO 4MM, EN NAVE DE VENTANA. MEDIDA:1020*1185</t>
  </si>
  <si>
    <t>JESUS RUEDA</t>
  </si>
  <si>
    <t>5- S/I VIDRIOS TEMPLADO INCOLORO 5MM, INSTALADO EN MARCOS EXISTENTES. MEDIAS: VARIAS</t>
  </si>
  <si>
    <t>1- S/I DE LAMINA ACRILICO 4MM, COLOR HUMO O BRONCE</t>
  </si>
  <si>
    <t>MAPER S.A.S.</t>
  </si>
  <si>
    <t>ADRIANA</t>
  </si>
  <si>
    <t>3- VENTA DE VIDRIO TEMPLADO INCOLORO 6MM CON RADIOS. MEDIDA: 340*290</t>
  </si>
  <si>
    <t>FERNANDO LEON DUQUE BECERRA</t>
  </si>
  <si>
    <t xml:space="preserve">GLORIA RESTREPO </t>
  </si>
  <si>
    <t>1- S/I DE VIDRIO TEMPLADO GRIS HUMO 6MM, PARA REPOSICION DE PERGOLA, MEDIDAS: 934*1820</t>
  </si>
  <si>
    <t>1- S/IDE VIDRIO TEMPLADO INCOLORO 6MM PARA CABINA BATIENTE. MEDIDAS: 668*1055</t>
  </si>
  <si>
    <t>NC #023 DE LA ODP 22608</t>
  </si>
  <si>
    <t>INVERSIONES TURISTOUR S.A.S.</t>
  </si>
  <si>
    <t>MARCELA</t>
  </si>
  <si>
    <t>2- VENTA DE VIDRIOS TEMPLADOS INCOLORO 10MM. MEDIDAS: VARIAS</t>
  </si>
  <si>
    <t>OSWALDO RIOS RIVERA</t>
  </si>
  <si>
    <t>3- VENTA DE VIDRIO TEMPLADO INCOLORO 8MM INCLUYE ACCESORIOS. MEDIDA: 900*1900</t>
  </si>
  <si>
    <t>1- S/I VIDRIO TEMPLADO INCOLORO 6MM, PARA FIJO DE CABINA. MEDIDA: 1080*850</t>
  </si>
  <si>
    <t>1- VENTA DE VIDRIO TEMPLADO INCOLORO 6MM. MEDIDA: 1182*2058</t>
  </si>
  <si>
    <t>MANTING S.A.S.</t>
  </si>
  <si>
    <t>MARIO</t>
  </si>
  <si>
    <t>4- S/I DE VENTANA DE ALUMINIO 3831 CON VIDIRO CRUDO MINIBOREAL</t>
  </si>
  <si>
    <t>CONJUNTO RESIDENCIAL PARQUE DEL CENTRAL DEL RIO</t>
  </si>
  <si>
    <t>1- SERVICIO DE MANTENIMIENTO DE FACHADA, INCLUYE SELLO DE SILICONA</t>
  </si>
  <si>
    <t>LUCIA DEL SOCORRO LIZCANO RODRIGUEZ</t>
  </si>
  <si>
    <t xml:space="preserve">2- VENTA DE VIDRIO TEMLPADO INCOLORO 5MM PARA PERGOLA, MEDIDAS: VARIOS. </t>
  </si>
  <si>
    <t>MAR INVERSIONES Y TRANSPORTE S.A.S.</t>
  </si>
  <si>
    <t>5- S/I DE VIDIROS TEMPLADO INCOLORO 8MM PARA CABINAS TIPO GLASSVIT, ALUMINIO Y ACCESORIOS COLOR NEGRO. MEDIDAS: VARIAS</t>
  </si>
  <si>
    <t>SIX SOLUTIONS S.A.S.</t>
  </si>
  <si>
    <t>CARLOS MUÑOZ</t>
  </si>
  <si>
    <t>1- S/I DE TABLERO EN VIDRIO TEMPLADO 6MM CON PELICULA SANDBLASTING. MEDIDA: 1500*1000</t>
  </si>
  <si>
    <t>CONSEGUIR S.A.S</t>
  </si>
  <si>
    <t>JESUS</t>
  </si>
  <si>
    <t>2- VENTA DE VIDRIO MULTILAMINADO TEMPLADO INCOLORO 6+6+6+6+6 CON PVB 0,76. MEDIDA 400*400</t>
  </si>
  <si>
    <t>PIEL FARMACEUTICA ESPECIALIZADA S.A.S</t>
  </si>
  <si>
    <t xml:space="preserve">DIEGO MEJIA </t>
  </si>
  <si>
    <t>1- VENTA DE VIDRIO TEMPLADO INCOLORO 4MM CON PELICULA VINILO BLANCO. MEDIDA: 297*1000
1- SERVICIO DE DESMONTE DE VIDRIOS EXISTENTES DE DIVISION DE OFICINA</t>
  </si>
  <si>
    <t>ALEJANDRO MUÑOZ GUTIERREZ</t>
  </si>
  <si>
    <t>16- VENTA DE VIDRIO TEMPLADO INCOLORO 5MM, MEDIDA: 1208*596</t>
  </si>
  <si>
    <t>BAYS DENTAL GROUP COLOMBIA S.A.S.</t>
  </si>
  <si>
    <t>MIGUEL CORREA</t>
  </si>
  <si>
    <t>1- MANTENIMIENTO DE PUERTA VIDRIERA EXISTENTE, ( CAMBIO DE GATO HIDRALICO)</t>
  </si>
  <si>
    <t>MARIA CECILIA MEA</t>
  </si>
  <si>
    <t>2- SERVICIO DE MANTENIMIENTO</t>
  </si>
  <si>
    <t>JORGE LUIS PEREZ DE LA TORRE</t>
  </si>
  <si>
    <t xml:space="preserve">3- SERVICIO DE MANTENIMIENTO PARA VENTANAS 3831, INCLUYENDO CAMBIO DE BRAZOS EQUIALIZABLES </t>
  </si>
  <si>
    <t>LIBERADO DEL 19/MAY/25</t>
  </si>
  <si>
    <t>LIBERADO EL 19/MAY/25
INSTALADO EL 21/MAY/25</t>
  </si>
  <si>
    <t>LIBERADO EL 13/MAY/25
ENTREGADO 17/MAY/25</t>
  </si>
  <si>
    <t>LIBERADO 08/MAY/25
ENTREGADO 13/MAY/25</t>
  </si>
  <si>
    <t>LIBERADO EL 08/MAY/25
INSTALADO EL 14/MAY/25 POR CARLOS y JAVIER</t>
  </si>
  <si>
    <t>LIBERADO 22/ABRIL
INSTALADO 20/MAY/25 POR PARTE DE JOSE y FERNEY</t>
  </si>
  <si>
    <t>LIBERADO 08/MAY/25
ENTREGADO 12/MAY/25</t>
  </si>
  <si>
    <t>INSTALADO EL 09/MAY25 POR PARTE DE JOSE y FERNEY</t>
  </si>
  <si>
    <t>INSTALADO EL 09/MAY/25 POR PARTE DE JORGE y ALBERTO</t>
  </si>
  <si>
    <t>INSTALADO EL 25/ABR/25 POR PARTE DE JAVIER</t>
  </si>
  <si>
    <t>SE REALIZA NO CONFORMIDAD DEBIDO A QUE UN VIDRIO MEDIDAS: 1086*850 TENIA DESCUADRE Y SE MANDO A REALIZAR RECTO</t>
  </si>
  <si>
    <t>ANDREA BOLIVAR</t>
  </si>
  <si>
    <t>1- S/1 DE TABLERO EN VIDIRO TEMPLADO 6MM CON PELICULA SANDBLASTING Y ACCESORIOS. MEDIDA: 750*1500</t>
  </si>
  <si>
    <t>SOLUCIONES DECOR S.A.S</t>
  </si>
  <si>
    <t>ANDRES MONTOYA</t>
  </si>
  <si>
    <t>1- VENTA DE VIDRIO TEMPLADO INCOLORO 8MM, MEDIDA: 1100*1600</t>
  </si>
  <si>
    <t>CASTAÑO CONSTRUCTORES S.A.S</t>
  </si>
  <si>
    <t>CARLOS HENAO</t>
  </si>
  <si>
    <t>2- VENTA DE VIDRIO TEMPLADO INCOLORO 8MM, MEDIDAS: VARIAS, 
1- VENTA DE ACCESORIOS (TUBO BISAGRA, ESCUDO, CERRADURA Y TOPES)</t>
  </si>
  <si>
    <t>AUXILIAR ADMINISTRATIVO</t>
  </si>
  <si>
    <t>ODP:</t>
  </si>
  <si>
    <t>CONSULTA POR ODP</t>
  </si>
  <si>
    <t>CLIENTE:</t>
  </si>
  <si>
    <t>XXXXXX</t>
  </si>
  <si>
    <t>CONTACTO:</t>
  </si>
  <si>
    <t>CARGO:</t>
  </si>
  <si>
    <t>FECHA ODP LISTO:</t>
  </si>
  <si>
    <t>SEGM:</t>
  </si>
  <si>
    <t>ASESOR:</t>
  </si>
  <si>
    <t>CARPETA:</t>
  </si>
  <si>
    <t>CARPETA DE FACTRACION</t>
  </si>
  <si>
    <t>PRODUCTO VENDIDO:</t>
  </si>
  <si>
    <t>FECHA LIBERADO:</t>
  </si>
  <si>
    <t>FECHA INSTALADO:</t>
  </si>
  <si>
    <t>OBSERVACION:</t>
  </si>
  <si>
    <t>VALOR DEL PEDIDO:</t>
  </si>
  <si>
    <t>PAGO ANTICIPADO:</t>
  </si>
  <si>
    <t>ANTICIPO2:</t>
  </si>
  <si>
    <t>ANTICIPO1:</t>
  </si>
  <si>
    <t>PENDIENTE 
POR PAGAR</t>
  </si>
  <si>
    <t>1- S/I DE ESPEJO FLOTADO 4MM BPB, MEDIDAS: 1519*1030</t>
  </si>
  <si>
    <t>NC #026 DEBIDO QUE EL ESPEJO SE QUEBRO AL MOMENTO DE CARGAR EN EL CARRO</t>
  </si>
  <si>
    <t>JHONATAN VELASQUEZ</t>
  </si>
  <si>
    <t>1- S/I DE CERRADURA DOBLE MANIJA ALUMINIO, INCLUYE CAMBIO T-244
1- S/1 DE VINILO ADHESIVO BLANCO
20- S/I DE VINILO ADHESIVO AZUL</t>
  </si>
  <si>
    <t>COMPAÑÍA DE EMPAQUES S.A.</t>
  </si>
  <si>
    <t>DIANA ARISTIZABAL</t>
  </si>
  <si>
    <t>1- S/I PUERTA CORREDIZA ALUMINIO T-244, CON VIDRIO TEMPLADO INCOLORO 6MM, MEDIDA: 822*936, INCLUYE ACCESORIOS</t>
  </si>
  <si>
    <t>LUZ EDILMA HERNANDEZ TEJADA</t>
  </si>
  <si>
    <t>1- S/I CABINA BATIENTE EN VIDRIO TEMPLADO INCOLORO 6MM. MEDIDA: VARIAS, INCLUYE ACCESORIOS</t>
  </si>
  <si>
    <t>BERNANDO DE JESUS GUTIERREZ LOPEZ</t>
  </si>
  <si>
    <t>MAURICIO BENJUMEA</t>
  </si>
  <si>
    <t>1- S/I VIDRIO TEMPLADO INCOLORO 6MM, MEDIDAS VARIAS, EN MARCO EXISTENTE, NO INCLUYE ACCESORIOS</t>
  </si>
  <si>
    <t>NC # 023</t>
  </si>
  <si>
    <t>ANOTADO, 15/MAYO/2025 ESTAN LISTOS LOS VIDRIOS TEMPLADOS FALTA CORTE Y ENSAMBLE.
SE INCIA INSTALACIÓN EL 20/MAYO DIVISIONES DE OFICINA. EL 21/MAYO/2025 SE INSTALA VENTANAS Y 27/MAY SE VA A COLOCAR UN ANGULO Y A GARANTIA DE PUERTA COLGADA.
INSTALADORES= JOSE Y FERNEY</t>
  </si>
  <si>
    <t>SE PASA A PROGRAMAR SIN ABONO EL CLIENTE HA COMPRADO TODO LO DE LA CASA</t>
  </si>
  <si>
    <t>INSTALADO 23/MAY/25 POR CARLOS Y JORGE</t>
  </si>
  <si>
    <t>SOCIO DEL DUEÑO</t>
  </si>
  <si>
    <t>S/I DE VIDRIO CRUDO INCOLORO 4MM , INSTALADO EN NAVE DE VENTANA EXISTENTE (REPOSICION) NO INCLUYE ACCESORIOS Y/O PERFILERIA.  MEDIDA 945 X1898</t>
  </si>
  <si>
    <t>LIZETH DAYAN CARDONA AVILA</t>
  </si>
  <si>
    <t>LIZATH DAYAN</t>
  </si>
  <si>
    <t>1 - RECORTE DE ZOCALO , PUERA DE ENTRADA</t>
  </si>
  <si>
    <t>FUE A RECORTAR EL ZOCALO EL SEÑOR JAVIER</t>
  </si>
  <si>
    <t>1- S/I VIDRIO CRUDO INCOLORO 6MM, MEDIDAS: 1275*1280</t>
  </si>
  <si>
    <t>UNIVERSIDAD ECCI</t>
  </si>
  <si>
    <t>LUISA LONDOÑO</t>
  </si>
  <si>
    <t>1- S/I DE VIDRIO TEMPLADO INCOLORO 10MM, MEDIDA:1200*2200, PARA REPOSICION DE PUERTA BATIENTE
1- SERVICIO DE RECOGIDA Y DISPOSICION FINAL DE VIDRIO ESTALLADO</t>
  </si>
  <si>
    <t>SANTIAGO ESCOBAR VANEGAS</t>
  </si>
  <si>
    <t>1- S/I DE TABLERO EN VIDRIO TEMPLADO 6MM CON PELICULA SANDBLASTING. MEDIDA: 1300*600</t>
  </si>
  <si>
    <t xml:space="preserve">1- S/I CABINA GLASSVIT EN VIDRIO TEMPLADO 8MM, MEDIDAS VARIAS, </t>
  </si>
  <si>
    <t>LEIVER MAQUILON LOZANO</t>
  </si>
  <si>
    <t>2- VENTA DE VIDRIO TEMPLADO INCOLORO 6MM, MEDIDAS VARIAS</t>
  </si>
  <si>
    <t>EDIFICIO CASTROPOL PLAZA PH</t>
  </si>
  <si>
    <t>DIANA SALAZAR</t>
  </si>
  <si>
    <t>2- S/I DE VIDRIO TEMPLADO INCOLORO 6MM, MEDIDAS VARIAS, INCLUYE SERIGRAFIA DISEÑO (PUNTOS)</t>
  </si>
  <si>
    <t>9105-B</t>
  </si>
  <si>
    <t>1- S/I PUERTA BATIENTE EN T-244 Y VIDRIO CRUDO INCOLORO 6MM, INCLUYE ACCESORIOS.
1- S/I PASAMANO EMPOTRADO EN VIDRIO TEMPLADO 8MM Y BOLILLO SUPERIOR DE 2" RANURADO PINTURA NEGRA</t>
  </si>
  <si>
    <t>8465
9059</t>
  </si>
  <si>
    <t>JOSE GABRIEL VELEZ</t>
  </si>
  <si>
    <t>1- VENTA DE VIDRIO TEMPLADO 6MM INCOLORO MEDIDA: 875*1080</t>
  </si>
  <si>
    <t>DE LA ESPREILLA LAWYERS ENTERPRICE S.A.S</t>
  </si>
  <si>
    <t>PAULA ORTIZ</t>
  </si>
  <si>
    <t>1- S/I DE TABLERO EN VIDRIO TEMPLADO INCOLORO 6MM MEDIDA: 1000*1000, INCLUYE PELICULA SANDBLASTING Y ACCESORIOS</t>
  </si>
  <si>
    <t>JUAN GABRIEL HENAO POSADA</t>
  </si>
  <si>
    <t>4- VENTA DE VIDRIO TEMPLADO INCOLORO 8MM, MEDIDAS: VARIAS, INCLUYE PERFIL ACRILICO Y BURBUJA</t>
  </si>
  <si>
    <t>YULIETH PULGARIN HIDALGO</t>
  </si>
  <si>
    <t>1- S/I CABINA BATIENTE EN VIDRIO TEMPLADO INCOLORO 6MM. MEDIDA: VARIAS, INCLUYE ACCESORIOS NEGROS</t>
  </si>
  <si>
    <t>LEON DARIO</t>
  </si>
  <si>
    <t>2- S/I DIVISION DE OFICINA EN ESTRUCTURA T-70, PUERTA BATIENTE EN VIDRIO TEMPLADO INCOLORO 8MM, MEDIDAS: 850*2100, FIJOS EN VIDRIO TEMPLADO INCOLORO 6MM, MEDIDAS VARIAS, INCLUYE ACCESORIOS</t>
  </si>
  <si>
    <t>MONICA ISABEL CARMONA ARANGO</t>
  </si>
  <si>
    <t>1- S/I DE FACHADA EN VIDRIO TEMPLADO INCOLORO 10MM, MEDIDAS VARIAS, CON ESQUINERO Y ZOCALO INFERIOR, INCLUYE ACCESORIOS</t>
  </si>
  <si>
    <t xml:space="preserve">AGRO INDUSTRIAS LOS ROBLES </t>
  </si>
  <si>
    <t>JUAN FERNANDO GOMEZ</t>
  </si>
  <si>
    <t xml:space="preserve">COORDINADOR </t>
  </si>
  <si>
    <t>1- S/I DE TABLERO EN VIDRIO TEMPLADO 6MM, MEDIDA:1800*1100 CON PELICULA SANDBLASTING, INCLUYE ACCESORIOS</t>
  </si>
  <si>
    <t>ALEGRIA LEGRI</t>
  </si>
  <si>
    <t>SARA PACHON</t>
  </si>
  <si>
    <t>1- S/I VIDRIO TEMPLADO INCOLORO 8MM. MEDIDA: 1850*368, INCLUYE ACCESORIOS</t>
  </si>
  <si>
    <t>CLAUDIA MARIA TABORDA</t>
  </si>
  <si>
    <t>1- SERVICIO DE MANTENIMIENTO DE CABINA BATIENTE</t>
  </si>
  <si>
    <t>LONDOÑO GOMEZ</t>
  </si>
  <si>
    <t>1- S/I PUERTA BATIENTE DOBLE ALA EN VIDRIO TEMPLADO INCOLORO 10 MM, INCLUYE ACCESORIOS</t>
  </si>
  <si>
    <t>MAS SAS BIC</t>
  </si>
  <si>
    <t>1- S/I PUERTA BATIENTE EN VIDRIO TEMPLADO INCOLORO 8MM, INCLUYE ACCESORIOS</t>
  </si>
  <si>
    <t>MC ARQUITECTO E INGENIEROS S.A.S</t>
  </si>
  <si>
    <t>FEDERICO VELASQUEZ</t>
  </si>
  <si>
    <t>SANDRA MILENA MONTOYA BUITRIAGO</t>
  </si>
  <si>
    <t>SANDRA MILENA ESPINOZA RAVE</t>
  </si>
  <si>
    <t>ESPOSO</t>
  </si>
  <si>
    <t>1- S/I VIDRIO TEMPLADO INCOLORO 8MM, INCLUYE PELICULA CONTROL SOLAR Y ACCESORIOS</t>
  </si>
  <si>
    <t>ALBERTO JOSE CORTES RESTREPO</t>
  </si>
  <si>
    <t>1- S/I DE CABINA CORREDIZA EN VIDRIO TEMPLADO 6MM, INCLUYE ACCESORIOS</t>
  </si>
  <si>
    <t>PROVELESCO S.A.S</t>
  </si>
  <si>
    <t>ANDRES LONDOÑO</t>
  </si>
  <si>
    <t>1- VENTA DE VIDRIO TEMPLADO INCOLO 6MM, MEDIDA: 1500*1000 INCLUYE ACCESORIOS Y PELICULA SANDBLASTING</t>
  </si>
  <si>
    <t>WILTON</t>
  </si>
  <si>
    <t>1- VENTA DE VIDRIO TEMPLADO INCOLORO 6MM, MEDIDA: 450*1885</t>
  </si>
  <si>
    <t>JUAN DIEGO GOMEZ</t>
  </si>
  <si>
    <t>1- VENTA DE VIDRIO TEMPLADO INCOLORO 10MM, MEDIDA: 1407*328</t>
  </si>
  <si>
    <t>INSTALADO POR :JORGE-CARLOS</t>
  </si>
  <si>
    <t>INSTALADORES= JAVIER - ALBERTO</t>
  </si>
  <si>
    <t>INSTALADORES: JAVIER - FERNEY</t>
  </si>
  <si>
    <t>INSTALADORES: JOSE- FERNEY</t>
  </si>
  <si>
    <t>INSTALADORES: JAVIER- ALBERTO</t>
  </si>
  <si>
    <t>ENTREGO JUAN DIEGO</t>
  </si>
  <si>
    <t>INSTALADORES: JORGE- CARLOS</t>
  </si>
  <si>
    <t>INSTALADORES: JORGE- ALBERTO</t>
  </si>
  <si>
    <t>ENTREGADO POR BRYAM</t>
  </si>
  <si>
    <t>NC #024 DE LA ODP 22621
INSTALADORES: CARLOS- JUAN DIEGO</t>
  </si>
  <si>
    <t>INSTALADOR: JAVIER</t>
  </si>
  <si>
    <t>2- SERVICIO DE INSTALACION DE VIDRIOS EXISTENTE, INCLUYE ESTRUCTURAS DE SOPORTE EN TUBULAR DE ALUMINIO T-244</t>
  </si>
  <si>
    <t>JORGE ALBEIRO GAVIRIA CARDONA</t>
  </si>
  <si>
    <t>2- VENTA DE VIDRIO TEMPLADO INCOLORO 6MM, MEDIDAS: VARIAS</t>
  </si>
  <si>
    <t>LUIS ALCALA</t>
  </si>
  <si>
    <t>2- VENTA DE VIDRIO TEMPLADO INCOLORO 6MM, MEDIDA: 75*260, INCLUYE RADIOS 37MM</t>
  </si>
  <si>
    <t>FECHA DE LIBERADO:</t>
  </si>
  <si>
    <t>FECHA DE INSTALADO:</t>
  </si>
  <si>
    <t>PENDIENTE POR PAGAR:</t>
  </si>
  <si>
    <t>FECHA LISTO</t>
  </si>
  <si>
    <t>VALOR TOTAL</t>
  </si>
  <si>
    <t>CONDICION</t>
  </si>
  <si>
    <t xml:space="preserve">31/MAY/25, JOSE Y FERNEY (INSTALALRON 2 VIDRIOS)
04/JUN/25, JORGE Y FERNEY </t>
  </si>
  <si>
    <t>ANOTADO 23/MAY/25
FALTA INSTALALR PELICULAS
INSTALACION 05/JUN/25
JAVIER Y CARLOS</t>
  </si>
  <si>
    <t>INSTALACION 05/JUN/25
JAVIER - CARLOS</t>
  </si>
  <si>
    <t xml:space="preserve">INSTALACION 05/JUN/25
</t>
  </si>
  <si>
    <t>ENTREGO ACARREO JUAN DIEGO</t>
  </si>
  <si>
    <t>NC#022 , INSTALACION JORGE-FERNEY -JAVIER-CARLOS 05/JUNIO/2025</t>
  </si>
  <si>
    <t>INSTALACION 05/JUN/25
JOSE- ALBERTO</t>
  </si>
  <si>
    <t>N/A</t>
  </si>
  <si>
    <t>INSTALACION 06/JUN/25
JORGE- CARLOS</t>
  </si>
  <si>
    <t>B - L REDES E INGENIERIA S.A.S</t>
  </si>
  <si>
    <t xml:space="preserve">LILIANA TEJEDOR </t>
  </si>
  <si>
    <t>1- S/I DE ACCESORIOS PARA REFUERZO DE PASAMANOS EXISTENTE</t>
  </si>
  <si>
    <t>JORGE ALBERTO CARDONA SANCHEZ</t>
  </si>
  <si>
    <t>1- MANTENIMIENTO DE PUERTA VIDRIOERA, SISTEMA 744, RODAMIENTOS Y CIERRE</t>
  </si>
  <si>
    <t>DIANA CATALINA MONTOYA JIMENEZ</t>
  </si>
  <si>
    <t>2- S/I VIDIROS CRUDOS 4MM. MEDIDAS: 500*250</t>
  </si>
  <si>
    <t>1- SUMITRO Y ARMADO DE CARTON Y MADERA</t>
  </si>
  <si>
    <t>INSTALADO EL 29/MAY/25 
JORGE- CARLOS</t>
  </si>
  <si>
    <t>INSTALADORES: JAVIER - CARLOS</t>
  </si>
  <si>
    <t>ENTREGADO POR JUAN GOMEZ</t>
  </si>
  <si>
    <t>INSTALACION: JOSE- FERNEY- JORGE- ALBERTO- CARLOS- JAVIER</t>
  </si>
  <si>
    <t>RENE MONSALVE ROLDAN</t>
  </si>
  <si>
    <t>1- S/I DE VIDRIO TEMPLADO 6MM INCOLO, MEDIDA: 610*1795, INCLUYE ACCESORIOS</t>
  </si>
  <si>
    <t>HORMED S.A.S</t>
  </si>
  <si>
    <t>NORBEY JIMENEZ</t>
  </si>
  <si>
    <t>10- VENTA DE VIDRIO TEMPLADO 6MM INCOLORO, MEDIDA: 490*1090.
9- VENTA DE VIDRIO TEMPLADO 6MM INCOLORO, MEDIDA: 390*1050</t>
  </si>
  <si>
    <t>TINTAS Y PINTURAS ESPECIALES S.A</t>
  </si>
  <si>
    <t>OSCAR</t>
  </si>
  <si>
    <t>1- S/I VENTANA SISTEMA 744 CON VIDRIO 5MM</t>
  </si>
  <si>
    <t>1- S/I PUERTA BATIENTE VIDRIO TEMPLADO INCOLORO 6 MM, MEDIDIA:543*1900, INCLUYE ACCESORIOS</t>
  </si>
  <si>
    <t>YS INGENIERIA S.A.S</t>
  </si>
  <si>
    <t>1- SUMINISTRO Y ACARREO DE VIDIRO TEMPLADO INCOLORO 8MM, MEDIDA:1600*718, VIDRIO CON SERIGRAFIA</t>
  </si>
  <si>
    <t>RICHARD ARMANDO DIOSA GIL</t>
  </si>
  <si>
    <t>3- VENTA DE VIDRIO TEMPLADO INCOLORO 6MM, MEDIDA: 1000*1000</t>
  </si>
  <si>
    <t>INMUEBLES ARMONIA S.A.S</t>
  </si>
  <si>
    <t>1- S/I DE PUERTA BATIENTE EN VIDRIO TEMPLADO INCOLORO 8MM, MEDIDAS VARIAS, INCLUYE PELICULA SANDBLASTING</t>
  </si>
  <si>
    <t>PROTON S.A.S.</t>
  </si>
  <si>
    <t>JAVIER BELTRANCH</t>
  </si>
  <si>
    <t>1- S/I DE VIDRIO TEMPLADO INCOLORO 10MM, MEDIDA: 700*2100</t>
  </si>
  <si>
    <t>ENTREGADO: DON LUIS</t>
  </si>
  <si>
    <t>LABORATORIOS ECAR S.A.</t>
  </si>
  <si>
    <t>3,- SERVICIO DE AJUSTE DE PUERTA EXISTENTE
1- SERVICIO DE AJUSTE Y SELLADO CON SILICONA DE VIDRIOS EXISTENTE</t>
  </si>
  <si>
    <t>INSTALADORES: 04/JUN/25
JOSE</t>
  </si>
  <si>
    <t>ENTREGADO: LUIS ALCALA</t>
  </si>
  <si>
    <t>ANSIRED S.A.S.</t>
  </si>
  <si>
    <t>MAURICIO</t>
  </si>
  <si>
    <t>1- S/I VIDRIO CRUDO INCOLORO 5MM, MEDIDA: 895*420, CON PELICULA DE SEGURIDAD TRANSPARENTE, INSTALADO EN MARCO EXISTENTE</t>
  </si>
  <si>
    <t>JHON CACERES CASTELLANOS</t>
  </si>
  <si>
    <t>VALENTINA</t>
  </si>
  <si>
    <t>1- S/I DE TABLERO EN VIDRIO TEMPLADO 6MM, MEDIDAS: 1800*1000, EN PELICULA SANDBLASTING</t>
  </si>
  <si>
    <t>WORKING SERVICES S.A.S.</t>
  </si>
  <si>
    <t xml:space="preserve">YAJAIRE BERNEL </t>
  </si>
  <si>
    <t>1- S/I DE ANGULO DE ALUMINIO REF. A-09 MATE, PARA PASAMANOS EN ESCALERA</t>
  </si>
  <si>
    <t>ANGELA MARIA OCAMPO MONTOYA</t>
  </si>
  <si>
    <t>2- S/I CABINAS BATIENTES EN VIDRIO TEMPLADO INCOLORO 6MM, MEDIDAS: VARIAS, INCLUYE ACCESORIOS COLOR NEGRO</t>
  </si>
  <si>
    <t>1- VENTA DE ESPEJOS FLOTADOS, MEDIDAS VARIAS</t>
  </si>
  <si>
    <t>ANDRES FELIPE ECHEVERRI ROLDAN</t>
  </si>
  <si>
    <t>17- VENTA DE VIDRIO TEMPLADO INCOLORO 6MM, MEDIDAS VARIAS, INCLUYE ACCESORIOS</t>
  </si>
  <si>
    <t>NS</t>
  </si>
  <si>
    <t>REPOSTERIA TDG S.A.S.</t>
  </si>
  <si>
    <t>1- VENTA DE VIDRIO TEMPLADO INCOLORO 5MM, MEDIDA: 490*1090</t>
  </si>
  <si>
    <t>GEMA PROYECTOS INTEGRALES S.A.S</t>
  </si>
  <si>
    <t>JENY</t>
  </si>
  <si>
    <t>1- S/I VIDRIO TEMPLADO INCOLORO 8MM, MEDIDA: 480*1970</t>
  </si>
  <si>
    <t>ELIZABETH CRISTINA VARGAS VARGAS</t>
  </si>
  <si>
    <t>1- S/I DE TABLERO EN VIDRIO TEMPLADO INCOLORO 6MM, MEDIDA: 1000*700 CON PELICULA SANDBLASTING</t>
  </si>
  <si>
    <t>VICTOR JULIO AVENDAÑO PEREZ</t>
  </si>
  <si>
    <t xml:space="preserve">2- VENTA DE VIDRIO TEMPLADO INCOLORO 6MM, MEDIDA: VARIAS, </t>
  </si>
  <si>
    <t>2- VENTA DE VIDRIO TEMPLADO INCOLORO 6MM, MEDIDAS: 340*290, INCLUYE RADIOS 42MM</t>
  </si>
  <si>
    <t>JONATHAN VELASQUEZ</t>
  </si>
  <si>
    <t>2- S/I VIDRIO LAMINADO CRUDO INCOLORO 4+4, MEDIDAS VARIAS, EN DIVISION EXISTENTE, NO INCLUYE ACCESORIOS</t>
  </si>
  <si>
    <t>LUIS EDUARDO CARDONA MORALES</t>
  </si>
  <si>
    <t>ANTONIO LEON</t>
  </si>
  <si>
    <t>2- VENTA DE VIDRIO TEMPLADO INCOLORO 6MM, MEDIDA: 1340*630</t>
  </si>
  <si>
    <t>DAISURY JARAMILLO</t>
  </si>
  <si>
    <t>S/I DE VIDRIO TEMPLADO INCOLORO, 8MM, MEDIDAS VARIAS, INCLUYE EMPAQUE Y SELLAMIENTO CON SILICONA</t>
  </si>
  <si>
    <t>INSTALACION: JOSE- FERNEY</t>
  </si>
  <si>
    <t>1- SERVICIO DE MANTENIMIENTO CORRECTIVO PARA PUERTA BATIENTE
1- S/I DE PELICULA ADHESIVA TIPO SANDBLASTING</t>
  </si>
  <si>
    <t>INSTALADORES: JAVIER- FERNEY</t>
  </si>
  <si>
    <t>ACARREO 05/JUNIO POR JUAN DIEGO</t>
  </si>
  <si>
    <t>INSTALACION: JORGE- JOSE</t>
  </si>
  <si>
    <t>ENTREGADO: JUAN DIEGO</t>
  </si>
  <si>
    <t>INSTALACION: JAVIER</t>
  </si>
  <si>
    <t>INSTALACION: JORGE. CARLOS</t>
  </si>
  <si>
    <t>INSTALACION: JORGE Y CARLOS</t>
  </si>
  <si>
    <t>SE LIBERO EL 10/ABRIL
SE INSTALO EL 14/ABRIL POR JORGE - ALBERTO
INSTALACION: JOSE- FERNEY, 09/JUN/25</t>
  </si>
  <si>
    <t>SANDRA MILENA MONTOYA BUITRAGO</t>
  </si>
  <si>
    <t>1 9542973962</t>
  </si>
  <si>
    <t>3 - S/I ALUMINIO SISTEMA 744 VIDRIO CRUDO 6MM, CERRADURA IMPACTO SENCILLA, ALUMINIO CRUDO, DISEÑO :XX CORREDIZA INCLUYE ALFAJIA Y MARCO CN MALLA MOSQUITERO.
1 - S/I PUERTA BATIENTE ALUMINIO CON VIDRIO CRUDO INCOLORO 6MM, ESTRUCTURA EN TUBULAR T-70, CERRADURA DOBLE MANIJA.  ALUMINIO CRUDO MEDIDA =1,00 X 2,200</t>
  </si>
  <si>
    <t>9072
9061</t>
  </si>
  <si>
    <t>CLAUDIA MARIA VALLEJO BETANCUR</t>
  </si>
  <si>
    <t>2 - S/I CABINAS CORREDIZAS ALUMINIO, VIDRIO TEMPLADO INCOLORO 6MM, PUERTA CORREDIZA CON BOTON HALADERA EN ACERO INOX. INCLUYE PERFILERIA ALUMINIO CABEZAL,SILLAR, PERFILES U68.  ALUMINIO NATURAL MATE.  MEDIA = 1,480 X 1,900 MM-1280 X 1,900</t>
  </si>
  <si>
    <t>ALC</t>
  </si>
  <si>
    <t xml:space="preserve">ACABADOS JB SAS </t>
  </si>
  <si>
    <t>1 - S/I PUERTA BATIENTE ALUMIIO T-244 CON TABILLA F-08 (INFERIOR), INCLUYE VIDRIO INCOLORO, INCLUYE CERRADURA DOBLE MANIJA. ALUMINIO NEGRO. MEDIDA 1,00 X 2,40</t>
  </si>
  <si>
    <t>LAM
-CR</t>
  </si>
  <si>
    <t>1 - S/I VIDRIO TEMPLADO INCOLORO EN 5MM, INCLUYE PELICULA TIPO FROSTED MEDIDA = 620 X 500</t>
  </si>
  <si>
    <t>ENCARGADA COMPRAS</t>
  </si>
  <si>
    <t xml:space="preserve">LUIS BOHORQUEZ VILLEGAS </t>
  </si>
  <si>
    <t>LUIS BOHORQUEZ</t>
  </si>
  <si>
    <t xml:space="preserve">1 - S/I CABINA BATIENTE VIDRIO TEMPLADO EN 6MM, BPB, 2 BISAGRAS, BOTON HALADERA, VIDIRO FIJO CON U68, PERFIL ACRILICO MEDIDA 920 X 1,900.
1 - S/I REPOSICION DE VIDRIO EN 8MM CON ACCESORIOS EXISTENTES.  MEDIDA = 630 X 1,900 
</t>
  </si>
  <si>
    <t>LABORATORIO DE SONRISAS SAS</t>
  </si>
  <si>
    <t>3009083867 / 3162882229</t>
  </si>
  <si>
    <t>2 - S/I DE DIVISION DE OFICINA EN 10MM INSTALADA CON PERFILES EN F, INCLUYE ESTRUCTURA EN T-244 PARA SOPERTE DE VENTANA ALUMINIO SISTEMA 5020 (DISEÑO XX) ALUMINIO NEGRO.
4 - S/I DE PELICULA ADHESIVA SAND-BLASTING INSTALADA EN VIDRIOS EXISTENTES.</t>
  </si>
  <si>
    <t>MILDRED DANIELA ALZATE SANCHEZ</t>
  </si>
  <si>
    <t>1 - VETNA DE VIDRIO TEMPLADO INCOLORO 5MM, BPB, INCLUYE 1 PERFORACION PARA PUERTA CORREDIZA. MEDIDA = 0,475 X 1,245</t>
  </si>
  <si>
    <t>CARLOS MARIO MENDOZA</t>
  </si>
  <si>
    <t xml:space="preserve">1 - VENTA DE VIDRIO TEMPLADO EN 8MM CON BORDE PULIDO Y BRILLADO MEDIDA = 750 X 750 </t>
  </si>
  <si>
    <t>LUISA FERNANDA RAMIREZ GARCIA</t>
  </si>
  <si>
    <t>LUIS FERNANDA</t>
  </si>
  <si>
    <t>1 - S/I VIDRIO TEMPLADO INCOLORO EN 6MM INCLUYE BOTON Y RODACHINA,PARA REPOSICION PUERTA CORREDIZA DE CABINA MEDIDA= 0,560 X 1,900</t>
  </si>
  <si>
    <t>PERDIVAL PRODUCCIONES SAS</t>
  </si>
  <si>
    <t xml:space="preserve">LINA MARIA HENAO GIL </t>
  </si>
  <si>
    <t>604-2528156</t>
  </si>
  <si>
    <t>2 - S/I DE TABLEROS EN VIDRIO TEMPLADO EN6MM BPB, 6 PERF. INCLUYE ELEVADORES EN ACERO INOXIDABLE Y PELICULA SANBLASTING. MEDIDAS= 2,50 X 1,50, 3,00 X 1,20</t>
  </si>
  <si>
    <t>LIBARDO GIRALDO MONTOYA</t>
  </si>
  <si>
    <t xml:space="preserve">LIBARDO </t>
  </si>
  <si>
    <t>1 - VENTA DE CABINA CORREDIZA EN ALUMINIO EN L, VIDRIO TEMPLADO INCOLORO 6MM, INCLUYE BOTONES Y PERFIL PLASTICO, KIT ALUMINIO COLOR NEGRO MEDIDA = 820 X 820 X 1800</t>
  </si>
  <si>
    <t>JUAN CAMILO RAMIREZ</t>
  </si>
  <si>
    <t>MEGAMARKET</t>
  </si>
  <si>
    <t>MARIA VICTORIA MEJIA</t>
  </si>
  <si>
    <t>DIRECTORA ADMINISTRATIVA</t>
  </si>
  <si>
    <t>1 -S/I DE VIDRIO CRUDO INCOLORO 4MM, INCLUYE ELICULAS ADHESIVAS DE SEGURIDAD (TRANSPARENTE) NO INCLUYE ACCESORIOS  MEDIDA = 750 X 1000</t>
  </si>
  <si>
    <t>16 -  S/I DE ESPEJOS FLOTADOS 4MM, BORDES PULIDOS Y BRILLADOS, CON SISTEMA DE LUZ LED MEDIDAS VARIAS.
3 - S/I DE PERSIANAS ALN-315, PARA VENTANAS EXISTENTES. ALUMINIO NEGRO MEDIDAS VARIAS</t>
  </si>
  <si>
    <t>9147-1</t>
  </si>
  <si>
    <t xml:space="preserve">LOS VIDRIOS SON MULTILAMINADOS </t>
  </si>
  <si>
    <t>NATHALIA GONZALEZ</t>
  </si>
  <si>
    <t>LIDER DE BIENESTAR Y GESTION ADMINISTRATIVA</t>
  </si>
  <si>
    <t>JORGE MARIO QUINTANA CAÑAVERAL</t>
  </si>
  <si>
    <t>JORGE MARIO QUINTAÑA</t>
  </si>
  <si>
    <t>5 - VENTA DE VIDRIOS TEMPLADOS EN 8MM, CON RADIOS, BPB, PARA REPISAS CON PELICULA SOPORTES ESPECIALES EN ACERO INOXIDABLBE.</t>
  </si>
  <si>
    <t>ANOTADO 12/JUNIO/2025 FALTA SOPORTE</t>
  </si>
  <si>
    <t>CARLOS CORREA</t>
  </si>
  <si>
    <t>CLIENTE  DE CREDITO</t>
  </si>
  <si>
    <t>CONJUNTO RESIDENCIAL URB. ATENAS</t>
  </si>
  <si>
    <t>1 - S/I DE VIDRIO TEMPLADO INCOLORO 8MM PARA REPOSICION EN PASAMANOS</t>
  </si>
  <si>
    <t>INSTALACION JAVIER -FERNEY</t>
  </si>
  <si>
    <t>FLOR ANGELA GIRALDO  TAMAYO</t>
  </si>
  <si>
    <t>JHON JAIRO CASTAÑO</t>
  </si>
  <si>
    <t xml:space="preserve">1 - MANTENIMIENTO CABINA CORREDIZA </t>
  </si>
  <si>
    <t>LE SOLICITARON AL SEÑOR BRYAM FACTURA ELECTRONICA DESPUES DE REALIZAR EL MANTENIMIENTO.
REALIZA MANTENIMIENTO JORGE</t>
  </si>
  <si>
    <t>INSTALADORES: JOSE - ALBERTO</t>
  </si>
  <si>
    <t>HERNAN DE JESUS MONTOYA GRAJALES</t>
  </si>
  <si>
    <t>HERNAN DE JESUS</t>
  </si>
  <si>
    <t>1 - S/I DIVISION DE OFICINA EN VIDRIO TEMPLADO INCOLORO 8MM, INCLUYE PUERTA CORREDIZA SISTEMA OPTIGLASS CON CERRADURA PICOLORO Y MANIJA ACERO 60 CM, VIDRIOS FIJOS INSTALADOS CON PERFIL F Y U32, ALUMINIO NATURAL MATE.  MEDIDAS = 1,28+0,75+1,28+2,35H</t>
  </si>
  <si>
    <t>8- S/I DE VIDRIO TEMPLADO INCOLORO 6MM, MEDIDAS VARIAS</t>
  </si>
  <si>
    <t>1- S/I DE MARCO DE ALUMINIO CON VIDRIO TEMPLADO INCOLORO 6MM, MEDIDAS VARIAS, SOPORTADO CON PISAVIDRIOS A PRESION EN SISTEMA 3831</t>
  </si>
  <si>
    <t>MR SOLUCIONES DE INGENIERIA</t>
  </si>
  <si>
    <t>1- S/I DE VIDRIO TEMPLADO INCOLORO 10MM, MEDIDA: 1200*2500</t>
  </si>
  <si>
    <t>CORPAEDA</t>
  </si>
  <si>
    <t>CATHERINE MAZO</t>
  </si>
  <si>
    <t>1- S/I DE PUERTA BATIENTE EN VIDRIO TEMPLADO INCOLORO 10MM, MEDIDAS: 991*2115, INCLUYE PELICULA CON DISEÑO</t>
  </si>
  <si>
    <t>JOHAN FERNANDO ARANGO MOLINA</t>
  </si>
  <si>
    <t xml:space="preserve">2- VENTA DE VIDRIO TEMPLADO PARA CABINA BATIENTE INCOLORO 6MM, MEDIDAS VARIAS, </t>
  </si>
  <si>
    <t>N</t>
  </si>
  <si>
    <t xml:space="preserve">1- VENTA DE VIDRIO TEMPLADO PARA CABINA BATIENTE, INCOLORO 6MM, MEDIDAS VARIAS </t>
  </si>
  <si>
    <t>AP RETAIL DESING S.A.S.</t>
  </si>
  <si>
    <t>ALEX RUEDA</t>
  </si>
  <si>
    <t>2- S/I DE VIDRIO TEMPLADO INCOLORO 10MM MEDIDAS: 1610*3590, 
4- S/I DE VIDRIO LAMINADO TEMPLADO 5+5 INCOLORO, MEDIDAS VARIAS, INLCUYE PERFILERIA</t>
  </si>
  <si>
    <t>6013/1903</t>
  </si>
  <si>
    <t>INVERSIONES Y SALUD VEGAS</t>
  </si>
  <si>
    <t>1- SERVICIO DE DESMONTE DE VNETANA CORREDIZA EXISTENTE, INCLUYE S/I DE MONTANTE SUPERIOR EN SISTEMA 3831 CON VIDRIO LAM-CR 3+3</t>
  </si>
  <si>
    <t>1- S/I DE VIDRIO LAMINADO CRUDO INCOLORO 4+4 PARA DIVISION EXISTENTE, MEDIDAS: 860*2350</t>
  </si>
  <si>
    <t>BERTA LUCIA CALLE LOPERA</t>
  </si>
  <si>
    <t>1- S/I DE VIDRIO CRUDO INCOLORO 4MM, MEDIDA: 685*2085</t>
  </si>
  <si>
    <t>1- S/I DE VIDRIO TEMPLADO INCOLORO 6MM, MEDIDAS: 990*1045, INCLUYE SERIGRAFIA, NO INCLUYE ACCESORIOS</t>
  </si>
  <si>
    <t>INVERSIONES SOVASSICA S.A.S.</t>
  </si>
  <si>
    <t>CARLOS ANDRE MEDINA</t>
  </si>
  <si>
    <t>44- VENTA DE VIDRIO TEMPLADO INCOLORO 10MM, MEDIDAS VARIAS</t>
  </si>
  <si>
    <t>ORMIGGA S.A.S.</t>
  </si>
  <si>
    <t>MILENA ROJAS</t>
  </si>
  <si>
    <t>1- S/I DE ESPEJO 4MM BPB, EN PARED CON CINTA ADHESIVA Y SILICONA</t>
  </si>
  <si>
    <t>NIDIA VELEZ CARVAJAL</t>
  </si>
  <si>
    <t>1- SERVICIO DE MANTENIMIENTO PARA CABINA CORREDIZA, INCLUYE RODAMIENTOS Y CAMBIO DE SILICONA</t>
  </si>
  <si>
    <t>HERNAN DARIO ZAPATA VELEZ</t>
  </si>
  <si>
    <t>2- VENTA DE VIDRIO TEMPLADO INCOLORO 6MM. MEDIDA: 1800*400</t>
  </si>
  <si>
    <t>ELKIN ALBERTO SALDARRIAGA</t>
  </si>
  <si>
    <t>2- S/I DE VIDRIO TEMPLADO PARA CABINA GLASSVIT INCOLORO 8MM, MEDIDAS VARIAS, INCLUYE ACCESORIOS</t>
  </si>
  <si>
    <t>DIRECTORA DE PROYECTOS</t>
  </si>
  <si>
    <t>1- S/I DE ESPEJO 4MM BPB, FLOTADO, MEDIDA: 700*1800</t>
  </si>
  <si>
    <t>C.I. HERMECO S.A.</t>
  </si>
  <si>
    <t>HEIDER</t>
  </si>
  <si>
    <t>2- SERVICIO DE MANTENIMIENTO DE PUERTA BATIENTE EXISTENTE,</t>
  </si>
  <si>
    <t>CANINOS Y FELINOS EL POBLADO S.A.S.</t>
  </si>
  <si>
    <t xml:space="preserve">ANDRES </t>
  </si>
  <si>
    <t>2- S/I DE ESQUINERO CIERRA PUERTA YALE Y-1001, PARA PUERTAS EXISTENTES</t>
  </si>
  <si>
    <t>INSTALACION: JAVIER- ALBERTO</t>
  </si>
  <si>
    <t>INSTALACION: JORGE</t>
  </si>
  <si>
    <t>ACARREO: JUAN DIEGO</t>
  </si>
  <si>
    <t>INSTALACION: CARLOS- JORGE</t>
  </si>
  <si>
    <t>GIRARTE INDUSTRIAS GRAFICA S.A.S.</t>
  </si>
  <si>
    <t>ROSA</t>
  </si>
  <si>
    <t>6- VENTA DE TABLERO EN VIDRIO TEMPLADO 6MM, MEDIDAS: 1500*1000,  INCLUYE PORTA BORRADOR Y ACCESORIOS</t>
  </si>
  <si>
    <t>INSTALACION: JORGE- FERNEY</t>
  </si>
  <si>
    <t>INSTALACION: JAVIER- FERNEY</t>
  </si>
  <si>
    <t>INSTALADORES: CARLOS, JAVIER, JUAN DIEGO</t>
  </si>
  <si>
    <t>111/6</t>
  </si>
  <si>
    <t>INSTALACION: JOSE, FERNEY. ALBERTO, JORGE</t>
  </si>
  <si>
    <t>INSTALACION: JOSE, ALBERTO</t>
  </si>
  <si>
    <t>INSTALACION: JOSE- ALBERTO</t>
  </si>
  <si>
    <t>ALEXANDRA REYES</t>
  </si>
  <si>
    <t>CAMILA</t>
  </si>
  <si>
    <t>1 - SERVICIO DE AJUSTE DE BOLILLO PARA PASAMANOS, AJUSTE SILICONA.</t>
  </si>
  <si>
    <t>URBAN INGENIERIA SAS</t>
  </si>
  <si>
    <t>HERNAN CARDONA</t>
  </si>
  <si>
    <t>1 - SERVICIO DE SELLAMIENTO SILICONA Y COLOCACION DE PLATINA</t>
  </si>
  <si>
    <t>KAMBIZ ARYAVAND</t>
  </si>
  <si>
    <t>2- S/I DE CABINA BATIENTE EN VIDRIO TEMPLADO INCOLORO 8MM, MEDIDAS VARIAS</t>
  </si>
  <si>
    <t>LUIS HERNAN BOHORQUEZ BERMUDEZ</t>
  </si>
  <si>
    <t>1- S/I DE VIDRIO TEMPLADO INCOLORO 6MM, MEDIDA: 825*2040, PARA REPOSICION EN PERGOLA EXISTENTE</t>
  </si>
  <si>
    <t>SEBASTIAN ARIAS CARDONA</t>
  </si>
  <si>
    <t>1- VENTA DE VIFRIO TEMPLADO INCOLORO 5MM, MEDIDA: 320*390, INCLUYE PERFORACIONES</t>
  </si>
  <si>
    <t>ALFAGRES S.A. EN ORGANIZACIÓN</t>
  </si>
  <si>
    <t>CRISTOFER VELASQUEZ</t>
  </si>
  <si>
    <t>1- S/I DE FACHADA EN VIDRIO TEMPLADO INCOLORO 6MM, MEDIDAS VARIAS, INCLUYE ACCESORIOS</t>
  </si>
  <si>
    <t>JHON KENNEDY CAMERO</t>
  </si>
  <si>
    <t>1- VENTA DE VIDRIO TEMPLADO INCOLORO 5MM, MEDIDA: 1100*1100</t>
  </si>
  <si>
    <t>INSTALACION: JOSE - FERNEY</t>
  </si>
  <si>
    <t>INSTALACION: JORGE- ALBERTO</t>
  </si>
  <si>
    <t>ACARREO: BRYAM</t>
  </si>
  <si>
    <t>MANTENIMIENTO: JORGE</t>
  </si>
  <si>
    <t>ESTE PEDIDO SE FUE A TOMAR LA MEDIDA SON VIDRIOS MEDIA LUNA, ANOTADO 12/JULIO/2025 FALTA PEGAR PELICULA. 
INSTALADORES = JOSE - FERNEY</t>
  </si>
  <si>
    <t>INSTALADOR = JORGE</t>
  </si>
  <si>
    <t>ENTREGA: LUIS- CARLOS</t>
  </si>
  <si>
    <t>ENTREGA: LUIS ALCALA</t>
  </si>
  <si>
    <t xml:space="preserve"> </t>
  </si>
  <si>
    <t>INSTALACION: JAVIER - ALBERTO</t>
  </si>
  <si>
    <t>INSTALACION: 18/JUN/25
SOLO LAS PERSINAS
JAVIER- ALBERTO</t>
  </si>
  <si>
    <t>ENTREGA: LUIS</t>
  </si>
  <si>
    <t>ENTREGADO: LUIS</t>
  </si>
  <si>
    <t>INSTALACION: JORGE- CARLOS</t>
  </si>
  <si>
    <t>NC #025 DE LA ODP 22616
INSTALACION: JAVIER- ALBERTO</t>
  </si>
  <si>
    <t>JHON NIÑO</t>
  </si>
  <si>
    <t>1- S/I DE PERFILES U-68, PARA VENTANA FIJA</t>
  </si>
  <si>
    <t>1- S/I DE VIDRIOS TEMPLADOS INCOLOROS 8MM, MEDIDAS VARIAS, INCLUYE PERFILES Y PEGADO CON FOTOCURADO</t>
  </si>
  <si>
    <t>MC ARQUITECTOS E INGENIEROS S.A.S</t>
  </si>
  <si>
    <t>EL CLIENTE DA LAS MEDIDAS Y ASUME LA RESPONSABILIDAD EN LA INSTALACIÓN
INSTALACION: JORGE</t>
  </si>
  <si>
    <t>NC #024 DE LA ODP 22647</t>
  </si>
  <si>
    <t>19/JUN/25 SE ENTREGO 4 TABLEROS Y 16 ELEVADORES,
PENDIENTE 2 TABLEROS Y 8 ELEVADORES MAS 6 PORTABORRADORES</t>
  </si>
  <si>
    <t>HECTOR AUGUSTO YEPEZ VALENCIA</t>
  </si>
  <si>
    <t>HECTOR</t>
  </si>
  <si>
    <t>1- S/I DE DIVISION DE OFICINA EN VIDRIO TEMPLADO INCOLORO 8MM, MEDIDAS VARIAS, INCLUYE ACCESORIOS Y PELICULA SANDBALSTING</t>
  </si>
  <si>
    <t>FIL-ON TECH S.A.S.</t>
  </si>
  <si>
    <t>NICOLAS SASTOQUE</t>
  </si>
  <si>
    <t>1- S/I DE TABLERO EN VIDRIO TEMPLADO INCOLORO 6MM, MEDIDA: 1500*1000 CON PELICULA SANDBLASTING</t>
  </si>
  <si>
    <t>3- S/I DE PELICULAS CON DISEÑOS PARA PUERTAS Y DIVISIONES, MEDIDAS VARIAS</t>
  </si>
  <si>
    <t>DIEGO MEJIA MEJIA</t>
  </si>
  <si>
    <t>4- S/I DE DIVISION EN VIDRIO TEMPLADO INCOLORO 10MM, MEDIDAS VARIAS, 
2- S/I ESPEJOS 4MM FLOTADO, BORDES BRILLADOS, MEDIDA; 600*900</t>
  </si>
  <si>
    <t>5611/5612</t>
  </si>
  <si>
    <t>VICTORIA EUGENIA ISAZA MEJIA</t>
  </si>
  <si>
    <t>LINA LONDOÑO GOMEZ</t>
  </si>
  <si>
    <t>1- S/I VIDRIO TEMPLADO INCOLORO 6MM, INSTALADO EN NAVE 7038 EXISTENTE, MEDIDA: 1398*2323, NO INCLUYE ACCESORIOS</t>
  </si>
  <si>
    <t>B - L REDES E INGENIERIA S.A.S.</t>
  </si>
  <si>
    <t>1- SERVICIO DE MANTENIMIENTO CORRECTIVO, INCLUYE AJUSTE DE FLAUTAS Y GRADUACION DE BISAGRA HIDRAULICA</t>
  </si>
  <si>
    <t>JOHAN ESTEFANNY ORTIZ AGUDELO</t>
  </si>
  <si>
    <t>1- SERVICIO DE MANTENIMIENTO PARA CABINA CORREDIZA, INCLUYE CAMBIO DE SILICONA, AJUSTE Y NIVELACION</t>
  </si>
  <si>
    <t>MANTENIMIENTO: JAVIER Y ALBERTO</t>
  </si>
  <si>
    <t>ANDRES FELIPE ORRIEGO</t>
  </si>
  <si>
    <t>1- S/I PUERTA VIDRIOERA ALUMINIO 7038, INCLUYE MANIJA MULTIUSO Y CERRADURA, RIEL INFERIOR, INCLUYE ESTRUCTURA PERIMETRAL DE REFUERZO T-101, MEDIDA: 3450*3420</t>
  </si>
  <si>
    <t>LEONAROD FRANCO RAMIREZ</t>
  </si>
  <si>
    <t>1- S/I TABLERO EN VIDRIO TEMPLADO INCOLORO 6MM, MEDIDA: 1200*800, INCLUYE PELICULA SANDVLASTING Y PORTABORRADOR</t>
  </si>
  <si>
    <t>SIMON OLAYA</t>
  </si>
  <si>
    <t>2- S/I DE CABINAS TIPO GLASSVIT EN VIDRIO TEMPLADO INCOLORO 6MM, MEDIDAS VARIAS, INCLUYE ACCESORIOS Y ALUMINIO</t>
  </si>
  <si>
    <t>5995/5996</t>
  </si>
  <si>
    <t>ACARREO: JAVIER</t>
  </si>
  <si>
    <t>ANOTADO: 25/JUN/25
FALTA ACCESORIOS</t>
  </si>
  <si>
    <t>MARIA VICTORIA CASTAÑO SIERRA</t>
  </si>
  <si>
    <t>MADEOBRAS MEDELLIN S.A.S.</t>
  </si>
  <si>
    <t>ARNULFO ECHEVERRY</t>
  </si>
  <si>
    <t>CARPINTERO</t>
  </si>
  <si>
    <t>1- S/I CABINA GLASSVIT EN VIDRIO TEMPLADO INCOLORO 8MM, MEDIDA: 1250*1900, INCLUYE ACCESORIOS
1- S/I CABINA BATIENTE EN VIDRIO TEMPLADO INCOLORO 8MM, MEDIDA: 950*1900, INCLUYE ACCEOSRIOS.
1- S/I DE VIDRIO TEMPLADO INCOLORO 8MM, MEDIDAS VARIAS, INCLUYE ACCESORIOS NEGROS</t>
  </si>
  <si>
    <t>1- S/I DE CABINA BATIENTE EN VIDRIO TEMPLADO INCOLORO 8MM, MEDIDAS VARIAS, INCLUYE ACCESORIOS</t>
  </si>
  <si>
    <t>ANDRES ALZATE</t>
  </si>
  <si>
    <t>1- SERVICIO DE DESMONTE Y REINSTALACION DE CABINA EXISTENTE EN VIDRIO TEMPLADO. INCLUYE PERFIL ACRILICO Y ACCESORIOS</t>
  </si>
  <si>
    <t>VICTOR HUGO CARDONA ZAPATA</t>
  </si>
  <si>
    <t>1- VENTA DE VIDRIO TEMPLADO INCOLORO 6MM, MEDIDA:345*950</t>
  </si>
  <si>
    <t>2- VENTA DE VIDRIO TEMPLADO INCOLORO 6MM, MEDIDAS VARIAS, INCLUYE PERFIL PERIMETRAL U-68</t>
  </si>
  <si>
    <t>INTERVIT</t>
  </si>
  <si>
    <t xml:space="preserve">7- VENTA DE VIDRIO TEMPLADO INCOLORO 6MM, MEDIDAS VARIAS, </t>
  </si>
  <si>
    <t>CLAUDIA MARIN VALLEJO BETANCOURD</t>
  </si>
  <si>
    <t>1- S/I DE VIDRIO TEMPLADO INCOLORO 6MM, MEDIDA: 618*1880,</t>
  </si>
  <si>
    <t>LUZ MABEL GONZALEZ SILVA</t>
  </si>
  <si>
    <t xml:space="preserve">1- VENTA DE VIDRIO TEMPLADO INCOLORO 5MM, MEDIDA: 330*545 </t>
  </si>
  <si>
    <t>ALVARO ENRIQUE VASQUEZ BERRIOS</t>
  </si>
  <si>
    <t>1- VENTA Y TRASPORTE DE VIDRIO TEMPLADO INCOLORO 6MM, MEDIDA: 420*1795</t>
  </si>
  <si>
    <t>WUILLYZHER ORIAN GALLO</t>
  </si>
  <si>
    <t>9- VENTA DE VIDRIO TEMPLADO INCOLORO 6MM, MEDIDAS VARIAS</t>
  </si>
  <si>
    <t>1- VENTA DE VIDRIO TEMPLADO INCOLORO 6MM, MEDIDA: 2440*1330, INCLUYE ACCESORIOS.</t>
  </si>
  <si>
    <t>JHON JAIRO PIEDRAHITA LONDOÑO</t>
  </si>
  <si>
    <t>1- S/I CABINA BATIENTE EN VIDRIO TEMPLADO INCOLORO 6MM, MEDIDAS VARIAS, INCLUYE ACCESORIOS.</t>
  </si>
  <si>
    <t>1- S/I DE CABINA GLASSVIT EN VIDRIO TEMPLADO INCOLORO 8MM, MEDIDAS VARIAS, INCLUYE ACCESORIOS</t>
  </si>
  <si>
    <t>2- S/I DE CABINA GLASSVIT EN VIDRIO TEMPLADO INCOLO 8MM, INCLUYE ACCESORIOS</t>
  </si>
  <si>
    <t xml:space="preserve">MONICA MONSALVE FRANCO </t>
  </si>
  <si>
    <t>1- S/I DE PUERTA CORREDIZA OPTIGLASS EN VIDRIO TEMPLADO INCOLORO 10MM, MEDIDA 1285*2290</t>
  </si>
  <si>
    <t>ESCUELA DE IDIOMAS HEADWAY</t>
  </si>
  <si>
    <t>VICTORIA SALINAS</t>
  </si>
  <si>
    <t>1- SERVICIO DE MANTENIMIENTO CORRECTIVO, INCLUYE AJUSTE Y NIVELACION</t>
  </si>
  <si>
    <t>MANTENIMIENTO: JAVIER</t>
  </si>
  <si>
    <t>2- S/I DE CABINA GLASSVIT EN VIDRIO TEMPLADO INCOLORO 6MM, MEDIDAS VARIAS, INCLUYE ACCESORIOS</t>
  </si>
  <si>
    <t>INGENERIA Y CONSTRUCCIONES MS S.A.S.</t>
  </si>
  <si>
    <t>NC 027</t>
  </si>
  <si>
    <t>DESPACHA BRYAM ARRUBLA 25-06-2025</t>
  </si>
  <si>
    <t>19-06-2025: INSTALACIÓN JOSE / FERNEY</t>
  </si>
  <si>
    <t>INSTALACION: JOSE- FERNEY / 13-06-2025</t>
  </si>
  <si>
    <t>INSTALACIÓN: JORGE Y CARLOS / 24-06-2025</t>
  </si>
  <si>
    <t>INSTALACIÓN: JAVIER Y ALBERTO / 26-06-2025</t>
  </si>
  <si>
    <t>INSTALCIÓN 28/06/2025 / JOSE-LABERTO-FERNEY-JAVIER-JORGE</t>
  </si>
  <si>
    <t>INSTALACIÓN 26-06-2025 / JAVIER - ALBERTO</t>
  </si>
  <si>
    <t>ENTREGADO JUAN DIEGO / 26-06-2025</t>
  </si>
  <si>
    <t>INSTALACIÓN 26-06-2025 / CARLOS - JORGE</t>
  </si>
  <si>
    <t>INSTALACIÓN 24-06-2025 / JAVIER - ALBERTO</t>
  </si>
  <si>
    <t>SILVER COMPANY S.A.S</t>
  </si>
  <si>
    <t>GUILLERMO VERGARA</t>
  </si>
  <si>
    <t>300 2861250</t>
  </si>
  <si>
    <t>1-SERVICIO DE MANTENIMIENTO PARA FACHADA EN VIDRIO TEMPLADO. INCLUYE AJUSTE Y NIVELACIÓN DE PUERTA Y AJUSTE DE PERGIL F.</t>
  </si>
  <si>
    <t>INSTALACIÓN 26-06-2025 / JOSE - FERNEY</t>
  </si>
  <si>
    <t>AA</t>
  </si>
  <si>
    <t>JHON JAIRO MUÑOZ</t>
  </si>
  <si>
    <t>5838 / 5867</t>
  </si>
  <si>
    <t>PENDIENTE ACCESORIOS 08/MAYO // INSTALACIÓN 17-05-2025 (JOSE/ALBERTO/FERNEY/JAVIER)</t>
  </si>
  <si>
    <t>ENTREGADO: 20-06-2025</t>
  </si>
  <si>
    <t>INSTALACIÓN JAVIER Y ALBERTO (19-06-2025)</t>
  </si>
  <si>
    <t>INSTALACIÓN JORGE Y CARLOS (20-06-2025)</t>
  </si>
  <si>
    <t>ACARREO: BRYAM
NC #027 (REPOSICIÓN DE ODP-22585)</t>
  </si>
  <si>
    <t>INSTALACION: JOSE- FERNEY (18-06-2025)</t>
  </si>
  <si>
    <t>INSTALACION: JOSE- FERNEY (26-06-2025)</t>
  </si>
  <si>
    <t>INSTALACION: CARLOS- JORGE (27-06-2025)</t>
  </si>
  <si>
    <t>24-06-2025 / LUIS</t>
  </si>
  <si>
    <t>INSTALACIÓN 19-06-2025 / ALBERTO-JOSE-FENERY-JAVIER</t>
  </si>
  <si>
    <t>12-06-205</t>
  </si>
  <si>
    <t>DESPACHADO 26-06-2025</t>
  </si>
  <si>
    <t>ANDES LOGISTICS COLOMBIA S.A.S</t>
  </si>
  <si>
    <t>LEIDY OTALVARO</t>
  </si>
  <si>
    <t>320 6699279</t>
  </si>
  <si>
    <t>1-SERVICIO DE MANTENIEINETO CORRECTOVO PARA PUERTA BATIENTE. INCLUYE CAMBIO DE BASE INFERIOR DE ZÓCALO</t>
  </si>
  <si>
    <t>INSTALACION: JOSE Y ALBERTO, FALTA 1 VIDRIO, ROTO POR PARTE DE VITELSA</t>
  </si>
  <si>
    <t>ANOTADO: 01/JUL/25, FALTA PELICULA
INSTALACION: JOSE- ALBERTO</t>
  </si>
  <si>
    <t>ANOTADO: 03/JUL/25, FALTA PELICULA</t>
  </si>
  <si>
    <t>C.R. PARQUE CENTRAL DEL RIO</t>
  </si>
  <si>
    <t>1,- SERVICIO DE MANTENIMIENTO PARA VNETANA CORREDIZA, INCLUYE CAMBIO DE RODAMIENTO</t>
  </si>
  <si>
    <t>ONETOMANY MEDIA S.A.S</t>
  </si>
  <si>
    <t>ANA LUCIA</t>
  </si>
  <si>
    <t>1- S/I DE TABLERO EN VIDRIO TEMPLADO INCOLORO 6MM, MEDIDA: 1200*800, INCLUYE PELICULA SANDBLASTING</t>
  </si>
  <si>
    <t>1- S/I ESPEJO 4MM, BORDES BPB CON PERFILERIA DE ALUMINIO</t>
  </si>
  <si>
    <t>SELEC INGENIEROS CONSULTORES S.A.S.</t>
  </si>
  <si>
    <t>16, suministro e instalacion de vidrios templados incoloro 6MM instalado en estructura de pergola existente, incluye empaque y sello en silicona, pelicula hibrida medida 7,75  x 2,55  4, suministro e instalacion vidrios templados incoloros 6MM, instalado en estructura de pergola existente inluye empaqe y sello en silicona pelicula hibrida. medida 1,18x3,20</t>
  </si>
  <si>
    <t>KP</t>
  </si>
  <si>
    <t>JULIAN ZULUAGA</t>
  </si>
  <si>
    <t>NC #024</t>
  </si>
  <si>
    <t>INSTALACION: JOSE, JAVIER, FERNEY, ALBERTO</t>
  </si>
  <si>
    <t>EDILBERTO DE JESUS OSORIO</t>
  </si>
  <si>
    <t>FABIO ANTONIO VALENCIA</t>
  </si>
  <si>
    <t>1- VENTA Y TRASPORTE DE VIDRIO TEMPLADO INCOLORO 6MM, MEDIDA: 760*1060</t>
  </si>
  <si>
    <t>OLGA PATRICIA MARIN OCAMPO</t>
  </si>
  <si>
    <t>DIEGO MARIN</t>
  </si>
  <si>
    <t>2- S/I DE EVENTANAS DE ALUMINIO SISTEMA 5020, EN VIDRIO CRUDO</t>
  </si>
  <si>
    <t>ANDRES FELIPE BENITES ATEHORTUA</t>
  </si>
  <si>
    <t>LAURA BENITES</t>
  </si>
  <si>
    <t>2- VENTA Y TRANSPORTE DE VENTANA DE ALUMINIO, SISTEMA 8025 CON VIDRIO TEMPLADO INCOLO 5MM</t>
  </si>
  <si>
    <t>GRUPO CAROSO S.A.S.</t>
  </si>
  <si>
    <t>BIBIAN</t>
  </si>
  <si>
    <t>2- S/I DE VIDRIO TEMPLADO INCOLORO 6MM, MEDIDAS VARIAS, INCLUYE PELICULA DE SEGURIDAD TRANSPARENTE|</t>
  </si>
  <si>
    <t>COOPERATIVA DE CAFICULTORES SALGAR</t>
  </si>
  <si>
    <t>SANDRA FERRER</t>
  </si>
  <si>
    <t>1- S/I MODULO FIJO SISTEMA 3831, EN VIDRIO CRUDO</t>
  </si>
  <si>
    <t>TOMAS ARBOLEDA ARBELAEZ</t>
  </si>
  <si>
    <t>TOMAS</t>
  </si>
  <si>
    <t>1- S/I CABINA BATIENTE EN VIDRIO TEMPLADO INCOLORO 8MM, MEDIDAS VARIAS, INCLUYE ACCESORIOS.</t>
  </si>
  <si>
    <t xml:space="preserve">1- VENTA DE VIDRIO TEMPLADO MULTILAMINADO TEMLADO INCOLORO 6+6+6+6+6 </t>
  </si>
  <si>
    <t>DARIO JOSE</t>
  </si>
  <si>
    <t>3- S/I DE VIDRIO TEMPLADO INCOLORO 8MM, MEDIDAS VARIAS</t>
  </si>
  <si>
    <t>NC #032</t>
  </si>
  <si>
    <t>FELIPE SANCHEZ</t>
  </si>
  <si>
    <t>10- SERVICIO DE AJUSTE DE PUERTA EXISTENTE
2- S/I DE PERFIL VP-1867 Y VP-047</t>
  </si>
  <si>
    <t>VICTOR MANUEL BOTERO GOMEZ</t>
  </si>
  <si>
    <t>1- S/I DE VIDRIO TEMPLADO INCOLORO 6MM, MEDIDA: 410*1780, INCLUYE ACCESORIO</t>
  </si>
  <si>
    <t>1- S/I DE VIDRIO TEMPLADO INCOLORO 10MM, MEDIDA:  900*2480, ACCESORIO EXISTENTES</t>
  </si>
  <si>
    <t>1- S/I DE VIDRIO TEMPLADO INCOLORO 6MM, MEDIDA: 1155*605</t>
  </si>
  <si>
    <t>DAVID ALEJANDRO CASTAÑO HERREÑO</t>
  </si>
  <si>
    <t>1- S/I DE VIDIRO TEMPLADO INCOLORO 8MM, MEDIDA: 789*2028, INCLUYE PELICULA SANDBLASTING</t>
  </si>
  <si>
    <t>ANSIRED S.A.S</t>
  </si>
  <si>
    <t>2- S/I DE MARCO EN PERFILERIA DE ALUMINIO SISTEMA 3831</t>
  </si>
  <si>
    <t>TRANSPORTES ESPECIALES A&amp;S S.A.S.</t>
  </si>
  <si>
    <t>VALERIA DUQUE</t>
  </si>
  <si>
    <t>AUX RECURSOS</t>
  </si>
  <si>
    <t>2- SERVICIO DE DESMONTE Y REINSTALACION DE TABLERO EXISTENTE EN VIDIRO TEMPLADO</t>
  </si>
  <si>
    <t>MONICA ALEJANDRA JARAMILLO VASQUEZ</t>
  </si>
  <si>
    <t>7- S/I DE VIDRIOS TEMPLADOS INCOLOROS 6MM, MEDIDAS VARIAS, INCLUYE PELICULA CONTROL SOLAR</t>
  </si>
  <si>
    <t>9369-9370</t>
  </si>
  <si>
    <t>MONICA MARCELA GOMEZ RAMIREZ</t>
  </si>
  <si>
    <t>1- S/I DE VIDIRO TEMPLADO INCOLORO 6MM, MEDIDA: 690*1780</t>
  </si>
  <si>
    <t>GIRARTE INDUSTRIA GRAFICA S.A.S.</t>
  </si>
  <si>
    <t>1- VENTA DE VIDRIO TEMPLADO INCOLORO 6MM, MEDIDA: 1500*1000</t>
  </si>
  <si>
    <t>GUSTAVO ADOLFO CANO QUICENO</t>
  </si>
  <si>
    <t>1- VENTA Y TRANSPORTE DE CIDIRO TEMPLADO LAMINADO 5+5, MEDIDA: 1040*2267</t>
  </si>
  <si>
    <t>GRUPO SAVELCO S.A.S</t>
  </si>
  <si>
    <t xml:space="preserve">SEBASTIAN </t>
  </si>
  <si>
    <t>8- VENTA DE VIDRIOS TEMPLADOS INCOLOS 6MM, MEDIDAS VARIAS</t>
  </si>
  <si>
    <t>CONJUNTO INMOBILIARIO SAN FERNANDO PLAZA PH</t>
  </si>
  <si>
    <t xml:space="preserve">JORGE ARIAS </t>
  </si>
  <si>
    <t>COORDINADOR MANTENIMIENTO</t>
  </si>
  <si>
    <t>11- SERVICIO DE MANTENIMIENTO PARA PUERTAS DE CABINAS DE BAÑO, INCLUYE 2 BISAGRAS ACERO INOX</t>
  </si>
  <si>
    <t>FACTURA ANTICIPADA</t>
  </si>
  <si>
    <t>1- S/I VIDRIO TEMPLADO 6MM VERDE AUTOMOTRIZ PARA REPOSICIÓN DE VENTANA PROYECTANTE, INCLUYE PELÍCILA REFLECTIVA. MEDIDA 380X700</t>
  </si>
  <si>
    <t>1- VENTADE VIDRIOS TEMPLADOS INC 6MM, BPB, MAQUINADOS PARA CABINA CORREDIZA EN ESCUADRA. MEDIDA 740+740X1800</t>
  </si>
  <si>
    <t>BIG S.A.S.</t>
  </si>
  <si>
    <t>1- S/I ESPEJO 4MM, BPB, INCLUYE MARCO CON ANGULO EN ALUMINIO. MEDIDA 1890X568</t>
  </si>
  <si>
    <t>MARIA TERESA</t>
  </si>
  <si>
    <t>HECTOR TAMAYO RUIZ</t>
  </si>
  <si>
    <t>ENCARGADA</t>
  </si>
  <si>
    <t>8- VENTA DE VIDRIOS TEMPLADOS INC 8MM, BPB, 4 PERFORACIONES Y PELÍCULA BLACK 5% PARA PASAMANOS</t>
  </si>
  <si>
    <t xml:space="preserve">CASTAÑO CONSTRUCTORES </t>
  </si>
  <si>
    <t>1- S/I BISAGRA HIDRAULICA SPEEDY M-60 INCLUYE ESQUINERO IZQUIERDO INFERIOR Y APERTURA DE CAJA EN EL PISO</t>
  </si>
  <si>
    <t>JUAN CARLOS MESA GIRALDO</t>
  </si>
  <si>
    <t>1- S/I ESPEJO 4MM, BPB, INCLUYE FLOTADO DE ESPEJO A PARED MEDIDA 2360X1150 NO CONFORMIDAD</t>
  </si>
  <si>
    <t xml:space="preserve">CAROLINA ARRUBLA </t>
  </si>
  <si>
    <t>ELIZABETH RUA</t>
  </si>
  <si>
    <t>6- S/I VENTANAS COMBINADAS 5020/3831, ALUMINIO NEGRO Y VIDRIO MINIBOREAL, CHAPA DE IMPACTO, TRASLAPE REFORZADO. DISEÑO XX/O
2-S/I VENTANAS NOVUS, ALUMINIO NEGRO, VIDRIO 3+3 INC+ CAM 6MM + 3+3 INC, PELÍCULA SANDBLASTING. DISEÑO XX/O</t>
  </si>
  <si>
    <t>GRUPO SUITES S.A.S</t>
  </si>
  <si>
    <t>1- S/I DE VIDRIO TEMPLADO INCOLORO 8MM, MEDIDA: 750*2220, ACCESORIOS EXISTENTE</t>
  </si>
  <si>
    <t>RENO ING S.A.S</t>
  </si>
  <si>
    <t>1- S/I FACHADA EN VIDRIO TEMPLADO INCOLORO 10MM, MEDIDAS VARIAS, ACCESORIOS NEGROS</t>
  </si>
  <si>
    <t>INVERSIONES NATURAL SOUND</t>
  </si>
  <si>
    <t>KEVIN CORREA</t>
  </si>
  <si>
    <t>11- S/I DE VIDRIOS TEMPLADO INCOLORO 8MM, MEDIDAS: 970*950.
5,- SUMINISTRO DE VIDRIOS TEMPLADOS INCOLORO, 8MM, MEDIDAS VARIAS,</t>
  </si>
  <si>
    <t>KARINA</t>
  </si>
  <si>
    <t>1- VENTA DE VIDRIO TEMPLADO INCOLORO 6MM, MEDIDA: 1260*1200</t>
  </si>
  <si>
    <t>INSTALACION: JORGE- CARLOS- JAVIER- ALBERTO</t>
  </si>
  <si>
    <t>INSTALACION: JAVIER- JORGE</t>
  </si>
  <si>
    <t>LUISA FERNANDA SOLANO PINO</t>
  </si>
  <si>
    <t>1- SERVICIO DE MMT CABINA BATIENTE, CAMBIO DE EMPAQUE BISAGRAS, ANGULO IRREGULAR</t>
  </si>
  <si>
    <t>1- VENTA DE VIDRO TEMPLADO INCOLORO 8MM, MEDIDA: 1240*1148, INCLUYE PELICULA SANDBLASTING</t>
  </si>
  <si>
    <t>INSTALACION: JOSE Y FERNEY</t>
  </si>
  <si>
    <t>2- S/I VIDRIOS TEMPLADOS PARA VENTANA, INCLUYE PUERTAS BATIENTES EN VIDRIO TEMPADO INCOLORO 6MM, MEDIDA VARIAS, INCLUYE ACCESORIOS NEGRO</t>
  </si>
  <si>
    <t>ESPAZZIO PROPIEDAD RAIZ S.A.S</t>
  </si>
  <si>
    <t>ORLIZ CHINCHILLA</t>
  </si>
  <si>
    <t>2- S/I DE VIDRIOS TEMPLADOS INCOLORO 10MM, MEDIDAS: VARIAS  PARA PASAMANO EMPOTRADO
1- S/I DE VIDRIO TEMPLADO INCOLORO 10MM, MEDIDA: 5200*1200 PARA PASAMANO DE PARCHE</t>
  </si>
  <si>
    <t>EDIFICIO SAN MARTIN PH</t>
  </si>
  <si>
    <t>1- SERVICIO DE MANTENIMIENTO A PUERTA BATIENTE EXISTENTE, AJUSTE DE TUBULAR SUPERIOR</t>
  </si>
  <si>
    <t>ASIEELEC</t>
  </si>
  <si>
    <t>OMAR VARGAS</t>
  </si>
  <si>
    <t>2- VENTA DE DIAMETROS 240 MM, INCOLORO 6MM</t>
  </si>
  <si>
    <t>NC #032, DE LA ODP 22756
INSTALACION: JOSE- FERNEY</t>
  </si>
  <si>
    <t>ANGULAR CONSTRUCCIONES S.A.S</t>
  </si>
  <si>
    <t>MAURICIO URIBE</t>
  </si>
  <si>
    <t>1- SERVICIO DE INSTALACION DE BISAGRA HIDRAULICA PARA PUERTA DE VIDRIO, AJUSTE Y NIVELACION</t>
  </si>
  <si>
    <t>TESTEC S.A.S.</t>
  </si>
  <si>
    <t>LEIDY URDANETA</t>
  </si>
  <si>
    <t>1- S/I DE VIDRIO TEMPLADO INCOLORO 10MM, MEDIDA: 1050*2860, INSTALADO CON ACCESORIOS EXISTENTES</t>
  </si>
  <si>
    <t>ELEVATOR CONTROL SYSTEM S.A.S.</t>
  </si>
  <si>
    <t>ANGELA</t>
  </si>
  <si>
    <t>4- VENTA DE VIDRIOS TEMPLADOS INCOLOROS 10MM, MEDIDAS VARIAS</t>
  </si>
  <si>
    <t>SOCIEDAD IMPORTADORA Y DISTRIBUIDORA JAPAN Y RACING</t>
  </si>
  <si>
    <t>FREYMAR</t>
  </si>
  <si>
    <t>1- SERVICIO DE MODIFICACION DE MANIJA PARA PUERTA CORREDIZA ACUSTICA</t>
  </si>
  <si>
    <t>SANTIAGO PIZZA CADAVID</t>
  </si>
  <si>
    <t>1- SERVICIO DE INSTALACION DE 5 VIDRIOS TEMPLADOS INCOLOROS</t>
  </si>
  <si>
    <t>LONDOÑO GOMEZ S.A.S.</t>
  </si>
  <si>
    <t>LINA SALDARRIAGA</t>
  </si>
  <si>
    <t>15- S/I DE PELICULAS CONTROL SOLAR, REFERENCIA NANOCARBONO AL 70%</t>
  </si>
  <si>
    <t>INSTALACION: EXTERNO</t>
  </si>
  <si>
    <t>LUIS GUILLERNO GARCIA VALDEZ</t>
  </si>
  <si>
    <t>CAROLINA</t>
  </si>
  <si>
    <t>1- S/I DE VIDRIOS CRUDOS BRONCE 4MM, MEDIDAS VARIAS, PARAP UERTAS Y VENTANAS</t>
  </si>
  <si>
    <t>ANOTADO 14/JUL/25: FALTA VENTANAS NOVUS</t>
  </si>
  <si>
    <t>JUAN ESTEVAN</t>
  </si>
  <si>
    <t>3- S/I DE VIDRIO TEMPLADO INCOLORO, 6MM, MEDIDAS: 1000*3100</t>
  </si>
  <si>
    <t>ANIMAL CORP S.A.S</t>
  </si>
  <si>
    <t>MANUELA</t>
  </si>
  <si>
    <t>1- S/I DE TABLERO EN VIDRIO TEMPLADO INCOLORO 6MM, MEDIDA: 1200*800, INCLUYE ACCESORIOS Y PELICULA SANDBLASTING</t>
  </si>
  <si>
    <t>MAR INVERSIONES Y TRANSPORTE</t>
  </si>
  <si>
    <t>3- S/I BOLILLO RANURADO 2" PARA PASAMANOS CON VIDRIOS EXISTENTES</t>
  </si>
  <si>
    <t>3OR S.A.S.</t>
  </si>
  <si>
    <t>MARIA ELENA DE OLARTE</t>
  </si>
  <si>
    <t>2- S/I ESPEJOS 4MM, BPB, PEGADOS A MUEBLES EXISTENTES</t>
  </si>
  <si>
    <t>SORPLAST</t>
  </si>
  <si>
    <t>WENDY JIMENEZ</t>
  </si>
  <si>
    <t>1- S/I PUERTA VIDRIERA SISTEMA 7038, EN VIDRIO TEMPLADO INCOLORO 6MM, MEDIDA VARIAS</t>
  </si>
  <si>
    <t>JUAN DAVID CATAÑO</t>
  </si>
  <si>
    <t>1- VENTA DE VIDRIO TEMPLADO INCOLORO 6MM, MEDIDA: 1630*1550</t>
  </si>
  <si>
    <t>NAN</t>
  </si>
  <si>
    <t>GRUPO NORDIKA S.A.S.</t>
  </si>
  <si>
    <t>ARIADNA VALLEJO</t>
  </si>
  <si>
    <t>1- S/I PUERTA BATIENTE EN VIDRIO TEMPLADO, INCOLORO 8MM, MEDIDA:789*2090</t>
  </si>
  <si>
    <t>INVERSIONES IMPRIMA S.A.S.</t>
  </si>
  <si>
    <t>2- VENTA DE TABLERO EN VIDRIO TEMPLADO INCOLORO, 6MM, MEDIDA: 8000*700, INCLUYE PELICULA SANDBLASTING</t>
  </si>
  <si>
    <t>HUGO PEÑA SALAZAR</t>
  </si>
  <si>
    <t>MELISSA RESTREPO</t>
  </si>
  <si>
    <t>ESPOSA</t>
  </si>
  <si>
    <t>1- S/I ESPEJO 4MM BPB, FLOTADO Y LUCES LED
1- S/I CABINA TIPO GLASSVIT, VIDRIO TEMPLADO INCOLORO 8MM</t>
  </si>
  <si>
    <t>SIGIFREDO LOPEZ MANCO</t>
  </si>
  <si>
    <t>1- VENTA DE CABINA CORREDIZA, SISTEMA GLASSVIT, EN VIDRIO TEMPLADO INCOLORO 8MM, MEDIDAS VARIAS</t>
  </si>
  <si>
    <t>JOSE ALEJANDRO PINO ALZATE</t>
  </si>
  <si>
    <t>MARIANA</t>
  </si>
  <si>
    <t>1- VENTA DE VIDRIO TEMPLADO REDONDO PARA MESA INCOLORO 6MM, DIAMETRO 1200</t>
  </si>
  <si>
    <t>VELEZ ARANGO J ASOCIADOS S.A.S</t>
  </si>
  <si>
    <t>SANDRA ARANGO</t>
  </si>
  <si>
    <t>1- S/I DE VIDRIO TEMPLADO INCOLORO 6MM, MEDIDA: 1660*590, CON VINILO BLANCO</t>
  </si>
  <si>
    <t>MARIA GLORIA VEGA PATIÑO</t>
  </si>
  <si>
    <t>1- S/I DE VIDRIO TEMPLADO INCOLORO 6MM, MEDIDA 695*1900 PARA REPOSICION DE FIJO DE CABINA CON ACCESORIOS EXISTENTES</t>
  </si>
  <si>
    <t>HUR LOPEZ HERNENDEZ</t>
  </si>
  <si>
    <t>3- VENTA Y TRANSPORTE DE VIDRIO TEMPLADO INCOLORO 8MM, MEDIDAS VARIAS, INCLUYE PELICULA CONTROL SOLAR Y 12 ELEVADORES DE 2CM</t>
  </si>
  <si>
    <t>DIEGO VELEZ POSADA</t>
  </si>
  <si>
    <t>3- VENTA Y TRANSPORTE DE VIDRIOS TEMPLADOS INCOLOROS 8MM, MEDIDAS VARIAS, INCLUYE PELICULA CONTROL SOLAR NATURAL AL 50%,</t>
  </si>
  <si>
    <t>LUIS LIZCANO SANDOVAL</t>
  </si>
  <si>
    <t>2- VENTA DE VIDRIO TEMPLADO BRONCE 6MM, MEDIDA: 2000*1000</t>
  </si>
  <si>
    <t>SOFISTIK D.A.</t>
  </si>
  <si>
    <t>JUAN GOMEZ</t>
  </si>
  <si>
    <t>1- S/I DE VIDRIO TEMPLADO INCOLORO 10MM, MEDIDA:1190*2460, INLCUYE PELICULA DE SEGURIDAD TRANSPARENTE</t>
  </si>
  <si>
    <t>ARTE VERTICAL S.A.S</t>
  </si>
  <si>
    <t>LUIS</t>
  </si>
  <si>
    <t>1- VENTA DE VIDRIO TEMPLADO INCOLO 10MM, MEDIDA:2100*820, CON PLANTILLA</t>
  </si>
  <si>
    <t>VICTOR MANUEL SANCHEZ DURAN</t>
  </si>
  <si>
    <t>2- S/I DE REPISA EN VIDRIO TEMPLADO INCOLORO 8MM, MEDIDA: 600*300, INCLUYE SOPORTE PELICANOS XL</t>
  </si>
  <si>
    <t>AUTO SPORT ESTETICA AUTOMOTRIZ S.A.S.</t>
  </si>
  <si>
    <t>JUAN CAMILO VELASQUEZ</t>
  </si>
  <si>
    <t>1- VENTA DE ANGULO DE 2" Y 2"</t>
  </si>
  <si>
    <t>INSTALACION: JOSE- FERNEY- ALBERTO- JOSE</t>
  </si>
  <si>
    <t>PAGO RETENCIÓN 2,5% $295,166, SE LLEVA EN ACARREO EL 19/JULIO POR CONDUCTOR JUAN DIEGO</t>
  </si>
  <si>
    <t>3 - S/I DE CERRAMIENTO EN VIDRIO TEMPLADO INCOLORO 8MM, MEDIDAS VARIAS, INCLUYE ACCESORIOS BISAGRAS Y FLAUTAS EN PINTURA NEGRA</t>
  </si>
  <si>
    <t>ANOTADO: 01/JUL/25, FALTA ACCESORIOS, INSTALADO POR JOSE-FERNEY-ALBERTO-JAVIER Y JORGE HASTA EL MEDIO DIA</t>
  </si>
  <si>
    <t>INSTALACION: JOSE- FERNEY- JORGE</t>
  </si>
  <si>
    <t>INSTALACION: JOSE- FERNEY- ALBERTO- JAVIER</t>
  </si>
  <si>
    <t>NO CONFORMIDAD #034, INSTALACION: JOSE- FERNEY</t>
  </si>
  <si>
    <t>NC#034</t>
  </si>
  <si>
    <t>ANULADO POR ODP 22906</t>
  </si>
  <si>
    <t>JOSE GUILLERMO LOPEZ GIRALDO</t>
  </si>
  <si>
    <t>2- S/I DE VIDRIOS TEMPLADOS INCOLORO 10MM, MEDIDAS: VARIAS , INCLUYE ACCESORIOS</t>
  </si>
  <si>
    <t>ANOTADO: 19/JUL/25, FALTA MATIZADO</t>
  </si>
  <si>
    <t>JOHN JAIRO ALZATE CASTRILLON</t>
  </si>
  <si>
    <t>2- VENTA Y TRANSPORTE DE VIDRIOS TEMPLADOS INCOLOROS 6MM, MEDIDAS VARIAS, INCLUYE ACCESORIOS</t>
  </si>
  <si>
    <t>ANA RITA BERJUNEA ACOSTA</t>
  </si>
  <si>
    <t xml:space="preserve">1- S/I DE VIDRIO TEMPLADO BRONCE 6MM, MEDIDA: 665*1485, </t>
  </si>
  <si>
    <t>1- S/I VIDRIO TEMPLADO INCOLORO 8MM, MEDIDA: 418/411*1900</t>
  </si>
  <si>
    <t>NC #034 DE LA ODP 22724</t>
  </si>
  <si>
    <t>1- S/I BISAGRA HIDRAULICA SPEEDY M-60 INCLUYE TUBO BISAGRA ACERO INOX 2"</t>
  </si>
  <si>
    <t>INVERSIONES GG OASIS S.A.S</t>
  </si>
  <si>
    <t>YOLIMA</t>
  </si>
  <si>
    <t>3- S/I DE VENTANAS CIRREDIZAS CIN VIDRIO TEMPLADO EN 5MM, SISTEMA 8025.
1- S/I DE VIDRIO TEMPLADO INCOLORO 8MM PARA PASAMANOS CON PARALES,</t>
  </si>
  <si>
    <t>2- VENTA DE VIDRIO TEMPLADO INCOLORO 6MM, MEDIDA: 585*648</t>
  </si>
  <si>
    <t>1- S/I TABLERO EN VIDRIO TEMPLADO 6MM, INCOLORO, MEDIDAS: 1300*600, INCLUYE PELICULA SANDBLASTING</t>
  </si>
  <si>
    <t>INDUTRIAS HACEB</t>
  </si>
  <si>
    <t>OSCAR ZAPATA</t>
  </si>
  <si>
    <t>1- S/I PUERTA BATINETE, EN VIDRIO TEMPLADO INCOLORO 8MM, MEDIDA: 800*2020, INCLUYE ACCESORIOS</t>
  </si>
  <si>
    <t>MANUEL GUILLERMO JIMENEZ PEREZ</t>
  </si>
  <si>
    <t>2- S/I VIDRIOS CRUDOS 5MM, INCOLORO, PARA MARCO DE VENTANAS INCLUYE PELICULA DE SEGURIDAD TRANSPARENTE, MEDIDAS VARIAS</t>
  </si>
  <si>
    <t>AVANCIVIL S.A.S.</t>
  </si>
  <si>
    <t>1- S/I PUERTA BATIENTE EN ALUMINIO T-244, TABLILLA F08 SUPERIOR E INFERIOR, CERRADURA DOBLE
1- S/I PUERTA BATIENTE EN ALUMINO T-244, VIDRIO CRUDO EN LA PARTE SUPERIOR Y TABLILLA EN LA INFERIOR</t>
  </si>
  <si>
    <t>LILIANA ARAQUE MUÑOZ</t>
  </si>
  <si>
    <t>1- SERVICIO DE MANTENIMIENTO A PUERTA DE VIDRIO, INCLUYE BISAGRAS MEDIA LUNA ACERO Y SOPORTE DE ACERO INOX</t>
  </si>
  <si>
    <t>ALMACENES CORONA</t>
  </si>
  <si>
    <t>1- S/I CABINA BATIENTE TRASLAPADA, EN VIDRIO TEMPLADO INCOLORO 8MM, MEDIDAS VARIAS,
1- S/I CABINA GLASSVIT EN VIDRIO TEMPLADO INCOLORO 8MM, MEDIDAS VARIAS.</t>
  </si>
  <si>
    <t>MILTON FERNANDO MORALES IDARRAGA</t>
  </si>
  <si>
    <t>1- S/I VIDRIO LAMINADO TEMPLADO, COLOR GRIS 6MM, MEDIDA; 185*2735</t>
  </si>
  <si>
    <t>HERNANDO DE JESUS URREA MESA</t>
  </si>
  <si>
    <t>1- VENTA DE VIDRIO TEMPLADO INCOLORO, 6MM, MEDIDA: 600*1100</t>
  </si>
  <si>
    <t>MATEO MOLINA GIRALDO</t>
  </si>
  <si>
    <t>1- VENTA DE VIDRIO TEMPLADO, GRIS 6MM, CON 4 RADIOS, MEDIDA: 1020*600</t>
  </si>
  <si>
    <t>CONGREGACION HH. EE. CC.</t>
  </si>
  <si>
    <t>DEYBIS</t>
  </si>
  <si>
    <t>2- S/I VIDRIO CRUDO INCOLORO 6MM, MEDIDA: 1890*1115, PARA REPOSICION, INCLUYE PELICULA CONTROL SOLAR</t>
  </si>
  <si>
    <t>1- S/I VIDRIOS TEMPLADOS PARA VITRINAS INCOLORO, 6MM, INCLUYE ACCESORIOS</t>
  </si>
  <si>
    <t>-</t>
  </si>
  <si>
    <t>INSTALACION: 17/7</t>
  </si>
  <si>
    <t>CENTRO DE FERTILIDAD DEL TESORO</t>
  </si>
  <si>
    <t>LINA ALVAREZ</t>
  </si>
  <si>
    <t>1- MANTENIMIENTO DE PUERTA Y CENTRO DE BASE</t>
  </si>
  <si>
    <t>MANTENIMIENTO: JAVIER- ALBERTO</t>
  </si>
  <si>
    <t>BAYTON SERVICIOS COLOMBIA S.A.S</t>
  </si>
  <si>
    <t>CAROLINA ARRUBLA</t>
  </si>
  <si>
    <t>1- S/I VIDRIO CRUSO INCOLORO 4MM, MEDIDA: 894*1128, INCLUYE PELICULA SANDBLASTING</t>
  </si>
  <si>
    <t>INSTALACION: BRYAM</t>
  </si>
  <si>
    <t>ANOTADO: 23/JUL/25 FALTA CORTE Y ENSAMBLE</t>
  </si>
  <si>
    <t>ANOTADO: 23/JUL/25, FALTA PELICULA</t>
  </si>
  <si>
    <t>1- VENTA DE VENTANA EN ALUMINIO SISTEMA 3831 CON VIDRIO CRUDO INCOLORO 5MM</t>
  </si>
  <si>
    <t>S/I DE CABINAS BATIENTES EN VIDRIO TEMPLADO 6MM ,MEDIDAS VARIAS, CON ALUMINIO Y ACCESORIOS NEGRO</t>
  </si>
  <si>
    <t>ERIKA MILENA OSORIO CARVAJAL</t>
  </si>
  <si>
    <t>1- S/I DE MODULO FIJO PARA CABINA DE BAÑO EN VIDRIO TEMPLADO INCOLORO 8MM, MEDIDA: 800*1900, INCLUYE ACCESORIOS</t>
  </si>
  <si>
    <t>ORFILA DE JESUS OCAMPO DE HOLGUIN</t>
  </si>
  <si>
    <t>1- S/I DIVISION DE OFICINA EN VIDRIO TEMPLADO INCOLORO 8MM, MEDIDAS VARIAS
1- S/I MODULO FIJO EN VIDRIO TEMPLADO INCOLORO 8MM, INSTALADO CON PERFILERIA EN ALUMINIO COLOR NEGRO</t>
  </si>
  <si>
    <t>URBAN INGENIEROS S.A.S.</t>
  </si>
  <si>
    <t>HERNAN CARDENA</t>
  </si>
  <si>
    <t>3- S/I CABINA DE BAÑO TIPO GLASSVIT EN VIDRIO TEMPLADO INCOLORO 8MM, MEDIDAS VARIAS: DOS (02) CON ACCESORIOS NEGROS Y UNA (01) CON ACCESORIOS DORADOS</t>
  </si>
  <si>
    <t>KEYLLA TRELLEZ GUTIERREZ</t>
  </si>
  <si>
    <t>ODP: ODP: 22741</t>
  </si>
  <si>
    <t>CLIENTE: CLIENTE: LABORATORIO DE SONRISAS SAS</t>
  </si>
  <si>
    <t>CARPETA Y SEGM: CARPETA: CARPETAS FACTURACION</t>
  </si>
  <si>
    <t>OBSERVACIÓN: OBSERVACION: INSTALACION: JOSE- FERNEY</t>
  </si>
  <si>
    <t>PAGO: PENDIENTE POR PAGAR: 12383575</t>
  </si>
  <si>
    <t>1- S/I DE CABINA BATIENTE EN VIDRIO TEMPLADO INCOLORO 6MM, MEDIDAS VARIAS, ACCESORIOS NEGROS
1- S/I VENTANA SISTEMA 744, ALUMINIO BRONCE, VIDRIO CRUDO INCOLORO 4MM
1- S/I VRIDRIO TEMPLADO SERIGRAFIA BLANCA 6MM
1- S/I DIAMETRO EN VIDRIO TEMPLADO INCOLORO 8MM</t>
  </si>
  <si>
    <t>1- S/I DE CABINA CORREDIZA EN L, EN VIDRIO TEMPLADO INCOLORO 6MM, MEDIDAS VARIAS, INCLUYE PERFILERIA Y ACCESORIOS</t>
  </si>
  <si>
    <t>JUAN FERNANDO GARCIA CARDONA</t>
  </si>
  <si>
    <t xml:space="preserve">1- VENTA DE VIDRIOTEMPLADO INCOLORO 5MM, MEDIDA: 1117*655, INCLUYE MATIZADO TOTAL </t>
  </si>
  <si>
    <t>MADEOBRAS MEDELLIN S.A.S</t>
  </si>
  <si>
    <t>1- S/I DE VIDRIO TEMPLADO INCOLORO 8MM, MEDIDA 1000*1000</t>
  </si>
  <si>
    <t>TUT RE SERVICES COLOMBIA S.A.S.</t>
  </si>
  <si>
    <t>FRANCELLY GARCIA</t>
  </si>
  <si>
    <t>1- S/I DIVISION DE OFICINA EN VIDRIO TEMPLADO INCOLORO 8MM, MEDIDAS VARIAS</t>
  </si>
  <si>
    <t>TERRY KOLLING</t>
  </si>
  <si>
    <t>1- VENTA DE VIDRIO TEMPLADO INCOLO 5MM, MEDIDA: 12000*400</t>
  </si>
  <si>
    <t>SOCIEDAD DE SAN VICENTE DE PAUL</t>
  </si>
  <si>
    <t>PAOLA GARCIA</t>
  </si>
  <si>
    <t>3- S/I DE TABLERO EN VIDRIO TEMPLADO NICOLORO 6MM, MEDIDA:1500*1000, INCLUYE ACCESORIOS Y PELICULA SANDBLASTING</t>
  </si>
  <si>
    <t>CESAR AUGUSTO QUICENO</t>
  </si>
  <si>
    <t>1- S/I PUERTA BATIENTE EN VIDRIO TEMPLADO INCOLORO 10MM, MEDIDAS VARIAS, INCLUYE ACCESORIOS Y PELICULA SANDBLASTING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</si>
</sst>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quot;$&quot;\ #,##0;\-&quot;$&quot;\ #,##0"/>
    <numFmt numFmtId="165" formatCode="_-&quot;$&quot;\ * #,##0.00_-;\-&quot;$&quot;\ * #,##0.00_-;_-&quot;$&quot;\ * &quot;-&quot;??_-;_-@_-"/>
    <numFmt numFmtId="166" formatCode="_-&quot;$&quot;\ * #,##0_-;\-&quot;$&quot;\ * #,##0_-;_-&quot;$&quot;\ * &quot;-&quot;??_-;_-@_-"/>
    <numFmt numFmtId="167" formatCode="#,##0_ ;\-#,##0\ "/>
    <numFmt numFmtId="168" formatCode="&quot;$&quot;\ #,##0"/>
    <numFmt numFmtId="169" formatCode="&quot;$&quot;#,##0"/>
    <numFmt numFmtId="170" formatCode="_-&quot;$&quot;* #,##0_-;\-&quot;$&quot;* #,##0_-;_-&quot;$&quot;* &quot;-&quot;??_-;_-@_-"/>
  </numFmts>
  <fonts count="27"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9"/>
      <name val="Arial"/>
      <family val="2"/>
    </font>
    <font>
      <b/>
      <sz val="9"/>
      <color rgb="FFFF0000"/>
      <name val="Arial"/>
      <family val="2"/>
    </font>
    <font>
      <sz val="10"/>
      <name val="Arial"/>
      <family val="2"/>
    </font>
    <font>
      <b/>
      <sz val="5"/>
      <name val="Arial"/>
      <family val="2"/>
    </font>
    <font>
      <b/>
      <sz val="9"/>
      <color theme="1"/>
      <name val="Arial"/>
      <family val="2"/>
    </font>
    <font>
      <sz val="9"/>
      <color theme="1"/>
      <name val="Arial"/>
      <family val="2"/>
    </font>
    <font>
      <sz val="9"/>
      <color rgb="FFFF0000"/>
      <name val="Arial"/>
      <family val="2"/>
    </font>
    <font>
      <sz val="9"/>
      <color indexed="81"/>
      <name val="Tahoma"/>
      <family val="2"/>
    </font>
    <font>
      <b/>
      <sz val="9"/>
      <color indexed="81"/>
      <name val="Tahoma"/>
      <family val="2"/>
    </font>
    <font>
      <b/>
      <vertAlign val="superscript"/>
      <sz val="9"/>
      <color rgb="FFFF0000"/>
      <name val="Arial"/>
      <family val="2"/>
    </font>
    <font>
      <b/>
      <sz val="14"/>
      <color theme="1"/>
      <name val="Calibri"/>
      <family val="2"/>
      <scheme val="minor"/>
    </font>
    <font>
      <sz val="9"/>
      <name val="Arial"/>
      <family val="2"/>
    </font>
    <font>
      <sz val="7"/>
      <color theme="1"/>
      <name val="Arial"/>
      <family val="2"/>
    </font>
    <font>
      <sz val="11"/>
      <name val="Calibri"/>
      <family val="2"/>
      <scheme val="minor"/>
    </font>
    <font>
      <b/>
      <sz val="11"/>
      <color rgb="FFFF0000"/>
      <name val="Calibri"/>
      <family val="2"/>
      <scheme val="minor"/>
    </font>
    <font>
      <b/>
      <sz val="11"/>
      <name val="Calibri"/>
      <family val="2"/>
      <scheme val="minor"/>
    </font>
    <font>
      <sz val="8"/>
      <name val="Calibri"/>
      <family val="2"/>
      <scheme val="minor"/>
    </font>
    <font>
      <b/>
      <sz val="36"/>
      <color theme="0"/>
      <name val="Calibri"/>
      <family val="2"/>
      <scheme val="minor"/>
    </font>
    <font>
      <b/>
      <sz val="16"/>
      <color theme="2"/>
      <name val="Calibri"/>
      <family val="2"/>
      <scheme val="minor"/>
    </font>
    <font>
      <sz val="12"/>
      <color theme="1"/>
      <name val="Calibri"/>
      <family val="2"/>
      <scheme val="minor"/>
    </font>
    <font>
      <b/>
      <sz val="18"/>
      <color theme="1"/>
      <name val="Calibri"/>
      <family val="2"/>
      <scheme val="minor"/>
    </font>
    <font>
      <b/>
      <sz val="12"/>
      <color theme="1"/>
      <name val="Calibri"/>
      <family val="2"/>
      <scheme val="minor"/>
    </font>
    <font>
      <u/>
      <sz val="11"/>
      <color theme="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0"/>
        <bgColor indexed="64"/>
      </patternFill>
    </fill>
    <fill>
      <patternFill patternType="solid">
        <fgColor theme="8" tint="0.59999389629810485"/>
        <bgColor indexed="64"/>
      </patternFill>
    </fill>
    <fill>
      <patternFill patternType="solid">
        <fgColor theme="5"/>
        <bgColor indexed="64"/>
      </patternFill>
    </fill>
    <fill>
      <patternFill patternType="solid">
        <fgColor rgb="FF0070C0"/>
        <bgColor indexed="64"/>
      </patternFill>
    </fill>
    <fill>
      <patternFill patternType="solid">
        <fgColor rgb="FFFB8875"/>
        <bgColor indexed="64"/>
      </patternFill>
    </fill>
    <fill>
      <patternFill patternType="solid">
        <fgColor rgb="FFFFC000"/>
        <bgColor indexed="64"/>
      </patternFill>
    </fill>
    <fill>
      <patternFill patternType="solid">
        <fgColor rgb="FFFF00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43" fontId="1" fillId="0" borderId="0" applyFont="0" applyFill="0" applyBorder="0" applyAlignment="0" applyProtection="0"/>
    <xf numFmtId="165" fontId="1" fillId="0" borderId="0" applyFont="0" applyFill="0" applyBorder="0" applyAlignment="0" applyProtection="0"/>
    <xf numFmtId="0" fontId="6" fillId="0" borderId="0"/>
  </cellStyleXfs>
  <cellXfs count="494">
    <xf numFmtId="0" fontId="0" fillId="0" borderId="0" xfId="0"/>
    <xf numFmtId="1" fontId="4" fillId="2" borderId="1" xfId="0" applyNumberFormat="1" applyFont="1" applyFill="1" applyBorder="1" applyAlignment="1">
      <alignment horizontal="center" vertical="center" wrapText="1"/>
    </xf>
    <xf numFmtId="14" fontId="4" fillId="2" borderId="1" xfId="0" applyNumberFormat="1" applyFont="1" applyFill="1" applyBorder="1" applyAlignment="1">
      <alignment horizontal="center" vertical="center" wrapText="1"/>
    </xf>
    <xf numFmtId="1" fontId="4" fillId="3" borderId="1" xfId="0" applyNumberFormat="1" applyFont="1" applyFill="1" applyBorder="1" applyAlignment="1">
      <alignment horizontal="center" vertical="center" wrapText="1"/>
    </xf>
    <xf numFmtId="1" fontId="5" fillId="2" borderId="1" xfId="0" applyNumberFormat="1" applyFont="1" applyFill="1" applyBorder="1" applyAlignment="1">
      <alignment horizontal="center" vertical="center" wrapText="1"/>
    </xf>
    <xf numFmtId="0" fontId="4" fillId="2" borderId="1" xfId="3" applyFont="1" applyFill="1" applyBorder="1" applyAlignment="1">
      <alignment horizontal="left" vertical="center" wrapText="1"/>
    </xf>
    <xf numFmtId="0" fontId="4" fillId="2" borderId="1" xfId="0" applyFont="1" applyFill="1" applyBorder="1" applyAlignment="1">
      <alignment horizontal="center" vertical="center" wrapText="1"/>
    </xf>
    <xf numFmtId="49" fontId="4" fillId="2" borderId="1" xfId="3" applyNumberFormat="1" applyFont="1" applyFill="1" applyBorder="1" applyAlignment="1">
      <alignment horizontal="center" vertical="center" wrapText="1"/>
    </xf>
    <xf numFmtId="49" fontId="4" fillId="2" borderId="1" xfId="0" applyNumberFormat="1" applyFont="1" applyFill="1" applyBorder="1" applyAlignment="1">
      <alignment horizontal="center" vertical="center" wrapText="1"/>
    </xf>
    <xf numFmtId="0" fontId="4" fillId="2" borderId="1" xfId="3" applyFont="1" applyFill="1" applyBorder="1" applyAlignment="1">
      <alignment horizontal="center" vertical="center" textRotation="90" wrapText="1"/>
    </xf>
    <xf numFmtId="0" fontId="7" fillId="2" borderId="1" xfId="3" applyFont="1" applyFill="1" applyBorder="1" applyAlignment="1">
      <alignment horizontal="center" vertical="center" textRotation="90" wrapText="1"/>
    </xf>
    <xf numFmtId="15" fontId="4" fillId="2" borderId="1" xfId="0" applyNumberFormat="1" applyFont="1" applyFill="1" applyBorder="1" applyAlignment="1">
      <alignment horizontal="center" vertical="center" wrapText="1"/>
    </xf>
    <xf numFmtId="14" fontId="4" fillId="4" borderId="1" xfId="0" applyNumberFormat="1" applyFont="1" applyFill="1" applyBorder="1" applyAlignment="1">
      <alignment horizontal="center" vertical="center" wrapText="1"/>
    </xf>
    <xf numFmtId="0" fontId="5" fillId="2"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166" fontId="8" fillId="2" borderId="1" xfId="2" applyNumberFormat="1" applyFont="1" applyFill="1" applyBorder="1" applyAlignment="1">
      <alignment horizontal="center" vertical="center" wrapText="1"/>
    </xf>
    <xf numFmtId="166" fontId="5" fillId="4" borderId="1" xfId="2" applyNumberFormat="1" applyFont="1" applyFill="1" applyBorder="1" applyAlignment="1">
      <alignment horizontal="center" vertical="center" wrapText="1"/>
    </xf>
    <xf numFmtId="15" fontId="9" fillId="2"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4" fillId="5" borderId="1" xfId="3" applyFont="1" applyFill="1" applyBorder="1" applyAlignment="1">
      <alignment horizontal="center" vertical="center" wrapText="1"/>
    </xf>
    <xf numFmtId="0" fontId="5" fillId="5"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168" fontId="8" fillId="5" borderId="1" xfId="2" applyNumberFormat="1" applyFont="1" applyFill="1" applyBorder="1" applyAlignment="1">
      <alignment horizontal="center" vertical="center" wrapText="1"/>
    </xf>
    <xf numFmtId="0" fontId="8" fillId="5" borderId="3"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4" fillId="5" borderId="2" xfId="3" applyFont="1" applyFill="1" applyBorder="1" applyAlignment="1">
      <alignment horizontal="center" vertical="center" wrapText="1"/>
    </xf>
    <xf numFmtId="49" fontId="5" fillId="5" borderId="1" xfId="3" applyNumberFormat="1" applyFont="1" applyFill="1" applyBorder="1" applyAlignment="1">
      <alignment horizontal="center" vertical="center" wrapText="1"/>
    </xf>
    <xf numFmtId="0" fontId="0" fillId="0" borderId="6" xfId="0" applyBorder="1"/>
    <xf numFmtId="0" fontId="0" fillId="0" borderId="7" xfId="0" applyBorder="1"/>
    <xf numFmtId="1" fontId="4" fillId="2" borderId="8" xfId="0" applyNumberFormat="1" applyFont="1" applyFill="1" applyBorder="1" applyAlignment="1">
      <alignment horizontal="center" vertical="center" wrapText="1"/>
    </xf>
    <xf numFmtId="14" fontId="4" fillId="2" borderId="8" xfId="0" applyNumberFormat="1" applyFont="1" applyFill="1" applyBorder="1" applyAlignment="1">
      <alignment horizontal="center" vertical="center" wrapText="1"/>
    </xf>
    <xf numFmtId="0" fontId="4" fillId="2" borderId="8" xfId="0" applyFont="1" applyFill="1" applyBorder="1" applyAlignment="1">
      <alignment horizontal="center" vertical="center" wrapText="1"/>
    </xf>
    <xf numFmtId="49" fontId="4" fillId="2" borderId="8" xfId="3" applyNumberFormat="1" applyFont="1" applyFill="1" applyBorder="1" applyAlignment="1">
      <alignment horizontal="center" vertical="center" wrapText="1"/>
    </xf>
    <xf numFmtId="49" fontId="4" fillId="2" borderId="8" xfId="0" applyNumberFormat="1" applyFont="1" applyFill="1" applyBorder="1" applyAlignment="1">
      <alignment horizontal="center" vertical="center" wrapText="1"/>
    </xf>
    <xf numFmtId="0" fontId="4" fillId="2" borderId="8" xfId="3" applyFont="1" applyFill="1" applyBorder="1" applyAlignment="1">
      <alignment horizontal="center" vertical="center" wrapText="1"/>
    </xf>
    <xf numFmtId="14" fontId="4" fillId="4" borderId="8" xfId="0" applyNumberFormat="1" applyFont="1" applyFill="1" applyBorder="1" applyAlignment="1">
      <alignment horizontal="center" vertical="center" wrapText="1"/>
    </xf>
    <xf numFmtId="166" fontId="8" fillId="2" borderId="8" xfId="2" applyNumberFormat="1" applyFont="1" applyFill="1" applyBorder="1" applyAlignment="1">
      <alignment horizontal="center" vertical="center" wrapText="1"/>
    </xf>
    <xf numFmtId="0" fontId="0" fillId="0" borderId="0" xfId="0" applyAlignment="1">
      <alignment horizontal="center" wrapText="1"/>
    </xf>
    <xf numFmtId="0" fontId="4" fillId="5" borderId="9" xfId="3" applyFont="1" applyFill="1" applyBorder="1" applyAlignment="1">
      <alignment horizontal="center" vertical="center" wrapText="1"/>
    </xf>
    <xf numFmtId="0" fontId="5" fillId="5" borderId="9" xfId="3"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14" fillId="0" borderId="0" xfId="0" applyFont="1" applyAlignment="1">
      <alignment horizontal="center"/>
    </xf>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3" fillId="0" borderId="8" xfId="0" applyFont="1" applyBorder="1" applyAlignment="1">
      <alignment horizontal="center" vertical="center"/>
    </xf>
    <xf numFmtId="0" fontId="0" fillId="0" borderId="10" xfId="0" applyBorder="1" applyAlignment="1">
      <alignment wrapText="1"/>
    </xf>
    <xf numFmtId="0" fontId="3" fillId="6" borderId="10" xfId="0" applyFont="1" applyFill="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left" vertical="center" wrapText="1"/>
    </xf>
    <xf numFmtId="0" fontId="0" fillId="0" borderId="10" xfId="0" applyBorder="1" applyAlignment="1">
      <alignment horizontal="left" wrapText="1"/>
    </xf>
    <xf numFmtId="166" fontId="5" fillId="4" borderId="8" xfId="2" applyNumberFormat="1" applyFont="1" applyFill="1" applyBorder="1" applyAlignment="1">
      <alignment horizontal="center" vertical="center" wrapText="1"/>
    </xf>
    <xf numFmtId="0" fontId="8" fillId="2" borderId="8" xfId="0" applyFont="1" applyFill="1" applyBorder="1" applyAlignment="1">
      <alignment horizontal="center" vertical="center" wrapText="1"/>
    </xf>
    <xf numFmtId="15" fontId="8" fillId="2" borderId="8" xfId="0" applyNumberFormat="1" applyFont="1" applyFill="1" applyBorder="1" applyAlignment="1">
      <alignment horizontal="center" vertical="center" wrapText="1"/>
    </xf>
    <xf numFmtId="0" fontId="8" fillId="2" borderId="11" xfId="0" applyFont="1" applyFill="1" applyBorder="1" applyAlignment="1">
      <alignment horizontal="center" vertical="center" wrapText="1"/>
    </xf>
    <xf numFmtId="0" fontId="0" fillId="0" borderId="12" xfId="0" applyBorder="1" applyAlignment="1">
      <alignment vertical="center" wrapText="1"/>
    </xf>
    <xf numFmtId="0" fontId="3" fillId="6" borderId="6" xfId="0" applyFont="1" applyFill="1" applyBorder="1" applyAlignment="1">
      <alignment horizontal="center" vertical="center"/>
    </xf>
    <xf numFmtId="0" fontId="3" fillId="11" borderId="0" xfId="0" applyFont="1" applyFill="1" applyAlignment="1">
      <alignment horizontal="center" vertical="center"/>
    </xf>
    <xf numFmtId="0" fontId="9" fillId="0" borderId="0" xfId="0" applyFont="1" applyAlignment="1">
      <alignment horizontal="center" vertical="center" wrapText="1"/>
    </xf>
    <xf numFmtId="0" fontId="3" fillId="2" borderId="0" xfId="0" applyFont="1" applyFill="1"/>
    <xf numFmtId="0" fontId="9" fillId="0" borderId="0" xfId="0" applyFont="1" applyAlignment="1">
      <alignment horizontal="center" vertical="center"/>
    </xf>
    <xf numFmtId="0" fontId="16" fillId="0" borderId="0" xfId="0" applyFont="1" applyAlignment="1">
      <alignment horizontal="center" vertical="center"/>
    </xf>
    <xf numFmtId="0" fontId="0" fillId="0" borderId="13" xfId="0" applyBorder="1"/>
    <xf numFmtId="0" fontId="0" fillId="11" borderId="0" xfId="0" applyFill="1" applyAlignment="1">
      <alignment horizontal="center" vertical="center"/>
    </xf>
    <xf numFmtId="0" fontId="0" fillId="0" borderId="0" xfId="0" applyAlignment="1">
      <alignment horizontal="center" vertical="center"/>
    </xf>
    <xf numFmtId="15" fontId="0" fillId="0" borderId="1" xfId="0" applyNumberFormat="1" applyBorder="1" applyAlignment="1">
      <alignment horizontal="center" vertical="center"/>
    </xf>
    <xf numFmtId="15" fontId="0" fillId="0" borderId="0" xfId="0" applyNumberFormat="1" applyAlignment="1">
      <alignment horizontal="center" vertical="center"/>
    </xf>
    <xf numFmtId="166" fontId="0" fillId="0" borderId="0" xfId="2" applyNumberFormat="1" applyFont="1" applyAlignment="1">
      <alignment horizontal="center" vertical="center"/>
    </xf>
    <xf numFmtId="0" fontId="0" fillId="0" borderId="0" xfId="0" applyAlignment="1">
      <alignment vertical="center"/>
    </xf>
    <xf numFmtId="1" fontId="0" fillId="0" borderId="0" xfId="0" applyNumberFormat="1" applyAlignment="1">
      <alignment horizontal="center" vertical="center" wrapText="1"/>
    </xf>
    <xf numFmtId="0" fontId="19" fillId="5" borderId="2" xfId="0" applyFont="1" applyFill="1" applyBorder="1" applyAlignment="1">
      <alignment horizontal="center" vertical="center" wrapText="1"/>
    </xf>
    <xf numFmtId="15" fontId="19" fillId="5" borderId="2" xfId="0" applyNumberFormat="1" applyFont="1" applyFill="1" applyBorder="1" applyAlignment="1">
      <alignment horizontal="center" vertical="center" wrapText="1"/>
    </xf>
    <xf numFmtId="14" fontId="19" fillId="5" borderId="2" xfId="0" applyNumberFormat="1" applyFont="1" applyFill="1" applyBorder="1" applyAlignment="1">
      <alignment horizontal="center" vertical="center" wrapText="1"/>
    </xf>
    <xf numFmtId="0" fontId="0" fillId="0" borderId="0" xfId="0" applyAlignment="1">
      <alignment horizontal="center"/>
    </xf>
    <xf numFmtId="16" fontId="0" fillId="0" borderId="0" xfId="0" applyNumberFormat="1"/>
    <xf numFmtId="0" fontId="3" fillId="5" borderId="2" xfId="0" applyFont="1" applyFill="1" applyBorder="1" applyAlignment="1">
      <alignment horizontal="center" vertical="center" wrapText="1"/>
    </xf>
    <xf numFmtId="0" fontId="3" fillId="5" borderId="15"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left" vertical="center" wrapText="1"/>
    </xf>
    <xf numFmtId="1"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xf>
    <xf numFmtId="0" fontId="0" fillId="0" borderId="1" xfId="0" applyBorder="1"/>
    <xf numFmtId="0" fontId="0" fillId="0" borderId="1" xfId="0" applyBorder="1" applyAlignment="1">
      <alignment horizontal="left"/>
    </xf>
    <xf numFmtId="0" fontId="0" fillId="0" borderId="1" xfId="0" applyBorder="1" applyAlignment="1">
      <alignment vertical="center"/>
    </xf>
    <xf numFmtId="0" fontId="18" fillId="2" borderId="1" xfId="0" applyFont="1" applyFill="1" applyBorder="1" applyAlignment="1">
      <alignment horizontal="center" vertical="center" wrapText="1"/>
    </xf>
    <xf numFmtId="15" fontId="19" fillId="2" borderId="1" xfId="0" applyNumberFormat="1" applyFont="1" applyFill="1" applyBorder="1" applyAlignment="1">
      <alignment horizontal="center" vertical="center" wrapText="1"/>
    </xf>
    <xf numFmtId="15" fontId="18" fillId="2" borderId="1" xfId="0" applyNumberFormat="1" applyFont="1" applyFill="1" applyBorder="1" applyAlignment="1">
      <alignment horizontal="center" vertical="center" wrapText="1"/>
    </xf>
    <xf numFmtId="15" fontId="0" fillId="12" borderId="1" xfId="0" applyNumberFormat="1" applyFill="1" applyBorder="1" applyAlignment="1">
      <alignment horizontal="center" vertical="center"/>
    </xf>
    <xf numFmtId="0" fontId="0" fillId="12" borderId="1" xfId="0" applyFill="1" applyBorder="1" applyAlignment="1">
      <alignment horizontal="center" vertical="center" wrapText="1"/>
    </xf>
    <xf numFmtId="0" fontId="0" fillId="12" borderId="1" xfId="0" applyFill="1" applyBorder="1" applyAlignment="1">
      <alignment horizontal="left" vertical="center" wrapText="1"/>
    </xf>
    <xf numFmtId="166" fontId="9" fillId="12" borderId="1" xfId="2" applyNumberFormat="1" applyFont="1" applyFill="1" applyBorder="1" applyAlignment="1">
      <alignment horizontal="center" vertical="center" wrapText="1"/>
    </xf>
    <xf numFmtId="0" fontId="18" fillId="12" borderId="1" xfId="0" applyFont="1" applyFill="1" applyBorder="1" applyAlignment="1">
      <alignment horizontal="center" vertical="center" wrapText="1"/>
    </xf>
    <xf numFmtId="0" fontId="0" fillId="12" borderId="1" xfId="0" applyFill="1" applyBorder="1" applyAlignment="1">
      <alignment horizontal="center" vertical="center"/>
    </xf>
    <xf numFmtId="0" fontId="9" fillId="8" borderId="1" xfId="0" applyFont="1" applyFill="1" applyBorder="1" applyAlignment="1">
      <alignment horizontal="center" vertical="center" wrapText="1"/>
    </xf>
    <xf numFmtId="0" fontId="8" fillId="8" borderId="3" xfId="0" applyFont="1" applyFill="1" applyBorder="1" applyAlignment="1">
      <alignment horizontal="center" vertical="center" wrapText="1"/>
    </xf>
    <xf numFmtId="15" fontId="0" fillId="8" borderId="1" xfId="0" applyNumberFormat="1" applyFill="1" applyBorder="1" applyAlignment="1">
      <alignment horizontal="center" vertical="center"/>
    </xf>
    <xf numFmtId="0" fontId="0" fillId="8" borderId="9" xfId="0" applyFill="1" applyBorder="1" applyAlignment="1">
      <alignment horizontal="center" vertical="center" wrapText="1"/>
    </xf>
    <xf numFmtId="0" fontId="0" fillId="8" borderId="1" xfId="0" applyFill="1" applyBorder="1" applyAlignment="1">
      <alignment horizontal="center" vertical="center"/>
    </xf>
    <xf numFmtId="0" fontId="0" fillId="8" borderId="1" xfId="0" applyFill="1" applyBorder="1" applyAlignment="1">
      <alignment horizontal="center" vertical="center" wrapText="1"/>
    </xf>
    <xf numFmtId="0" fontId="0" fillId="8" borderId="1" xfId="0" applyFill="1" applyBorder="1" applyAlignment="1">
      <alignment horizontal="left" vertical="center" wrapText="1"/>
    </xf>
    <xf numFmtId="165" fontId="0" fillId="8" borderId="1" xfId="2" applyFont="1" applyFill="1" applyBorder="1" applyAlignment="1">
      <alignment horizontal="center" vertical="center" wrapText="1"/>
    </xf>
    <xf numFmtId="166" fontId="9" fillId="8" borderId="1" xfId="2"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5" fontId="0" fillId="8" borderId="1" xfId="0" applyNumberFormat="1" applyFill="1" applyBorder="1" applyAlignment="1">
      <alignment horizontal="center" vertical="center" wrapText="1"/>
    </xf>
    <xf numFmtId="0" fontId="9" fillId="7" borderId="1" xfId="0" applyFont="1" applyFill="1" applyBorder="1" applyAlignment="1">
      <alignment horizontal="center" vertical="center" wrapText="1"/>
    </xf>
    <xf numFmtId="0" fontId="8" fillId="7" borderId="3" xfId="0" applyFont="1" applyFill="1" applyBorder="1" applyAlignment="1">
      <alignment horizontal="center" vertical="center" wrapText="1"/>
    </xf>
    <xf numFmtId="15" fontId="0" fillId="7" borderId="1" xfId="0" applyNumberFormat="1" applyFill="1" applyBorder="1" applyAlignment="1">
      <alignment horizontal="center" vertical="center"/>
    </xf>
    <xf numFmtId="0" fontId="0" fillId="7" borderId="9" xfId="0" applyFill="1" applyBorder="1" applyAlignment="1">
      <alignment horizontal="center" vertical="center"/>
    </xf>
    <xf numFmtId="0" fontId="0" fillId="7" borderId="1" xfId="0" applyFill="1" applyBorder="1" applyAlignment="1">
      <alignment horizontal="center" vertical="center"/>
    </xf>
    <xf numFmtId="0" fontId="0" fillId="7" borderId="1" xfId="0" applyFill="1" applyBorder="1" applyAlignment="1">
      <alignment horizontal="center" vertical="center" wrapText="1"/>
    </xf>
    <xf numFmtId="0" fontId="0" fillId="7" borderId="1" xfId="0" applyFill="1" applyBorder="1" applyAlignment="1">
      <alignment horizontal="left" vertical="center" wrapText="1"/>
    </xf>
    <xf numFmtId="166" fontId="0" fillId="7" borderId="1" xfId="2" applyNumberFormat="1" applyFont="1" applyFill="1" applyBorder="1" applyAlignment="1">
      <alignment horizontal="center" vertical="center" wrapText="1"/>
    </xf>
    <xf numFmtId="166" fontId="9" fillId="7" borderId="1" xfId="2" applyNumberFormat="1" applyFont="1" applyFill="1" applyBorder="1" applyAlignment="1">
      <alignment horizontal="center" vertical="center" wrapText="1"/>
    </xf>
    <xf numFmtId="165" fontId="9" fillId="7" borderId="1" xfId="2" applyFont="1" applyFill="1" applyBorder="1" applyAlignment="1">
      <alignment horizontal="center" vertical="center" wrapText="1"/>
    </xf>
    <xf numFmtId="15" fontId="0" fillId="7" borderId="1" xfId="0" applyNumberFormat="1" applyFill="1" applyBorder="1" applyAlignment="1">
      <alignment horizontal="center" vertical="center" wrapText="1"/>
    </xf>
    <xf numFmtId="166" fontId="0" fillId="8" borderId="1" xfId="2" applyNumberFormat="1" applyFont="1" applyFill="1" applyBorder="1" applyAlignment="1">
      <alignment horizontal="center" vertical="center"/>
    </xf>
    <xf numFmtId="165" fontId="9" fillId="8" borderId="1" xfId="2" applyFont="1" applyFill="1" applyBorder="1" applyAlignment="1">
      <alignment horizontal="center" vertical="center" wrapText="1"/>
    </xf>
    <xf numFmtId="0" fontId="18" fillId="8" borderId="1" xfId="0" applyFont="1" applyFill="1" applyBorder="1" applyAlignment="1">
      <alignment horizontal="center" vertical="center" wrapText="1"/>
    </xf>
    <xf numFmtId="1" fontId="0" fillId="8" borderId="1" xfId="0" applyNumberFormat="1" applyFill="1" applyBorder="1" applyAlignment="1">
      <alignment horizontal="center" vertical="center" wrapText="1"/>
    </xf>
    <xf numFmtId="0" fontId="18" fillId="8" borderId="1" xfId="0" applyFont="1" applyFill="1" applyBorder="1" applyAlignment="1">
      <alignment horizontal="center" vertical="center"/>
    </xf>
    <xf numFmtId="165" fontId="0" fillId="8" borderId="1" xfId="2" applyFont="1" applyFill="1" applyBorder="1" applyAlignment="1">
      <alignment horizontal="center" vertical="center"/>
    </xf>
    <xf numFmtId="166" fontId="0" fillId="8" borderId="1" xfId="2" applyNumberFormat="1" applyFont="1" applyFill="1" applyBorder="1" applyAlignment="1">
      <alignment horizontal="center" vertical="center" wrapText="1"/>
    </xf>
    <xf numFmtId="165" fontId="0" fillId="7" borderId="1" xfId="2" applyFont="1" applyFill="1" applyBorder="1" applyAlignment="1">
      <alignment horizontal="center" vertical="center"/>
    </xf>
    <xf numFmtId="0" fontId="18" fillId="7" borderId="1" xfId="0" applyFont="1" applyFill="1" applyBorder="1" applyAlignment="1">
      <alignment horizontal="center" vertical="center" wrapText="1"/>
    </xf>
    <xf numFmtId="1" fontId="0" fillId="7" borderId="1" xfId="0" applyNumberFormat="1" applyFill="1" applyBorder="1" applyAlignment="1">
      <alignment horizontal="center" vertical="center" wrapText="1"/>
    </xf>
    <xf numFmtId="0" fontId="18" fillId="7" borderId="1" xfId="0" applyFont="1" applyFill="1" applyBorder="1" applyAlignment="1">
      <alignment horizontal="center" vertical="center"/>
    </xf>
    <xf numFmtId="0" fontId="0" fillId="7" borderId="1" xfId="0" applyFill="1" applyBorder="1"/>
    <xf numFmtId="0" fontId="0" fillId="7" borderId="9" xfId="0" applyFill="1" applyBorder="1" applyAlignment="1">
      <alignment horizontal="center" vertical="center" wrapText="1"/>
    </xf>
    <xf numFmtId="166" fontId="0" fillId="7" borderId="1" xfId="2" applyNumberFormat="1" applyFont="1" applyFill="1" applyBorder="1" applyAlignment="1">
      <alignment horizontal="center" vertical="center"/>
    </xf>
    <xf numFmtId="0" fontId="0" fillId="8" borderId="1" xfId="0" applyFill="1" applyBorder="1"/>
    <xf numFmtId="165" fontId="0" fillId="7" borderId="1" xfId="2" applyFont="1" applyFill="1" applyBorder="1" applyAlignment="1">
      <alignment horizontal="center" vertical="center" wrapText="1"/>
    </xf>
    <xf numFmtId="16" fontId="0" fillId="7" borderId="1" xfId="0" applyNumberFormat="1" applyFill="1" applyBorder="1" applyAlignment="1">
      <alignment horizontal="center" vertical="center" wrapText="1"/>
    </xf>
    <xf numFmtId="1" fontId="0" fillId="12" borderId="1" xfId="0" applyNumberFormat="1" applyFill="1" applyBorder="1" applyAlignment="1">
      <alignment horizontal="center" vertical="center" wrapText="1"/>
    </xf>
    <xf numFmtId="0" fontId="18" fillId="12" borderId="1" xfId="0" applyFont="1" applyFill="1" applyBorder="1" applyAlignment="1">
      <alignment horizontal="center" vertical="center"/>
    </xf>
    <xf numFmtId="169" fontId="0" fillId="7" borderId="1" xfId="2" applyNumberFormat="1" applyFont="1" applyFill="1" applyBorder="1" applyAlignment="1">
      <alignment horizontal="center" vertical="center" wrapText="1"/>
    </xf>
    <xf numFmtId="15" fontId="18" fillId="7" borderId="1" xfId="0" applyNumberFormat="1" applyFont="1" applyFill="1" applyBorder="1" applyAlignment="1">
      <alignment horizontal="center" vertical="center" wrapText="1"/>
    </xf>
    <xf numFmtId="0" fontId="0" fillId="7" borderId="1" xfId="0" applyFill="1" applyBorder="1" applyAlignment="1">
      <alignment vertical="center"/>
    </xf>
    <xf numFmtId="14" fontId="0" fillId="7" borderId="1" xfId="0" applyNumberFormat="1" applyFill="1" applyBorder="1" applyAlignment="1">
      <alignment horizontal="center" vertical="center" wrapText="1"/>
    </xf>
    <xf numFmtId="0" fontId="8" fillId="8" borderId="1" xfId="0" applyFont="1" applyFill="1" applyBorder="1" applyAlignment="1">
      <alignment horizontal="center" vertical="center" wrapText="1"/>
    </xf>
    <xf numFmtId="14" fontId="0" fillId="8" borderId="1" xfId="0" applyNumberFormat="1" applyFill="1" applyBorder="1" applyAlignment="1">
      <alignment horizontal="center" vertical="center"/>
    </xf>
    <xf numFmtId="0" fontId="2" fillId="7" borderId="1" xfId="0" applyFont="1" applyFill="1" applyBorder="1" applyAlignment="1">
      <alignment horizontal="center" vertical="center" wrapText="1"/>
    </xf>
    <xf numFmtId="0" fontId="9" fillId="7" borderId="0" xfId="0" applyFont="1" applyFill="1" applyAlignment="1">
      <alignment horizontal="center" vertical="center" wrapText="1"/>
    </xf>
    <xf numFmtId="15" fontId="0" fillId="7" borderId="14" xfId="0" applyNumberFormat="1" applyFill="1" applyBorder="1" applyAlignment="1">
      <alignment horizontal="center" vertical="center"/>
    </xf>
    <xf numFmtId="14" fontId="0" fillId="7" borderId="1" xfId="0" applyNumberFormat="1" applyFill="1" applyBorder="1" applyAlignment="1">
      <alignment horizontal="center" vertical="center"/>
    </xf>
    <xf numFmtId="1" fontId="17" fillId="8"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wrapText="1"/>
    </xf>
    <xf numFmtId="0" fontId="3" fillId="7" borderId="1" xfId="0" applyFont="1" applyFill="1" applyBorder="1" applyAlignment="1">
      <alignment horizontal="center" vertical="center" wrapText="1"/>
    </xf>
    <xf numFmtId="0" fontId="17" fillId="7" borderId="1" xfId="0" applyFont="1" applyFill="1" applyBorder="1" applyAlignment="1">
      <alignment horizontal="center" vertical="center" wrapText="1"/>
    </xf>
    <xf numFmtId="167" fontId="0" fillId="7" borderId="1" xfId="2" applyNumberFormat="1" applyFont="1" applyFill="1" applyBorder="1" applyAlignment="1">
      <alignment horizontal="center" vertical="center" wrapText="1"/>
    </xf>
    <xf numFmtId="0" fontId="8" fillId="7" borderId="17" xfId="0" applyFont="1" applyFill="1" applyBorder="1" applyAlignment="1">
      <alignment horizontal="center" vertical="center" wrapText="1"/>
    </xf>
    <xf numFmtId="0" fontId="3" fillId="7" borderId="1" xfId="0" applyFont="1" applyFill="1" applyBorder="1" applyAlignment="1">
      <alignment horizontal="center" vertical="center"/>
    </xf>
    <xf numFmtId="0" fontId="0" fillId="7" borderId="14" xfId="0" applyFill="1" applyBorder="1" applyAlignment="1">
      <alignment horizontal="center" vertical="center"/>
    </xf>
    <xf numFmtId="0" fontId="0" fillId="7" borderId="14" xfId="0" applyFill="1" applyBorder="1" applyAlignment="1">
      <alignment horizontal="center" vertical="center" wrapText="1"/>
    </xf>
    <xf numFmtId="0" fontId="0" fillId="7" borderId="0" xfId="0" applyFill="1" applyAlignment="1">
      <alignment horizontal="center" vertical="center"/>
    </xf>
    <xf numFmtId="14" fontId="9" fillId="7" borderId="14" xfId="0" applyNumberFormat="1" applyFont="1" applyFill="1" applyBorder="1" applyAlignment="1">
      <alignment horizontal="center" vertical="center" wrapText="1"/>
    </xf>
    <xf numFmtId="0" fontId="8" fillId="7" borderId="16" xfId="0" applyFont="1" applyFill="1" applyBorder="1" applyAlignment="1">
      <alignment horizontal="center" vertical="center" wrapText="1"/>
    </xf>
    <xf numFmtId="169" fontId="0" fillId="7" borderId="1" xfId="2" applyNumberFormat="1" applyFont="1" applyFill="1" applyBorder="1" applyAlignment="1">
      <alignment horizontal="center" vertical="center"/>
    </xf>
    <xf numFmtId="0" fontId="4" fillId="2" borderId="1" xfId="3" applyFont="1" applyFill="1" applyBorder="1" applyAlignment="1">
      <alignment horizontal="center" vertical="center" wrapText="1"/>
    </xf>
    <xf numFmtId="14" fontId="0" fillId="12" borderId="1" xfId="0" applyNumberFormat="1" applyFill="1" applyBorder="1" applyAlignment="1">
      <alignment horizontal="center" vertical="center"/>
    </xf>
    <xf numFmtId="0" fontId="3" fillId="8" borderId="1" xfId="0" applyFont="1" applyFill="1" applyBorder="1" applyAlignment="1">
      <alignment horizontal="center" vertical="center" wrapText="1"/>
    </xf>
    <xf numFmtId="15" fontId="9" fillId="8" borderId="1" xfId="0" applyNumberFormat="1" applyFont="1" applyFill="1" applyBorder="1" applyAlignment="1">
      <alignment horizontal="center" vertical="center" wrapText="1"/>
    </xf>
    <xf numFmtId="0" fontId="9" fillId="8" borderId="1" xfId="0" applyFont="1" applyFill="1" applyBorder="1" applyAlignment="1">
      <alignment horizontal="left" vertical="center" wrapText="1"/>
    </xf>
    <xf numFmtId="1" fontId="9" fillId="8" borderId="1" xfId="0" applyNumberFormat="1" applyFont="1" applyFill="1" applyBorder="1" applyAlignment="1">
      <alignment horizontal="center" vertical="center" wrapText="1"/>
    </xf>
    <xf numFmtId="167" fontId="9" fillId="8" borderId="1" xfId="2" applyNumberFormat="1" applyFont="1" applyFill="1" applyBorder="1" applyAlignment="1">
      <alignment horizontal="center" vertical="center" wrapText="1"/>
    </xf>
    <xf numFmtId="167" fontId="0" fillId="8" borderId="1" xfId="2" applyNumberFormat="1" applyFont="1" applyFill="1" applyBorder="1" applyAlignment="1">
      <alignment horizontal="center" vertical="center" wrapText="1"/>
    </xf>
    <xf numFmtId="15" fontId="9" fillId="7" borderId="1" xfId="0" applyNumberFormat="1" applyFont="1" applyFill="1" applyBorder="1" applyAlignment="1">
      <alignment horizontal="center" vertical="center" wrapText="1"/>
    </xf>
    <xf numFmtId="0" fontId="9" fillId="7" borderId="1" xfId="0" applyFont="1" applyFill="1" applyBorder="1" applyAlignment="1">
      <alignment horizontal="left" vertical="center" wrapText="1"/>
    </xf>
    <xf numFmtId="1" fontId="9" fillId="7" borderId="1" xfId="0" applyNumberFormat="1" applyFont="1" applyFill="1" applyBorder="1" applyAlignment="1">
      <alignment horizontal="center" vertical="center" wrapText="1"/>
    </xf>
    <xf numFmtId="167" fontId="9" fillId="7" borderId="1" xfId="2" applyNumberFormat="1" applyFont="1" applyFill="1" applyBorder="1" applyAlignment="1">
      <alignment horizontal="center" vertical="center" wrapText="1"/>
    </xf>
    <xf numFmtId="0" fontId="10" fillId="7" borderId="1"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0" fillId="7" borderId="2" xfId="0" applyFill="1" applyBorder="1" applyAlignment="1">
      <alignment horizontal="center" vertical="center"/>
    </xf>
    <xf numFmtId="0" fontId="3" fillId="7" borderId="2" xfId="0" applyFont="1" applyFill="1" applyBorder="1" applyAlignment="1">
      <alignment horizontal="center" vertical="center"/>
    </xf>
    <xf numFmtId="15" fontId="0" fillId="7" borderId="2" xfId="0" applyNumberFormat="1" applyFill="1" applyBorder="1" applyAlignment="1">
      <alignment horizontal="center" vertical="center"/>
    </xf>
    <xf numFmtId="0" fontId="0" fillId="7" borderId="2" xfId="0" applyFill="1" applyBorder="1" applyAlignment="1">
      <alignment horizontal="center" vertical="center" wrapText="1"/>
    </xf>
    <xf numFmtId="166" fontId="0" fillId="7" borderId="2" xfId="2" applyNumberFormat="1" applyFont="1" applyFill="1" applyBorder="1" applyAlignment="1">
      <alignment horizontal="center" vertical="center" wrapText="1"/>
    </xf>
    <xf numFmtId="14" fontId="0" fillId="7" borderId="2" xfId="0" applyNumberFormat="1" applyFill="1" applyBorder="1" applyAlignment="1">
      <alignment horizontal="center" vertical="center"/>
    </xf>
    <xf numFmtId="15" fontId="0" fillId="7" borderId="2" xfId="0" applyNumberFormat="1" applyFill="1" applyBorder="1" applyAlignment="1">
      <alignment horizontal="center" vertical="center" wrapText="1"/>
    </xf>
    <xf numFmtId="15" fontId="0" fillId="0" borderId="14" xfId="0" applyNumberFormat="1" applyBorder="1" applyAlignment="1">
      <alignment horizontal="center" vertical="center"/>
    </xf>
    <xf numFmtId="166" fontId="0" fillId="0" borderId="0" xfId="2" applyNumberFormat="1" applyFont="1" applyBorder="1" applyAlignment="1">
      <alignment horizontal="center" vertical="center"/>
    </xf>
    <xf numFmtId="0" fontId="4" fillId="7" borderId="1" xfId="0" applyFont="1" applyFill="1" applyBorder="1" applyAlignment="1">
      <alignment horizontal="center" vertical="center" wrapText="1"/>
    </xf>
    <xf numFmtId="0" fontId="19" fillId="7" borderId="1" xfId="0" applyFont="1" applyFill="1" applyBorder="1" applyAlignment="1">
      <alignment horizontal="center" vertical="center" wrapText="1"/>
    </xf>
    <xf numFmtId="15" fontId="17" fillId="7" borderId="1" xfId="0" applyNumberFormat="1" applyFont="1" applyFill="1" applyBorder="1" applyAlignment="1">
      <alignment horizontal="center" vertical="center" wrapText="1"/>
    </xf>
    <xf numFmtId="0" fontId="17" fillId="7" borderId="1" xfId="0" applyFont="1" applyFill="1" applyBorder="1" applyAlignment="1">
      <alignment horizontal="left" vertical="center" wrapText="1"/>
    </xf>
    <xf numFmtId="1" fontId="17" fillId="7" borderId="1" xfId="0" applyNumberFormat="1" applyFont="1" applyFill="1" applyBorder="1" applyAlignment="1">
      <alignment horizontal="center" vertical="center" wrapText="1"/>
    </xf>
    <xf numFmtId="166" fontId="17" fillId="7" borderId="1" xfId="2" applyNumberFormat="1" applyFont="1" applyFill="1" applyBorder="1" applyAlignment="1">
      <alignment horizontal="center" vertical="center"/>
    </xf>
    <xf numFmtId="166" fontId="15" fillId="7" borderId="1" xfId="2" applyNumberFormat="1" applyFont="1" applyFill="1" applyBorder="1" applyAlignment="1">
      <alignment horizontal="center" vertical="center" wrapText="1"/>
    </xf>
    <xf numFmtId="167" fontId="17" fillId="7" borderId="1" xfId="2" applyNumberFormat="1" applyFont="1" applyFill="1" applyBorder="1" applyAlignment="1">
      <alignment horizontal="center" vertical="center" wrapText="1"/>
    </xf>
    <xf numFmtId="169" fontId="9" fillId="7" borderId="1" xfId="0" applyNumberFormat="1" applyFont="1" applyFill="1" applyBorder="1" applyAlignment="1">
      <alignment horizontal="center" vertical="center" wrapText="1"/>
    </xf>
    <xf numFmtId="166" fontId="10" fillId="7" borderId="1" xfId="0" applyNumberFormat="1" applyFont="1" applyFill="1" applyBorder="1" applyAlignment="1">
      <alignment horizontal="center"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1" fontId="9" fillId="0" borderId="0" xfId="0" applyNumberFormat="1" applyFont="1" applyAlignment="1">
      <alignment horizontal="center" vertical="center" wrapText="1"/>
    </xf>
    <xf numFmtId="166" fontId="9" fillId="0" borderId="0" xfId="2" applyNumberFormat="1" applyFont="1" applyFill="1" applyBorder="1" applyAlignment="1">
      <alignment horizontal="center" vertical="center" wrapText="1"/>
    </xf>
    <xf numFmtId="0" fontId="18" fillId="0" borderId="0" xfId="0" applyFont="1" applyAlignment="1">
      <alignment horizontal="center" vertical="center"/>
    </xf>
    <xf numFmtId="0" fontId="3" fillId="11" borderId="0" xfId="0" applyFont="1" applyFill="1" applyAlignment="1">
      <alignment vertical="center" wrapText="1"/>
    </xf>
    <xf numFmtId="166" fontId="9" fillId="8" borderId="14" xfId="2" applyNumberFormat="1" applyFont="1" applyFill="1" applyBorder="1" applyAlignment="1">
      <alignment horizontal="center" vertical="center" wrapText="1"/>
    </xf>
    <xf numFmtId="0" fontId="0" fillId="7" borderId="0" xfId="0" applyFill="1"/>
    <xf numFmtId="16" fontId="0" fillId="8" borderId="1" xfId="0" applyNumberFormat="1" applyFill="1" applyBorder="1" applyAlignment="1">
      <alignment horizontal="left" vertical="center" wrapText="1"/>
    </xf>
    <xf numFmtId="0" fontId="0" fillId="7" borderId="1" xfId="0" applyFill="1" applyBorder="1" applyAlignment="1">
      <alignment horizontal="left" vertical="center"/>
    </xf>
    <xf numFmtId="16" fontId="0" fillId="7" borderId="1" xfId="0" applyNumberFormat="1" applyFill="1" applyBorder="1" applyAlignment="1">
      <alignment horizontal="center" vertical="center"/>
    </xf>
    <xf numFmtId="14" fontId="9" fillId="8" borderId="1" xfId="0" applyNumberFormat="1" applyFont="1" applyFill="1" applyBorder="1" applyAlignment="1">
      <alignment horizontal="center" vertical="center" wrapText="1"/>
    </xf>
    <xf numFmtId="14" fontId="0" fillId="7" borderId="0" xfId="0" applyNumberFormat="1" applyFill="1" applyAlignment="1">
      <alignment horizontal="center" vertical="center"/>
    </xf>
    <xf numFmtId="16" fontId="0" fillId="8" borderId="1" xfId="0" applyNumberFormat="1" applyFill="1" applyBorder="1" applyAlignment="1">
      <alignment horizontal="center" vertical="center"/>
    </xf>
    <xf numFmtId="0" fontId="0" fillId="7" borderId="15" xfId="0" applyFill="1" applyBorder="1" applyAlignment="1">
      <alignment horizontal="center" vertical="center" wrapText="1"/>
    </xf>
    <xf numFmtId="0" fontId="0" fillId="8" borderId="0" xfId="0" applyFill="1" applyAlignment="1">
      <alignment horizontal="center" vertical="center"/>
    </xf>
    <xf numFmtId="16" fontId="0" fillId="12" borderId="1" xfId="0" applyNumberFormat="1" applyFill="1" applyBorder="1" applyAlignment="1">
      <alignment horizontal="center" vertical="center"/>
    </xf>
    <xf numFmtId="169" fontId="9" fillId="7" borderId="1" xfId="1" applyNumberFormat="1" applyFont="1" applyFill="1" applyBorder="1" applyAlignment="1">
      <alignment vertical="center" wrapText="1"/>
    </xf>
    <xf numFmtId="0" fontId="2" fillId="0" borderId="1" xfId="0" applyFont="1" applyBorder="1" applyAlignment="1">
      <alignment horizontal="center" vertical="center" wrapText="1"/>
    </xf>
    <xf numFmtId="168" fontId="0" fillId="7" borderId="1" xfId="2" applyNumberFormat="1" applyFont="1" applyFill="1" applyBorder="1" applyAlignment="1">
      <alignment horizontal="center" vertical="center"/>
    </xf>
    <xf numFmtId="166" fontId="9" fillId="7" borderId="14" xfId="2" applyNumberFormat="1" applyFont="1" applyFill="1" applyBorder="1" applyAlignment="1">
      <alignment horizontal="center" vertical="center" wrapText="1"/>
    </xf>
    <xf numFmtId="165" fontId="0" fillId="12" borderId="1" xfId="2" applyFont="1" applyFill="1" applyBorder="1" applyAlignment="1">
      <alignment horizontal="center" vertical="center"/>
    </xf>
    <xf numFmtId="0" fontId="2" fillId="12" borderId="1" xfId="0" applyFont="1" applyFill="1" applyBorder="1" applyAlignment="1">
      <alignment horizontal="center" vertical="center" wrapText="1"/>
    </xf>
    <xf numFmtId="0" fontId="0" fillId="7" borderId="1" xfId="0" applyFill="1" applyBorder="1" applyAlignment="1">
      <alignment vertical="center" wrapText="1"/>
    </xf>
    <xf numFmtId="0" fontId="0" fillId="7" borderId="14" xfId="0" applyFill="1" applyBorder="1" applyAlignment="1">
      <alignment vertical="center" wrapText="1"/>
    </xf>
    <xf numFmtId="0" fontId="0" fillId="8" borderId="1" xfId="0" applyFill="1" applyBorder="1" applyAlignment="1">
      <alignment vertical="center" wrapText="1"/>
    </xf>
    <xf numFmtId="0" fontId="0" fillId="7" borderId="2" xfId="0" applyFill="1" applyBorder="1" applyAlignment="1">
      <alignment vertical="center" wrapText="1"/>
    </xf>
    <xf numFmtId="166" fontId="0" fillId="12" borderId="1" xfId="2" applyNumberFormat="1" applyFont="1" applyFill="1" applyBorder="1" applyAlignment="1">
      <alignment horizontal="center" vertical="center"/>
    </xf>
    <xf numFmtId="0" fontId="0" fillId="8" borderId="2" xfId="0" applyFill="1" applyBorder="1" applyAlignment="1">
      <alignment horizontal="center" vertical="center"/>
    </xf>
    <xf numFmtId="0" fontId="8" fillId="7" borderId="14" xfId="0" applyFont="1" applyFill="1" applyBorder="1" applyAlignment="1">
      <alignment horizontal="center" vertical="center" wrapText="1"/>
    </xf>
    <xf numFmtId="0" fontId="3" fillId="7" borderId="14" xfId="0" applyFont="1" applyFill="1" applyBorder="1" applyAlignment="1">
      <alignment horizontal="center" vertical="center" wrapText="1"/>
    </xf>
    <xf numFmtId="0" fontId="0" fillId="7" borderId="14" xfId="0" applyFill="1" applyBorder="1" applyAlignment="1">
      <alignment horizontal="left" vertical="center" wrapText="1"/>
    </xf>
    <xf numFmtId="0" fontId="9" fillId="7" borderId="14" xfId="0" applyFont="1" applyFill="1" applyBorder="1" applyAlignment="1">
      <alignment horizontal="center" vertical="center" wrapText="1"/>
    </xf>
    <xf numFmtId="0" fontId="2" fillId="7" borderId="14" xfId="0" applyFont="1" applyFill="1" applyBorder="1" applyAlignment="1">
      <alignment horizontal="center" vertical="center" wrapText="1"/>
    </xf>
    <xf numFmtId="0" fontId="0" fillId="7" borderId="14" xfId="2" applyNumberFormat="1" applyFont="1" applyFill="1" applyBorder="1" applyAlignment="1">
      <alignment horizontal="center" vertical="center"/>
    </xf>
    <xf numFmtId="165" fontId="0" fillId="7" borderId="0" xfId="2" applyFont="1" applyFill="1" applyAlignment="1">
      <alignment vertical="center"/>
    </xf>
    <xf numFmtId="166" fontId="9" fillId="0" borderId="14" xfId="2" applyNumberFormat="1" applyFont="1" applyFill="1" applyBorder="1" applyAlignment="1">
      <alignment horizontal="center" vertical="center" wrapText="1"/>
    </xf>
    <xf numFmtId="15" fontId="18" fillId="2" borderId="3" xfId="0" applyNumberFormat="1" applyFont="1" applyFill="1" applyBorder="1" applyAlignment="1">
      <alignment horizontal="center" vertical="center" wrapText="1"/>
    </xf>
    <xf numFmtId="0" fontId="0" fillId="7" borderId="3" xfId="0" applyFill="1" applyBorder="1" applyAlignment="1">
      <alignment horizontal="center" vertical="center"/>
    </xf>
    <xf numFmtId="15" fontId="0" fillId="8" borderId="3" xfId="0" applyNumberFormat="1" applyFill="1" applyBorder="1" applyAlignment="1">
      <alignment horizontal="center" vertical="center"/>
    </xf>
    <xf numFmtId="0" fontId="17" fillId="7" borderId="3" xfId="0" applyFont="1" applyFill="1" applyBorder="1" applyAlignment="1">
      <alignment horizontal="center" vertical="center"/>
    </xf>
    <xf numFmtId="0" fontId="0" fillId="8" borderId="3" xfId="0" applyFill="1" applyBorder="1" applyAlignment="1">
      <alignment horizontal="center" vertical="center"/>
    </xf>
    <xf numFmtId="0" fontId="0" fillId="12" borderId="3" xfId="0" applyFill="1" applyBorder="1" applyAlignment="1">
      <alignment horizontal="center" vertical="center"/>
    </xf>
    <xf numFmtId="166" fontId="9" fillId="12" borderId="14" xfId="2" applyNumberFormat="1" applyFont="1" applyFill="1" applyBorder="1" applyAlignment="1">
      <alignment horizontal="center" vertical="center" wrapText="1"/>
    </xf>
    <xf numFmtId="0" fontId="2" fillId="0" borderId="0" xfId="0" applyFont="1" applyAlignment="1">
      <alignment horizontal="center" vertical="center" wrapText="1"/>
    </xf>
    <xf numFmtId="1" fontId="0" fillId="7" borderId="1" xfId="0" applyNumberFormat="1" applyFill="1" applyBorder="1" applyAlignment="1">
      <alignment horizontal="center" vertical="center"/>
    </xf>
    <xf numFmtId="166" fontId="9" fillId="7" borderId="1" xfId="2" applyNumberFormat="1" applyFont="1" applyFill="1" applyBorder="1" applyAlignment="1">
      <alignment vertical="center" wrapText="1"/>
    </xf>
    <xf numFmtId="14" fontId="0" fillId="0" borderId="0" xfId="0" applyNumberFormat="1" applyAlignment="1">
      <alignment horizontal="center" vertical="center"/>
    </xf>
    <xf numFmtId="0" fontId="18" fillId="2" borderId="3" xfId="0" applyFont="1" applyFill="1" applyBorder="1" applyAlignment="1">
      <alignment horizontal="center" vertical="center" wrapText="1"/>
    </xf>
    <xf numFmtId="0" fontId="0" fillId="0" borderId="3" xfId="0" applyBorder="1" applyAlignment="1">
      <alignment horizontal="center" vertical="center"/>
    </xf>
    <xf numFmtId="166" fontId="0" fillId="0" borderId="0" xfId="2" applyNumberFormat="1" applyFont="1"/>
    <xf numFmtId="15" fontId="0" fillId="7" borderId="14" xfId="0" applyNumberFormat="1" applyFill="1" applyBorder="1" applyAlignment="1">
      <alignment horizontal="center" vertical="center" wrapText="1"/>
    </xf>
    <xf numFmtId="1" fontId="0" fillId="7" borderId="14" xfId="0" applyNumberFormat="1" applyFill="1" applyBorder="1" applyAlignment="1">
      <alignment horizontal="center" vertical="center" wrapText="1"/>
    </xf>
    <xf numFmtId="165" fontId="0" fillId="7" borderId="14" xfId="2" applyFont="1" applyFill="1" applyBorder="1" applyAlignment="1">
      <alignment horizontal="center" vertical="center"/>
    </xf>
    <xf numFmtId="14" fontId="2" fillId="7" borderId="17" xfId="0" applyNumberFormat="1" applyFont="1" applyFill="1" applyBorder="1" applyAlignment="1">
      <alignment horizontal="center" vertical="center"/>
    </xf>
    <xf numFmtId="0" fontId="0" fillId="7" borderId="15" xfId="0" applyFill="1" applyBorder="1" applyAlignment="1">
      <alignment horizontal="center" vertical="center"/>
    </xf>
    <xf numFmtId="16" fontId="0" fillId="7" borderId="3" xfId="0" applyNumberFormat="1" applyFill="1" applyBorder="1" applyAlignment="1">
      <alignment horizontal="center" vertical="center"/>
    </xf>
    <xf numFmtId="15" fontId="0" fillId="8" borderId="14" xfId="0" applyNumberFormat="1" applyFill="1" applyBorder="1" applyAlignment="1">
      <alignment horizontal="center" vertical="center"/>
    </xf>
    <xf numFmtId="16" fontId="0" fillId="7" borderId="3" xfId="0" applyNumberFormat="1" applyFill="1" applyBorder="1" applyAlignment="1">
      <alignment horizontal="center" vertical="center" wrapText="1"/>
    </xf>
    <xf numFmtId="0" fontId="0" fillId="7" borderId="1" xfId="2" applyNumberFormat="1" applyFont="1" applyFill="1" applyBorder="1" applyAlignment="1">
      <alignment horizontal="center" vertical="center"/>
    </xf>
    <xf numFmtId="0" fontId="0" fillId="10" borderId="1" xfId="0" applyFill="1" applyBorder="1" applyAlignment="1">
      <alignment horizontal="center" vertical="center"/>
    </xf>
    <xf numFmtId="0" fontId="0" fillId="10" borderId="1" xfId="0" applyFill="1" applyBorder="1" applyAlignment="1">
      <alignment horizontal="center" vertical="center" wrapText="1"/>
    </xf>
    <xf numFmtId="165" fontId="0" fillId="10" borderId="1" xfId="2" applyFont="1" applyFill="1" applyBorder="1" applyAlignment="1">
      <alignment horizontal="center" vertical="center"/>
    </xf>
    <xf numFmtId="166" fontId="9" fillId="10" borderId="1" xfId="2" applyNumberFormat="1" applyFont="1" applyFill="1" applyBorder="1" applyAlignment="1">
      <alignment horizontal="center" vertical="center" wrapText="1"/>
    </xf>
    <xf numFmtId="166" fontId="9" fillId="10" borderId="14" xfId="2" applyNumberFormat="1" applyFont="1" applyFill="1" applyBorder="1" applyAlignment="1">
      <alignment horizontal="center" vertical="center" wrapText="1"/>
    </xf>
    <xf numFmtId="0" fontId="2" fillId="10" borderId="1" xfId="0" applyFont="1" applyFill="1" applyBorder="1" applyAlignment="1">
      <alignment horizontal="center" vertical="center" wrapText="1"/>
    </xf>
    <xf numFmtId="16" fontId="0" fillId="8" borderId="3" xfId="0" applyNumberFormat="1" applyFill="1" applyBorder="1" applyAlignment="1">
      <alignment horizontal="center" vertical="center"/>
    </xf>
    <xf numFmtId="0" fontId="0" fillId="8" borderId="2" xfId="0" applyFill="1" applyBorder="1" applyAlignment="1">
      <alignment horizontal="center" vertical="center" wrapText="1"/>
    </xf>
    <xf numFmtId="0" fontId="0" fillId="12" borderId="2" xfId="0" applyFill="1" applyBorder="1" applyAlignment="1">
      <alignment horizontal="center" vertical="center"/>
    </xf>
    <xf numFmtId="0" fontId="8" fillId="10" borderId="1" xfId="0" applyFont="1" applyFill="1" applyBorder="1" applyAlignment="1">
      <alignment horizontal="center" vertical="center" wrapText="1"/>
    </xf>
    <xf numFmtId="0" fontId="3" fillId="10" borderId="1" xfId="0" applyFont="1" applyFill="1" applyBorder="1" applyAlignment="1">
      <alignment horizontal="center" vertical="center" wrapText="1"/>
    </xf>
    <xf numFmtId="15" fontId="0" fillId="10" borderId="1" xfId="0" applyNumberFormat="1" applyFill="1" applyBorder="1" applyAlignment="1">
      <alignment horizontal="center" vertical="center"/>
    </xf>
    <xf numFmtId="0" fontId="0" fillId="10" borderId="1" xfId="0" applyFill="1" applyBorder="1" applyAlignment="1">
      <alignment horizontal="left" vertical="center" wrapText="1"/>
    </xf>
    <xf numFmtId="0" fontId="9" fillId="10" borderId="1" xfId="0" applyFont="1" applyFill="1" applyBorder="1" applyAlignment="1">
      <alignment horizontal="center" vertical="center" wrapText="1"/>
    </xf>
    <xf numFmtId="1" fontId="9" fillId="10" borderId="1" xfId="0" applyNumberFormat="1" applyFont="1" applyFill="1" applyBorder="1" applyAlignment="1">
      <alignment horizontal="center" vertical="center" wrapText="1"/>
    </xf>
    <xf numFmtId="0" fontId="0" fillId="10" borderId="3" xfId="0" applyFill="1" applyBorder="1" applyAlignment="1">
      <alignment horizontal="center" vertical="center"/>
    </xf>
    <xf numFmtId="0" fontId="18" fillId="7" borderId="2" xfId="0" applyFont="1" applyFill="1" applyBorder="1" applyAlignment="1">
      <alignment horizontal="center" vertical="center" wrapText="1"/>
    </xf>
    <xf numFmtId="1" fontId="4" fillId="2" borderId="3" xfId="0" applyNumberFormat="1" applyFont="1" applyFill="1" applyBorder="1" applyAlignment="1">
      <alignment horizontal="center" vertical="center" wrapText="1"/>
    </xf>
    <xf numFmtId="0" fontId="0" fillId="7" borderId="17" xfId="0" applyFill="1" applyBorder="1" applyAlignment="1">
      <alignment horizontal="center" vertical="center" wrapText="1"/>
    </xf>
    <xf numFmtId="0" fontId="0" fillId="7" borderId="3" xfId="0" applyFill="1" applyBorder="1" applyAlignment="1">
      <alignment horizontal="center" vertical="center" wrapText="1"/>
    </xf>
    <xf numFmtId="14" fontId="4" fillId="2" borderId="9" xfId="0" applyNumberFormat="1" applyFont="1" applyFill="1" applyBorder="1" applyAlignment="1">
      <alignment horizontal="center" vertical="center" wrapText="1"/>
    </xf>
    <xf numFmtId="14" fontId="0" fillId="0" borderId="9" xfId="0" applyNumberFormat="1" applyBorder="1" applyAlignment="1">
      <alignment horizontal="center" vertical="center"/>
    </xf>
    <xf numFmtId="15" fontId="0" fillId="12" borderId="9" xfId="0" applyNumberFormat="1" applyFill="1" applyBorder="1" applyAlignment="1">
      <alignment horizontal="center" vertical="center"/>
    </xf>
    <xf numFmtId="165" fontId="9" fillId="7" borderId="1" xfId="2" applyFont="1" applyFill="1" applyBorder="1" applyAlignment="1">
      <alignment vertical="center" wrapText="1"/>
    </xf>
    <xf numFmtId="165" fontId="1" fillId="7" borderId="1" xfId="2" applyFont="1" applyFill="1" applyBorder="1" applyAlignment="1">
      <alignment horizontal="center" vertical="center"/>
    </xf>
    <xf numFmtId="15" fontId="0" fillId="7" borderId="9" xfId="0" applyNumberFormat="1" applyFill="1" applyBorder="1" applyAlignment="1">
      <alignment horizontal="center" vertical="center"/>
    </xf>
    <xf numFmtId="15" fontId="0" fillId="8" borderId="9" xfId="0" applyNumberFormat="1" applyFill="1" applyBorder="1" applyAlignment="1">
      <alignment horizontal="center" vertical="center"/>
    </xf>
    <xf numFmtId="15" fontId="0" fillId="0" borderId="9" xfId="0" applyNumberFormat="1" applyBorder="1" applyAlignment="1">
      <alignment horizontal="center" vertical="center"/>
    </xf>
    <xf numFmtId="15" fontId="0" fillId="10" borderId="9" xfId="0" applyNumberFormat="1" applyFill="1" applyBorder="1" applyAlignment="1">
      <alignment horizontal="center" vertical="center"/>
    </xf>
    <xf numFmtId="15" fontId="0" fillId="7" borderId="3" xfId="0" applyNumberFormat="1" applyFill="1" applyBorder="1" applyAlignment="1">
      <alignment horizontal="center" vertical="center"/>
    </xf>
    <xf numFmtId="15" fontId="0" fillId="0" borderId="0" xfId="0" applyNumberFormat="1"/>
    <xf numFmtId="0" fontId="8" fillId="13" borderId="1" xfId="0" applyFont="1" applyFill="1" applyBorder="1" applyAlignment="1">
      <alignment horizontal="center" vertical="center" wrapText="1"/>
    </xf>
    <xf numFmtId="0" fontId="0" fillId="13" borderId="1" xfId="0" applyFill="1" applyBorder="1" applyAlignment="1">
      <alignment horizontal="center" vertical="center" wrapText="1"/>
    </xf>
    <xf numFmtId="0" fontId="3" fillId="13" borderId="1" xfId="0" applyFont="1" applyFill="1" applyBorder="1" applyAlignment="1">
      <alignment horizontal="center" vertical="center" wrapText="1"/>
    </xf>
    <xf numFmtId="15" fontId="0" fillId="13" borderId="1" xfId="0" applyNumberFormat="1" applyFill="1" applyBorder="1" applyAlignment="1">
      <alignment horizontal="center" vertical="center"/>
    </xf>
    <xf numFmtId="0" fontId="0" fillId="13" borderId="1" xfId="0" applyFill="1" applyBorder="1" applyAlignment="1">
      <alignment horizontal="center" vertical="center"/>
    </xf>
    <xf numFmtId="1" fontId="0" fillId="13" borderId="1" xfId="0" applyNumberFormat="1" applyFill="1" applyBorder="1" applyAlignment="1">
      <alignment horizontal="center" vertical="center" wrapText="1"/>
    </xf>
    <xf numFmtId="165" fontId="0" fillId="13" borderId="1" xfId="2" applyFont="1" applyFill="1" applyBorder="1" applyAlignment="1">
      <alignment horizontal="center" vertical="center"/>
    </xf>
    <xf numFmtId="166" fontId="9" fillId="13" borderId="1" xfId="2" applyNumberFormat="1" applyFont="1" applyFill="1" applyBorder="1" applyAlignment="1">
      <alignment horizontal="center" vertical="center" wrapText="1"/>
    </xf>
    <xf numFmtId="166" fontId="9" fillId="13" borderId="14" xfId="2" applyNumberFormat="1" applyFont="1" applyFill="1" applyBorder="1" applyAlignment="1">
      <alignment horizontal="center" vertical="center" wrapText="1"/>
    </xf>
    <xf numFmtId="0" fontId="17" fillId="7" borderId="1" xfId="0" applyFont="1" applyFill="1" applyBorder="1" applyAlignment="1">
      <alignment horizontal="center" vertical="center"/>
    </xf>
    <xf numFmtId="15" fontId="17" fillId="7" borderId="9" xfId="0" applyNumberFormat="1" applyFont="1" applyFill="1" applyBorder="1" applyAlignment="1">
      <alignment horizontal="center" vertical="center"/>
    </xf>
    <xf numFmtId="15" fontId="17" fillId="7" borderId="1" xfId="0" applyNumberFormat="1" applyFont="1" applyFill="1" applyBorder="1" applyAlignment="1">
      <alignment horizontal="center" vertical="center"/>
    </xf>
    <xf numFmtId="166" fontId="15" fillId="7" borderId="14" xfId="2" applyNumberFormat="1" applyFont="1" applyFill="1" applyBorder="1" applyAlignment="1">
      <alignment horizontal="center" vertical="center" wrapText="1"/>
    </xf>
    <xf numFmtId="16" fontId="17" fillId="7" borderId="3" xfId="0" applyNumberFormat="1" applyFont="1" applyFill="1" applyBorder="1" applyAlignment="1">
      <alignment horizontal="center" vertical="center"/>
    </xf>
    <xf numFmtId="14" fontId="18" fillId="2" borderId="1" xfId="0" applyNumberFormat="1" applyFont="1" applyFill="1" applyBorder="1" applyAlignment="1">
      <alignment horizontal="center" vertical="center" wrapText="1"/>
    </xf>
    <xf numFmtId="14" fontId="0" fillId="0" borderId="0" xfId="0" applyNumberFormat="1"/>
    <xf numFmtId="0" fontId="15" fillId="7" borderId="1" xfId="0" applyFont="1" applyFill="1" applyBorder="1" applyAlignment="1">
      <alignment horizontal="center" vertical="center" wrapText="1"/>
    </xf>
    <xf numFmtId="1" fontId="15" fillId="7" borderId="1" xfId="0" applyNumberFormat="1" applyFont="1" applyFill="1" applyBorder="1" applyAlignment="1">
      <alignment horizontal="center" vertical="center" wrapText="1"/>
    </xf>
    <xf numFmtId="0" fontId="8" fillId="10" borderId="3" xfId="0" applyFont="1" applyFill="1" applyBorder="1" applyAlignment="1">
      <alignment horizontal="center" vertical="center" wrapText="1"/>
    </xf>
    <xf numFmtId="0" fontId="0" fillId="10" borderId="0" xfId="0" applyFill="1" applyAlignment="1">
      <alignment horizontal="center" vertical="center"/>
    </xf>
    <xf numFmtId="166" fontId="0" fillId="0" borderId="1" xfId="2" applyNumberFormat="1" applyFont="1" applyFill="1" applyBorder="1" applyAlignment="1">
      <alignment horizontal="center" vertical="center"/>
    </xf>
    <xf numFmtId="16" fontId="0" fillId="8" borderId="2" xfId="0" applyNumberFormat="1" applyFill="1" applyBorder="1" applyAlignment="1">
      <alignment horizontal="center" vertical="center"/>
    </xf>
    <xf numFmtId="0" fontId="0" fillId="0" borderId="14" xfId="0" applyBorder="1" applyAlignment="1">
      <alignment horizontal="center" vertical="center" wrapText="1"/>
    </xf>
    <xf numFmtId="15" fontId="0" fillId="0" borderId="14" xfId="0" applyNumberFormat="1" applyBorder="1" applyAlignment="1">
      <alignment horizontal="center" vertical="center" wrapText="1"/>
    </xf>
    <xf numFmtId="0" fontId="0" fillId="8" borderId="15" xfId="0" applyFill="1" applyBorder="1" applyAlignment="1">
      <alignment horizontal="center" vertical="center" wrapText="1"/>
    </xf>
    <xf numFmtId="0" fontId="0" fillId="12" borderId="14" xfId="0" applyFill="1" applyBorder="1" applyAlignment="1">
      <alignment horizontal="center" vertical="center" wrapText="1"/>
    </xf>
    <xf numFmtId="15" fontId="0" fillId="12" borderId="14" xfId="0" applyNumberFormat="1" applyFill="1" applyBorder="1" applyAlignment="1">
      <alignment horizontal="center" vertical="center"/>
    </xf>
    <xf numFmtId="0" fontId="0" fillId="12" borderId="14" xfId="0" applyFill="1" applyBorder="1" applyAlignment="1">
      <alignment horizontal="center" vertical="center"/>
    </xf>
    <xf numFmtId="15" fontId="0" fillId="12" borderId="14" xfId="0" applyNumberFormat="1" applyFill="1" applyBorder="1" applyAlignment="1">
      <alignment horizontal="center" vertical="center" wrapText="1"/>
    </xf>
    <xf numFmtId="0" fontId="0" fillId="12" borderId="14" xfId="0" applyFill="1" applyBorder="1" applyAlignment="1">
      <alignment horizontal="left" vertical="center" wrapText="1"/>
    </xf>
    <xf numFmtId="15" fontId="0" fillId="12" borderId="1" xfId="0" applyNumberFormat="1" applyFill="1" applyBorder="1" applyAlignment="1">
      <alignment horizontal="center" vertical="center" wrapText="1"/>
    </xf>
    <xf numFmtId="15" fontId="0" fillId="12" borderId="18" xfId="0" applyNumberFormat="1" applyFill="1" applyBorder="1" applyAlignment="1">
      <alignment horizontal="center" vertical="center"/>
    </xf>
    <xf numFmtId="166" fontId="0" fillId="12" borderId="14" xfId="2" applyNumberFormat="1" applyFont="1" applyFill="1" applyBorder="1" applyAlignment="1">
      <alignment horizontal="center" vertical="center"/>
    </xf>
    <xf numFmtId="0" fontId="2" fillId="12" borderId="14" xfId="0" applyFont="1" applyFill="1" applyBorder="1" applyAlignment="1">
      <alignment horizontal="center" vertical="center" wrapText="1"/>
    </xf>
    <xf numFmtId="0" fontId="17" fillId="0" borderId="0" xfId="0" applyFont="1" applyAlignment="1">
      <alignment horizontal="center" vertical="center"/>
    </xf>
    <xf numFmtId="15" fontId="9" fillId="7" borderId="19" xfId="0" applyNumberFormat="1" applyFont="1" applyFill="1" applyBorder="1" applyAlignment="1">
      <alignment horizontal="center" vertical="center" wrapText="1"/>
    </xf>
    <xf numFmtId="0" fontId="0" fillId="0" borderId="22" xfId="0" applyBorder="1" applyAlignment="1">
      <alignment horizontal="center" vertical="center"/>
    </xf>
    <xf numFmtId="15" fontId="9" fillId="8" borderId="19" xfId="0" applyNumberFormat="1" applyFont="1" applyFill="1" applyBorder="1" applyAlignment="1">
      <alignment horizontal="center" vertical="center" wrapText="1"/>
    </xf>
    <xf numFmtId="0" fontId="0" fillId="0" borderId="22" xfId="0" applyBorder="1" applyAlignment="1">
      <alignment horizontal="center" vertical="center" wrapText="1"/>
    </xf>
    <xf numFmtId="15" fontId="9" fillId="9" borderId="19" xfId="0" applyNumberFormat="1" applyFont="1" applyFill="1" applyBorder="1" applyAlignment="1">
      <alignment horizontal="center" vertical="center" wrapText="1"/>
    </xf>
    <xf numFmtId="0" fontId="9" fillId="10" borderId="23" xfId="0" applyFont="1" applyFill="1" applyBorder="1" applyAlignment="1">
      <alignment horizontal="center" vertical="center" wrapText="1"/>
    </xf>
    <xf numFmtId="0" fontId="0" fillId="0" borderId="7" xfId="0" applyBorder="1" applyAlignment="1">
      <alignment horizontal="center" vertical="center" wrapText="1"/>
    </xf>
    <xf numFmtId="0" fontId="0" fillId="13" borderId="19" xfId="0" applyFill="1" applyBorder="1" applyAlignment="1">
      <alignment horizontal="center" vertical="center" wrapText="1"/>
    </xf>
    <xf numFmtId="15" fontId="0" fillId="10" borderId="1" xfId="0" applyNumberFormat="1" applyFill="1" applyBorder="1" applyAlignment="1">
      <alignment horizontal="center" vertical="center" wrapText="1"/>
    </xf>
    <xf numFmtId="0" fontId="4" fillId="10" borderId="1" xfId="0" applyFont="1" applyFill="1" applyBorder="1" applyAlignment="1">
      <alignment horizontal="center" vertical="center" wrapText="1"/>
    </xf>
    <xf numFmtId="0" fontId="17" fillId="10" borderId="1" xfId="0" applyFont="1" applyFill="1" applyBorder="1" applyAlignment="1">
      <alignment horizontal="center" vertical="center" wrapText="1"/>
    </xf>
    <xf numFmtId="0" fontId="17" fillId="10" borderId="1" xfId="0" applyFont="1" applyFill="1" applyBorder="1" applyAlignment="1">
      <alignment horizontal="left" vertical="center" wrapText="1"/>
    </xf>
    <xf numFmtId="1" fontId="17" fillId="10" borderId="1" xfId="0" applyNumberFormat="1" applyFont="1" applyFill="1" applyBorder="1" applyAlignment="1">
      <alignment horizontal="center" vertical="center" wrapText="1"/>
    </xf>
    <xf numFmtId="167" fontId="17" fillId="10" borderId="1" xfId="2" applyNumberFormat="1" applyFont="1" applyFill="1" applyBorder="1" applyAlignment="1">
      <alignment horizontal="center" vertical="center" wrapText="1"/>
    </xf>
    <xf numFmtId="16" fontId="0" fillId="12" borderId="3" xfId="0" applyNumberFormat="1" applyFill="1" applyBorder="1" applyAlignment="1">
      <alignment horizontal="center" vertical="center" wrapText="1"/>
    </xf>
    <xf numFmtId="0" fontId="0" fillId="12" borderId="0" xfId="0" applyFill="1"/>
    <xf numFmtId="16" fontId="0" fillId="12" borderId="3" xfId="0" applyNumberFormat="1" applyFill="1" applyBorder="1" applyAlignment="1">
      <alignment horizontal="center" vertical="center"/>
    </xf>
    <xf numFmtId="15" fontId="0" fillId="12" borderId="3" xfId="0" applyNumberFormat="1" applyFill="1" applyBorder="1" applyAlignment="1">
      <alignment horizontal="center" vertical="center"/>
    </xf>
    <xf numFmtId="0" fontId="0" fillId="12" borderId="0" xfId="0" applyFill="1" applyAlignment="1">
      <alignment horizontal="center" vertical="center"/>
    </xf>
    <xf numFmtId="165" fontId="17" fillId="10" borderId="1" xfId="2" applyFont="1" applyFill="1" applyBorder="1" applyAlignment="1">
      <alignment horizontal="center" vertical="center" wrapText="1"/>
    </xf>
    <xf numFmtId="15" fontId="0" fillId="13" borderId="1" xfId="0" applyNumberFormat="1" applyFill="1" applyBorder="1" applyAlignment="1">
      <alignment horizontal="center" vertical="center" wrapText="1"/>
    </xf>
    <xf numFmtId="0" fontId="10" fillId="8" borderId="1"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8" borderId="1" xfId="0" applyFont="1" applyFill="1" applyBorder="1" applyAlignment="1">
      <alignment horizontal="center" wrapText="1"/>
    </xf>
    <xf numFmtId="0" fontId="2" fillId="0" borderId="0" xfId="0" applyFont="1" applyAlignment="1">
      <alignment horizontal="center"/>
    </xf>
    <xf numFmtId="0" fontId="2" fillId="0" borderId="0" xfId="0" applyFont="1" applyAlignment="1">
      <alignment horizontal="center" wrapText="1"/>
    </xf>
    <xf numFmtId="0" fontId="0" fillId="13" borderId="1" xfId="0" applyFill="1" applyBorder="1" applyAlignment="1">
      <alignment horizontal="left" vertical="center" wrapText="1"/>
    </xf>
    <xf numFmtId="0" fontId="0" fillId="0" borderId="0" xfId="0" applyAlignment="1">
      <alignment horizontal="left" vertical="center"/>
    </xf>
    <xf numFmtId="0" fontId="0" fillId="7" borderId="1" xfId="1" applyNumberFormat="1" applyFont="1" applyFill="1" applyBorder="1" applyAlignment="1">
      <alignment horizontal="center" vertical="center"/>
    </xf>
    <xf numFmtId="15" fontId="0" fillId="8" borderId="14" xfId="0" applyNumberFormat="1" applyFill="1" applyBorder="1" applyAlignment="1">
      <alignment horizontal="center" vertical="center" wrapText="1"/>
    </xf>
    <xf numFmtId="0" fontId="0" fillId="8" borderId="14" xfId="0" applyFill="1" applyBorder="1" applyAlignment="1">
      <alignment horizontal="center" vertical="center" wrapText="1"/>
    </xf>
    <xf numFmtId="0" fontId="0" fillId="8" borderId="14" xfId="0" applyFill="1" applyBorder="1" applyAlignment="1">
      <alignment horizontal="center" vertical="center"/>
    </xf>
    <xf numFmtId="0" fontId="0" fillId="8" borderId="0" xfId="0" applyFill="1"/>
    <xf numFmtId="0" fontId="3" fillId="12" borderId="1" xfId="0" applyFont="1" applyFill="1" applyBorder="1" applyAlignment="1">
      <alignment horizontal="center" vertical="center"/>
    </xf>
    <xf numFmtId="0" fontId="3" fillId="12" borderId="3" xfId="0" applyFont="1" applyFill="1" applyBorder="1" applyAlignment="1">
      <alignment horizontal="center" vertical="center"/>
    </xf>
    <xf numFmtId="0" fontId="3" fillId="0" borderId="1" xfId="0" applyFont="1" applyBorder="1" applyAlignment="1">
      <alignment horizontal="center" vertical="center"/>
    </xf>
    <xf numFmtId="0" fontId="3" fillId="0" borderId="3" xfId="0" applyFont="1" applyBorder="1" applyAlignment="1">
      <alignment horizontal="center" vertical="center"/>
    </xf>
    <xf numFmtId="0" fontId="3" fillId="0" borderId="1" xfId="0" applyFont="1" applyBorder="1" applyAlignment="1">
      <alignment horizontal="center" vertical="center" wrapText="1"/>
    </xf>
    <xf numFmtId="0" fontId="3" fillId="8" borderId="1" xfId="0" applyFont="1" applyFill="1" applyBorder="1" applyAlignment="1">
      <alignment horizontal="center" vertical="center"/>
    </xf>
    <xf numFmtId="0" fontId="3" fillId="8" borderId="3" xfId="0" applyFont="1" applyFill="1" applyBorder="1" applyAlignment="1">
      <alignment horizontal="center" vertical="center"/>
    </xf>
    <xf numFmtId="0" fontId="3" fillId="12" borderId="1" xfId="0" applyFont="1" applyFill="1" applyBorder="1" applyAlignment="1">
      <alignment horizontal="center" vertical="center" wrapText="1"/>
    </xf>
    <xf numFmtId="0" fontId="3" fillId="0" borderId="0" xfId="0" applyFont="1" applyAlignment="1">
      <alignment horizontal="center" vertical="center"/>
    </xf>
    <xf numFmtId="0" fontId="8" fillId="8" borderId="14" xfId="0" applyFont="1" applyFill="1" applyBorder="1" applyAlignment="1">
      <alignment horizontal="center" vertical="center" wrapText="1"/>
    </xf>
    <xf numFmtId="0" fontId="3" fillId="8" borderId="14" xfId="0" applyFont="1" applyFill="1" applyBorder="1" applyAlignment="1">
      <alignment horizontal="center" vertical="center" wrapText="1"/>
    </xf>
    <xf numFmtId="0" fontId="0" fillId="8" borderId="14" xfId="0" applyFill="1" applyBorder="1" applyAlignment="1">
      <alignment horizontal="left" vertical="center" wrapText="1"/>
    </xf>
    <xf numFmtId="0" fontId="0" fillId="8" borderId="14" xfId="2" applyNumberFormat="1" applyFont="1" applyFill="1" applyBorder="1" applyAlignment="1">
      <alignment horizontal="center" vertical="center"/>
    </xf>
    <xf numFmtId="0" fontId="2" fillId="8" borderId="14" xfId="0" applyFont="1" applyFill="1" applyBorder="1" applyAlignment="1">
      <alignment horizontal="left" vertical="center" wrapText="1"/>
    </xf>
    <xf numFmtId="14" fontId="0" fillId="8" borderId="1" xfId="0" applyNumberFormat="1" applyFill="1" applyBorder="1" applyAlignment="1">
      <alignment horizontal="center" vertical="center" wrapText="1"/>
    </xf>
    <xf numFmtId="16" fontId="0" fillId="12" borderId="1" xfId="0" applyNumberFormat="1" applyFill="1" applyBorder="1" applyAlignment="1">
      <alignment horizontal="center" vertical="center" wrapText="1"/>
    </xf>
    <xf numFmtId="170" fontId="8" fillId="2" borderId="1" xfId="0" applyNumberFormat="1" applyFont="1" applyFill="1" applyBorder="1" applyAlignment="1">
      <alignment horizontal="center" vertical="center" wrapText="1"/>
    </xf>
    <xf numFmtId="170" fontId="0" fillId="8" borderId="1" xfId="2" applyNumberFormat="1" applyFont="1" applyFill="1" applyBorder="1" applyAlignment="1">
      <alignment horizontal="center" vertical="center"/>
    </xf>
    <xf numFmtId="170" fontId="0" fillId="12" borderId="14" xfId="2" applyNumberFormat="1" applyFont="1" applyFill="1" applyBorder="1" applyAlignment="1">
      <alignment horizontal="center" vertical="center"/>
    </xf>
    <xf numFmtId="170" fontId="0" fillId="12" borderId="1" xfId="2" applyNumberFormat="1" applyFont="1" applyFill="1" applyBorder="1" applyAlignment="1">
      <alignment horizontal="center" vertical="center"/>
    </xf>
    <xf numFmtId="170" fontId="0" fillId="0" borderId="1" xfId="2" applyNumberFormat="1" applyFont="1" applyFill="1" applyBorder="1" applyAlignment="1">
      <alignment horizontal="center" vertical="center"/>
    </xf>
    <xf numFmtId="170" fontId="0" fillId="0" borderId="0" xfId="0" applyNumberFormat="1" applyAlignment="1">
      <alignment horizontal="center" vertical="center"/>
    </xf>
    <xf numFmtId="0" fontId="9" fillId="7" borderId="1" xfId="2" applyNumberFormat="1" applyFont="1" applyFill="1" applyBorder="1" applyAlignment="1">
      <alignment horizontal="center" vertical="center" wrapText="1"/>
    </xf>
    <xf numFmtId="0" fontId="0" fillId="10" borderId="0" xfId="0" applyFill="1"/>
    <xf numFmtId="16" fontId="0" fillId="10" borderId="1" xfId="0" applyNumberFormat="1" applyFill="1" applyBorder="1" applyAlignment="1">
      <alignment horizontal="center" vertical="center"/>
    </xf>
    <xf numFmtId="0" fontId="9" fillId="8" borderId="3" xfId="0" applyFont="1" applyFill="1" applyBorder="1" applyAlignment="1">
      <alignment horizontal="center" vertical="center" wrapText="1"/>
    </xf>
    <xf numFmtId="1" fontId="0" fillId="12" borderId="14" xfId="0" applyNumberFormat="1" applyFill="1" applyBorder="1" applyAlignment="1">
      <alignment horizontal="center" vertical="center" wrapText="1"/>
    </xf>
    <xf numFmtId="1" fontId="0" fillId="8" borderId="14" xfId="0" applyNumberFormat="1" applyFill="1" applyBorder="1" applyAlignment="1">
      <alignment horizontal="center" vertical="center" wrapText="1"/>
    </xf>
    <xf numFmtId="0" fontId="3" fillId="7" borderId="3" xfId="0" applyFont="1" applyFill="1" applyBorder="1" applyAlignment="1">
      <alignment horizontal="center" vertical="center"/>
    </xf>
    <xf numFmtId="170" fontId="0" fillId="7" borderId="1" xfId="2" applyNumberFormat="1" applyFont="1" applyFill="1" applyBorder="1" applyAlignment="1">
      <alignment horizontal="center" vertical="center"/>
    </xf>
    <xf numFmtId="14" fontId="2" fillId="12" borderId="17" xfId="0" applyNumberFormat="1" applyFont="1" applyFill="1" applyBorder="1" applyAlignment="1">
      <alignment horizontal="center" vertical="center"/>
    </xf>
    <xf numFmtId="0" fontId="3" fillId="3" borderId="1" xfId="0" applyFont="1" applyFill="1" applyBorder="1" applyAlignment="1">
      <alignment horizontal="center" vertical="center" wrapText="1"/>
    </xf>
    <xf numFmtId="0" fontId="3" fillId="10" borderId="1" xfId="0" applyFont="1" applyFill="1" applyBorder="1" applyAlignment="1">
      <alignment horizontal="center" vertical="center"/>
    </xf>
    <xf numFmtId="0" fontId="3" fillId="10" borderId="3" xfId="0" applyFont="1" applyFill="1" applyBorder="1" applyAlignment="1">
      <alignment horizontal="center" vertical="center"/>
    </xf>
    <xf numFmtId="15" fontId="0" fillId="10" borderId="14" xfId="0" applyNumberFormat="1" applyFill="1" applyBorder="1" applyAlignment="1">
      <alignment horizontal="center" vertical="center" wrapText="1"/>
    </xf>
    <xf numFmtId="0" fontId="0" fillId="10" borderId="14" xfId="0" applyFill="1" applyBorder="1" applyAlignment="1">
      <alignment horizontal="center" vertical="center" wrapText="1"/>
    </xf>
    <xf numFmtId="1" fontId="0" fillId="10" borderId="1" xfId="0" applyNumberFormat="1" applyFill="1" applyBorder="1" applyAlignment="1">
      <alignment horizontal="center" vertical="center" wrapText="1"/>
    </xf>
    <xf numFmtId="170" fontId="0" fillId="10" borderId="1" xfId="2" applyNumberFormat="1" applyFont="1" applyFill="1" applyBorder="1" applyAlignment="1">
      <alignment horizontal="center" vertical="center"/>
    </xf>
    <xf numFmtId="166" fontId="0" fillId="10" borderId="1" xfId="2" applyNumberFormat="1" applyFont="1" applyFill="1" applyBorder="1" applyAlignment="1">
      <alignment horizontal="center" vertical="center"/>
    </xf>
    <xf numFmtId="0" fontId="0" fillId="7" borderId="1" xfId="0" applyFill="1" applyBorder="1" applyAlignment="1">
      <alignment horizontal="left" wrapText="1"/>
    </xf>
    <xf numFmtId="0" fontId="2" fillId="7" borderId="1" xfId="0" applyFont="1" applyFill="1" applyBorder="1" applyAlignment="1">
      <alignment horizontal="center" vertical="center"/>
    </xf>
    <xf numFmtId="166" fontId="9" fillId="7" borderId="1" xfId="2" applyNumberFormat="1" applyFont="1" applyFill="1" applyBorder="1" applyAlignment="1">
      <alignment horizontal="center" vertical="center"/>
    </xf>
    <xf numFmtId="0" fontId="2" fillId="0" borderId="9" xfId="0" applyFont="1" applyBorder="1" applyAlignment="1">
      <alignment horizontal="center" vertical="center" wrapText="1"/>
    </xf>
    <xf numFmtId="16" fontId="0" fillId="12" borderId="17" xfId="0" applyNumberFormat="1" applyFill="1" applyBorder="1" applyAlignment="1">
      <alignment horizontal="center" vertical="center"/>
    </xf>
    <xf numFmtId="0" fontId="3" fillId="0" borderId="0" xfId="0" applyFont="1" applyAlignment="1">
      <alignment horizontal="center"/>
    </xf>
    <xf numFmtId="14" fontId="0" fillId="0" borderId="1" xfId="0" applyNumberFormat="1" applyBorder="1"/>
    <xf numFmtId="0" fontId="3" fillId="0" borderId="0" xfId="0" applyFont="1" applyAlignment="1">
      <alignment horizontal="right"/>
    </xf>
    <xf numFmtId="0" fontId="23" fillId="0" borderId="1" xfId="0" applyFont="1" applyBorder="1"/>
    <xf numFmtId="14" fontId="23" fillId="0" borderId="1" xfId="0" applyNumberFormat="1" applyFont="1" applyBorder="1"/>
    <xf numFmtId="0" fontId="0" fillId="0" borderId="27" xfId="0" applyBorder="1"/>
    <xf numFmtId="0" fontId="2" fillId="8" borderId="1" xfId="0" applyFont="1" applyFill="1" applyBorder="1" applyAlignment="1">
      <alignment horizontal="center" vertical="center"/>
    </xf>
    <xf numFmtId="0" fontId="19" fillId="7" borderId="1" xfId="0" applyFont="1" applyFill="1" applyBorder="1" applyAlignment="1">
      <alignment horizontal="center" vertical="center"/>
    </xf>
    <xf numFmtId="16" fontId="0" fillId="0" borderId="3" xfId="0" applyNumberFormat="1" applyBorder="1" applyAlignment="1">
      <alignment horizontal="center" vertical="center"/>
    </xf>
    <xf numFmtId="16" fontId="0" fillId="0" borderId="1" xfId="0" applyNumberFormat="1" applyBorder="1"/>
    <xf numFmtId="0" fontId="25" fillId="0" borderId="1" xfId="0" applyFont="1" applyBorder="1" applyAlignment="1">
      <alignment horizontal="center"/>
    </xf>
    <xf numFmtId="0" fontId="0" fillId="15" borderId="1" xfId="0" applyFill="1" applyBorder="1" applyAlignment="1">
      <alignment horizontal="center" vertical="center"/>
    </xf>
    <xf numFmtId="0" fontId="0" fillId="15" borderId="2" xfId="0" applyFill="1" applyBorder="1" applyAlignment="1">
      <alignment horizontal="center" vertical="center"/>
    </xf>
    <xf numFmtId="0" fontId="0" fillId="15" borderId="1" xfId="0" applyFill="1" applyBorder="1" applyAlignment="1">
      <alignment horizontal="center"/>
    </xf>
    <xf numFmtId="0" fontId="0" fillId="15" borderId="1" xfId="0" applyFill="1" applyBorder="1"/>
    <xf numFmtId="16" fontId="0" fillId="15" borderId="1" xfId="0" applyNumberFormat="1" applyFill="1" applyBorder="1"/>
    <xf numFmtId="0" fontId="0" fillId="15" borderId="1" xfId="0" applyFill="1" applyBorder="1" applyAlignment="1">
      <alignment horizontal="left"/>
    </xf>
    <xf numFmtId="0" fontId="0" fillId="15" borderId="1" xfId="0" applyFill="1" applyBorder="1" applyAlignment="1">
      <alignment vertical="center"/>
    </xf>
    <xf numFmtId="1" fontId="0" fillId="15" borderId="1" xfId="0" applyNumberFormat="1" applyFill="1" applyBorder="1" applyAlignment="1">
      <alignment horizontal="center" vertical="center" wrapText="1"/>
    </xf>
    <xf numFmtId="170" fontId="0" fillId="10" borderId="1" xfId="2" quotePrefix="1" applyNumberFormat="1" applyFont="1" applyFill="1" applyBorder="1" applyAlignment="1">
      <alignment horizontal="center" vertical="center"/>
    </xf>
    <xf numFmtId="16" fontId="0" fillId="10" borderId="3" xfId="0" applyNumberFormat="1" applyFill="1" applyBorder="1" applyAlignment="1">
      <alignment horizontal="center" vertical="center"/>
    </xf>
    <xf numFmtId="0" fontId="3" fillId="0" borderId="0" xfId="0" applyFont="1" applyAlignment="1">
      <alignment horizontal="center" vertical="center" wrapText="1"/>
    </xf>
    <xf numFmtId="15" fontId="0" fillId="0" borderId="0" xfId="0" applyNumberFormat="1" applyAlignment="1">
      <alignment horizontal="center" vertical="center" wrapText="1"/>
    </xf>
    <xf numFmtId="170" fontId="0" fillId="0" borderId="0" xfId="2" applyNumberFormat="1" applyFont="1" applyFill="1" applyBorder="1" applyAlignment="1">
      <alignment horizontal="center" vertical="center"/>
    </xf>
    <xf numFmtId="166" fontId="0" fillId="0" borderId="0" xfId="2" applyNumberFormat="1" applyFont="1" applyFill="1" applyBorder="1" applyAlignment="1">
      <alignment horizontal="center" vertical="center"/>
    </xf>
    <xf numFmtId="0" fontId="3" fillId="0" borderId="28" xfId="0" applyFont="1" applyBorder="1" applyAlignment="1">
      <alignment horizontal="center" vertical="center"/>
    </xf>
    <xf numFmtId="0" fontId="3" fillId="0" borderId="29" xfId="0" applyFont="1" applyBorder="1" applyAlignment="1">
      <alignment horizontal="center" vertical="center"/>
    </xf>
    <xf numFmtId="15" fontId="0" fillId="0" borderId="30" xfId="0" applyNumberFormat="1" applyBorder="1" applyAlignment="1">
      <alignment horizontal="center" vertical="center"/>
    </xf>
    <xf numFmtId="0" fontId="0" fillId="0" borderId="28" xfId="0" applyBorder="1" applyAlignment="1">
      <alignment horizontal="center" vertical="center" wrapText="1"/>
    </xf>
    <xf numFmtId="0" fontId="0" fillId="0" borderId="28" xfId="0" applyBorder="1" applyAlignment="1">
      <alignment horizontal="center" vertical="center"/>
    </xf>
    <xf numFmtId="15" fontId="0" fillId="0" borderId="28" xfId="0" applyNumberFormat="1" applyBorder="1" applyAlignment="1">
      <alignment horizontal="center" vertical="center"/>
    </xf>
    <xf numFmtId="15" fontId="0" fillId="0" borderId="28" xfId="0" applyNumberFormat="1" applyBorder="1" applyAlignment="1">
      <alignment horizontal="center" vertical="center" wrapText="1"/>
    </xf>
    <xf numFmtId="0" fontId="0" fillId="0" borderId="28" xfId="0" applyBorder="1" applyAlignment="1">
      <alignment horizontal="left" vertical="center" wrapText="1"/>
    </xf>
    <xf numFmtId="1" fontId="0" fillId="0" borderId="28" xfId="0" applyNumberFormat="1" applyBorder="1" applyAlignment="1">
      <alignment horizontal="center" vertical="center" wrapText="1"/>
    </xf>
    <xf numFmtId="170" fontId="0" fillId="0" borderId="28" xfId="2" applyNumberFormat="1" applyFont="1" applyFill="1" applyBorder="1" applyAlignment="1">
      <alignment horizontal="center" vertical="center"/>
    </xf>
    <xf numFmtId="166" fontId="9" fillId="0" borderId="28" xfId="2" applyNumberFormat="1" applyFont="1" applyFill="1" applyBorder="1" applyAlignment="1">
      <alignment horizontal="center" vertical="center" wrapText="1"/>
    </xf>
    <xf numFmtId="166" fontId="0" fillId="0" borderId="28" xfId="2" applyNumberFormat="1" applyFont="1" applyFill="1" applyBorder="1" applyAlignment="1">
      <alignment horizontal="center" vertical="center"/>
    </xf>
    <xf numFmtId="0" fontId="2" fillId="0" borderId="28" xfId="0" applyFont="1" applyBorder="1" applyAlignment="1">
      <alignment horizontal="center" vertical="center" wrapText="1"/>
    </xf>
    <xf numFmtId="15" fontId="0" fillId="16" borderId="9" xfId="0" applyNumberFormat="1" applyFill="1" applyBorder="1" applyAlignment="1">
      <alignment horizontal="center" vertical="center"/>
    </xf>
    <xf numFmtId="0" fontId="26" fillId="0" borderId="1" xfId="0" applyFont="1" applyBorder="1" applyAlignment="1">
      <alignment horizontal="center" vertical="center"/>
    </xf>
    <xf numFmtId="16" fontId="0" fillId="0" borderId="1" xfId="0" applyNumberFormat="1" applyBorder="1" applyAlignment="1">
      <alignment horizontal="center" vertical="center"/>
    </xf>
    <xf numFmtId="15" fontId="0" fillId="3" borderId="9" xfId="0" applyNumberFormat="1" applyFill="1" applyBorder="1" applyAlignment="1">
      <alignment horizontal="center" vertical="center"/>
    </xf>
    <xf numFmtId="16" fontId="0" fillId="0" borderId="29" xfId="0" applyNumberFormat="1" applyBorder="1" applyAlignment="1">
      <alignment horizontal="center" vertical="center"/>
    </xf>
    <xf numFmtId="14" fontId="0" fillId="0" borderId="3" xfId="0" applyNumberFormat="1" applyBorder="1" applyAlignment="1">
      <alignment horizontal="center" vertical="center"/>
    </xf>
    <xf numFmtId="14" fontId="0" fillId="0" borderId="1" xfId="0" applyNumberFormat="1" applyBorder="1" applyAlignment="1">
      <alignment horizontal="center" vertical="center"/>
    </xf>
    <xf numFmtId="14" fontId="0" fillId="8" borderId="3" xfId="0" applyNumberFormat="1" applyFill="1" applyBorder="1" applyAlignment="1">
      <alignment horizontal="center" vertical="center"/>
    </xf>
    <xf numFmtId="14" fontId="0" fillId="12" borderId="3" xfId="0" applyNumberFormat="1" applyFill="1"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left" wrapText="1"/>
    </xf>
    <xf numFmtId="14" fontId="0" fillId="7" borderId="9" xfId="0" applyNumberFormat="1" applyFill="1" applyBorder="1" applyAlignment="1">
      <alignment horizontal="center" vertical="center"/>
    </xf>
    <xf numFmtId="0" fontId="0" fillId="17" borderId="1" xfId="0" applyFill="1" applyBorder="1"/>
    <xf numFmtId="0" fontId="0" fillId="17" borderId="1" xfId="0" applyFill="1" applyBorder="1" applyAlignment="1">
      <alignment horizontal="center"/>
    </xf>
    <xf numFmtId="16" fontId="0" fillId="17" borderId="1" xfId="0" applyNumberFormat="1" applyFill="1" applyBorder="1"/>
    <xf numFmtId="0" fontId="0" fillId="17" borderId="1" xfId="0" applyFill="1" applyBorder="1" applyAlignment="1">
      <alignment horizontal="left"/>
    </xf>
    <xf numFmtId="0" fontId="0" fillId="17" borderId="1" xfId="0" applyFill="1" applyBorder="1" applyAlignment="1">
      <alignment vertical="center"/>
    </xf>
    <xf numFmtId="1" fontId="0" fillId="17" borderId="1" xfId="0" applyNumberFormat="1" applyFill="1" applyBorder="1" applyAlignment="1">
      <alignment horizontal="center" vertical="center" wrapText="1"/>
    </xf>
    <xf numFmtId="0" fontId="0" fillId="17" borderId="0" xfId="0" applyFill="1"/>
    <xf numFmtId="0" fontId="14" fillId="0" borderId="4" xfId="0" applyFont="1" applyBorder="1" applyAlignment="1">
      <alignment horizontal="center"/>
    </xf>
    <xf numFmtId="0" fontId="14" fillId="0" borderId="5" xfId="0" applyFont="1" applyBorder="1" applyAlignment="1">
      <alignment horizontal="center"/>
    </xf>
    <xf numFmtId="0" fontId="0" fillId="0" borderId="20" xfId="0" applyBorder="1" applyAlignment="1">
      <alignment horizontal="center" wrapText="1"/>
    </xf>
    <xf numFmtId="0" fontId="0" fillId="0" borderId="21" xfId="0" applyBorder="1" applyAlignment="1">
      <alignment horizontal="center" wrapText="1"/>
    </xf>
    <xf numFmtId="0" fontId="3" fillId="0" borderId="0" xfId="0" applyFont="1" applyAlignment="1">
      <alignment horizontal="center"/>
    </xf>
    <xf numFmtId="0" fontId="23" fillId="0" borderId="1" xfId="0" applyFont="1" applyBorder="1" applyAlignment="1">
      <alignment horizontal="center"/>
    </xf>
    <xf numFmtId="0" fontId="23" fillId="0" borderId="1" xfId="0" applyFont="1" applyBorder="1" applyAlignment="1">
      <alignment horizontal="left"/>
    </xf>
    <xf numFmtId="22" fontId="22" fillId="14" borderId="25" xfId="0" applyNumberFormat="1" applyFont="1" applyFill="1" applyBorder="1" applyAlignment="1">
      <alignment horizontal="right" vertical="center"/>
    </xf>
    <xf numFmtId="0" fontId="22" fillId="14" borderId="25" xfId="0" applyFont="1" applyFill="1" applyBorder="1" applyAlignment="1">
      <alignment horizontal="right" vertical="center"/>
    </xf>
    <xf numFmtId="0" fontId="22" fillId="14" borderId="22" xfId="0" applyFont="1" applyFill="1" applyBorder="1" applyAlignment="1">
      <alignment horizontal="right" vertical="center"/>
    </xf>
    <xf numFmtId="0" fontId="21" fillId="14" borderId="24" xfId="0" applyFont="1" applyFill="1" applyBorder="1" applyAlignment="1">
      <alignment horizontal="right" vertical="center"/>
    </xf>
    <xf numFmtId="0" fontId="21" fillId="14" borderId="25" xfId="0" applyFont="1" applyFill="1" applyBorder="1" applyAlignment="1">
      <alignment horizontal="right" vertical="center"/>
    </xf>
    <xf numFmtId="0" fontId="22" fillId="14" borderId="24" xfId="0" applyFont="1" applyFill="1" applyBorder="1" applyAlignment="1">
      <alignment horizontal="center"/>
    </xf>
    <xf numFmtId="0" fontId="22" fillId="14" borderId="25" xfId="0" applyFont="1" applyFill="1" applyBorder="1" applyAlignment="1">
      <alignment horizontal="center"/>
    </xf>
    <xf numFmtId="0" fontId="22" fillId="14" borderId="22" xfId="0" applyFont="1" applyFill="1" applyBorder="1" applyAlignment="1">
      <alignment horizontal="center"/>
    </xf>
    <xf numFmtId="169" fontId="24" fillId="17" borderId="1" xfId="0" applyNumberFormat="1" applyFont="1" applyFill="1" applyBorder="1" applyAlignment="1">
      <alignment horizontal="center" vertical="center"/>
    </xf>
    <xf numFmtId="0" fontId="3" fillId="0" borderId="0" xfId="0" applyFont="1" applyAlignment="1">
      <alignment horizontal="right"/>
    </xf>
    <xf numFmtId="0" fontId="0" fillId="0" borderId="1" xfId="0" applyBorder="1" applyAlignment="1">
      <alignment horizontal="center"/>
    </xf>
    <xf numFmtId="0" fontId="3" fillId="0" borderId="0" xfId="0" applyFont="1" applyAlignment="1">
      <alignment horizontal="center" vertical="center" wrapText="1"/>
    </xf>
    <xf numFmtId="0" fontId="3" fillId="0" borderId="0" xfId="0" applyFont="1" applyAlignment="1">
      <alignment horizontal="center" vertical="center"/>
    </xf>
    <xf numFmtId="0" fontId="0" fillId="0" borderId="0" xfId="0" applyAlignment="1">
      <alignment horizontal="center"/>
    </xf>
    <xf numFmtId="0" fontId="25" fillId="0" borderId="1" xfId="0" applyFont="1" applyBorder="1" applyAlignment="1">
      <alignment horizontal="center"/>
    </xf>
    <xf numFmtId="0" fontId="3" fillId="0" borderId="26" xfId="0" applyFont="1" applyBorder="1" applyAlignment="1">
      <alignment horizontal="right"/>
    </xf>
    <xf numFmtId="0" fontId="23" fillId="0" borderId="1" xfId="0" applyFont="1" applyFill="1" applyBorder="1" applyAlignment="1">
      <alignment horizontal="center"/>
    </xf>
    <xf numFmtId="0" fontId="23" fillId="0" borderId="1" xfId="0" applyFont="1" applyFill="1" applyBorder="1" applyAlignment="1">
      <alignment horizontal="center"/>
    </xf>
    <xf numFmtId="0" fontId="23" fillId="0" borderId="1" xfId="0" applyFont="1" applyFill="1" applyBorder="1" applyAlignment="1">
      <alignment horizontal="center" wrapText="1"/>
    </xf>
    <xf numFmtId="14" fontId="23" fillId="0" borderId="1" xfId="0" applyNumberFormat="1" applyFont="1" applyFill="1" applyBorder="1"/>
    <xf numFmtId="14" fontId="23" fillId="0" borderId="1" xfId="0" applyNumberFormat="1" applyFont="1" applyFill="1" applyBorder="1" applyAlignment="1">
      <alignment horizontal="center"/>
    </xf>
    <xf numFmtId="0" fontId="23" fillId="0" borderId="1" xfId="0" applyFont="1" applyFill="1" applyBorder="1" applyAlignment="1">
      <alignment horizontal="left" wrapText="1"/>
    </xf>
    <xf numFmtId="0" fontId="23" fillId="0" borderId="1" xfId="0" applyFont="1" applyFill="1" applyBorder="1" applyAlignment="1">
      <alignment horizontal="left"/>
    </xf>
    <xf numFmtId="14" fontId="0" fillId="0" borderId="1" xfId="0" applyNumberFormat="1" applyFill="1" applyBorder="1"/>
    <xf numFmtId="0" fontId="0" fillId="0" borderId="1" xfId="0" applyFill="1" applyBorder="1" applyAlignment="1">
      <alignment horizontal="center" wrapText="1"/>
    </xf>
    <xf numFmtId="0" fontId="0" fillId="0" borderId="1" xfId="0" applyFill="1" applyBorder="1" applyAlignment="1">
      <alignment horizontal="center"/>
    </xf>
    <xf numFmtId="164" fontId="0" fillId="0" borderId="1" xfId="0" applyNumberFormat="1" applyFill="1" applyBorder="1" applyAlignment="1">
      <alignment horizontal="center"/>
    </xf>
    <xf numFmtId="169" fontId="24" fillId="0" borderId="1" xfId="0" applyNumberFormat="1" applyFont="1" applyFill="1" applyBorder="1" applyAlignment="1">
      <alignment horizontal="center" vertical="center"/>
    </xf>
    <xf numFmtId="0" fontId="0" fillId="0" borderId="0" xfId="0" applyFill="1" applyBorder="1"/>
    <xf numFmtId="0" fontId="3" fillId="0" borderId="0"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applyAlignment="1">
      <alignment horizontal="right"/>
    </xf>
    <xf numFmtId="0" fontId="3" fillId="0" borderId="0" xfId="0" applyFont="1" applyFill="1" applyBorder="1" applyAlignment="1">
      <alignment horizontal="right"/>
    </xf>
    <xf numFmtId="0" fontId="3" fillId="0" borderId="0" xfId="0" applyFont="1" applyFill="1" applyBorder="1" applyAlignment="1">
      <alignment horizontal="center" vertical="center" wrapText="1"/>
    </xf>
    <xf numFmtId="0" fontId="3" fillId="0" borderId="0" xfId="0" applyFont="1" applyFill="1" applyBorder="1" applyAlignment="1">
      <alignment horizontal="center" vertical="center"/>
    </xf>
  </cellXfs>
  <cellStyles count="4">
    <cellStyle name="Millares" xfId="1" builtinId="3"/>
    <cellStyle name="Moneda" xfId="2" builtinId="4"/>
    <cellStyle name="Normal" xfId="0" builtinId="0"/>
    <cellStyle name="Normal 3" xfId="3" xr:uid="{00000000-0005-0000-0000-000003000000}"/>
  </cellStyles>
  <dxfs count="28">
    <dxf>
      <fill>
        <patternFill patternType="none">
          <bgColor auto="1"/>
        </patternFill>
      </fill>
    </dxf>
    <dxf>
      <fill>
        <patternFill>
          <bgColor theme="5" tint="0.39994506668294322"/>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7" tint="0.59996337778862885"/>
        </patternFill>
      </fill>
    </dxf>
    <dxf>
      <fill>
        <patternFill patternType="none">
          <bgColor auto="1"/>
        </patternFill>
      </fill>
    </dxf>
    <dxf>
      <fill>
        <patternFill>
          <bgColor theme="5" tint="0.39994506668294322"/>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7" tint="0.59996337778862885"/>
        </patternFill>
      </fill>
    </dxf>
    <dxf>
      <fill>
        <patternFill patternType="none">
          <bgColor auto="1"/>
        </patternFill>
      </fill>
    </dxf>
    <dxf>
      <fill>
        <patternFill>
          <bgColor theme="5" tint="0.39994506668294322"/>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7" tint="0.59996337778862885"/>
        </patternFill>
      </fill>
    </dxf>
    <dxf>
      <fill>
        <patternFill patternType="none">
          <bgColor auto="1"/>
        </patternFill>
      </fill>
    </dxf>
    <dxf>
      <fill>
        <patternFill>
          <bgColor theme="5" tint="0.39994506668294322"/>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7" tint="0.59996337778862885"/>
        </patternFill>
      </fill>
    </dxf>
    <dxf>
      <fill>
        <patternFill>
          <bgColor theme="9" tint="0.59996337778862885"/>
        </patternFill>
      </fill>
    </dxf>
    <dxf>
      <fill>
        <patternFill>
          <bgColor theme="9" tint="0.59996337778862885"/>
        </patternFill>
      </fill>
    </dxf>
    <dxf>
      <fill>
        <patternFill>
          <bgColor rgb="FF00B0F0"/>
        </patternFill>
      </fill>
    </dxf>
    <dxf>
      <fill>
        <patternFill>
          <bgColor theme="8" tint="0.59996337778862885"/>
        </patternFill>
      </fill>
    </dxf>
  </dxfs>
  <tableStyles count="0" defaultTableStyle="TableStyleMedium2" defaultPivotStyle="PivotStyleLight16"/>
  <colors>
    <mruColors>
      <color rgb="FFFB8875"/>
      <color rgb="FFFEBBAE"/>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worksheet" Target="worksheets/sheet14.xml"/><Relationship Id="rId10" Type="http://schemas.openxmlformats.org/officeDocument/2006/relationships/chartsheet" Target="chartsheets/sheet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JUNIO!$A$1</c:f>
              <c:strCache>
                <c:ptCount val="1"/>
                <c:pt idx="0">
                  <c:v>AÑO</c:v>
                </c:pt>
              </c:strCache>
            </c:strRef>
          </c:tx>
          <c:spPr>
            <a:solidFill>
              <a:schemeClr val="accent1"/>
            </a:solidFill>
            <a:ln>
              <a:noFill/>
            </a:ln>
            <a:effectLst/>
          </c:spPr>
          <c:invertIfNegative val="0"/>
          <c:val>
            <c:numRef>
              <c:f>JUNIO!$A$2:$A$109</c:f>
              <c:numCache>
                <c:formatCode>General</c:formatCode>
                <c:ptCount val="108"/>
                <c:pt idx="0">
                  <c:v>2025</c:v>
                </c:pt>
                <c:pt idx="1">
                  <c:v>2025</c:v>
                </c:pt>
                <c:pt idx="2">
                  <c:v>2025</c:v>
                </c:pt>
                <c:pt idx="3">
                  <c:v>2025</c:v>
                </c:pt>
                <c:pt idx="4">
                  <c:v>2025</c:v>
                </c:pt>
                <c:pt idx="5">
                  <c:v>2025</c:v>
                </c:pt>
                <c:pt idx="6">
                  <c:v>2025</c:v>
                </c:pt>
                <c:pt idx="7">
                  <c:v>2025</c:v>
                </c:pt>
                <c:pt idx="8">
                  <c:v>2025</c:v>
                </c:pt>
                <c:pt idx="9">
                  <c:v>2025</c:v>
                </c:pt>
                <c:pt idx="10">
                  <c:v>2025</c:v>
                </c:pt>
                <c:pt idx="11">
                  <c:v>2025</c:v>
                </c:pt>
                <c:pt idx="12">
                  <c:v>2025</c:v>
                </c:pt>
                <c:pt idx="13">
                  <c:v>2025</c:v>
                </c:pt>
                <c:pt idx="14">
                  <c:v>2025</c:v>
                </c:pt>
                <c:pt idx="15">
                  <c:v>2025</c:v>
                </c:pt>
                <c:pt idx="16">
                  <c:v>2025</c:v>
                </c:pt>
                <c:pt idx="17">
                  <c:v>2025</c:v>
                </c:pt>
                <c:pt idx="18">
                  <c:v>2025</c:v>
                </c:pt>
                <c:pt idx="19">
                  <c:v>2025</c:v>
                </c:pt>
                <c:pt idx="20">
                  <c:v>2025</c:v>
                </c:pt>
                <c:pt idx="21">
                  <c:v>2025</c:v>
                </c:pt>
                <c:pt idx="22">
                  <c:v>2025</c:v>
                </c:pt>
                <c:pt idx="23">
                  <c:v>2025</c:v>
                </c:pt>
                <c:pt idx="24">
                  <c:v>2025</c:v>
                </c:pt>
                <c:pt idx="25">
                  <c:v>2025</c:v>
                </c:pt>
                <c:pt idx="26">
                  <c:v>2025</c:v>
                </c:pt>
                <c:pt idx="27">
                  <c:v>2025</c:v>
                </c:pt>
                <c:pt idx="28">
                  <c:v>2025</c:v>
                </c:pt>
                <c:pt idx="29">
                  <c:v>2025</c:v>
                </c:pt>
                <c:pt idx="30">
                  <c:v>2025</c:v>
                </c:pt>
                <c:pt idx="31">
                  <c:v>2025</c:v>
                </c:pt>
                <c:pt idx="32">
                  <c:v>2025</c:v>
                </c:pt>
                <c:pt idx="33">
                  <c:v>2025</c:v>
                </c:pt>
                <c:pt idx="34">
                  <c:v>2025</c:v>
                </c:pt>
                <c:pt idx="35">
                  <c:v>2025</c:v>
                </c:pt>
                <c:pt idx="36">
                  <c:v>2025</c:v>
                </c:pt>
                <c:pt idx="37">
                  <c:v>2025</c:v>
                </c:pt>
                <c:pt idx="38">
                  <c:v>2025</c:v>
                </c:pt>
                <c:pt idx="39">
                  <c:v>2025</c:v>
                </c:pt>
                <c:pt idx="40">
                  <c:v>2025</c:v>
                </c:pt>
                <c:pt idx="41">
                  <c:v>2025</c:v>
                </c:pt>
                <c:pt idx="42">
                  <c:v>2025</c:v>
                </c:pt>
                <c:pt idx="43">
                  <c:v>2025</c:v>
                </c:pt>
                <c:pt idx="44">
                  <c:v>2025</c:v>
                </c:pt>
                <c:pt idx="45">
                  <c:v>2025</c:v>
                </c:pt>
                <c:pt idx="46">
                  <c:v>2025</c:v>
                </c:pt>
                <c:pt idx="47">
                  <c:v>2025</c:v>
                </c:pt>
                <c:pt idx="48">
                  <c:v>2025</c:v>
                </c:pt>
                <c:pt idx="49">
                  <c:v>2025</c:v>
                </c:pt>
                <c:pt idx="50">
                  <c:v>2025</c:v>
                </c:pt>
                <c:pt idx="51">
                  <c:v>2025</c:v>
                </c:pt>
                <c:pt idx="52">
                  <c:v>2025</c:v>
                </c:pt>
                <c:pt idx="53">
                  <c:v>2025</c:v>
                </c:pt>
                <c:pt idx="54">
                  <c:v>2025</c:v>
                </c:pt>
                <c:pt idx="55">
                  <c:v>2025</c:v>
                </c:pt>
                <c:pt idx="56">
                  <c:v>2025</c:v>
                </c:pt>
                <c:pt idx="57">
                  <c:v>2025</c:v>
                </c:pt>
                <c:pt idx="58">
                  <c:v>2025</c:v>
                </c:pt>
                <c:pt idx="59">
                  <c:v>2025</c:v>
                </c:pt>
                <c:pt idx="60">
                  <c:v>2025</c:v>
                </c:pt>
                <c:pt idx="61">
                  <c:v>2025</c:v>
                </c:pt>
                <c:pt idx="62">
                  <c:v>2025</c:v>
                </c:pt>
                <c:pt idx="63">
                  <c:v>2025</c:v>
                </c:pt>
                <c:pt idx="64">
                  <c:v>2025</c:v>
                </c:pt>
                <c:pt idx="65">
                  <c:v>2025</c:v>
                </c:pt>
                <c:pt idx="66">
                  <c:v>2025</c:v>
                </c:pt>
                <c:pt idx="67">
                  <c:v>2025</c:v>
                </c:pt>
                <c:pt idx="68">
                  <c:v>2025</c:v>
                </c:pt>
                <c:pt idx="69">
                  <c:v>2025</c:v>
                </c:pt>
                <c:pt idx="70">
                  <c:v>2025</c:v>
                </c:pt>
                <c:pt idx="71">
                  <c:v>2025</c:v>
                </c:pt>
                <c:pt idx="72">
                  <c:v>2025</c:v>
                </c:pt>
                <c:pt idx="73">
                  <c:v>2025</c:v>
                </c:pt>
                <c:pt idx="74">
                  <c:v>2025</c:v>
                </c:pt>
                <c:pt idx="75">
                  <c:v>2025</c:v>
                </c:pt>
                <c:pt idx="76">
                  <c:v>2025</c:v>
                </c:pt>
                <c:pt idx="77">
                  <c:v>2025</c:v>
                </c:pt>
                <c:pt idx="78">
                  <c:v>2025</c:v>
                </c:pt>
                <c:pt idx="79">
                  <c:v>2025</c:v>
                </c:pt>
                <c:pt idx="80">
                  <c:v>2025</c:v>
                </c:pt>
                <c:pt idx="81">
                  <c:v>2025</c:v>
                </c:pt>
                <c:pt idx="82">
                  <c:v>2025</c:v>
                </c:pt>
                <c:pt idx="83">
                  <c:v>2025</c:v>
                </c:pt>
                <c:pt idx="84">
                  <c:v>2025</c:v>
                </c:pt>
                <c:pt idx="85">
                  <c:v>2025</c:v>
                </c:pt>
                <c:pt idx="86">
                  <c:v>2025</c:v>
                </c:pt>
                <c:pt idx="87">
                  <c:v>2025</c:v>
                </c:pt>
                <c:pt idx="88">
                  <c:v>2025</c:v>
                </c:pt>
                <c:pt idx="89">
                  <c:v>2025</c:v>
                </c:pt>
                <c:pt idx="90">
                  <c:v>2025</c:v>
                </c:pt>
                <c:pt idx="91">
                  <c:v>2025</c:v>
                </c:pt>
                <c:pt idx="92">
                  <c:v>2025</c:v>
                </c:pt>
                <c:pt idx="93">
                  <c:v>2025</c:v>
                </c:pt>
                <c:pt idx="94">
                  <c:v>2025</c:v>
                </c:pt>
                <c:pt idx="95">
                  <c:v>2025</c:v>
                </c:pt>
                <c:pt idx="96">
                  <c:v>2025</c:v>
                </c:pt>
                <c:pt idx="97">
                  <c:v>2025</c:v>
                </c:pt>
                <c:pt idx="98">
                  <c:v>2025</c:v>
                </c:pt>
                <c:pt idx="99">
                  <c:v>2025</c:v>
                </c:pt>
                <c:pt idx="100">
                  <c:v>2025</c:v>
                </c:pt>
                <c:pt idx="101">
                  <c:v>2025</c:v>
                </c:pt>
                <c:pt idx="102">
                  <c:v>2025</c:v>
                </c:pt>
                <c:pt idx="103">
                  <c:v>2025</c:v>
                </c:pt>
                <c:pt idx="104">
                  <c:v>2025</c:v>
                </c:pt>
                <c:pt idx="105">
                  <c:v>2025</c:v>
                </c:pt>
                <c:pt idx="106">
                  <c:v>2025</c:v>
                </c:pt>
                <c:pt idx="107">
                  <c:v>2025</c:v>
                </c:pt>
              </c:numCache>
            </c:numRef>
          </c:val>
          <c:extLst>
            <c:ext xmlns:c16="http://schemas.microsoft.com/office/drawing/2014/chart" uri="{C3380CC4-5D6E-409C-BE32-E72D297353CC}">
              <c16:uniqueId val="{00000000-E202-4AED-9199-3EBE56CAA23C}"/>
            </c:ext>
          </c:extLst>
        </c:ser>
        <c:ser>
          <c:idx val="1"/>
          <c:order val="1"/>
          <c:tx>
            <c:strRef>
              <c:f>JUNIO!$B$1</c:f>
              <c:strCache>
                <c:ptCount val="1"/>
                <c:pt idx="0">
                  <c:v>MES</c:v>
                </c:pt>
              </c:strCache>
            </c:strRef>
          </c:tx>
          <c:spPr>
            <a:solidFill>
              <a:schemeClr val="accent2"/>
            </a:solidFill>
            <a:ln>
              <a:noFill/>
            </a:ln>
            <a:effectLst/>
          </c:spPr>
          <c:invertIfNegative val="0"/>
          <c:val>
            <c:numRef>
              <c:f>JUNIO!$B$2:$B$109</c:f>
              <c:numCache>
                <c:formatCode>General</c:formatCode>
                <c:ptCount val="108"/>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pt idx="56">
                  <c:v>6</c:v>
                </c:pt>
                <c:pt idx="57">
                  <c:v>6</c:v>
                </c:pt>
                <c:pt idx="58">
                  <c:v>6</c:v>
                </c:pt>
                <c:pt idx="59">
                  <c:v>6</c:v>
                </c:pt>
                <c:pt idx="60">
                  <c:v>6</c:v>
                </c:pt>
                <c:pt idx="61">
                  <c:v>6</c:v>
                </c:pt>
                <c:pt idx="62">
                  <c:v>6</c:v>
                </c:pt>
                <c:pt idx="63">
                  <c:v>6</c:v>
                </c:pt>
                <c:pt idx="64">
                  <c:v>6</c:v>
                </c:pt>
                <c:pt idx="65">
                  <c:v>6</c:v>
                </c:pt>
                <c:pt idx="66">
                  <c:v>6</c:v>
                </c:pt>
                <c:pt idx="67">
                  <c:v>6</c:v>
                </c:pt>
                <c:pt idx="68">
                  <c:v>6</c:v>
                </c:pt>
                <c:pt idx="69">
                  <c:v>6</c:v>
                </c:pt>
                <c:pt idx="70">
                  <c:v>6</c:v>
                </c:pt>
                <c:pt idx="71">
                  <c:v>6</c:v>
                </c:pt>
                <c:pt idx="72">
                  <c:v>6</c:v>
                </c:pt>
                <c:pt idx="73">
                  <c:v>6</c:v>
                </c:pt>
                <c:pt idx="74">
                  <c:v>6</c:v>
                </c:pt>
                <c:pt idx="75">
                  <c:v>6</c:v>
                </c:pt>
                <c:pt idx="76">
                  <c:v>6</c:v>
                </c:pt>
                <c:pt idx="77">
                  <c:v>6</c:v>
                </c:pt>
                <c:pt idx="78">
                  <c:v>6</c:v>
                </c:pt>
                <c:pt idx="79">
                  <c:v>6</c:v>
                </c:pt>
                <c:pt idx="80">
                  <c:v>6</c:v>
                </c:pt>
                <c:pt idx="81">
                  <c:v>6</c:v>
                </c:pt>
                <c:pt idx="82">
                  <c:v>6</c:v>
                </c:pt>
                <c:pt idx="83">
                  <c:v>6</c:v>
                </c:pt>
                <c:pt idx="84">
                  <c:v>6</c:v>
                </c:pt>
                <c:pt idx="85">
                  <c:v>6</c:v>
                </c:pt>
                <c:pt idx="86">
                  <c:v>6</c:v>
                </c:pt>
                <c:pt idx="87">
                  <c:v>6</c:v>
                </c:pt>
                <c:pt idx="88">
                  <c:v>6</c:v>
                </c:pt>
                <c:pt idx="89">
                  <c:v>6</c:v>
                </c:pt>
                <c:pt idx="90">
                  <c:v>6</c:v>
                </c:pt>
                <c:pt idx="91">
                  <c:v>6</c:v>
                </c:pt>
                <c:pt idx="92">
                  <c:v>6</c:v>
                </c:pt>
                <c:pt idx="93">
                  <c:v>6</c:v>
                </c:pt>
                <c:pt idx="94">
                  <c:v>6</c:v>
                </c:pt>
                <c:pt idx="95">
                  <c:v>6</c:v>
                </c:pt>
                <c:pt idx="96">
                  <c:v>6</c:v>
                </c:pt>
                <c:pt idx="97">
                  <c:v>6</c:v>
                </c:pt>
                <c:pt idx="98">
                  <c:v>6</c:v>
                </c:pt>
                <c:pt idx="99">
                  <c:v>6</c:v>
                </c:pt>
                <c:pt idx="100">
                  <c:v>6</c:v>
                </c:pt>
                <c:pt idx="101">
                  <c:v>6</c:v>
                </c:pt>
                <c:pt idx="102">
                  <c:v>6</c:v>
                </c:pt>
                <c:pt idx="103">
                  <c:v>6</c:v>
                </c:pt>
                <c:pt idx="104">
                  <c:v>6</c:v>
                </c:pt>
                <c:pt idx="105">
                  <c:v>6</c:v>
                </c:pt>
                <c:pt idx="106">
                  <c:v>6</c:v>
                </c:pt>
                <c:pt idx="107">
                  <c:v>6</c:v>
                </c:pt>
              </c:numCache>
            </c:numRef>
          </c:val>
          <c:extLst>
            <c:ext xmlns:c16="http://schemas.microsoft.com/office/drawing/2014/chart" uri="{C3380CC4-5D6E-409C-BE32-E72D297353CC}">
              <c16:uniqueId val="{00000001-E202-4AED-9199-3EBE56CAA23C}"/>
            </c:ext>
          </c:extLst>
        </c:ser>
        <c:ser>
          <c:idx val="2"/>
          <c:order val="2"/>
          <c:tx>
            <c:strRef>
              <c:f>JUNIO!$C$1</c:f>
              <c:strCache>
                <c:ptCount val="1"/>
                <c:pt idx="0">
                  <c:v>ODP</c:v>
                </c:pt>
              </c:strCache>
            </c:strRef>
          </c:tx>
          <c:spPr>
            <a:solidFill>
              <a:schemeClr val="accent3"/>
            </a:solidFill>
            <a:ln>
              <a:noFill/>
            </a:ln>
            <a:effectLst/>
          </c:spPr>
          <c:invertIfNegative val="0"/>
          <c:val>
            <c:numRef>
              <c:f>JUNIO!$C$2:$C$109</c:f>
              <c:numCache>
                <c:formatCode>General</c:formatCode>
                <c:ptCount val="108"/>
                <c:pt idx="0">
                  <c:v>22716</c:v>
                </c:pt>
                <c:pt idx="1">
                  <c:v>22717</c:v>
                </c:pt>
                <c:pt idx="2">
                  <c:v>22718</c:v>
                </c:pt>
                <c:pt idx="3">
                  <c:v>22719</c:v>
                </c:pt>
                <c:pt idx="4">
                  <c:v>22720</c:v>
                </c:pt>
                <c:pt idx="5">
                  <c:v>22721</c:v>
                </c:pt>
                <c:pt idx="6">
                  <c:v>22722</c:v>
                </c:pt>
                <c:pt idx="7">
                  <c:v>22723</c:v>
                </c:pt>
                <c:pt idx="8">
                  <c:v>22724</c:v>
                </c:pt>
                <c:pt idx="9">
                  <c:v>22725</c:v>
                </c:pt>
                <c:pt idx="10">
                  <c:v>22726</c:v>
                </c:pt>
                <c:pt idx="11">
                  <c:v>22727</c:v>
                </c:pt>
                <c:pt idx="12">
                  <c:v>22728</c:v>
                </c:pt>
                <c:pt idx="13">
                  <c:v>22729</c:v>
                </c:pt>
                <c:pt idx="14">
                  <c:v>22730</c:v>
                </c:pt>
                <c:pt idx="15">
                  <c:v>22731</c:v>
                </c:pt>
                <c:pt idx="16">
                  <c:v>22732</c:v>
                </c:pt>
                <c:pt idx="17">
                  <c:v>22733</c:v>
                </c:pt>
                <c:pt idx="18">
                  <c:v>22734</c:v>
                </c:pt>
                <c:pt idx="19">
                  <c:v>22735</c:v>
                </c:pt>
                <c:pt idx="20">
                  <c:v>22736</c:v>
                </c:pt>
                <c:pt idx="21">
                  <c:v>22737</c:v>
                </c:pt>
                <c:pt idx="22">
                  <c:v>22738</c:v>
                </c:pt>
                <c:pt idx="23">
                  <c:v>22739</c:v>
                </c:pt>
                <c:pt idx="24">
                  <c:v>22740</c:v>
                </c:pt>
                <c:pt idx="25">
                  <c:v>22741</c:v>
                </c:pt>
                <c:pt idx="26">
                  <c:v>22742</c:v>
                </c:pt>
                <c:pt idx="27">
                  <c:v>22743</c:v>
                </c:pt>
                <c:pt idx="28">
                  <c:v>22744</c:v>
                </c:pt>
                <c:pt idx="29">
                  <c:v>22745</c:v>
                </c:pt>
                <c:pt idx="30">
                  <c:v>22746</c:v>
                </c:pt>
                <c:pt idx="31">
                  <c:v>22747</c:v>
                </c:pt>
                <c:pt idx="32">
                  <c:v>22748</c:v>
                </c:pt>
                <c:pt idx="33">
                  <c:v>22749</c:v>
                </c:pt>
                <c:pt idx="34">
                  <c:v>22750</c:v>
                </c:pt>
                <c:pt idx="35">
                  <c:v>22751</c:v>
                </c:pt>
                <c:pt idx="36">
                  <c:v>22752</c:v>
                </c:pt>
                <c:pt idx="37">
                  <c:v>22753</c:v>
                </c:pt>
                <c:pt idx="38">
                  <c:v>22754</c:v>
                </c:pt>
                <c:pt idx="39">
                  <c:v>22755</c:v>
                </c:pt>
                <c:pt idx="40">
                  <c:v>22756</c:v>
                </c:pt>
                <c:pt idx="41">
                  <c:v>22757</c:v>
                </c:pt>
                <c:pt idx="42">
                  <c:v>22758</c:v>
                </c:pt>
                <c:pt idx="43">
                  <c:v>22759</c:v>
                </c:pt>
                <c:pt idx="44">
                  <c:v>22760</c:v>
                </c:pt>
                <c:pt idx="45">
                  <c:v>22761</c:v>
                </c:pt>
                <c:pt idx="46">
                  <c:v>22762</c:v>
                </c:pt>
                <c:pt idx="47">
                  <c:v>22763</c:v>
                </c:pt>
                <c:pt idx="48">
                  <c:v>22764</c:v>
                </c:pt>
                <c:pt idx="49">
                  <c:v>22765</c:v>
                </c:pt>
                <c:pt idx="50">
                  <c:v>22766</c:v>
                </c:pt>
                <c:pt idx="51">
                  <c:v>22767</c:v>
                </c:pt>
                <c:pt idx="52">
                  <c:v>22768</c:v>
                </c:pt>
                <c:pt idx="53">
                  <c:v>22769</c:v>
                </c:pt>
                <c:pt idx="54">
                  <c:v>22770</c:v>
                </c:pt>
                <c:pt idx="55">
                  <c:v>22771</c:v>
                </c:pt>
                <c:pt idx="56">
                  <c:v>22772</c:v>
                </c:pt>
                <c:pt idx="57">
                  <c:v>22773</c:v>
                </c:pt>
                <c:pt idx="58">
                  <c:v>22774</c:v>
                </c:pt>
                <c:pt idx="59">
                  <c:v>22775</c:v>
                </c:pt>
                <c:pt idx="60">
                  <c:v>22776</c:v>
                </c:pt>
                <c:pt idx="61">
                  <c:v>22777</c:v>
                </c:pt>
                <c:pt idx="62">
                  <c:v>22778</c:v>
                </c:pt>
                <c:pt idx="63">
                  <c:v>22779</c:v>
                </c:pt>
                <c:pt idx="64">
                  <c:v>22780</c:v>
                </c:pt>
                <c:pt idx="65">
                  <c:v>22781</c:v>
                </c:pt>
                <c:pt idx="66">
                  <c:v>22782</c:v>
                </c:pt>
                <c:pt idx="67">
                  <c:v>22783</c:v>
                </c:pt>
                <c:pt idx="68">
                  <c:v>22784</c:v>
                </c:pt>
                <c:pt idx="69">
                  <c:v>22785</c:v>
                </c:pt>
                <c:pt idx="70">
                  <c:v>22786</c:v>
                </c:pt>
                <c:pt idx="71">
                  <c:v>22787</c:v>
                </c:pt>
                <c:pt idx="72">
                  <c:v>22788</c:v>
                </c:pt>
                <c:pt idx="73">
                  <c:v>22789</c:v>
                </c:pt>
                <c:pt idx="74">
                  <c:v>22790</c:v>
                </c:pt>
                <c:pt idx="75">
                  <c:v>22791</c:v>
                </c:pt>
                <c:pt idx="76">
                  <c:v>22792</c:v>
                </c:pt>
                <c:pt idx="77">
                  <c:v>22793</c:v>
                </c:pt>
                <c:pt idx="78">
                  <c:v>22794</c:v>
                </c:pt>
                <c:pt idx="79">
                  <c:v>22795</c:v>
                </c:pt>
                <c:pt idx="80">
                  <c:v>22796</c:v>
                </c:pt>
                <c:pt idx="81">
                  <c:v>22797</c:v>
                </c:pt>
                <c:pt idx="82">
                  <c:v>22798</c:v>
                </c:pt>
                <c:pt idx="83">
                  <c:v>22799</c:v>
                </c:pt>
                <c:pt idx="84">
                  <c:v>22800</c:v>
                </c:pt>
                <c:pt idx="85">
                  <c:v>22801</c:v>
                </c:pt>
                <c:pt idx="86">
                  <c:v>22802</c:v>
                </c:pt>
                <c:pt idx="87">
                  <c:v>22803</c:v>
                </c:pt>
                <c:pt idx="88">
                  <c:v>22804</c:v>
                </c:pt>
                <c:pt idx="89">
                  <c:v>22805</c:v>
                </c:pt>
                <c:pt idx="90">
                  <c:v>22806</c:v>
                </c:pt>
                <c:pt idx="91">
                  <c:v>22807</c:v>
                </c:pt>
                <c:pt idx="92">
                  <c:v>22808</c:v>
                </c:pt>
                <c:pt idx="93">
                  <c:v>22809</c:v>
                </c:pt>
                <c:pt idx="94">
                  <c:v>22810</c:v>
                </c:pt>
                <c:pt idx="95">
                  <c:v>22811</c:v>
                </c:pt>
                <c:pt idx="96">
                  <c:v>22812</c:v>
                </c:pt>
                <c:pt idx="97">
                  <c:v>22813</c:v>
                </c:pt>
                <c:pt idx="98">
                  <c:v>22814</c:v>
                </c:pt>
                <c:pt idx="99">
                  <c:v>22815</c:v>
                </c:pt>
                <c:pt idx="100">
                  <c:v>22816</c:v>
                </c:pt>
                <c:pt idx="101">
                  <c:v>22817</c:v>
                </c:pt>
                <c:pt idx="102">
                  <c:v>22818</c:v>
                </c:pt>
                <c:pt idx="103">
                  <c:v>22819</c:v>
                </c:pt>
                <c:pt idx="104">
                  <c:v>22820</c:v>
                </c:pt>
                <c:pt idx="105">
                  <c:v>22821</c:v>
                </c:pt>
                <c:pt idx="106">
                  <c:v>22822</c:v>
                </c:pt>
                <c:pt idx="107">
                  <c:v>22823</c:v>
                </c:pt>
              </c:numCache>
            </c:numRef>
          </c:val>
          <c:extLst>
            <c:ext xmlns:c16="http://schemas.microsoft.com/office/drawing/2014/chart" uri="{C3380CC4-5D6E-409C-BE32-E72D297353CC}">
              <c16:uniqueId val="{00000002-E202-4AED-9199-3EBE56CAA23C}"/>
            </c:ext>
          </c:extLst>
        </c:ser>
        <c:ser>
          <c:idx val="3"/>
          <c:order val="3"/>
          <c:tx>
            <c:strRef>
              <c:f>JUNIO!$D$1</c:f>
              <c:strCache>
                <c:ptCount val="1"/>
                <c:pt idx="0">
                  <c:v>FECHA DE TOMA DE PEDIDO</c:v>
                </c:pt>
              </c:strCache>
            </c:strRef>
          </c:tx>
          <c:spPr>
            <a:solidFill>
              <a:schemeClr val="accent4"/>
            </a:solidFill>
            <a:ln>
              <a:noFill/>
            </a:ln>
            <a:effectLst/>
          </c:spPr>
          <c:invertIfNegative val="0"/>
          <c:val>
            <c:numRef>
              <c:f>JUNIO!$D$2:$D$109</c:f>
              <c:numCache>
                <c:formatCode>d\-mmm\-yy</c:formatCode>
                <c:ptCount val="108"/>
                <c:pt idx="0">
                  <c:v>45811</c:v>
                </c:pt>
                <c:pt idx="1">
                  <c:v>45813</c:v>
                </c:pt>
                <c:pt idx="2">
                  <c:v>45811</c:v>
                </c:pt>
                <c:pt idx="3">
                  <c:v>45811</c:v>
                </c:pt>
                <c:pt idx="4">
                  <c:v>45812</c:v>
                </c:pt>
                <c:pt idx="5">
                  <c:v>45811</c:v>
                </c:pt>
                <c:pt idx="6">
                  <c:v>45811</c:v>
                </c:pt>
                <c:pt idx="7">
                  <c:v>45814</c:v>
                </c:pt>
                <c:pt idx="8">
                  <c:v>45818</c:v>
                </c:pt>
                <c:pt idx="9">
                  <c:v>45814</c:v>
                </c:pt>
                <c:pt idx="10">
                  <c:v>45812</c:v>
                </c:pt>
                <c:pt idx="11">
                  <c:v>45813</c:v>
                </c:pt>
                <c:pt idx="12">
                  <c:v>45813</c:v>
                </c:pt>
                <c:pt idx="13">
                  <c:v>45813</c:v>
                </c:pt>
                <c:pt idx="14" formatCode="m/d/yyyy">
                  <c:v>45814</c:v>
                </c:pt>
                <c:pt idx="15">
                  <c:v>45814</c:v>
                </c:pt>
                <c:pt idx="16">
                  <c:v>45814</c:v>
                </c:pt>
                <c:pt idx="17">
                  <c:v>45814</c:v>
                </c:pt>
                <c:pt idx="18">
                  <c:v>45826</c:v>
                </c:pt>
                <c:pt idx="19">
                  <c:v>45813</c:v>
                </c:pt>
                <c:pt idx="20">
                  <c:v>45814</c:v>
                </c:pt>
                <c:pt idx="21">
                  <c:v>45814</c:v>
                </c:pt>
                <c:pt idx="22">
                  <c:v>45814</c:v>
                </c:pt>
                <c:pt idx="23">
                  <c:v>45814</c:v>
                </c:pt>
                <c:pt idx="24">
                  <c:v>45814</c:v>
                </c:pt>
                <c:pt idx="25">
                  <c:v>45814</c:v>
                </c:pt>
                <c:pt idx="26">
                  <c:v>45824</c:v>
                </c:pt>
                <c:pt idx="27">
                  <c:v>45814</c:v>
                </c:pt>
                <c:pt idx="28">
                  <c:v>45815</c:v>
                </c:pt>
                <c:pt idx="29">
                  <c:v>45815</c:v>
                </c:pt>
                <c:pt idx="30">
                  <c:v>45820</c:v>
                </c:pt>
                <c:pt idx="31">
                  <c:v>45815</c:v>
                </c:pt>
                <c:pt idx="32">
                  <c:v>45819</c:v>
                </c:pt>
                <c:pt idx="33">
                  <c:v>45817</c:v>
                </c:pt>
                <c:pt idx="34">
                  <c:v>45817</c:v>
                </c:pt>
                <c:pt idx="35">
                  <c:v>45817</c:v>
                </c:pt>
                <c:pt idx="36">
                  <c:v>45817</c:v>
                </c:pt>
                <c:pt idx="37">
                  <c:v>45817</c:v>
                </c:pt>
                <c:pt idx="38">
                  <c:v>45818</c:v>
                </c:pt>
                <c:pt idx="39">
                  <c:v>45818</c:v>
                </c:pt>
                <c:pt idx="40">
                  <c:v>45820</c:v>
                </c:pt>
                <c:pt idx="41">
                  <c:v>45819</c:v>
                </c:pt>
                <c:pt idx="42">
                  <c:v>45818</c:v>
                </c:pt>
                <c:pt idx="43">
                  <c:v>45820</c:v>
                </c:pt>
                <c:pt idx="44">
                  <c:v>45819</c:v>
                </c:pt>
                <c:pt idx="45">
                  <c:v>45814</c:v>
                </c:pt>
                <c:pt idx="46">
                  <c:v>45819</c:v>
                </c:pt>
                <c:pt idx="47">
                  <c:v>45819</c:v>
                </c:pt>
                <c:pt idx="48">
                  <c:v>45820</c:v>
                </c:pt>
                <c:pt idx="49">
                  <c:v>45819</c:v>
                </c:pt>
                <c:pt idx="50">
                  <c:v>45819</c:v>
                </c:pt>
                <c:pt idx="51">
                  <c:v>45820</c:v>
                </c:pt>
                <c:pt idx="52">
                  <c:v>45820</c:v>
                </c:pt>
                <c:pt idx="53">
                  <c:v>45820</c:v>
                </c:pt>
                <c:pt idx="54">
                  <c:v>45820</c:v>
                </c:pt>
                <c:pt idx="55">
                  <c:v>45814</c:v>
                </c:pt>
                <c:pt idx="56">
                  <c:v>45820</c:v>
                </c:pt>
                <c:pt idx="57">
                  <c:v>45822</c:v>
                </c:pt>
                <c:pt idx="58">
                  <c:v>45821</c:v>
                </c:pt>
                <c:pt idx="59">
                  <c:v>45821</c:v>
                </c:pt>
                <c:pt idx="60">
                  <c:v>45821</c:v>
                </c:pt>
                <c:pt idx="61">
                  <c:v>45821</c:v>
                </c:pt>
                <c:pt idx="62">
                  <c:v>45822</c:v>
                </c:pt>
                <c:pt idx="63">
                  <c:v>45827</c:v>
                </c:pt>
                <c:pt idx="64">
                  <c:v>45824</c:v>
                </c:pt>
                <c:pt idx="65">
                  <c:v>45786</c:v>
                </c:pt>
                <c:pt idx="66">
                  <c:v>45825</c:v>
                </c:pt>
                <c:pt idx="67" formatCode="m/d/yyyy">
                  <c:v>45825</c:v>
                </c:pt>
                <c:pt idx="68" formatCode="m/d/yyyy">
                  <c:v>45826</c:v>
                </c:pt>
                <c:pt idx="69" formatCode="m/d/yyyy">
                  <c:v>45827</c:v>
                </c:pt>
                <c:pt idx="70" formatCode="m/d/yyyy">
                  <c:v>45827</c:v>
                </c:pt>
                <c:pt idx="71" formatCode="m/d/yyyy">
                  <c:v>45826</c:v>
                </c:pt>
                <c:pt idx="72" formatCode="m/d/yyyy">
                  <c:v>45827</c:v>
                </c:pt>
                <c:pt idx="73" formatCode="m/d/yyyy">
                  <c:v>45827</c:v>
                </c:pt>
                <c:pt idx="74" formatCode="m/d/yyyy">
                  <c:v>45827</c:v>
                </c:pt>
                <c:pt idx="75" formatCode="m/d/yyyy">
                  <c:v>45827</c:v>
                </c:pt>
                <c:pt idx="76" formatCode="m/d/yyyy">
                  <c:v>45825</c:v>
                </c:pt>
                <c:pt idx="77" formatCode="m/d/yyyy">
                  <c:v>45828</c:v>
                </c:pt>
                <c:pt idx="78" formatCode="m/d/yyyy">
                  <c:v>45828</c:v>
                </c:pt>
                <c:pt idx="79" formatCode="m/d/yyyy">
                  <c:v>45828</c:v>
                </c:pt>
                <c:pt idx="80" formatCode="m/d/yyyy">
                  <c:v>45828</c:v>
                </c:pt>
                <c:pt idx="81" formatCode="m/d/yyyy">
                  <c:v>45828</c:v>
                </c:pt>
                <c:pt idx="82" formatCode="m/d/yyyy">
                  <c:v>45829</c:v>
                </c:pt>
                <c:pt idx="83" formatCode="m/d/yyyy">
                  <c:v>45832</c:v>
                </c:pt>
                <c:pt idx="84" formatCode="m/d/yyyy">
                  <c:v>45833</c:v>
                </c:pt>
                <c:pt idx="85" formatCode="m/d/yyyy">
                  <c:v>45833</c:v>
                </c:pt>
                <c:pt idx="86" formatCode="m/d/yyyy">
                  <c:v>45834</c:v>
                </c:pt>
                <c:pt idx="87" formatCode="m/d/yyyy">
                  <c:v>45832</c:v>
                </c:pt>
                <c:pt idx="88" formatCode="m/d/yyyy">
                  <c:v>45833</c:v>
                </c:pt>
                <c:pt idx="89" formatCode="m/d/yyyy">
                  <c:v>45834</c:v>
                </c:pt>
                <c:pt idx="90" formatCode="m/d/yyyy">
                  <c:v>45834</c:v>
                </c:pt>
                <c:pt idx="91" formatCode="m/d/yyyy">
                  <c:v>45834</c:v>
                </c:pt>
                <c:pt idx="92" formatCode="m/d/yyyy">
                  <c:v>45834</c:v>
                </c:pt>
                <c:pt idx="93" formatCode="m/d/yyyy">
                  <c:v>45836</c:v>
                </c:pt>
                <c:pt idx="94" formatCode="m/d/yyyy">
                  <c:v>45835</c:v>
                </c:pt>
                <c:pt idx="95" formatCode="m/d/yyyy">
                  <c:v>45836</c:v>
                </c:pt>
                <c:pt idx="96" formatCode="m/d/yyyy">
                  <c:v>45834</c:v>
                </c:pt>
                <c:pt idx="97" formatCode="m/d/yyyy">
                  <c:v>45834</c:v>
                </c:pt>
                <c:pt idx="98" formatCode="m/d/yyyy">
                  <c:v>45834</c:v>
                </c:pt>
                <c:pt idx="99" formatCode="m/d/yyyy">
                  <c:v>45834</c:v>
                </c:pt>
                <c:pt idx="100" formatCode="m/d/yyyy">
                  <c:v>45834</c:v>
                </c:pt>
                <c:pt idx="101" formatCode="m/d/yyyy">
                  <c:v>45828</c:v>
                </c:pt>
                <c:pt idx="102" formatCode="m/d/yyyy">
                  <c:v>45835</c:v>
                </c:pt>
                <c:pt idx="103" formatCode="m/d/yyyy">
                  <c:v>45839</c:v>
                </c:pt>
                <c:pt idx="104" formatCode="m/d/yyyy">
                  <c:v>45839</c:v>
                </c:pt>
                <c:pt idx="105" formatCode="m/d/yyyy">
                  <c:v>45835</c:v>
                </c:pt>
                <c:pt idx="106" formatCode="m/d/yyyy">
                  <c:v>45835</c:v>
                </c:pt>
                <c:pt idx="107" formatCode="m/d/yyyy">
                  <c:v>45836</c:v>
                </c:pt>
              </c:numCache>
            </c:numRef>
          </c:val>
          <c:extLst>
            <c:ext xmlns:c16="http://schemas.microsoft.com/office/drawing/2014/chart" uri="{C3380CC4-5D6E-409C-BE32-E72D297353CC}">
              <c16:uniqueId val="{00000003-E202-4AED-9199-3EBE56CAA23C}"/>
            </c:ext>
          </c:extLst>
        </c:ser>
        <c:ser>
          <c:idx val="4"/>
          <c:order val="4"/>
          <c:tx>
            <c:strRef>
              <c:f>JUNIO!$E$1</c:f>
              <c:strCache>
                <c:ptCount val="1"/>
                <c:pt idx="0">
                  <c:v>CLIENTE</c:v>
                </c:pt>
              </c:strCache>
            </c:strRef>
          </c:tx>
          <c:spPr>
            <a:solidFill>
              <a:schemeClr val="accent5"/>
            </a:solidFill>
            <a:ln>
              <a:noFill/>
            </a:ln>
            <a:effectLst/>
          </c:spPr>
          <c:invertIfNegative val="0"/>
          <c:val>
            <c:numRef>
              <c:f>JUNIO!$E$2:$E$109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4-E202-4AED-9199-3EBE56CAA23C}"/>
            </c:ext>
          </c:extLst>
        </c:ser>
        <c:ser>
          <c:idx val="5"/>
          <c:order val="5"/>
          <c:tx>
            <c:strRef>
              <c:f>JUNIO!$F$1</c:f>
              <c:strCache>
                <c:ptCount val="1"/>
                <c:pt idx="0">
                  <c:v>CONTACTO</c:v>
                </c:pt>
              </c:strCache>
            </c:strRef>
          </c:tx>
          <c:spPr>
            <a:solidFill>
              <a:schemeClr val="accent6"/>
            </a:solidFill>
            <a:ln>
              <a:noFill/>
            </a:ln>
            <a:effectLst/>
          </c:spPr>
          <c:invertIfNegative val="0"/>
          <c:val>
            <c:numRef>
              <c:f>JUNIO!$F$2:$F$109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1">
                  <c:v>0</c:v>
                </c:pt>
                <c:pt idx="32">
                  <c:v>0</c:v>
                </c:pt>
                <c:pt idx="33">
                  <c:v>0</c:v>
                </c:pt>
                <c:pt idx="34">
                  <c:v>0</c:v>
                </c:pt>
                <c:pt idx="35">
                  <c:v>0</c:v>
                </c:pt>
                <c:pt idx="36">
                  <c:v>0</c:v>
                </c:pt>
                <c:pt idx="37">
                  <c:v>0</c:v>
                </c:pt>
                <c:pt idx="38">
                  <c:v>0</c:v>
                </c:pt>
                <c:pt idx="39">
                  <c:v>0</c:v>
                </c:pt>
                <c:pt idx="40">
                  <c:v>0</c:v>
                </c:pt>
                <c:pt idx="41">
                  <c:v>0</c:v>
                </c:pt>
                <c:pt idx="42">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5-E202-4AED-9199-3EBE56CAA23C}"/>
            </c:ext>
          </c:extLst>
        </c:ser>
        <c:ser>
          <c:idx val="6"/>
          <c:order val="6"/>
          <c:tx>
            <c:strRef>
              <c:f>JUNIO!$G$1</c:f>
              <c:strCache>
                <c:ptCount val="1"/>
                <c:pt idx="0">
                  <c:v>CARGO DEL CONTACTO</c:v>
                </c:pt>
              </c:strCache>
            </c:strRef>
          </c:tx>
          <c:spPr>
            <a:solidFill>
              <a:schemeClr val="accent1">
                <a:lumMod val="60000"/>
              </a:schemeClr>
            </a:solidFill>
            <a:ln>
              <a:noFill/>
            </a:ln>
            <a:effectLst/>
          </c:spPr>
          <c:invertIfNegative val="0"/>
          <c:val>
            <c:numRef>
              <c:f>JUNIO!$G$2:$G$109</c:f>
              <c:numCache>
                <c:formatCode>General</c:formatCode>
                <c:ptCount val="108"/>
                <c:pt idx="0">
                  <c:v>0</c:v>
                </c:pt>
                <c:pt idx="1">
                  <c:v>0</c:v>
                </c:pt>
                <c:pt idx="2">
                  <c:v>0</c:v>
                </c:pt>
                <c:pt idx="3">
                  <c:v>0</c:v>
                </c:pt>
                <c:pt idx="4">
                  <c:v>0</c:v>
                </c:pt>
                <c:pt idx="6">
                  <c:v>0</c:v>
                </c:pt>
                <c:pt idx="7">
                  <c:v>0</c:v>
                </c:pt>
                <c:pt idx="8">
                  <c:v>0</c:v>
                </c:pt>
                <c:pt idx="9">
                  <c:v>0</c:v>
                </c:pt>
                <c:pt idx="10">
                  <c:v>0</c:v>
                </c:pt>
                <c:pt idx="12">
                  <c:v>0</c:v>
                </c:pt>
                <c:pt idx="13">
                  <c:v>0</c:v>
                </c:pt>
                <c:pt idx="17">
                  <c:v>0</c:v>
                </c:pt>
                <c:pt idx="18">
                  <c:v>0</c:v>
                </c:pt>
                <c:pt idx="19">
                  <c:v>0</c:v>
                </c:pt>
                <c:pt idx="20">
                  <c:v>0</c:v>
                </c:pt>
                <c:pt idx="22">
                  <c:v>0</c:v>
                </c:pt>
                <c:pt idx="23">
                  <c:v>0</c:v>
                </c:pt>
                <c:pt idx="25">
                  <c:v>0</c:v>
                </c:pt>
                <c:pt idx="26">
                  <c:v>0</c:v>
                </c:pt>
                <c:pt idx="28">
                  <c:v>0</c:v>
                </c:pt>
                <c:pt idx="29">
                  <c:v>0</c:v>
                </c:pt>
                <c:pt idx="31">
                  <c:v>0</c:v>
                </c:pt>
                <c:pt idx="32">
                  <c:v>0</c:v>
                </c:pt>
                <c:pt idx="33">
                  <c:v>0</c:v>
                </c:pt>
                <c:pt idx="35">
                  <c:v>0</c:v>
                </c:pt>
                <c:pt idx="36">
                  <c:v>0</c:v>
                </c:pt>
                <c:pt idx="37">
                  <c:v>0</c:v>
                </c:pt>
                <c:pt idx="38">
                  <c:v>0</c:v>
                </c:pt>
                <c:pt idx="39">
                  <c:v>0</c:v>
                </c:pt>
                <c:pt idx="40">
                  <c:v>0</c:v>
                </c:pt>
                <c:pt idx="41">
                  <c:v>0</c:v>
                </c:pt>
                <c:pt idx="42">
                  <c:v>0</c:v>
                </c:pt>
                <c:pt idx="44">
                  <c:v>0</c:v>
                </c:pt>
                <c:pt idx="45">
                  <c:v>0</c:v>
                </c:pt>
                <c:pt idx="47">
                  <c:v>0</c:v>
                </c:pt>
                <c:pt idx="48">
                  <c:v>0</c:v>
                </c:pt>
                <c:pt idx="50">
                  <c:v>0</c:v>
                </c:pt>
                <c:pt idx="51">
                  <c:v>0</c:v>
                </c:pt>
                <c:pt idx="52">
                  <c:v>0</c:v>
                </c:pt>
                <c:pt idx="53">
                  <c:v>0</c:v>
                </c:pt>
                <c:pt idx="54">
                  <c:v>0</c:v>
                </c:pt>
                <c:pt idx="55">
                  <c:v>0</c:v>
                </c:pt>
                <c:pt idx="56">
                  <c:v>0</c:v>
                </c:pt>
                <c:pt idx="57">
                  <c:v>0</c:v>
                </c:pt>
                <c:pt idx="59">
                  <c:v>0</c:v>
                </c:pt>
                <c:pt idx="62">
                  <c:v>0</c:v>
                </c:pt>
                <c:pt idx="63">
                  <c:v>0</c:v>
                </c:pt>
                <c:pt idx="64">
                  <c:v>0</c:v>
                </c:pt>
                <c:pt idx="66">
                  <c:v>0</c:v>
                </c:pt>
                <c:pt idx="67">
                  <c:v>0</c:v>
                </c:pt>
                <c:pt idx="68">
                  <c:v>0</c:v>
                </c:pt>
                <c:pt idx="69">
                  <c:v>0</c:v>
                </c:pt>
                <c:pt idx="70">
                  <c:v>0</c:v>
                </c:pt>
                <c:pt idx="71">
                  <c:v>0</c:v>
                </c:pt>
                <c:pt idx="72">
                  <c:v>0</c:v>
                </c:pt>
                <c:pt idx="73">
                  <c:v>0</c:v>
                </c:pt>
                <c:pt idx="75">
                  <c:v>0</c:v>
                </c:pt>
                <c:pt idx="76">
                  <c:v>0</c:v>
                </c:pt>
                <c:pt idx="79">
                  <c:v>0</c:v>
                </c:pt>
                <c:pt idx="80">
                  <c:v>0</c:v>
                </c:pt>
                <c:pt idx="83">
                  <c:v>0</c:v>
                </c:pt>
                <c:pt idx="84">
                  <c:v>0</c:v>
                </c:pt>
                <c:pt idx="85">
                  <c:v>0</c:v>
                </c:pt>
                <c:pt idx="86">
                  <c:v>0</c:v>
                </c:pt>
                <c:pt idx="88">
                  <c:v>0</c:v>
                </c:pt>
                <c:pt idx="89">
                  <c:v>0</c:v>
                </c:pt>
                <c:pt idx="90">
                  <c:v>0</c:v>
                </c:pt>
                <c:pt idx="91">
                  <c:v>0</c:v>
                </c:pt>
                <c:pt idx="92">
                  <c:v>0</c:v>
                </c:pt>
                <c:pt idx="94">
                  <c:v>0</c:v>
                </c:pt>
                <c:pt idx="95">
                  <c:v>0</c:v>
                </c:pt>
                <c:pt idx="96">
                  <c:v>0</c:v>
                </c:pt>
                <c:pt idx="97">
                  <c:v>0</c:v>
                </c:pt>
                <c:pt idx="98">
                  <c:v>0</c:v>
                </c:pt>
                <c:pt idx="99">
                  <c:v>0</c:v>
                </c:pt>
                <c:pt idx="101">
                  <c:v>0</c:v>
                </c:pt>
                <c:pt idx="103">
                  <c:v>0</c:v>
                </c:pt>
                <c:pt idx="104">
                  <c:v>0</c:v>
                </c:pt>
                <c:pt idx="105">
                  <c:v>0</c:v>
                </c:pt>
                <c:pt idx="107">
                  <c:v>0</c:v>
                </c:pt>
              </c:numCache>
            </c:numRef>
          </c:val>
          <c:extLst>
            <c:ext xmlns:c16="http://schemas.microsoft.com/office/drawing/2014/chart" uri="{C3380CC4-5D6E-409C-BE32-E72D297353CC}">
              <c16:uniqueId val="{00000006-E202-4AED-9199-3EBE56CAA23C}"/>
            </c:ext>
          </c:extLst>
        </c:ser>
        <c:ser>
          <c:idx val="7"/>
          <c:order val="7"/>
          <c:tx>
            <c:strRef>
              <c:f>JUNIO!$H$1</c:f>
              <c:strCache>
                <c:ptCount val="1"/>
                <c:pt idx="0">
                  <c:v>TELEFONO CONTACTO</c:v>
                </c:pt>
              </c:strCache>
            </c:strRef>
          </c:tx>
          <c:spPr>
            <a:solidFill>
              <a:schemeClr val="accent2">
                <a:lumMod val="60000"/>
              </a:schemeClr>
            </a:solidFill>
            <a:ln>
              <a:noFill/>
            </a:ln>
            <a:effectLst/>
          </c:spPr>
          <c:invertIfNegative val="0"/>
          <c:val>
            <c:numRef>
              <c:f>JUNIO!$H$2:$H$109</c:f>
              <c:numCache>
                <c:formatCode>General</c:formatCode>
                <c:ptCount val="108"/>
                <c:pt idx="0">
                  <c:v>3105722235</c:v>
                </c:pt>
                <c:pt idx="1">
                  <c:v>3054666551</c:v>
                </c:pt>
                <c:pt idx="2">
                  <c:v>3206343393</c:v>
                </c:pt>
                <c:pt idx="3">
                  <c:v>3216425669</c:v>
                </c:pt>
                <c:pt idx="4">
                  <c:v>3136509128</c:v>
                </c:pt>
                <c:pt idx="5">
                  <c:v>3502186171</c:v>
                </c:pt>
                <c:pt idx="6">
                  <c:v>3145853742</c:v>
                </c:pt>
                <c:pt idx="7">
                  <c:v>3117538683</c:v>
                </c:pt>
                <c:pt idx="8">
                  <c:v>3006005374</c:v>
                </c:pt>
                <c:pt idx="9">
                  <c:v>3174148439</c:v>
                </c:pt>
                <c:pt idx="10">
                  <c:v>3137372413</c:v>
                </c:pt>
                <c:pt idx="11">
                  <c:v>3016756303</c:v>
                </c:pt>
                <c:pt idx="12">
                  <c:v>3045306051</c:v>
                </c:pt>
                <c:pt idx="13">
                  <c:v>3043468842</c:v>
                </c:pt>
                <c:pt idx="15">
                  <c:v>3132035083</c:v>
                </c:pt>
                <c:pt idx="16">
                  <c:v>3147867866</c:v>
                </c:pt>
                <c:pt idx="17">
                  <c:v>3054065568</c:v>
                </c:pt>
                <c:pt idx="18">
                  <c:v>3143697673</c:v>
                </c:pt>
                <c:pt idx="19">
                  <c:v>3004750546</c:v>
                </c:pt>
                <c:pt idx="20">
                  <c:v>3216425669</c:v>
                </c:pt>
                <c:pt idx="23">
                  <c:v>3218521686</c:v>
                </c:pt>
                <c:pt idx="24">
                  <c:v>3147322538</c:v>
                </c:pt>
                <c:pt idx="25">
                  <c:v>3154529699</c:v>
                </c:pt>
                <c:pt idx="26">
                  <c:v>3232308729</c:v>
                </c:pt>
                <c:pt idx="27">
                  <c:v>3015678095</c:v>
                </c:pt>
                <c:pt idx="28">
                  <c:v>3164496624</c:v>
                </c:pt>
                <c:pt idx="29">
                  <c:v>3223805669</c:v>
                </c:pt>
                <c:pt idx="31">
                  <c:v>3046162165</c:v>
                </c:pt>
                <c:pt idx="32">
                  <c:v>3015287494</c:v>
                </c:pt>
                <c:pt idx="33">
                  <c:v>3174389321</c:v>
                </c:pt>
                <c:pt idx="34">
                  <c:v>3175926625</c:v>
                </c:pt>
                <c:pt idx="35">
                  <c:v>3147802729</c:v>
                </c:pt>
                <c:pt idx="36">
                  <c:v>3147802729</c:v>
                </c:pt>
                <c:pt idx="37">
                  <c:v>3054710113</c:v>
                </c:pt>
                <c:pt idx="38">
                  <c:v>3004657333</c:v>
                </c:pt>
                <c:pt idx="39">
                  <c:v>3007795743</c:v>
                </c:pt>
                <c:pt idx="40">
                  <c:v>3013160905</c:v>
                </c:pt>
                <c:pt idx="41">
                  <c:v>3103950263</c:v>
                </c:pt>
                <c:pt idx="42">
                  <c:v>3014204380</c:v>
                </c:pt>
                <c:pt idx="44">
                  <c:v>3155058222</c:v>
                </c:pt>
                <c:pt idx="45">
                  <c:v>3013703977</c:v>
                </c:pt>
                <c:pt idx="47">
                  <c:v>3245597673</c:v>
                </c:pt>
                <c:pt idx="48">
                  <c:v>3137471373</c:v>
                </c:pt>
                <c:pt idx="49">
                  <c:v>3104476235</c:v>
                </c:pt>
                <c:pt idx="50">
                  <c:v>3128328980</c:v>
                </c:pt>
                <c:pt idx="51">
                  <c:v>3043614682</c:v>
                </c:pt>
                <c:pt idx="52">
                  <c:v>3103728505</c:v>
                </c:pt>
                <c:pt idx="53">
                  <c:v>3103116584</c:v>
                </c:pt>
                <c:pt idx="54">
                  <c:v>3104194750</c:v>
                </c:pt>
                <c:pt idx="55">
                  <c:v>3234535350</c:v>
                </c:pt>
                <c:pt idx="57">
                  <c:v>3007022037</c:v>
                </c:pt>
                <c:pt idx="58">
                  <c:v>3006135322</c:v>
                </c:pt>
                <c:pt idx="59">
                  <c:v>3126685913</c:v>
                </c:pt>
                <c:pt idx="60">
                  <c:v>3186620067</c:v>
                </c:pt>
                <c:pt idx="61">
                  <c:v>3176392675</c:v>
                </c:pt>
                <c:pt idx="62">
                  <c:v>0</c:v>
                </c:pt>
                <c:pt idx="63">
                  <c:v>3104451192</c:v>
                </c:pt>
                <c:pt idx="64">
                  <c:v>3113576251</c:v>
                </c:pt>
                <c:pt idx="65">
                  <c:v>3175029345</c:v>
                </c:pt>
                <c:pt idx="66">
                  <c:v>3154529699</c:v>
                </c:pt>
                <c:pt idx="68">
                  <c:v>3122923392</c:v>
                </c:pt>
                <c:pt idx="69">
                  <c:v>3166024091</c:v>
                </c:pt>
                <c:pt idx="70">
                  <c:v>3166024091</c:v>
                </c:pt>
                <c:pt idx="71">
                  <c:v>3332521553</c:v>
                </c:pt>
                <c:pt idx="72">
                  <c:v>3216425669</c:v>
                </c:pt>
                <c:pt idx="73">
                  <c:v>31105075106</c:v>
                </c:pt>
                <c:pt idx="75">
                  <c:v>3245597673</c:v>
                </c:pt>
                <c:pt idx="76">
                  <c:v>3246477997</c:v>
                </c:pt>
                <c:pt idx="77">
                  <c:v>3045306051</c:v>
                </c:pt>
                <c:pt idx="78">
                  <c:v>3016756303</c:v>
                </c:pt>
                <c:pt idx="79">
                  <c:v>3006194380</c:v>
                </c:pt>
                <c:pt idx="80">
                  <c:v>3104351705</c:v>
                </c:pt>
                <c:pt idx="82">
                  <c:v>3016756303</c:v>
                </c:pt>
                <c:pt idx="83">
                  <c:v>3007057847</c:v>
                </c:pt>
                <c:pt idx="84">
                  <c:v>3136789894</c:v>
                </c:pt>
                <c:pt idx="85">
                  <c:v>3118344221</c:v>
                </c:pt>
                <c:pt idx="86">
                  <c:v>3023550714</c:v>
                </c:pt>
                <c:pt idx="87">
                  <c:v>3105279049</c:v>
                </c:pt>
                <c:pt idx="88">
                  <c:v>0</c:v>
                </c:pt>
                <c:pt idx="89">
                  <c:v>3166707013</c:v>
                </c:pt>
                <c:pt idx="90">
                  <c:v>3162909476</c:v>
                </c:pt>
                <c:pt idx="91">
                  <c:v>3176014020</c:v>
                </c:pt>
                <c:pt idx="92">
                  <c:v>3023998725</c:v>
                </c:pt>
                <c:pt idx="93">
                  <c:v>3103706402</c:v>
                </c:pt>
                <c:pt idx="94">
                  <c:v>31750100735</c:v>
                </c:pt>
                <c:pt idx="95">
                  <c:v>3146823043</c:v>
                </c:pt>
                <c:pt idx="96">
                  <c:v>3154165050</c:v>
                </c:pt>
                <c:pt idx="98">
                  <c:v>3104194750</c:v>
                </c:pt>
                <c:pt idx="99">
                  <c:v>3133370101</c:v>
                </c:pt>
                <c:pt idx="101">
                  <c:v>3104194750</c:v>
                </c:pt>
                <c:pt idx="103">
                  <c:v>3126882859</c:v>
                </c:pt>
                <c:pt idx="104">
                  <c:v>3126882859</c:v>
                </c:pt>
                <c:pt idx="105">
                  <c:v>3137867158</c:v>
                </c:pt>
                <c:pt idx="106">
                  <c:v>3004657333</c:v>
                </c:pt>
                <c:pt idx="107">
                  <c:v>3206699358</c:v>
                </c:pt>
              </c:numCache>
            </c:numRef>
          </c:val>
          <c:extLst>
            <c:ext xmlns:c16="http://schemas.microsoft.com/office/drawing/2014/chart" uri="{C3380CC4-5D6E-409C-BE32-E72D297353CC}">
              <c16:uniqueId val="{00000007-E202-4AED-9199-3EBE56CAA23C}"/>
            </c:ext>
          </c:extLst>
        </c:ser>
        <c:ser>
          <c:idx val="8"/>
          <c:order val="8"/>
          <c:tx>
            <c:strRef>
              <c:f>JUNIO!$I$1</c:f>
              <c:strCache>
                <c:ptCount val="1"/>
                <c:pt idx="0">
                  <c:v>TELEFONO</c:v>
                </c:pt>
              </c:strCache>
            </c:strRef>
          </c:tx>
          <c:spPr>
            <a:solidFill>
              <a:schemeClr val="accent3">
                <a:lumMod val="60000"/>
              </a:schemeClr>
            </a:solidFill>
            <a:ln>
              <a:noFill/>
            </a:ln>
            <a:effectLst/>
          </c:spPr>
          <c:invertIfNegative val="0"/>
          <c:val>
            <c:numRef>
              <c:f>JUNIO!$I$2:$I$109</c:f>
              <c:numCache>
                <c:formatCode>General</c:formatCode>
                <c:ptCount val="108"/>
                <c:pt idx="0">
                  <c:v>3105722235</c:v>
                </c:pt>
                <c:pt idx="1">
                  <c:v>3054666551</c:v>
                </c:pt>
                <c:pt idx="2">
                  <c:v>3206343393</c:v>
                </c:pt>
                <c:pt idx="3">
                  <c:v>4487170</c:v>
                </c:pt>
                <c:pt idx="4">
                  <c:v>3153588601</c:v>
                </c:pt>
                <c:pt idx="5">
                  <c:v>3184345568</c:v>
                </c:pt>
                <c:pt idx="6">
                  <c:v>3145853742</c:v>
                </c:pt>
                <c:pt idx="7">
                  <c:v>3117538683</c:v>
                </c:pt>
                <c:pt idx="8">
                  <c:v>3006005374</c:v>
                </c:pt>
                <c:pt idx="9">
                  <c:v>3174148439</c:v>
                </c:pt>
                <c:pt idx="10">
                  <c:v>6045604050</c:v>
                </c:pt>
                <c:pt idx="11">
                  <c:v>3016756303</c:v>
                </c:pt>
                <c:pt idx="12">
                  <c:v>3045306051</c:v>
                </c:pt>
                <c:pt idx="13">
                  <c:v>6044483937</c:v>
                </c:pt>
                <c:pt idx="14">
                  <c:v>3045306051</c:v>
                </c:pt>
                <c:pt idx="15">
                  <c:v>3183457361</c:v>
                </c:pt>
                <c:pt idx="16">
                  <c:v>3147867866</c:v>
                </c:pt>
                <c:pt idx="17">
                  <c:v>3054065568</c:v>
                </c:pt>
                <c:pt idx="18">
                  <c:v>3152518767</c:v>
                </c:pt>
                <c:pt idx="19">
                  <c:v>3004750546</c:v>
                </c:pt>
                <c:pt idx="20">
                  <c:v>4487170</c:v>
                </c:pt>
                <c:pt idx="21">
                  <c:v>4483227</c:v>
                </c:pt>
                <c:pt idx="22">
                  <c:v>4483227</c:v>
                </c:pt>
                <c:pt idx="23">
                  <c:v>3218521686</c:v>
                </c:pt>
                <c:pt idx="24">
                  <c:v>3147322538</c:v>
                </c:pt>
                <c:pt idx="25">
                  <c:v>0</c:v>
                </c:pt>
                <c:pt idx="26">
                  <c:v>3232308729</c:v>
                </c:pt>
                <c:pt idx="27">
                  <c:v>3002900115</c:v>
                </c:pt>
                <c:pt idx="28">
                  <c:v>3311515</c:v>
                </c:pt>
                <c:pt idx="29">
                  <c:v>3223805669</c:v>
                </c:pt>
                <c:pt idx="30">
                  <c:v>3045631934</c:v>
                </c:pt>
                <c:pt idx="31">
                  <c:v>3046162165</c:v>
                </c:pt>
                <c:pt idx="32">
                  <c:v>3146731327</c:v>
                </c:pt>
                <c:pt idx="33">
                  <c:v>0</c:v>
                </c:pt>
                <c:pt idx="34">
                  <c:v>3673785</c:v>
                </c:pt>
                <c:pt idx="35">
                  <c:v>3147802729</c:v>
                </c:pt>
                <c:pt idx="36">
                  <c:v>3147802729</c:v>
                </c:pt>
                <c:pt idx="37">
                  <c:v>3054710113</c:v>
                </c:pt>
                <c:pt idx="38">
                  <c:v>3185608945</c:v>
                </c:pt>
                <c:pt idx="39">
                  <c:v>3183990505</c:v>
                </c:pt>
                <c:pt idx="40">
                  <c:v>3013160905</c:v>
                </c:pt>
                <c:pt idx="41">
                  <c:v>6046054966</c:v>
                </c:pt>
                <c:pt idx="42">
                  <c:v>3108452977</c:v>
                </c:pt>
                <c:pt idx="43">
                  <c:v>6044609940</c:v>
                </c:pt>
                <c:pt idx="44">
                  <c:v>3044064666</c:v>
                </c:pt>
                <c:pt idx="45">
                  <c:v>3013703977</c:v>
                </c:pt>
                <c:pt idx="46">
                  <c:v>4483227</c:v>
                </c:pt>
                <c:pt idx="47">
                  <c:v>2894966</c:v>
                </c:pt>
                <c:pt idx="48">
                  <c:v>3137471373</c:v>
                </c:pt>
                <c:pt idx="49">
                  <c:v>3104476235</c:v>
                </c:pt>
                <c:pt idx="50">
                  <c:v>3669052</c:v>
                </c:pt>
                <c:pt idx="51">
                  <c:v>3043609618</c:v>
                </c:pt>
                <c:pt idx="52">
                  <c:v>3103728505</c:v>
                </c:pt>
                <c:pt idx="53">
                  <c:v>3103116584</c:v>
                </c:pt>
                <c:pt idx="54">
                  <c:v>3104194750</c:v>
                </c:pt>
                <c:pt idx="55">
                  <c:v>3177039332</c:v>
                </c:pt>
                <c:pt idx="56">
                  <c:v>5405100</c:v>
                </c:pt>
                <c:pt idx="57">
                  <c:v>3007022037</c:v>
                </c:pt>
                <c:pt idx="58">
                  <c:v>2664620</c:v>
                </c:pt>
                <c:pt idx="59">
                  <c:v>3126685913</c:v>
                </c:pt>
                <c:pt idx="60">
                  <c:v>3223479604</c:v>
                </c:pt>
                <c:pt idx="61">
                  <c:v>3176392675</c:v>
                </c:pt>
                <c:pt idx="63">
                  <c:v>3104451192</c:v>
                </c:pt>
                <c:pt idx="64">
                  <c:v>3113576251</c:v>
                </c:pt>
                <c:pt idx="65">
                  <c:v>6045802300</c:v>
                </c:pt>
                <c:pt idx="66">
                  <c:v>3154529699</c:v>
                </c:pt>
                <c:pt idx="67">
                  <c:v>3116057195</c:v>
                </c:pt>
                <c:pt idx="68">
                  <c:v>3122923392</c:v>
                </c:pt>
                <c:pt idx="69">
                  <c:v>3124010</c:v>
                </c:pt>
                <c:pt idx="70">
                  <c:v>3124010</c:v>
                </c:pt>
                <c:pt idx="71">
                  <c:v>3332521553</c:v>
                </c:pt>
                <c:pt idx="72">
                  <c:v>4487170</c:v>
                </c:pt>
                <c:pt idx="73">
                  <c:v>31105075106</c:v>
                </c:pt>
                <c:pt idx="74">
                  <c:v>3054366675</c:v>
                </c:pt>
                <c:pt idx="75">
                  <c:v>6042894966</c:v>
                </c:pt>
                <c:pt idx="76">
                  <c:v>3246477997</c:v>
                </c:pt>
                <c:pt idx="77">
                  <c:v>3045306051</c:v>
                </c:pt>
                <c:pt idx="78">
                  <c:v>3016756303</c:v>
                </c:pt>
                <c:pt idx="79">
                  <c:v>3006194380</c:v>
                </c:pt>
                <c:pt idx="80">
                  <c:v>3104351705</c:v>
                </c:pt>
                <c:pt idx="81">
                  <c:v>6045188</c:v>
                </c:pt>
                <c:pt idx="82">
                  <c:v>3016756303</c:v>
                </c:pt>
                <c:pt idx="83">
                  <c:v>3206937303</c:v>
                </c:pt>
                <c:pt idx="84">
                  <c:v>3136789894</c:v>
                </c:pt>
                <c:pt idx="85">
                  <c:v>3128344221</c:v>
                </c:pt>
                <c:pt idx="86">
                  <c:v>3023550714</c:v>
                </c:pt>
                <c:pt idx="87">
                  <c:v>3105279049</c:v>
                </c:pt>
                <c:pt idx="89">
                  <c:v>3166707013</c:v>
                </c:pt>
                <c:pt idx="90">
                  <c:v>6042691680</c:v>
                </c:pt>
                <c:pt idx="91">
                  <c:v>3176014020</c:v>
                </c:pt>
                <c:pt idx="92">
                  <c:v>54516616</c:v>
                </c:pt>
                <c:pt idx="93">
                  <c:v>6045902430</c:v>
                </c:pt>
                <c:pt idx="94">
                  <c:v>31750100735</c:v>
                </c:pt>
                <c:pt idx="95">
                  <c:v>3146823043</c:v>
                </c:pt>
                <c:pt idx="96">
                  <c:v>3154165050</c:v>
                </c:pt>
                <c:pt idx="97">
                  <c:v>2664620</c:v>
                </c:pt>
                <c:pt idx="98">
                  <c:v>3104194750</c:v>
                </c:pt>
                <c:pt idx="99">
                  <c:v>3104637503</c:v>
                </c:pt>
                <c:pt idx="100">
                  <c:v>6048442029</c:v>
                </c:pt>
                <c:pt idx="101">
                  <c:v>3104194750</c:v>
                </c:pt>
                <c:pt idx="102">
                  <c:v>4442322</c:v>
                </c:pt>
                <c:pt idx="103">
                  <c:v>4442580</c:v>
                </c:pt>
                <c:pt idx="104">
                  <c:v>4442580</c:v>
                </c:pt>
                <c:pt idx="105">
                  <c:v>3137867158</c:v>
                </c:pt>
                <c:pt idx="106">
                  <c:v>6046796985</c:v>
                </c:pt>
                <c:pt idx="107">
                  <c:v>6044488600</c:v>
                </c:pt>
              </c:numCache>
            </c:numRef>
          </c:val>
          <c:extLst>
            <c:ext xmlns:c16="http://schemas.microsoft.com/office/drawing/2014/chart" uri="{C3380CC4-5D6E-409C-BE32-E72D297353CC}">
              <c16:uniqueId val="{00000008-E202-4AED-9199-3EBE56CAA23C}"/>
            </c:ext>
          </c:extLst>
        </c:ser>
        <c:ser>
          <c:idx val="9"/>
          <c:order val="9"/>
          <c:tx>
            <c:strRef>
              <c:f>JUNIO!$J$1</c:f>
              <c:strCache>
                <c:ptCount val="1"/>
                <c:pt idx="0">
                  <c:v>FECHA DE ODP LISTO MATERIAL</c:v>
                </c:pt>
              </c:strCache>
            </c:strRef>
          </c:tx>
          <c:spPr>
            <a:solidFill>
              <a:schemeClr val="accent4">
                <a:lumMod val="60000"/>
              </a:schemeClr>
            </a:solidFill>
            <a:ln>
              <a:noFill/>
            </a:ln>
            <a:effectLst/>
          </c:spPr>
          <c:invertIfNegative val="0"/>
          <c:val>
            <c:numRef>
              <c:f>JUNIO!$J$2:$J$109</c:f>
              <c:numCache>
                <c:formatCode>d\-mmm\-yy</c:formatCode>
                <c:ptCount val="108"/>
                <c:pt idx="0">
                  <c:v>45834</c:v>
                </c:pt>
                <c:pt idx="1">
                  <c:v>45818</c:v>
                </c:pt>
                <c:pt idx="2">
                  <c:v>45814</c:v>
                </c:pt>
                <c:pt idx="3">
                  <c:v>45824</c:v>
                </c:pt>
                <c:pt idx="4">
                  <c:v>45824</c:v>
                </c:pt>
                <c:pt idx="5">
                  <c:v>45821</c:v>
                </c:pt>
                <c:pt idx="6">
                  <c:v>45821</c:v>
                </c:pt>
                <c:pt idx="7">
                  <c:v>45817</c:v>
                </c:pt>
                <c:pt idx="8">
                  <c:v>45840</c:v>
                </c:pt>
                <c:pt idx="9">
                  <c:v>45825</c:v>
                </c:pt>
                <c:pt idx="10">
                  <c:v>45824</c:v>
                </c:pt>
                <c:pt idx="11">
                  <c:v>45825</c:v>
                </c:pt>
                <c:pt idx="12">
                  <c:v>45826</c:v>
                </c:pt>
                <c:pt idx="13">
                  <c:v>45824</c:v>
                </c:pt>
                <c:pt idx="14">
                  <c:v>45828</c:v>
                </c:pt>
                <c:pt idx="15">
                  <c:v>45826</c:v>
                </c:pt>
                <c:pt idx="16">
                  <c:v>45826</c:v>
                </c:pt>
                <c:pt idx="17">
                  <c:v>45826</c:v>
                </c:pt>
                <c:pt idx="18">
                  <c:v>45838</c:v>
                </c:pt>
                <c:pt idx="19">
                  <c:v>45825</c:v>
                </c:pt>
                <c:pt idx="20">
                  <c:v>45828</c:v>
                </c:pt>
                <c:pt idx="21">
                  <c:v>45827</c:v>
                </c:pt>
                <c:pt idx="22">
                  <c:v>45814</c:v>
                </c:pt>
                <c:pt idx="23">
                  <c:v>45826</c:v>
                </c:pt>
                <c:pt idx="24">
                  <c:v>45824</c:v>
                </c:pt>
                <c:pt idx="25">
                  <c:v>45828</c:v>
                </c:pt>
                <c:pt idx="26">
                  <c:v>45825</c:v>
                </c:pt>
                <c:pt idx="27">
                  <c:v>45821</c:v>
                </c:pt>
                <c:pt idx="28">
                  <c:v>45833</c:v>
                </c:pt>
                <c:pt idx="29">
                  <c:v>45826</c:v>
                </c:pt>
                <c:pt idx="30">
                  <c:v>45833</c:v>
                </c:pt>
                <c:pt idx="31">
                  <c:v>45815</c:v>
                </c:pt>
                <c:pt idx="32">
                  <c:v>45835</c:v>
                </c:pt>
                <c:pt idx="33">
                  <c:v>45827</c:v>
                </c:pt>
                <c:pt idx="34">
                  <c:v>45824</c:v>
                </c:pt>
                <c:pt idx="35">
                  <c:v>45826</c:v>
                </c:pt>
                <c:pt idx="36">
                  <c:v>45826</c:v>
                </c:pt>
                <c:pt idx="37">
                  <c:v>45826</c:v>
                </c:pt>
                <c:pt idx="38">
                  <c:v>45832</c:v>
                </c:pt>
                <c:pt idx="39">
                  <c:v>45829</c:v>
                </c:pt>
                <c:pt idx="40">
                  <c:v>45832</c:v>
                </c:pt>
                <c:pt idx="41">
                  <c:v>45828</c:v>
                </c:pt>
                <c:pt idx="43">
                  <c:v>45832</c:v>
                </c:pt>
                <c:pt idx="44">
                  <c:v>45819</c:v>
                </c:pt>
                <c:pt idx="45">
                  <c:v>45834</c:v>
                </c:pt>
                <c:pt idx="46">
                  <c:v>45833</c:v>
                </c:pt>
                <c:pt idx="47">
                  <c:v>45832</c:v>
                </c:pt>
                <c:pt idx="48">
                  <c:v>45828</c:v>
                </c:pt>
                <c:pt idx="49">
                  <c:v>45833</c:v>
                </c:pt>
                <c:pt idx="50">
                  <c:v>45834</c:v>
                </c:pt>
                <c:pt idx="51">
                  <c:v>45827</c:v>
                </c:pt>
                <c:pt idx="52">
                  <c:v>45826</c:v>
                </c:pt>
                <c:pt idx="53">
                  <c:v>45833</c:v>
                </c:pt>
                <c:pt idx="54">
                  <c:v>45833</c:v>
                </c:pt>
                <c:pt idx="55">
                  <c:v>45828</c:v>
                </c:pt>
                <c:pt idx="56">
                  <c:v>45820</c:v>
                </c:pt>
                <c:pt idx="57">
                  <c:v>45834</c:v>
                </c:pt>
                <c:pt idx="58">
                  <c:v>45828</c:v>
                </c:pt>
                <c:pt idx="59">
                  <c:v>45834</c:v>
                </c:pt>
                <c:pt idx="60">
                  <c:v>45832</c:v>
                </c:pt>
                <c:pt idx="61">
                  <c:v>45825</c:v>
                </c:pt>
                <c:pt idx="62">
                  <c:v>45824</c:v>
                </c:pt>
                <c:pt idx="63">
                  <c:v>45843</c:v>
                </c:pt>
                <c:pt idx="64">
                  <c:v>45839</c:v>
                </c:pt>
                <c:pt idx="65">
                  <c:v>45836</c:v>
                </c:pt>
                <c:pt idx="66">
                  <c:v>45836</c:v>
                </c:pt>
                <c:pt idx="68">
                  <c:v>45834</c:v>
                </c:pt>
                <c:pt idx="69">
                  <c:v>45828</c:v>
                </c:pt>
                <c:pt idx="70">
                  <c:v>45841</c:v>
                </c:pt>
                <c:pt idx="71">
                  <c:v>45835</c:v>
                </c:pt>
                <c:pt idx="72">
                  <c:v>45835</c:v>
                </c:pt>
                <c:pt idx="73">
                  <c:v>45839</c:v>
                </c:pt>
                <c:pt idx="74">
                  <c:v>45836</c:v>
                </c:pt>
                <c:pt idx="75">
                  <c:v>45839</c:v>
                </c:pt>
                <c:pt idx="76">
                  <c:v>45825</c:v>
                </c:pt>
                <c:pt idx="77">
                  <c:v>45828</c:v>
                </c:pt>
                <c:pt idx="78">
                  <c:v>45839</c:v>
                </c:pt>
                <c:pt idx="79">
                  <c:v>45835</c:v>
                </c:pt>
                <c:pt idx="80">
                  <c:v>45834</c:v>
                </c:pt>
                <c:pt idx="82" formatCode="d\-mmm">
                  <c:v>45841</c:v>
                </c:pt>
                <c:pt idx="83" formatCode="m/d/yyyy">
                  <c:v>45849</c:v>
                </c:pt>
                <c:pt idx="84" formatCode="d\-mmm">
                  <c:v>45846</c:v>
                </c:pt>
                <c:pt idx="85" formatCode="d\-mmm">
                  <c:v>45845</c:v>
                </c:pt>
                <c:pt idx="86" formatCode="d\-mmm">
                  <c:v>45848</c:v>
                </c:pt>
                <c:pt idx="87" formatCode="d\-mmm">
                  <c:v>45842</c:v>
                </c:pt>
                <c:pt idx="88" formatCode="m/d/yyyy">
                  <c:v>45834</c:v>
                </c:pt>
                <c:pt idx="89" formatCode="d\-mmm">
                  <c:v>45846</c:v>
                </c:pt>
                <c:pt idx="90" formatCode="d\-mmm">
                  <c:v>45847</c:v>
                </c:pt>
                <c:pt idx="91" formatCode="d\-mmm">
                  <c:v>45846</c:v>
                </c:pt>
                <c:pt idx="92" formatCode="d\-mmm">
                  <c:v>45843</c:v>
                </c:pt>
                <c:pt idx="94" formatCode="d\-mmm">
                  <c:v>45847</c:v>
                </c:pt>
                <c:pt idx="95" formatCode="d\-mmm">
                  <c:v>45848</c:v>
                </c:pt>
                <c:pt idx="96" formatCode="d\-mmm">
                  <c:v>45848</c:v>
                </c:pt>
                <c:pt idx="97" formatCode="d\-mmm">
                  <c:v>45836</c:v>
                </c:pt>
                <c:pt idx="98" formatCode="d\-mmm">
                  <c:v>45847</c:v>
                </c:pt>
                <c:pt idx="99" formatCode="d\-mmm">
                  <c:v>45840</c:v>
                </c:pt>
                <c:pt idx="100" formatCode="d\-mmm">
                  <c:v>45848</c:v>
                </c:pt>
                <c:pt idx="101" formatCode="d\-mmm">
                  <c:v>45847</c:v>
                </c:pt>
                <c:pt idx="102" formatCode="d\-mmm">
                  <c:v>45835</c:v>
                </c:pt>
                <c:pt idx="105" formatCode="d\-mmm">
                  <c:v>45849</c:v>
                </c:pt>
                <c:pt idx="106" formatCode="d\-mmm">
                  <c:v>45843</c:v>
                </c:pt>
                <c:pt idx="107" formatCode="d\-mmm">
                  <c:v>45853</c:v>
                </c:pt>
              </c:numCache>
            </c:numRef>
          </c:val>
          <c:extLst>
            <c:ext xmlns:c16="http://schemas.microsoft.com/office/drawing/2014/chart" uri="{C3380CC4-5D6E-409C-BE32-E72D297353CC}">
              <c16:uniqueId val="{00000009-E202-4AED-9199-3EBE56CAA23C}"/>
            </c:ext>
          </c:extLst>
        </c:ser>
        <c:ser>
          <c:idx val="10"/>
          <c:order val="10"/>
          <c:tx>
            <c:strRef>
              <c:f>JUNIO!$K$1</c:f>
              <c:strCache>
                <c:ptCount val="1"/>
                <c:pt idx="0">
                  <c:v>segmento</c:v>
                </c:pt>
              </c:strCache>
            </c:strRef>
          </c:tx>
          <c:spPr>
            <a:solidFill>
              <a:schemeClr val="accent5">
                <a:lumMod val="60000"/>
              </a:schemeClr>
            </a:solidFill>
            <a:ln>
              <a:noFill/>
            </a:ln>
            <a:effectLst/>
          </c:spPr>
          <c:invertIfNegative val="0"/>
          <c:val>
            <c:numRef>
              <c:f>JUNIO!$K$2:$K$109</c:f>
              <c:numCache>
                <c:formatCode>d\-mmm\-yy</c:formatCode>
                <c:ptCount val="108"/>
                <c:pt idx="0">
                  <c:v>0</c:v>
                </c:pt>
                <c:pt idx="1">
                  <c:v>0</c:v>
                </c:pt>
                <c:pt idx="2">
                  <c:v>0</c:v>
                </c:pt>
                <c:pt idx="3">
                  <c:v>0</c:v>
                </c:pt>
                <c:pt idx="4">
                  <c:v>0</c:v>
                </c:pt>
                <c:pt idx="5">
                  <c:v>0</c:v>
                </c:pt>
                <c:pt idx="6">
                  <c:v>0</c:v>
                </c:pt>
                <c:pt idx="7" formatCode="General">
                  <c:v>0</c:v>
                </c:pt>
                <c:pt idx="8">
                  <c:v>0</c:v>
                </c:pt>
                <c:pt idx="9">
                  <c:v>0</c:v>
                </c:pt>
                <c:pt idx="10">
                  <c:v>0</c:v>
                </c:pt>
                <c:pt idx="11">
                  <c:v>0</c:v>
                </c:pt>
                <c:pt idx="12">
                  <c:v>0</c:v>
                </c:pt>
                <c:pt idx="13">
                  <c:v>0</c:v>
                </c:pt>
                <c:pt idx="14" formatCode="General">
                  <c:v>0</c:v>
                </c:pt>
                <c:pt idx="15" formatCode="General">
                  <c:v>0</c:v>
                </c:pt>
                <c:pt idx="16" formatCode="General">
                  <c:v>0</c:v>
                </c:pt>
                <c:pt idx="17" formatCode="General">
                  <c:v>0</c:v>
                </c:pt>
                <c:pt idx="18" formatCode="General">
                  <c:v>0</c:v>
                </c:pt>
                <c:pt idx="19" formatCode="General">
                  <c:v>0</c:v>
                </c:pt>
                <c:pt idx="20" formatCode="General">
                  <c:v>0</c:v>
                </c:pt>
                <c:pt idx="21" formatCode="General">
                  <c:v>0</c:v>
                </c:pt>
                <c:pt idx="22" formatCode="General">
                  <c:v>0</c:v>
                </c:pt>
                <c:pt idx="23" formatCode="General">
                  <c:v>0</c:v>
                </c:pt>
                <c:pt idx="24" formatCode="General">
                  <c:v>0</c:v>
                </c:pt>
                <c:pt idx="25" formatCode="General">
                  <c:v>0</c:v>
                </c:pt>
                <c:pt idx="26" formatCode="General">
                  <c:v>0</c:v>
                </c:pt>
                <c:pt idx="27" formatCode="General">
                  <c:v>0</c:v>
                </c:pt>
                <c:pt idx="28" formatCode="General">
                  <c:v>0</c:v>
                </c:pt>
                <c:pt idx="29" formatCode="General">
                  <c:v>0</c:v>
                </c:pt>
                <c:pt idx="30" formatCode="General">
                  <c:v>0</c:v>
                </c:pt>
                <c:pt idx="31" formatCode="General">
                  <c:v>0</c:v>
                </c:pt>
                <c:pt idx="32" formatCode="General">
                  <c:v>0</c:v>
                </c:pt>
                <c:pt idx="33" formatCode="General">
                  <c:v>0</c:v>
                </c:pt>
                <c:pt idx="34" formatCode="General">
                  <c:v>0</c:v>
                </c:pt>
                <c:pt idx="35" formatCode="General">
                  <c:v>0</c:v>
                </c:pt>
                <c:pt idx="36" formatCode="General">
                  <c:v>0</c:v>
                </c:pt>
                <c:pt idx="37" formatCode="General">
                  <c:v>0</c:v>
                </c:pt>
                <c:pt idx="38" formatCode="General">
                  <c:v>0</c:v>
                </c:pt>
                <c:pt idx="39" formatCode="General">
                  <c:v>0</c:v>
                </c:pt>
                <c:pt idx="40" formatCode="General">
                  <c:v>0</c:v>
                </c:pt>
                <c:pt idx="41" formatCode="General">
                  <c:v>0</c:v>
                </c:pt>
                <c:pt idx="42" formatCode="General">
                  <c:v>0</c:v>
                </c:pt>
                <c:pt idx="43" formatCode="General">
                  <c:v>0</c:v>
                </c:pt>
                <c:pt idx="44" formatCode="General">
                  <c:v>0</c:v>
                </c:pt>
                <c:pt idx="45" formatCode="General">
                  <c:v>0</c:v>
                </c:pt>
                <c:pt idx="46" formatCode="General">
                  <c:v>0</c:v>
                </c:pt>
                <c:pt idx="47" formatCode="General">
                  <c:v>0</c:v>
                </c:pt>
                <c:pt idx="48" formatCode="General">
                  <c:v>0</c:v>
                </c:pt>
                <c:pt idx="49" formatCode="General">
                  <c:v>0</c:v>
                </c:pt>
                <c:pt idx="50" formatCode="General">
                  <c:v>0</c:v>
                </c:pt>
                <c:pt idx="51" formatCode="General">
                  <c:v>0</c:v>
                </c:pt>
                <c:pt idx="52" formatCode="General">
                  <c:v>0</c:v>
                </c:pt>
                <c:pt idx="53" formatCode="General">
                  <c:v>0</c:v>
                </c:pt>
                <c:pt idx="54" formatCode="General">
                  <c:v>0</c:v>
                </c:pt>
                <c:pt idx="55" formatCode="General">
                  <c:v>0</c:v>
                </c:pt>
                <c:pt idx="56" formatCode="General">
                  <c:v>0</c:v>
                </c:pt>
                <c:pt idx="57" formatCode="General">
                  <c:v>0</c:v>
                </c:pt>
                <c:pt idx="58" formatCode="General">
                  <c:v>0</c:v>
                </c:pt>
                <c:pt idx="59" formatCode="General">
                  <c:v>0</c:v>
                </c:pt>
                <c:pt idx="60" formatCode="General">
                  <c:v>0</c:v>
                </c:pt>
                <c:pt idx="61" formatCode="General">
                  <c:v>0</c:v>
                </c:pt>
                <c:pt idx="62" formatCode="General">
                  <c:v>0</c:v>
                </c:pt>
                <c:pt idx="63" formatCode="General">
                  <c:v>0</c:v>
                </c:pt>
                <c:pt idx="64" formatCode="General">
                  <c:v>0</c:v>
                </c:pt>
                <c:pt idx="65" formatCode="General">
                  <c:v>0</c:v>
                </c:pt>
                <c:pt idx="66" formatCode="General">
                  <c:v>0</c:v>
                </c:pt>
                <c:pt idx="67" formatCode="General">
                  <c:v>0</c:v>
                </c:pt>
                <c:pt idx="68" formatCode="General">
                  <c:v>0</c:v>
                </c:pt>
                <c:pt idx="69" formatCode="General">
                  <c:v>0</c:v>
                </c:pt>
                <c:pt idx="70" formatCode="General">
                  <c:v>0</c:v>
                </c:pt>
                <c:pt idx="71" formatCode="General">
                  <c:v>0</c:v>
                </c:pt>
                <c:pt idx="72" formatCode="General">
                  <c:v>0</c:v>
                </c:pt>
                <c:pt idx="73" formatCode="General">
                  <c:v>0</c:v>
                </c:pt>
                <c:pt idx="74" formatCode="General">
                  <c:v>0</c:v>
                </c:pt>
                <c:pt idx="75" formatCode="General">
                  <c:v>0</c:v>
                </c:pt>
                <c:pt idx="76" formatCode="General">
                  <c:v>0</c:v>
                </c:pt>
                <c:pt idx="77" formatCode="General">
                  <c:v>0</c:v>
                </c:pt>
                <c:pt idx="78" formatCode="General">
                  <c:v>0</c:v>
                </c:pt>
                <c:pt idx="79" formatCode="General">
                  <c:v>0</c:v>
                </c:pt>
                <c:pt idx="80" formatCode="General">
                  <c:v>0</c:v>
                </c:pt>
                <c:pt idx="81" formatCode="General">
                  <c:v>0</c:v>
                </c:pt>
                <c:pt idx="82" formatCode="General">
                  <c:v>0</c:v>
                </c:pt>
                <c:pt idx="83" formatCode="General">
                  <c:v>0</c:v>
                </c:pt>
                <c:pt idx="84" formatCode="General">
                  <c:v>0</c:v>
                </c:pt>
                <c:pt idx="85" formatCode="General">
                  <c:v>0</c:v>
                </c:pt>
                <c:pt idx="86" formatCode="General">
                  <c:v>0</c:v>
                </c:pt>
                <c:pt idx="88" formatCode="General">
                  <c:v>0</c:v>
                </c:pt>
                <c:pt idx="89" formatCode="General">
                  <c:v>0</c:v>
                </c:pt>
                <c:pt idx="90" formatCode="General">
                  <c:v>0</c:v>
                </c:pt>
                <c:pt idx="91" formatCode="General">
                  <c:v>0</c:v>
                </c:pt>
                <c:pt idx="92" formatCode="General">
                  <c:v>0</c:v>
                </c:pt>
                <c:pt idx="93" formatCode="General">
                  <c:v>0</c:v>
                </c:pt>
                <c:pt idx="94" formatCode="General">
                  <c:v>0</c:v>
                </c:pt>
                <c:pt idx="95" formatCode="General">
                  <c:v>0</c:v>
                </c:pt>
                <c:pt idx="96" formatCode="General">
                  <c:v>0</c:v>
                </c:pt>
                <c:pt idx="97" formatCode="General">
                  <c:v>0</c:v>
                </c:pt>
                <c:pt idx="98" formatCode="General">
                  <c:v>0</c:v>
                </c:pt>
                <c:pt idx="99" formatCode="General">
                  <c:v>0</c:v>
                </c:pt>
                <c:pt idx="100" formatCode="General">
                  <c:v>0</c:v>
                </c:pt>
                <c:pt idx="101" formatCode="General">
                  <c:v>0</c:v>
                </c:pt>
                <c:pt idx="102" formatCode="General">
                  <c:v>0</c:v>
                </c:pt>
                <c:pt idx="103" formatCode="General">
                  <c:v>0</c:v>
                </c:pt>
                <c:pt idx="104" formatCode="General">
                  <c:v>0</c:v>
                </c:pt>
                <c:pt idx="105" formatCode="General">
                  <c:v>0</c:v>
                </c:pt>
                <c:pt idx="106" formatCode="General">
                  <c:v>0</c:v>
                </c:pt>
                <c:pt idx="107" formatCode="General">
                  <c:v>0</c:v>
                </c:pt>
              </c:numCache>
            </c:numRef>
          </c:val>
          <c:extLst>
            <c:ext xmlns:c16="http://schemas.microsoft.com/office/drawing/2014/chart" uri="{C3380CC4-5D6E-409C-BE32-E72D297353CC}">
              <c16:uniqueId val="{0000000A-E202-4AED-9199-3EBE56CAA23C}"/>
            </c:ext>
          </c:extLst>
        </c:ser>
        <c:ser>
          <c:idx val="11"/>
          <c:order val="11"/>
          <c:tx>
            <c:strRef>
              <c:f>JUNIO!$L$1</c:f>
              <c:strCache>
                <c:ptCount val="1"/>
                <c:pt idx="0">
                  <c:v>PRODUCTO VENDIDO</c:v>
                </c:pt>
              </c:strCache>
            </c:strRef>
          </c:tx>
          <c:spPr>
            <a:solidFill>
              <a:schemeClr val="accent6">
                <a:lumMod val="60000"/>
              </a:schemeClr>
            </a:solidFill>
            <a:ln>
              <a:noFill/>
            </a:ln>
            <a:effectLst/>
          </c:spPr>
          <c:invertIfNegative val="0"/>
          <c:val>
            <c:numRef>
              <c:f>JUNIO!$L$2:$L$109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B-E202-4AED-9199-3EBE56CAA23C}"/>
            </c:ext>
          </c:extLst>
        </c:ser>
        <c:ser>
          <c:idx val="12"/>
          <c:order val="12"/>
          <c:tx>
            <c:strRef>
              <c:f>JUNIO!$M$1</c:f>
              <c:strCache>
                <c:ptCount val="1"/>
                <c:pt idx="0">
                  <c:v>CR/ESP/TE
</c:v>
                </c:pt>
              </c:strCache>
            </c:strRef>
          </c:tx>
          <c:spPr>
            <a:solidFill>
              <a:schemeClr val="accent1">
                <a:lumMod val="80000"/>
                <a:lumOff val="20000"/>
              </a:schemeClr>
            </a:solidFill>
            <a:ln>
              <a:noFill/>
            </a:ln>
            <a:effectLst/>
          </c:spPr>
          <c:invertIfNegative val="0"/>
          <c:val>
            <c:numRef>
              <c:f>JUNIO!$M$2:$M$109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C-E202-4AED-9199-3EBE56CAA23C}"/>
            </c:ext>
          </c:extLst>
        </c:ser>
        <c:ser>
          <c:idx val="13"/>
          <c:order val="13"/>
          <c:tx>
            <c:strRef>
              <c:f>JUNIO!$N$1</c:f>
              <c:strCache>
                <c:ptCount val="1"/>
                <c:pt idx="0">
                  <c:v>N° ODC PV/LAM</c:v>
                </c:pt>
              </c:strCache>
            </c:strRef>
          </c:tx>
          <c:spPr>
            <a:solidFill>
              <a:schemeClr val="accent2">
                <a:lumMod val="80000"/>
                <a:lumOff val="20000"/>
              </a:schemeClr>
            </a:solidFill>
            <a:ln>
              <a:noFill/>
            </a:ln>
            <a:effectLst/>
          </c:spPr>
          <c:invertIfNegative val="0"/>
          <c:val>
            <c:numRef>
              <c:f>JUNIO!$N$2:$N$109</c:f>
              <c:numCache>
                <c:formatCode>General</c:formatCode>
                <c:ptCount val="108"/>
                <c:pt idx="0">
                  <c:v>6034</c:v>
                </c:pt>
                <c:pt idx="1">
                  <c:v>0</c:v>
                </c:pt>
                <c:pt idx="2">
                  <c:v>0</c:v>
                </c:pt>
                <c:pt idx="3">
                  <c:v>0</c:v>
                </c:pt>
                <c:pt idx="4">
                  <c:v>5986</c:v>
                </c:pt>
                <c:pt idx="5">
                  <c:v>5994</c:v>
                </c:pt>
                <c:pt idx="6">
                  <c:v>0</c:v>
                </c:pt>
                <c:pt idx="7">
                  <c:v>0</c:v>
                </c:pt>
                <c:pt idx="8">
                  <c:v>6047</c:v>
                </c:pt>
                <c:pt idx="9">
                  <c:v>6003</c:v>
                </c:pt>
                <c:pt idx="10">
                  <c:v>5990</c:v>
                </c:pt>
                <c:pt idx="11">
                  <c:v>5992</c:v>
                </c:pt>
                <c:pt idx="12">
                  <c:v>6007</c:v>
                </c:pt>
                <c:pt idx="13">
                  <c:v>5991</c:v>
                </c:pt>
                <c:pt idx="14">
                  <c:v>6014</c:v>
                </c:pt>
                <c:pt idx="15">
                  <c:v>6002</c:v>
                </c:pt>
                <c:pt idx="16">
                  <c:v>6001</c:v>
                </c:pt>
                <c:pt idx="17">
                  <c:v>6000</c:v>
                </c:pt>
                <c:pt idx="18">
                  <c:v>6037</c:v>
                </c:pt>
                <c:pt idx="19">
                  <c:v>5999</c:v>
                </c:pt>
                <c:pt idx="20">
                  <c:v>5996</c:v>
                </c:pt>
                <c:pt idx="21">
                  <c:v>5997</c:v>
                </c:pt>
                <c:pt idx="22">
                  <c:v>0</c:v>
                </c:pt>
                <c:pt idx="23">
                  <c:v>6008</c:v>
                </c:pt>
                <c:pt idx="24">
                  <c:v>5998</c:v>
                </c:pt>
                <c:pt idx="25">
                  <c:v>6004</c:v>
                </c:pt>
                <c:pt idx="26">
                  <c:v>6006</c:v>
                </c:pt>
                <c:pt idx="27">
                  <c:v>0</c:v>
                </c:pt>
                <c:pt idx="28">
                  <c:v>6029</c:v>
                </c:pt>
                <c:pt idx="29">
                  <c:v>6005</c:v>
                </c:pt>
                <c:pt idx="30">
                  <c:v>6020</c:v>
                </c:pt>
                <c:pt idx="31">
                  <c:v>6011</c:v>
                </c:pt>
                <c:pt idx="32">
                  <c:v>6023</c:v>
                </c:pt>
                <c:pt idx="33">
                  <c:v>6009</c:v>
                </c:pt>
                <c:pt idx="34">
                  <c:v>0</c:v>
                </c:pt>
                <c:pt idx="35">
                  <c:v>6017</c:v>
                </c:pt>
                <c:pt idx="36">
                  <c:v>6016</c:v>
                </c:pt>
                <c:pt idx="37">
                  <c:v>6012</c:v>
                </c:pt>
                <c:pt idx="38">
                  <c:v>0</c:v>
                </c:pt>
                <c:pt idx="39">
                  <c:v>0</c:v>
                </c:pt>
                <c:pt idx="40">
                  <c:v>6031</c:v>
                </c:pt>
                <c:pt idx="41">
                  <c:v>6857</c:v>
                </c:pt>
                <c:pt idx="42">
                  <c:v>6040</c:v>
                </c:pt>
                <c:pt idx="43">
                  <c:v>0</c:v>
                </c:pt>
                <c:pt idx="44">
                  <c:v>0</c:v>
                </c:pt>
                <c:pt idx="45">
                  <c:v>6030</c:v>
                </c:pt>
                <c:pt idx="46">
                  <c:v>6019</c:v>
                </c:pt>
                <c:pt idx="47">
                  <c:v>6022</c:v>
                </c:pt>
                <c:pt idx="48">
                  <c:v>0</c:v>
                </c:pt>
                <c:pt idx="49">
                  <c:v>6018</c:v>
                </c:pt>
                <c:pt idx="50">
                  <c:v>6021</c:v>
                </c:pt>
                <c:pt idx="51">
                  <c:v>0</c:v>
                </c:pt>
                <c:pt idx="52">
                  <c:v>0</c:v>
                </c:pt>
                <c:pt idx="53">
                  <c:v>6024</c:v>
                </c:pt>
                <c:pt idx="54">
                  <c:v>6026</c:v>
                </c:pt>
                <c:pt idx="55">
                  <c:v>0</c:v>
                </c:pt>
                <c:pt idx="56">
                  <c:v>0</c:v>
                </c:pt>
                <c:pt idx="57">
                  <c:v>6032</c:v>
                </c:pt>
                <c:pt idx="58">
                  <c:v>0</c:v>
                </c:pt>
                <c:pt idx="59">
                  <c:v>6028</c:v>
                </c:pt>
                <c:pt idx="60">
                  <c:v>0</c:v>
                </c:pt>
                <c:pt idx="61">
                  <c:v>0</c:v>
                </c:pt>
                <c:pt idx="62">
                  <c:v>0</c:v>
                </c:pt>
                <c:pt idx="63">
                  <c:v>6044</c:v>
                </c:pt>
                <c:pt idx="64">
                  <c:v>6046</c:v>
                </c:pt>
                <c:pt idx="65">
                  <c:v>6033</c:v>
                </c:pt>
                <c:pt idx="66">
                  <c:v>6035</c:v>
                </c:pt>
                <c:pt idx="67">
                  <c:v>6036</c:v>
                </c:pt>
                <c:pt idx="68">
                  <c:v>6038</c:v>
                </c:pt>
                <c:pt idx="69">
                  <c:v>0</c:v>
                </c:pt>
                <c:pt idx="70">
                  <c:v>6055</c:v>
                </c:pt>
                <c:pt idx="71">
                  <c:v>6041</c:v>
                </c:pt>
                <c:pt idx="72">
                  <c:v>0</c:v>
                </c:pt>
                <c:pt idx="73">
                  <c:v>6042</c:v>
                </c:pt>
                <c:pt idx="74">
                  <c:v>6039</c:v>
                </c:pt>
                <c:pt idx="75">
                  <c:v>6043</c:v>
                </c:pt>
                <c:pt idx="76">
                  <c:v>0</c:v>
                </c:pt>
                <c:pt idx="77">
                  <c:v>0</c:v>
                </c:pt>
                <c:pt idx="78">
                  <c:v>6045</c:v>
                </c:pt>
                <c:pt idx="79">
                  <c:v>6884</c:v>
                </c:pt>
                <c:pt idx="80">
                  <c:v>0</c:v>
                </c:pt>
                <c:pt idx="81">
                  <c:v>6078</c:v>
                </c:pt>
                <c:pt idx="82">
                  <c:v>6048</c:v>
                </c:pt>
                <c:pt idx="83">
                  <c:v>6058</c:v>
                </c:pt>
                <c:pt idx="84">
                  <c:v>6052</c:v>
                </c:pt>
                <c:pt idx="85">
                  <c:v>6051</c:v>
                </c:pt>
                <c:pt idx="86">
                  <c:v>6060</c:v>
                </c:pt>
                <c:pt idx="87">
                  <c:v>6049</c:v>
                </c:pt>
                <c:pt idx="88">
                  <c:v>0</c:v>
                </c:pt>
                <c:pt idx="89">
                  <c:v>6061</c:v>
                </c:pt>
                <c:pt idx="90">
                  <c:v>0</c:v>
                </c:pt>
                <c:pt idx="91">
                  <c:v>6059</c:v>
                </c:pt>
                <c:pt idx="92">
                  <c:v>0</c:v>
                </c:pt>
                <c:pt idx="94">
                  <c:v>6057</c:v>
                </c:pt>
                <c:pt idx="95">
                  <c:v>6071</c:v>
                </c:pt>
                <c:pt idx="96">
                  <c:v>6063</c:v>
                </c:pt>
                <c:pt idx="97">
                  <c:v>0</c:v>
                </c:pt>
                <c:pt idx="98">
                  <c:v>6053</c:v>
                </c:pt>
                <c:pt idx="99">
                  <c:v>0</c:v>
                </c:pt>
                <c:pt idx="100">
                  <c:v>0</c:v>
                </c:pt>
                <c:pt idx="101">
                  <c:v>6054</c:v>
                </c:pt>
                <c:pt idx="102">
                  <c:v>0</c:v>
                </c:pt>
                <c:pt idx="103">
                  <c:v>0</c:v>
                </c:pt>
                <c:pt idx="105">
                  <c:v>6067</c:v>
                </c:pt>
                <c:pt idx="106">
                  <c:v>0</c:v>
                </c:pt>
                <c:pt idx="107">
                  <c:v>6062</c:v>
                </c:pt>
              </c:numCache>
            </c:numRef>
          </c:val>
          <c:extLst>
            <c:ext xmlns:c16="http://schemas.microsoft.com/office/drawing/2014/chart" uri="{C3380CC4-5D6E-409C-BE32-E72D297353CC}">
              <c16:uniqueId val="{0000000D-E202-4AED-9199-3EBE56CAA23C}"/>
            </c:ext>
          </c:extLst>
        </c:ser>
        <c:ser>
          <c:idx val="14"/>
          <c:order val="14"/>
          <c:tx>
            <c:strRef>
              <c:f>JUNIO!$O$1</c:f>
              <c:strCache>
                <c:ptCount val="1"/>
                <c:pt idx="0">
                  <c:v>SAP</c:v>
                </c:pt>
              </c:strCache>
            </c:strRef>
          </c:tx>
          <c:spPr>
            <a:solidFill>
              <a:schemeClr val="accent3">
                <a:lumMod val="80000"/>
                <a:lumOff val="20000"/>
              </a:schemeClr>
            </a:solidFill>
            <a:ln>
              <a:noFill/>
            </a:ln>
            <a:effectLst/>
          </c:spPr>
          <c:invertIfNegative val="0"/>
          <c:val>
            <c:numRef>
              <c:f>JUNIO!$O$2:$O$109</c:f>
              <c:numCache>
                <c:formatCode>General</c:formatCode>
                <c:ptCount val="108"/>
                <c:pt idx="0">
                  <c:v>6853</c:v>
                </c:pt>
                <c:pt idx="1">
                  <c:v>0</c:v>
                </c:pt>
                <c:pt idx="2">
                  <c:v>6819</c:v>
                </c:pt>
                <c:pt idx="3">
                  <c:v>0</c:v>
                </c:pt>
                <c:pt idx="4">
                  <c:v>0</c:v>
                </c:pt>
                <c:pt idx="5">
                  <c:v>6829</c:v>
                </c:pt>
                <c:pt idx="6">
                  <c:v>6820</c:v>
                </c:pt>
                <c:pt idx="7">
                  <c:v>0</c:v>
                </c:pt>
                <c:pt idx="8">
                  <c:v>6854</c:v>
                </c:pt>
                <c:pt idx="9">
                  <c:v>6833</c:v>
                </c:pt>
                <c:pt idx="10">
                  <c:v>6822</c:v>
                </c:pt>
                <c:pt idx="11">
                  <c:v>0</c:v>
                </c:pt>
                <c:pt idx="12">
                  <c:v>6825</c:v>
                </c:pt>
                <c:pt idx="13">
                  <c:v>0</c:v>
                </c:pt>
                <c:pt idx="14">
                  <c:v>6848</c:v>
                </c:pt>
                <c:pt idx="15">
                  <c:v>6834</c:v>
                </c:pt>
                <c:pt idx="16">
                  <c:v>6831</c:v>
                </c:pt>
                <c:pt idx="17">
                  <c:v>6835</c:v>
                </c:pt>
                <c:pt idx="18">
                  <c:v>6837</c:v>
                </c:pt>
                <c:pt idx="19">
                  <c:v>6826</c:v>
                </c:pt>
                <c:pt idx="20">
                  <c:v>0</c:v>
                </c:pt>
                <c:pt idx="21">
                  <c:v>0</c:v>
                </c:pt>
                <c:pt idx="22">
                  <c:v>0</c:v>
                </c:pt>
                <c:pt idx="23">
                  <c:v>6840</c:v>
                </c:pt>
                <c:pt idx="24">
                  <c:v>0</c:v>
                </c:pt>
                <c:pt idx="25">
                  <c:v>6830</c:v>
                </c:pt>
                <c:pt idx="26">
                  <c:v>0</c:v>
                </c:pt>
                <c:pt idx="27">
                  <c:v>6841</c:v>
                </c:pt>
                <c:pt idx="28">
                  <c:v>6859</c:v>
                </c:pt>
                <c:pt idx="29">
                  <c:v>0</c:v>
                </c:pt>
                <c:pt idx="30">
                  <c:v>0</c:v>
                </c:pt>
                <c:pt idx="31">
                  <c:v>6842</c:v>
                </c:pt>
                <c:pt idx="32">
                  <c:v>6856</c:v>
                </c:pt>
                <c:pt idx="33">
                  <c:v>6845</c:v>
                </c:pt>
                <c:pt idx="34">
                  <c:v>6844</c:v>
                </c:pt>
                <c:pt idx="35">
                  <c:v>0</c:v>
                </c:pt>
                <c:pt idx="36">
                  <c:v>6847</c:v>
                </c:pt>
                <c:pt idx="37">
                  <c:v>6846</c:v>
                </c:pt>
                <c:pt idx="38">
                  <c:v>6849</c:v>
                </c:pt>
                <c:pt idx="39">
                  <c:v>6852</c:v>
                </c:pt>
                <c:pt idx="40">
                  <c:v>6871</c:v>
                </c:pt>
                <c:pt idx="41">
                  <c:v>6855</c:v>
                </c:pt>
                <c:pt idx="42">
                  <c:v>0</c:v>
                </c:pt>
                <c:pt idx="43">
                  <c:v>6064</c:v>
                </c:pt>
                <c:pt idx="44">
                  <c:v>0</c:v>
                </c:pt>
                <c:pt idx="45">
                  <c:v>6868</c:v>
                </c:pt>
                <c:pt idx="46">
                  <c:v>6857</c:v>
                </c:pt>
                <c:pt idx="47">
                  <c:v>6858</c:v>
                </c:pt>
                <c:pt idx="48">
                  <c:v>0</c:v>
                </c:pt>
                <c:pt idx="49">
                  <c:v>0</c:v>
                </c:pt>
                <c:pt idx="50">
                  <c:v>0</c:v>
                </c:pt>
                <c:pt idx="51">
                  <c:v>0</c:v>
                </c:pt>
                <c:pt idx="52">
                  <c:v>6861</c:v>
                </c:pt>
                <c:pt idx="53">
                  <c:v>0</c:v>
                </c:pt>
                <c:pt idx="54">
                  <c:v>6863</c:v>
                </c:pt>
                <c:pt idx="55">
                  <c:v>6862</c:v>
                </c:pt>
                <c:pt idx="56">
                  <c:v>0</c:v>
                </c:pt>
                <c:pt idx="57">
                  <c:v>0</c:v>
                </c:pt>
                <c:pt idx="58">
                  <c:v>6865</c:v>
                </c:pt>
                <c:pt idx="59">
                  <c:v>0</c:v>
                </c:pt>
                <c:pt idx="60">
                  <c:v>0</c:v>
                </c:pt>
                <c:pt idx="61">
                  <c:v>6869</c:v>
                </c:pt>
                <c:pt idx="62">
                  <c:v>6870</c:v>
                </c:pt>
                <c:pt idx="63">
                  <c:v>6878</c:v>
                </c:pt>
                <c:pt idx="64">
                  <c:v>6881</c:v>
                </c:pt>
                <c:pt idx="65">
                  <c:v>6872</c:v>
                </c:pt>
                <c:pt idx="66">
                  <c:v>6873</c:v>
                </c:pt>
                <c:pt idx="67">
                  <c:v>0</c:v>
                </c:pt>
                <c:pt idx="68">
                  <c:v>0</c:v>
                </c:pt>
                <c:pt idx="69">
                  <c:v>6879</c:v>
                </c:pt>
                <c:pt idx="70">
                  <c:v>6880</c:v>
                </c:pt>
                <c:pt idx="71">
                  <c:v>0</c:v>
                </c:pt>
                <c:pt idx="72">
                  <c:v>0</c:v>
                </c:pt>
                <c:pt idx="73">
                  <c:v>6876</c:v>
                </c:pt>
                <c:pt idx="74">
                  <c:v>0</c:v>
                </c:pt>
                <c:pt idx="75">
                  <c:v>6877</c:v>
                </c:pt>
                <c:pt idx="76">
                  <c:v>0</c:v>
                </c:pt>
                <c:pt idx="77">
                  <c:v>0</c:v>
                </c:pt>
                <c:pt idx="78">
                  <c:v>6882</c:v>
                </c:pt>
                <c:pt idx="79">
                  <c:v>0</c:v>
                </c:pt>
                <c:pt idx="80">
                  <c:v>6883</c:v>
                </c:pt>
                <c:pt idx="81">
                  <c:v>0</c:v>
                </c:pt>
                <c:pt idx="82">
                  <c:v>0</c:v>
                </c:pt>
                <c:pt idx="83">
                  <c:v>6893</c:v>
                </c:pt>
                <c:pt idx="84">
                  <c:v>6888</c:v>
                </c:pt>
                <c:pt idx="85">
                  <c:v>6886</c:v>
                </c:pt>
                <c:pt idx="86">
                  <c:v>6895</c:v>
                </c:pt>
                <c:pt idx="87">
                  <c:v>0</c:v>
                </c:pt>
                <c:pt idx="88">
                  <c:v>0</c:v>
                </c:pt>
                <c:pt idx="89">
                  <c:v>0</c:v>
                </c:pt>
                <c:pt idx="90">
                  <c:v>6897</c:v>
                </c:pt>
                <c:pt idx="91">
                  <c:v>0</c:v>
                </c:pt>
                <c:pt idx="92">
                  <c:v>6898</c:v>
                </c:pt>
                <c:pt idx="94">
                  <c:v>0</c:v>
                </c:pt>
                <c:pt idx="95">
                  <c:v>6900</c:v>
                </c:pt>
                <c:pt idx="96">
                  <c:v>6896</c:v>
                </c:pt>
                <c:pt idx="97">
                  <c:v>6887</c:v>
                </c:pt>
                <c:pt idx="98">
                  <c:v>0</c:v>
                </c:pt>
                <c:pt idx="99">
                  <c:v>6889</c:v>
                </c:pt>
                <c:pt idx="100">
                  <c:v>6899</c:v>
                </c:pt>
                <c:pt idx="101">
                  <c:v>6890</c:v>
                </c:pt>
                <c:pt idx="102">
                  <c:v>0</c:v>
                </c:pt>
                <c:pt idx="103">
                  <c:v>6901</c:v>
                </c:pt>
                <c:pt idx="104">
                  <c:v>0</c:v>
                </c:pt>
                <c:pt idx="105">
                  <c:v>6894</c:v>
                </c:pt>
                <c:pt idx="106">
                  <c:v>6892</c:v>
                </c:pt>
                <c:pt idx="107">
                  <c:v>0</c:v>
                </c:pt>
              </c:numCache>
            </c:numRef>
          </c:val>
          <c:extLst>
            <c:ext xmlns:c16="http://schemas.microsoft.com/office/drawing/2014/chart" uri="{C3380CC4-5D6E-409C-BE32-E72D297353CC}">
              <c16:uniqueId val="{0000000E-E202-4AED-9199-3EBE56CAA23C}"/>
            </c:ext>
          </c:extLst>
        </c:ser>
        <c:ser>
          <c:idx val="15"/>
          <c:order val="15"/>
          <c:tx>
            <c:strRef>
              <c:f>JUNIO!$P$1</c:f>
              <c:strCache>
                <c:ptCount val="1"/>
                <c:pt idx="0">
                  <c:v>COT.</c:v>
                </c:pt>
              </c:strCache>
            </c:strRef>
          </c:tx>
          <c:spPr>
            <a:solidFill>
              <a:schemeClr val="accent4">
                <a:lumMod val="80000"/>
                <a:lumOff val="20000"/>
              </a:schemeClr>
            </a:solidFill>
            <a:ln>
              <a:noFill/>
            </a:ln>
            <a:effectLst/>
          </c:spPr>
          <c:invertIfNegative val="0"/>
          <c:val>
            <c:numRef>
              <c:f>JUNIO!$P$2:$P$109</c:f>
              <c:numCache>
                <c:formatCode>General</c:formatCode>
                <c:ptCount val="108"/>
                <c:pt idx="0">
                  <c:v>9172</c:v>
                </c:pt>
                <c:pt idx="1">
                  <c:v>0</c:v>
                </c:pt>
                <c:pt idx="2">
                  <c:v>0</c:v>
                </c:pt>
                <c:pt idx="3">
                  <c:v>0</c:v>
                </c:pt>
                <c:pt idx="4">
                  <c:v>9088</c:v>
                </c:pt>
                <c:pt idx="5">
                  <c:v>0</c:v>
                </c:pt>
                <c:pt idx="6">
                  <c:v>9186</c:v>
                </c:pt>
                <c:pt idx="7">
                  <c:v>0</c:v>
                </c:pt>
                <c:pt idx="8">
                  <c:v>9179</c:v>
                </c:pt>
                <c:pt idx="9">
                  <c:v>0</c:v>
                </c:pt>
                <c:pt idx="10">
                  <c:v>9162</c:v>
                </c:pt>
                <c:pt idx="11">
                  <c:v>0</c:v>
                </c:pt>
                <c:pt idx="12">
                  <c:v>9185</c:v>
                </c:pt>
                <c:pt idx="13">
                  <c:v>9160</c:v>
                </c:pt>
                <c:pt idx="14">
                  <c:v>8807</c:v>
                </c:pt>
                <c:pt idx="15">
                  <c:v>9133</c:v>
                </c:pt>
                <c:pt idx="16">
                  <c:v>9181</c:v>
                </c:pt>
                <c:pt idx="17">
                  <c:v>9091</c:v>
                </c:pt>
                <c:pt idx="18">
                  <c:v>0</c:v>
                </c:pt>
                <c:pt idx="19">
                  <c:v>0</c:v>
                </c:pt>
                <c:pt idx="20">
                  <c:v>0</c:v>
                </c:pt>
                <c:pt idx="21">
                  <c:v>9166</c:v>
                </c:pt>
                <c:pt idx="22">
                  <c:v>9182</c:v>
                </c:pt>
                <c:pt idx="23">
                  <c:v>9205</c:v>
                </c:pt>
                <c:pt idx="24">
                  <c:v>0</c:v>
                </c:pt>
                <c:pt idx="25">
                  <c:v>8953</c:v>
                </c:pt>
                <c:pt idx="26">
                  <c:v>0</c:v>
                </c:pt>
                <c:pt idx="27">
                  <c:v>9151</c:v>
                </c:pt>
                <c:pt idx="28">
                  <c:v>9110</c:v>
                </c:pt>
                <c:pt idx="29">
                  <c:v>0</c:v>
                </c:pt>
                <c:pt idx="30">
                  <c:v>9068</c:v>
                </c:pt>
                <c:pt idx="31">
                  <c:v>9217</c:v>
                </c:pt>
                <c:pt idx="32">
                  <c:v>9037</c:v>
                </c:pt>
                <c:pt idx="33">
                  <c:v>9201</c:v>
                </c:pt>
                <c:pt idx="34">
                  <c:v>9191</c:v>
                </c:pt>
                <c:pt idx="35">
                  <c:v>0</c:v>
                </c:pt>
                <c:pt idx="36">
                  <c:v>0</c:v>
                </c:pt>
                <c:pt idx="37">
                  <c:v>0</c:v>
                </c:pt>
                <c:pt idx="38">
                  <c:v>0</c:v>
                </c:pt>
                <c:pt idx="39">
                  <c:v>9206</c:v>
                </c:pt>
                <c:pt idx="40">
                  <c:v>9219</c:v>
                </c:pt>
                <c:pt idx="41">
                  <c:v>9144</c:v>
                </c:pt>
                <c:pt idx="42">
                  <c:v>9210</c:v>
                </c:pt>
                <c:pt idx="43">
                  <c:v>9035</c:v>
                </c:pt>
                <c:pt idx="44">
                  <c:v>0</c:v>
                </c:pt>
                <c:pt idx="45">
                  <c:v>9032</c:v>
                </c:pt>
                <c:pt idx="46">
                  <c:v>9238</c:v>
                </c:pt>
                <c:pt idx="47">
                  <c:v>9132</c:v>
                </c:pt>
                <c:pt idx="48">
                  <c:v>0</c:v>
                </c:pt>
                <c:pt idx="49">
                  <c:v>9105</c:v>
                </c:pt>
                <c:pt idx="50">
                  <c:v>9107</c:v>
                </c:pt>
                <c:pt idx="51">
                  <c:v>9141</c:v>
                </c:pt>
                <c:pt idx="52">
                  <c:v>0</c:v>
                </c:pt>
                <c:pt idx="53">
                  <c:v>0</c:v>
                </c:pt>
                <c:pt idx="54">
                  <c:v>0</c:v>
                </c:pt>
                <c:pt idx="55">
                  <c:v>0</c:v>
                </c:pt>
                <c:pt idx="56">
                  <c:v>9250</c:v>
                </c:pt>
                <c:pt idx="57">
                  <c:v>0</c:v>
                </c:pt>
                <c:pt idx="58">
                  <c:v>9247</c:v>
                </c:pt>
                <c:pt idx="59">
                  <c:v>0</c:v>
                </c:pt>
                <c:pt idx="60">
                  <c:v>0</c:v>
                </c:pt>
                <c:pt idx="61">
                  <c:v>9226</c:v>
                </c:pt>
                <c:pt idx="62">
                  <c:v>9260</c:v>
                </c:pt>
                <c:pt idx="63">
                  <c:v>9239</c:v>
                </c:pt>
                <c:pt idx="64">
                  <c:v>0</c:v>
                </c:pt>
                <c:pt idx="65">
                  <c:v>8700</c:v>
                </c:pt>
                <c:pt idx="66">
                  <c:v>8966</c:v>
                </c:pt>
                <c:pt idx="67">
                  <c:v>9287</c:v>
                </c:pt>
                <c:pt idx="68">
                  <c:v>0</c:v>
                </c:pt>
                <c:pt idx="69">
                  <c:v>9310</c:v>
                </c:pt>
                <c:pt idx="70">
                  <c:v>8812</c:v>
                </c:pt>
                <c:pt idx="71">
                  <c:v>0</c:v>
                </c:pt>
                <c:pt idx="72">
                  <c:v>0</c:v>
                </c:pt>
                <c:pt idx="73">
                  <c:v>0</c:v>
                </c:pt>
                <c:pt idx="74">
                  <c:v>0</c:v>
                </c:pt>
                <c:pt idx="75">
                  <c:v>0</c:v>
                </c:pt>
                <c:pt idx="76">
                  <c:v>0</c:v>
                </c:pt>
                <c:pt idx="77">
                  <c:v>0</c:v>
                </c:pt>
                <c:pt idx="78">
                  <c:v>9314</c:v>
                </c:pt>
                <c:pt idx="79">
                  <c:v>0</c:v>
                </c:pt>
                <c:pt idx="80">
                  <c:v>0</c:v>
                </c:pt>
                <c:pt idx="81">
                  <c:v>9083</c:v>
                </c:pt>
                <c:pt idx="82">
                  <c:v>9322</c:v>
                </c:pt>
                <c:pt idx="83">
                  <c:v>9317</c:v>
                </c:pt>
                <c:pt idx="84">
                  <c:v>9256</c:v>
                </c:pt>
                <c:pt idx="85">
                  <c:v>9318</c:v>
                </c:pt>
                <c:pt idx="86">
                  <c:v>0</c:v>
                </c:pt>
                <c:pt idx="87">
                  <c:v>0</c:v>
                </c:pt>
                <c:pt idx="88">
                  <c:v>9328</c:v>
                </c:pt>
                <c:pt idx="89">
                  <c:v>0</c:v>
                </c:pt>
                <c:pt idx="90">
                  <c:v>8948</c:v>
                </c:pt>
                <c:pt idx="91">
                  <c:v>0</c:v>
                </c:pt>
                <c:pt idx="92">
                  <c:v>9262</c:v>
                </c:pt>
                <c:pt idx="94">
                  <c:v>0</c:v>
                </c:pt>
                <c:pt idx="95">
                  <c:v>9320</c:v>
                </c:pt>
                <c:pt idx="96">
                  <c:v>9273</c:v>
                </c:pt>
                <c:pt idx="97">
                  <c:v>9333</c:v>
                </c:pt>
                <c:pt idx="98">
                  <c:v>0</c:v>
                </c:pt>
                <c:pt idx="99">
                  <c:v>0</c:v>
                </c:pt>
                <c:pt idx="100">
                  <c:v>9332</c:v>
                </c:pt>
                <c:pt idx="101">
                  <c:v>0</c:v>
                </c:pt>
                <c:pt idx="102">
                  <c:v>0</c:v>
                </c:pt>
                <c:pt idx="103">
                  <c:v>9278</c:v>
                </c:pt>
                <c:pt idx="104">
                  <c:v>9279</c:v>
                </c:pt>
                <c:pt idx="105">
                  <c:v>9338</c:v>
                </c:pt>
                <c:pt idx="106">
                  <c:v>0</c:v>
                </c:pt>
                <c:pt idx="107">
                  <c:v>9347</c:v>
                </c:pt>
              </c:numCache>
            </c:numRef>
          </c:val>
          <c:extLst>
            <c:ext xmlns:c16="http://schemas.microsoft.com/office/drawing/2014/chart" uri="{C3380CC4-5D6E-409C-BE32-E72D297353CC}">
              <c16:uniqueId val="{0000000F-E202-4AED-9199-3EBE56CAA23C}"/>
            </c:ext>
          </c:extLst>
        </c:ser>
        <c:ser>
          <c:idx val="16"/>
          <c:order val="16"/>
          <c:tx>
            <c:strRef>
              <c:f>JUNIO!$Q$1</c:f>
              <c:strCache>
                <c:ptCount val="1"/>
                <c:pt idx="0">
                  <c:v>TM</c:v>
                </c:pt>
              </c:strCache>
            </c:strRef>
          </c:tx>
          <c:spPr>
            <a:solidFill>
              <a:schemeClr val="accent5">
                <a:lumMod val="80000"/>
                <a:lumOff val="20000"/>
              </a:schemeClr>
            </a:solidFill>
            <a:ln>
              <a:noFill/>
            </a:ln>
            <a:effectLst/>
          </c:spPr>
          <c:invertIfNegative val="0"/>
          <c:val>
            <c:numRef>
              <c:f>JUNIO!$Q$2:$Q$109</c:f>
              <c:numCache>
                <c:formatCode>General</c:formatCode>
                <c:ptCount val="108"/>
                <c:pt idx="0">
                  <c:v>5579</c:v>
                </c:pt>
                <c:pt idx="1">
                  <c:v>0</c:v>
                </c:pt>
                <c:pt idx="2">
                  <c:v>0</c:v>
                </c:pt>
                <c:pt idx="3">
                  <c:v>0</c:v>
                </c:pt>
                <c:pt idx="4">
                  <c:v>0</c:v>
                </c:pt>
                <c:pt idx="5">
                  <c:v>5590</c:v>
                </c:pt>
                <c:pt idx="6">
                  <c:v>0</c:v>
                </c:pt>
                <c:pt idx="7">
                  <c:v>0</c:v>
                </c:pt>
                <c:pt idx="8">
                  <c:v>5585</c:v>
                </c:pt>
                <c:pt idx="9">
                  <c:v>5584</c:v>
                </c:pt>
                <c:pt idx="10">
                  <c:v>5574</c:v>
                </c:pt>
                <c:pt idx="11">
                  <c:v>0</c:v>
                </c:pt>
                <c:pt idx="12">
                  <c:v>5581</c:v>
                </c:pt>
                <c:pt idx="13">
                  <c:v>0</c:v>
                </c:pt>
                <c:pt idx="14">
                  <c:v>0</c:v>
                </c:pt>
                <c:pt idx="15">
                  <c:v>5572</c:v>
                </c:pt>
                <c:pt idx="16">
                  <c:v>5592</c:v>
                </c:pt>
                <c:pt idx="17">
                  <c:v>0</c:v>
                </c:pt>
                <c:pt idx="18">
                  <c:v>0</c:v>
                </c:pt>
                <c:pt idx="19">
                  <c:v>0</c:v>
                </c:pt>
                <c:pt idx="20">
                  <c:v>0</c:v>
                </c:pt>
                <c:pt idx="21">
                  <c:v>5569</c:v>
                </c:pt>
                <c:pt idx="22">
                  <c:v>0</c:v>
                </c:pt>
                <c:pt idx="23">
                  <c:v>0</c:v>
                </c:pt>
                <c:pt idx="24">
                  <c:v>0</c:v>
                </c:pt>
                <c:pt idx="25">
                  <c:v>5594</c:v>
                </c:pt>
                <c:pt idx="26">
                  <c:v>0</c:v>
                </c:pt>
                <c:pt idx="27">
                  <c:v>0</c:v>
                </c:pt>
                <c:pt idx="28">
                  <c:v>0</c:v>
                </c:pt>
                <c:pt idx="29">
                  <c:v>0</c:v>
                </c:pt>
                <c:pt idx="30">
                  <c:v>0</c:v>
                </c:pt>
                <c:pt idx="31">
                  <c:v>5599</c:v>
                </c:pt>
                <c:pt idx="32">
                  <c:v>5582</c:v>
                </c:pt>
                <c:pt idx="33">
                  <c:v>0</c:v>
                </c:pt>
                <c:pt idx="34">
                  <c:v>0</c:v>
                </c:pt>
                <c:pt idx="35">
                  <c:v>0</c:v>
                </c:pt>
                <c:pt idx="36">
                  <c:v>0</c:v>
                </c:pt>
                <c:pt idx="37">
                  <c:v>0</c:v>
                </c:pt>
                <c:pt idx="38">
                  <c:v>5597</c:v>
                </c:pt>
                <c:pt idx="39">
                  <c:v>5588</c:v>
                </c:pt>
                <c:pt idx="40">
                  <c:v>5595</c:v>
                </c:pt>
                <c:pt idx="41">
                  <c:v>5571</c:v>
                </c:pt>
                <c:pt idx="42">
                  <c:v>5593</c:v>
                </c:pt>
                <c:pt idx="43">
                  <c:v>5552</c:v>
                </c:pt>
                <c:pt idx="44">
                  <c:v>0</c:v>
                </c:pt>
                <c:pt idx="45">
                  <c:v>5607</c:v>
                </c:pt>
                <c:pt idx="46">
                  <c:v>0</c:v>
                </c:pt>
                <c:pt idx="47">
                  <c:v>0</c:v>
                </c:pt>
                <c:pt idx="48">
                  <c:v>5602</c:v>
                </c:pt>
                <c:pt idx="49">
                  <c:v>5559</c:v>
                </c:pt>
                <c:pt idx="50">
                  <c:v>0</c:v>
                </c:pt>
                <c:pt idx="51">
                  <c:v>0</c:v>
                </c:pt>
                <c:pt idx="52">
                  <c:v>0</c:v>
                </c:pt>
                <c:pt idx="53">
                  <c:v>0</c:v>
                </c:pt>
                <c:pt idx="54">
                  <c:v>5601</c:v>
                </c:pt>
                <c:pt idx="55">
                  <c:v>0</c:v>
                </c:pt>
                <c:pt idx="56">
                  <c:v>0</c:v>
                </c:pt>
                <c:pt idx="57">
                  <c:v>0</c:v>
                </c:pt>
                <c:pt idx="58">
                  <c:v>0</c:v>
                </c:pt>
                <c:pt idx="59">
                  <c:v>0</c:v>
                </c:pt>
                <c:pt idx="60">
                  <c:v>0</c:v>
                </c:pt>
                <c:pt idx="61">
                  <c:v>0</c:v>
                </c:pt>
                <c:pt idx="62">
                  <c:v>0</c:v>
                </c:pt>
                <c:pt idx="63">
                  <c:v>5605</c:v>
                </c:pt>
                <c:pt idx="64">
                  <c:v>5613</c:v>
                </c:pt>
                <c:pt idx="65">
                  <c:v>5518</c:v>
                </c:pt>
                <c:pt idx="66">
                  <c:v>0</c:v>
                </c:pt>
                <c:pt idx="67">
                  <c:v>5614</c:v>
                </c:pt>
                <c:pt idx="68">
                  <c:v>5578</c:v>
                </c:pt>
                <c:pt idx="69">
                  <c:v>0</c:v>
                </c:pt>
                <c:pt idx="70">
                  <c:v>5610</c:v>
                </c:pt>
                <c:pt idx="71">
                  <c:v>0</c:v>
                </c:pt>
                <c:pt idx="72">
                  <c:v>0</c:v>
                </c:pt>
                <c:pt idx="73">
                  <c:v>0</c:v>
                </c:pt>
                <c:pt idx="74">
                  <c:v>0</c:v>
                </c:pt>
                <c:pt idx="75">
                  <c:v>0</c:v>
                </c:pt>
                <c:pt idx="76">
                  <c:v>9286</c:v>
                </c:pt>
                <c:pt idx="77">
                  <c:v>0</c:v>
                </c:pt>
                <c:pt idx="78">
                  <c:v>0</c:v>
                </c:pt>
                <c:pt idx="79">
                  <c:v>0</c:v>
                </c:pt>
                <c:pt idx="80">
                  <c:v>0</c:v>
                </c:pt>
                <c:pt idx="81">
                  <c:v>0</c:v>
                </c:pt>
                <c:pt idx="82">
                  <c:v>0</c:v>
                </c:pt>
                <c:pt idx="83">
                  <c:v>5623</c:v>
                </c:pt>
                <c:pt idx="84">
                  <c:v>0</c:v>
                </c:pt>
                <c:pt idx="85">
                  <c:v>5618</c:v>
                </c:pt>
                <c:pt idx="86">
                  <c:v>0</c:v>
                </c:pt>
                <c:pt idx="87">
                  <c:v>0</c:v>
                </c:pt>
                <c:pt idx="88">
                  <c:v>0</c:v>
                </c:pt>
                <c:pt idx="89">
                  <c:v>0</c:v>
                </c:pt>
                <c:pt idx="90">
                  <c:v>5619</c:v>
                </c:pt>
                <c:pt idx="91">
                  <c:v>0</c:v>
                </c:pt>
                <c:pt idx="92">
                  <c:v>0</c:v>
                </c:pt>
                <c:pt idx="94">
                  <c:v>0</c:v>
                </c:pt>
                <c:pt idx="95">
                  <c:v>0</c:v>
                </c:pt>
                <c:pt idx="96">
                  <c:v>0</c:v>
                </c:pt>
                <c:pt idx="97">
                  <c:v>0</c:v>
                </c:pt>
                <c:pt idx="98">
                  <c:v>5601</c:v>
                </c:pt>
                <c:pt idx="99">
                  <c:v>0</c:v>
                </c:pt>
                <c:pt idx="100">
                  <c:v>5622</c:v>
                </c:pt>
                <c:pt idx="101">
                  <c:v>0</c:v>
                </c:pt>
                <c:pt idx="102">
                  <c:v>0</c:v>
                </c:pt>
                <c:pt idx="103">
                  <c:v>5609</c:v>
                </c:pt>
                <c:pt idx="104">
                  <c:v>5609</c:v>
                </c:pt>
                <c:pt idx="105">
                  <c:v>5634</c:v>
                </c:pt>
                <c:pt idx="106">
                  <c:v>0</c:v>
                </c:pt>
                <c:pt idx="107">
                  <c:v>0</c:v>
                </c:pt>
              </c:numCache>
            </c:numRef>
          </c:val>
          <c:extLst>
            <c:ext xmlns:c16="http://schemas.microsoft.com/office/drawing/2014/chart" uri="{C3380CC4-5D6E-409C-BE32-E72D297353CC}">
              <c16:uniqueId val="{00000010-E202-4AED-9199-3EBE56CAA23C}"/>
            </c:ext>
          </c:extLst>
        </c:ser>
        <c:ser>
          <c:idx val="17"/>
          <c:order val="17"/>
          <c:tx>
            <c:strRef>
              <c:f>JUNIO!$R$1</c:f>
              <c:strCache>
                <c:ptCount val="1"/>
                <c:pt idx="0">
                  <c:v>MATIZ/PELI/HUA</c:v>
                </c:pt>
              </c:strCache>
            </c:strRef>
          </c:tx>
          <c:spPr>
            <a:solidFill>
              <a:schemeClr val="accent6">
                <a:lumMod val="80000"/>
                <a:lumOff val="20000"/>
              </a:schemeClr>
            </a:solidFill>
            <a:ln>
              <a:noFill/>
            </a:ln>
            <a:effectLst/>
          </c:spPr>
          <c:invertIfNegative val="0"/>
          <c:val>
            <c:numRef>
              <c:f>JUNIO!$R$2:$R$109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11-E202-4AED-9199-3EBE56CAA23C}"/>
            </c:ext>
          </c:extLst>
        </c:ser>
        <c:ser>
          <c:idx val="18"/>
          <c:order val="18"/>
          <c:tx>
            <c:strRef>
              <c:f>JUNIO!$S$1</c:f>
              <c:strCache>
                <c:ptCount val="1"/>
                <c:pt idx="0">
                  <c:v>ACARRE</c:v>
                </c:pt>
              </c:strCache>
            </c:strRef>
          </c:tx>
          <c:spPr>
            <a:solidFill>
              <a:schemeClr val="accent1">
                <a:lumMod val="80000"/>
              </a:schemeClr>
            </a:solidFill>
            <a:ln>
              <a:noFill/>
            </a:ln>
            <a:effectLst/>
          </c:spPr>
          <c:invertIfNegative val="0"/>
          <c:val>
            <c:numRef>
              <c:f>JUNIO!$S$2:$S$109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12-E202-4AED-9199-3EBE56CAA23C}"/>
            </c:ext>
          </c:extLst>
        </c:ser>
        <c:ser>
          <c:idx val="19"/>
          <c:order val="19"/>
          <c:tx>
            <c:strRef>
              <c:f>JUNIO!$T$1</c:f>
              <c:strCache>
                <c:ptCount val="1"/>
                <c:pt idx="0">
                  <c:v>INST.</c:v>
                </c:pt>
              </c:strCache>
            </c:strRef>
          </c:tx>
          <c:spPr>
            <a:solidFill>
              <a:schemeClr val="accent2">
                <a:lumMod val="80000"/>
              </a:schemeClr>
            </a:solidFill>
            <a:ln>
              <a:noFill/>
            </a:ln>
            <a:effectLst/>
          </c:spPr>
          <c:invertIfNegative val="0"/>
          <c:val>
            <c:numRef>
              <c:f>JUNIO!$T$2:$T$109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13-E202-4AED-9199-3EBE56CAA23C}"/>
            </c:ext>
          </c:extLst>
        </c:ser>
        <c:ser>
          <c:idx val="20"/>
          <c:order val="20"/>
          <c:tx>
            <c:strRef>
              <c:f>JUNIO!$U$1</c:f>
              <c:strCache>
                <c:ptCount val="1"/>
                <c:pt idx="0">
                  <c:v>SERVICIO</c:v>
                </c:pt>
              </c:strCache>
            </c:strRef>
          </c:tx>
          <c:spPr>
            <a:solidFill>
              <a:schemeClr val="accent3">
                <a:lumMod val="80000"/>
              </a:schemeClr>
            </a:solidFill>
            <a:ln>
              <a:noFill/>
            </a:ln>
            <a:effectLst/>
          </c:spPr>
          <c:invertIfNegative val="0"/>
          <c:val>
            <c:numRef>
              <c:f>JUNIO!$U$2:$U$109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14-E202-4AED-9199-3EBE56CAA23C}"/>
            </c:ext>
          </c:extLst>
        </c:ser>
        <c:ser>
          <c:idx val="21"/>
          <c:order val="21"/>
          <c:tx>
            <c:strRef>
              <c:f>JUNIO!$V$1</c:f>
              <c:strCache>
                <c:ptCount val="1"/>
                <c:pt idx="0">
                  <c:v>ASESOR</c:v>
                </c:pt>
              </c:strCache>
            </c:strRef>
          </c:tx>
          <c:spPr>
            <a:solidFill>
              <a:schemeClr val="accent4">
                <a:lumMod val="80000"/>
              </a:schemeClr>
            </a:solidFill>
            <a:ln>
              <a:noFill/>
            </a:ln>
            <a:effectLst/>
          </c:spPr>
          <c:invertIfNegative val="0"/>
          <c:val>
            <c:numRef>
              <c:f>JUNIO!$V$2:$V$109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15-E202-4AED-9199-3EBE56CAA23C}"/>
            </c:ext>
          </c:extLst>
        </c:ser>
        <c:ser>
          <c:idx val="22"/>
          <c:order val="22"/>
          <c:tx>
            <c:strRef>
              <c:f>JUNIO!$W$1</c:f>
              <c:strCache>
                <c:ptCount val="1"/>
                <c:pt idx="0">
                  <c:v>PEDIDO LIBERADO</c:v>
                </c:pt>
              </c:strCache>
            </c:strRef>
          </c:tx>
          <c:spPr>
            <a:solidFill>
              <a:schemeClr val="accent5">
                <a:lumMod val="80000"/>
              </a:schemeClr>
            </a:solidFill>
            <a:ln>
              <a:noFill/>
            </a:ln>
            <a:effectLst/>
          </c:spPr>
          <c:invertIfNegative val="0"/>
          <c:val>
            <c:numRef>
              <c:f>JUNIO!$W$2:$W$109</c:f>
              <c:numCache>
                <c:formatCode>d\-mmm\-yy</c:formatCode>
                <c:ptCount val="108"/>
                <c:pt idx="0">
                  <c:v>45834</c:v>
                </c:pt>
                <c:pt idx="1">
                  <c:v>45822</c:v>
                </c:pt>
                <c:pt idx="2">
                  <c:v>45817</c:v>
                </c:pt>
                <c:pt idx="3">
                  <c:v>45820</c:v>
                </c:pt>
                <c:pt idx="4">
                  <c:v>45820</c:v>
                </c:pt>
                <c:pt idx="5">
                  <c:v>45820</c:v>
                </c:pt>
                <c:pt idx="6">
                  <c:v>45822</c:v>
                </c:pt>
                <c:pt idx="7">
                  <c:v>45817</c:v>
                </c:pt>
                <c:pt idx="8">
                  <c:v>45841</c:v>
                </c:pt>
                <c:pt idx="9">
                  <c:v>45822</c:v>
                </c:pt>
                <c:pt idx="10">
                  <c:v>45820</c:v>
                </c:pt>
                <c:pt idx="11">
                  <c:v>45825</c:v>
                </c:pt>
                <c:pt idx="12">
                  <c:v>45825</c:v>
                </c:pt>
                <c:pt idx="13">
                  <c:v>45820</c:v>
                </c:pt>
                <c:pt idx="14">
                  <c:v>45833</c:v>
                </c:pt>
                <c:pt idx="15">
                  <c:v>45822</c:v>
                </c:pt>
                <c:pt idx="16">
                  <c:v>45833</c:v>
                </c:pt>
                <c:pt idx="17">
                  <c:v>45824</c:v>
                </c:pt>
                <c:pt idx="18">
                  <c:v>45839</c:v>
                </c:pt>
                <c:pt idx="19">
                  <c:v>45825</c:v>
                </c:pt>
                <c:pt idx="20">
                  <c:v>45825</c:v>
                </c:pt>
                <c:pt idx="21">
                  <c:v>45839</c:v>
                </c:pt>
                <c:pt idx="23">
                  <c:v>45825</c:v>
                </c:pt>
                <c:pt idx="24">
                  <c:v>45822</c:v>
                </c:pt>
                <c:pt idx="25">
                  <c:v>45827</c:v>
                </c:pt>
                <c:pt idx="26">
                  <c:v>45827</c:v>
                </c:pt>
                <c:pt idx="29">
                  <c:v>45825</c:v>
                </c:pt>
                <c:pt idx="30">
                  <c:v>45827</c:v>
                </c:pt>
                <c:pt idx="31">
                  <c:v>45825</c:v>
                </c:pt>
                <c:pt idx="32">
                  <c:v>45833</c:v>
                </c:pt>
                <c:pt idx="33">
                  <c:v>45825</c:v>
                </c:pt>
                <c:pt idx="34">
                  <c:v>45822</c:v>
                </c:pt>
                <c:pt idx="35">
                  <c:v>45827</c:v>
                </c:pt>
                <c:pt idx="36">
                  <c:v>45827</c:v>
                </c:pt>
                <c:pt idx="37">
                  <c:v>45825</c:v>
                </c:pt>
                <c:pt idx="40">
                  <c:v>45834</c:v>
                </c:pt>
                <c:pt idx="41">
                  <c:v>45820</c:v>
                </c:pt>
                <c:pt idx="42">
                  <c:v>45839</c:v>
                </c:pt>
                <c:pt idx="43">
                  <c:v>45826</c:v>
                </c:pt>
                <c:pt idx="44">
                  <c:v>45804</c:v>
                </c:pt>
                <c:pt idx="45">
                  <c:v>45833</c:v>
                </c:pt>
                <c:pt idx="46">
                  <c:v>45839</c:v>
                </c:pt>
                <c:pt idx="48">
                  <c:v>45827</c:v>
                </c:pt>
                <c:pt idx="49">
                  <c:v>45839</c:v>
                </c:pt>
                <c:pt idx="50">
                  <c:v>45827</c:v>
                </c:pt>
                <c:pt idx="51">
                  <c:v>45827</c:v>
                </c:pt>
                <c:pt idx="52">
                  <c:v>45824</c:v>
                </c:pt>
                <c:pt idx="53">
                  <c:v>45833</c:v>
                </c:pt>
                <c:pt idx="54">
                  <c:v>45833</c:v>
                </c:pt>
                <c:pt idx="55">
                  <c:v>45827</c:v>
                </c:pt>
                <c:pt idx="57">
                  <c:v>45833</c:v>
                </c:pt>
                <c:pt idx="59">
                  <c:v>45833</c:v>
                </c:pt>
                <c:pt idx="60">
                  <c:v>45824</c:v>
                </c:pt>
                <c:pt idx="61">
                  <c:v>45825</c:v>
                </c:pt>
                <c:pt idx="62">
                  <c:v>45822</c:v>
                </c:pt>
                <c:pt idx="64">
                  <c:v>45839</c:v>
                </c:pt>
                <c:pt idx="65">
                  <c:v>45849</c:v>
                </c:pt>
                <c:pt idx="66" formatCode="d\-mmm">
                  <c:v>45839</c:v>
                </c:pt>
                <c:pt idx="67" formatCode="d\-mmm">
                  <c:v>45839</c:v>
                </c:pt>
                <c:pt idx="70" formatCode="d\-mmm">
                  <c:v>45845</c:v>
                </c:pt>
                <c:pt idx="71" formatCode="d\-mmm">
                  <c:v>45839</c:v>
                </c:pt>
                <c:pt idx="72" formatCode="d\-mmm">
                  <c:v>45833</c:v>
                </c:pt>
                <c:pt idx="73" formatCode="d\-mmm">
                  <c:v>45839</c:v>
                </c:pt>
                <c:pt idx="74" formatCode="d\-mmm">
                  <c:v>45839</c:v>
                </c:pt>
                <c:pt idx="75" formatCode="d\-mmm">
                  <c:v>45839</c:v>
                </c:pt>
                <c:pt idx="78" formatCode="d\-mmm">
                  <c:v>45839</c:v>
                </c:pt>
                <c:pt idx="80" formatCode="d\-mmm">
                  <c:v>45833</c:v>
                </c:pt>
                <c:pt idx="81" formatCode="d\-mmm">
                  <c:v>45852</c:v>
                </c:pt>
                <c:pt idx="83" formatCode="d\-mmm">
                  <c:v>45847</c:v>
                </c:pt>
                <c:pt idx="84" formatCode="d\-mmm">
                  <c:v>45849</c:v>
                </c:pt>
                <c:pt idx="85" formatCode="d\-mmm">
                  <c:v>45847</c:v>
                </c:pt>
                <c:pt idx="86" formatCode="d\-mmm">
                  <c:v>45847</c:v>
                </c:pt>
                <c:pt idx="87" formatCode="d\-mmm">
                  <c:v>45841</c:v>
                </c:pt>
                <c:pt idx="88" formatCode="m/d/yyyy">
                  <c:v>45833</c:v>
                </c:pt>
                <c:pt idx="89" formatCode="d\-mmm">
                  <c:v>45847</c:v>
                </c:pt>
                <c:pt idx="90" formatCode="d\-mmm">
                  <c:v>45847</c:v>
                </c:pt>
                <c:pt idx="92" formatCode="d\-mmm">
                  <c:v>45841</c:v>
                </c:pt>
                <c:pt idx="94" formatCode="d\-mmm">
                  <c:v>45845</c:v>
                </c:pt>
                <c:pt idx="95" formatCode="d\-mmm">
                  <c:v>45857</c:v>
                </c:pt>
                <c:pt idx="96" formatCode="d\-mmm">
                  <c:v>45847</c:v>
                </c:pt>
                <c:pt idx="99" formatCode="d\-mmm">
                  <c:v>45839</c:v>
                </c:pt>
                <c:pt idx="105" formatCode="d\-mmm">
                  <c:v>45852</c:v>
                </c:pt>
                <c:pt idx="106" formatCode="d\-mmm">
                  <c:v>45839</c:v>
                </c:pt>
                <c:pt idx="107" formatCode="d\-mmm">
                  <c:v>45856</c:v>
                </c:pt>
              </c:numCache>
            </c:numRef>
          </c:val>
          <c:extLst>
            <c:ext xmlns:c16="http://schemas.microsoft.com/office/drawing/2014/chart" uri="{C3380CC4-5D6E-409C-BE32-E72D297353CC}">
              <c16:uniqueId val="{00000016-E202-4AED-9199-3EBE56CAA23C}"/>
            </c:ext>
          </c:extLst>
        </c:ser>
        <c:ser>
          <c:idx val="23"/>
          <c:order val="23"/>
          <c:tx>
            <c:strRef>
              <c:f>JUNIO!$X$1</c:f>
              <c:strCache>
                <c:ptCount val="1"/>
                <c:pt idx="0">
                  <c:v>FECHA DE INST/ENTR.</c:v>
                </c:pt>
              </c:strCache>
            </c:strRef>
          </c:tx>
          <c:spPr>
            <a:solidFill>
              <a:schemeClr val="accent6">
                <a:lumMod val="80000"/>
              </a:schemeClr>
            </a:solidFill>
            <a:ln>
              <a:noFill/>
            </a:ln>
            <a:effectLst/>
          </c:spPr>
          <c:invertIfNegative val="0"/>
          <c:val>
            <c:numRef>
              <c:f>JUNIO!$X$2:$X$109</c:f>
              <c:numCache>
                <c:formatCode>d\-mmm\-yy</c:formatCode>
                <c:ptCount val="108"/>
                <c:pt idx="0">
                  <c:v>45834</c:v>
                </c:pt>
                <c:pt idx="1">
                  <c:v>45824</c:v>
                </c:pt>
                <c:pt idx="2">
                  <c:v>45819</c:v>
                </c:pt>
                <c:pt idx="4">
                  <c:v>45826</c:v>
                </c:pt>
                <c:pt idx="5">
                  <c:v>45824</c:v>
                </c:pt>
                <c:pt idx="6">
                  <c:v>45833</c:v>
                </c:pt>
                <c:pt idx="7">
                  <c:v>45821</c:v>
                </c:pt>
                <c:pt idx="8">
                  <c:v>45850</c:v>
                </c:pt>
                <c:pt idx="9">
                  <c:v>45827</c:v>
                </c:pt>
                <c:pt idx="11">
                  <c:v>45825</c:v>
                </c:pt>
                <c:pt idx="12">
                  <c:v>45825</c:v>
                </c:pt>
                <c:pt idx="13">
                  <c:v>45821</c:v>
                </c:pt>
                <c:pt idx="14" formatCode="d\-mmm">
                  <c:v>45834</c:v>
                </c:pt>
                <c:pt idx="15" formatCode="d\-mmm">
                  <c:v>45824</c:v>
                </c:pt>
                <c:pt idx="16" formatCode="d\-mmm">
                  <c:v>45835</c:v>
                </c:pt>
                <c:pt idx="17" formatCode="d\-mmm">
                  <c:v>45826</c:v>
                </c:pt>
                <c:pt idx="18" formatCode="d\-mmm">
                  <c:v>45840</c:v>
                </c:pt>
                <c:pt idx="19" formatCode="m/d/yyyy">
                  <c:v>45829</c:v>
                </c:pt>
                <c:pt idx="21" formatCode="d\-mmm">
                  <c:v>45840</c:v>
                </c:pt>
                <c:pt idx="22">
                  <c:v>45812</c:v>
                </c:pt>
                <c:pt idx="23">
                  <c:v>45827</c:v>
                </c:pt>
                <c:pt idx="24">
                  <c:v>45825</c:v>
                </c:pt>
                <c:pt idx="25">
                  <c:v>45832</c:v>
                </c:pt>
                <c:pt idx="26">
                  <c:v>45829</c:v>
                </c:pt>
                <c:pt idx="27">
                  <c:v>45821</c:v>
                </c:pt>
                <c:pt idx="28">
                  <c:v>45834</c:v>
                </c:pt>
                <c:pt idx="29">
                  <c:v>45826</c:v>
                </c:pt>
                <c:pt idx="30">
                  <c:v>45835</c:v>
                </c:pt>
                <c:pt idx="31">
                  <c:v>45832</c:v>
                </c:pt>
                <c:pt idx="32">
                  <c:v>45834</c:v>
                </c:pt>
                <c:pt idx="33">
                  <c:v>45845</c:v>
                </c:pt>
                <c:pt idx="34">
                  <c:v>45824</c:v>
                </c:pt>
                <c:pt idx="35">
                  <c:v>45829</c:v>
                </c:pt>
                <c:pt idx="36">
                  <c:v>45832</c:v>
                </c:pt>
                <c:pt idx="39">
                  <c:v>45833</c:v>
                </c:pt>
                <c:pt idx="40">
                  <c:v>45836</c:v>
                </c:pt>
                <c:pt idx="41">
                  <c:v>45821</c:v>
                </c:pt>
                <c:pt idx="42">
                  <c:v>45836</c:v>
                </c:pt>
                <c:pt idx="44">
                  <c:v>45804</c:v>
                </c:pt>
                <c:pt idx="46">
                  <c:v>45840</c:v>
                </c:pt>
                <c:pt idx="48">
                  <c:v>45834</c:v>
                </c:pt>
                <c:pt idx="49">
                  <c:v>45839</c:v>
                </c:pt>
                <c:pt idx="50">
                  <c:v>45832</c:v>
                </c:pt>
                <c:pt idx="51">
                  <c:v>45827</c:v>
                </c:pt>
                <c:pt idx="52">
                  <c:v>45824</c:v>
                </c:pt>
                <c:pt idx="53">
                  <c:v>45834</c:v>
                </c:pt>
                <c:pt idx="54">
                  <c:v>45834</c:v>
                </c:pt>
                <c:pt idx="55">
                  <c:v>45843</c:v>
                </c:pt>
                <c:pt idx="56">
                  <c:v>0</c:v>
                </c:pt>
                <c:pt idx="57">
                  <c:v>45834</c:v>
                </c:pt>
                <c:pt idx="58">
                  <c:v>45833</c:v>
                </c:pt>
                <c:pt idx="59">
                  <c:v>45845</c:v>
                </c:pt>
                <c:pt idx="60">
                  <c:v>45832</c:v>
                </c:pt>
                <c:pt idx="61">
                  <c:v>45825</c:v>
                </c:pt>
                <c:pt idx="62">
                  <c:v>45822</c:v>
                </c:pt>
                <c:pt idx="64">
                  <c:v>45843</c:v>
                </c:pt>
                <c:pt idx="65">
                  <c:v>45857</c:v>
                </c:pt>
                <c:pt idx="66">
                  <c:v>45842</c:v>
                </c:pt>
                <c:pt idx="67">
                  <c:v>45839</c:v>
                </c:pt>
                <c:pt idx="69">
                  <c:v>45828</c:v>
                </c:pt>
                <c:pt idx="70">
                  <c:v>45856</c:v>
                </c:pt>
                <c:pt idx="71">
                  <c:v>45842</c:v>
                </c:pt>
                <c:pt idx="72">
                  <c:v>45833</c:v>
                </c:pt>
                <c:pt idx="73">
                  <c:v>45845</c:v>
                </c:pt>
                <c:pt idx="74">
                  <c:v>45839</c:v>
                </c:pt>
                <c:pt idx="75">
                  <c:v>45841</c:v>
                </c:pt>
                <c:pt idx="76">
                  <c:v>45825</c:v>
                </c:pt>
                <c:pt idx="77">
                  <c:v>45826</c:v>
                </c:pt>
                <c:pt idx="78">
                  <c:v>45840</c:v>
                </c:pt>
                <c:pt idx="80">
                  <c:v>45832</c:v>
                </c:pt>
                <c:pt idx="83">
                  <c:v>45853</c:v>
                </c:pt>
                <c:pt idx="84">
                  <c:v>45849</c:v>
                </c:pt>
                <c:pt idx="85">
                  <c:v>45852</c:v>
                </c:pt>
                <c:pt idx="86">
                  <c:v>45850</c:v>
                </c:pt>
                <c:pt idx="87">
                  <c:v>45847</c:v>
                </c:pt>
                <c:pt idx="88">
                  <c:v>45834</c:v>
                </c:pt>
                <c:pt idx="89">
                  <c:v>45847</c:v>
                </c:pt>
                <c:pt idx="90">
                  <c:v>45847</c:v>
                </c:pt>
                <c:pt idx="91">
                  <c:v>45845</c:v>
                </c:pt>
                <c:pt idx="92">
                  <c:v>45842</c:v>
                </c:pt>
                <c:pt idx="94">
                  <c:v>45847</c:v>
                </c:pt>
                <c:pt idx="95">
                  <c:v>45859</c:v>
                </c:pt>
                <c:pt idx="96">
                  <c:v>45849</c:v>
                </c:pt>
                <c:pt idx="99">
                  <c:v>45839</c:v>
                </c:pt>
                <c:pt idx="102">
                  <c:v>45833</c:v>
                </c:pt>
                <c:pt idx="105">
                  <c:v>45852</c:v>
                </c:pt>
                <c:pt idx="106">
                  <c:v>45842</c:v>
                </c:pt>
                <c:pt idx="107">
                  <c:v>45859</c:v>
                </c:pt>
              </c:numCache>
            </c:numRef>
          </c:val>
          <c:extLst>
            <c:ext xmlns:c16="http://schemas.microsoft.com/office/drawing/2014/chart" uri="{C3380CC4-5D6E-409C-BE32-E72D297353CC}">
              <c16:uniqueId val="{00000017-E202-4AED-9199-3EBE56CAA23C}"/>
            </c:ext>
          </c:extLst>
        </c:ser>
        <c:ser>
          <c:idx val="24"/>
          <c:order val="24"/>
          <c:tx>
            <c:strRef>
              <c:f>JUNIO!$Y$1</c:f>
              <c:strCache>
                <c:ptCount val="1"/>
                <c:pt idx="0">
                  <c:v>Dias de Cumplimiento de pedido </c:v>
                </c:pt>
              </c:strCache>
            </c:strRef>
          </c:tx>
          <c:spPr>
            <a:solidFill>
              <a:schemeClr val="accent1">
                <a:lumMod val="60000"/>
                <a:lumOff val="40000"/>
              </a:schemeClr>
            </a:solidFill>
            <a:ln>
              <a:noFill/>
            </a:ln>
            <a:effectLst/>
          </c:spPr>
          <c:invertIfNegative val="0"/>
          <c:val>
            <c:numRef>
              <c:f>JUNIO!$Y$2:$Y$109</c:f>
            </c:numRef>
          </c:val>
          <c:extLst>
            <c:ext xmlns:c16="http://schemas.microsoft.com/office/drawing/2014/chart" uri="{C3380CC4-5D6E-409C-BE32-E72D297353CC}">
              <c16:uniqueId val="{00000018-E202-4AED-9199-3EBE56CAA23C}"/>
            </c:ext>
          </c:extLst>
        </c:ser>
        <c:ser>
          <c:idx val="25"/>
          <c:order val="25"/>
          <c:tx>
            <c:strRef>
              <c:f>JUNIO!$Z$1</c:f>
              <c:strCache>
                <c:ptCount val="1"/>
                <c:pt idx="0">
                  <c:v>ESTADO DE PEDIDO</c:v>
                </c:pt>
              </c:strCache>
            </c:strRef>
          </c:tx>
          <c:spPr>
            <a:solidFill>
              <a:schemeClr val="accent2">
                <a:lumMod val="60000"/>
                <a:lumOff val="40000"/>
              </a:schemeClr>
            </a:solidFill>
            <a:ln>
              <a:noFill/>
            </a:ln>
            <a:effectLst/>
          </c:spPr>
          <c:invertIfNegative val="0"/>
          <c:val>
            <c:numRef>
              <c:f>JUNIO!$Z$2:$Z$109</c:f>
              <c:numCache>
                <c:formatCode>0</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19-E202-4AED-9199-3EBE56CAA23C}"/>
            </c:ext>
          </c:extLst>
        </c:ser>
        <c:ser>
          <c:idx val="26"/>
          <c:order val="26"/>
          <c:tx>
            <c:strRef>
              <c:f>JUNIO!$AA$1</c:f>
              <c:strCache>
                <c:ptCount val="1"/>
                <c:pt idx="0">
                  <c:v> PAGO ANTI. </c:v>
                </c:pt>
              </c:strCache>
            </c:strRef>
          </c:tx>
          <c:spPr>
            <a:solidFill>
              <a:schemeClr val="accent3">
                <a:lumMod val="60000"/>
                <a:lumOff val="40000"/>
              </a:schemeClr>
            </a:solidFill>
            <a:ln>
              <a:noFill/>
            </a:ln>
            <a:effectLst/>
          </c:spPr>
          <c:invertIfNegative val="0"/>
          <c:val>
            <c:numRef>
              <c:f>JUNIO!$AA$2:$AA$109</c:f>
              <c:numCache>
                <c:formatCode>_-"$"* #,##0_-;\-"$"* #,##0_-;_-"$"* "-"??_-;_-@_-</c:formatCode>
                <c:ptCount val="108"/>
                <c:pt idx="0">
                  <c:v>0</c:v>
                </c:pt>
                <c:pt idx="1">
                  <c:v>95000</c:v>
                </c:pt>
                <c:pt idx="2">
                  <c:v>178500</c:v>
                </c:pt>
                <c:pt idx="3">
                  <c:v>0</c:v>
                </c:pt>
                <c:pt idx="4">
                  <c:v>0</c:v>
                </c:pt>
                <c:pt idx="5">
                  <c:v>0</c:v>
                </c:pt>
                <c:pt idx="6">
                  <c:v>0</c:v>
                </c:pt>
                <c:pt idx="7">
                  <c:v>250000</c:v>
                </c:pt>
                <c:pt idx="8">
                  <c:v>0</c:v>
                </c:pt>
                <c:pt idx="9">
                  <c:v>0</c:v>
                </c:pt>
                <c:pt idx="10">
                  <c:v>0</c:v>
                </c:pt>
                <c:pt idx="11">
                  <c:v>0</c:v>
                </c:pt>
                <c:pt idx="12">
                  <c:v>256238</c:v>
                </c:pt>
                <c:pt idx="13">
                  <c:v>150834</c:v>
                </c:pt>
                <c:pt idx="14">
                  <c:v>773547</c:v>
                </c:pt>
                <c:pt idx="15">
                  <c:v>0</c:v>
                </c:pt>
                <c:pt idx="16">
                  <c:v>0</c:v>
                </c:pt>
                <c:pt idx="17">
                  <c:v>0</c:v>
                </c:pt>
                <c:pt idx="18">
                  <c:v>625000</c:v>
                </c:pt>
                <c:pt idx="19">
                  <c:v>0</c:v>
                </c:pt>
                <c:pt idx="20">
                  <c:v>0</c:v>
                </c:pt>
                <c:pt idx="21">
                  <c:v>0</c:v>
                </c:pt>
                <c:pt idx="22">
                  <c:v>0</c:v>
                </c:pt>
                <c:pt idx="23">
                  <c:v>0</c:v>
                </c:pt>
                <c:pt idx="24">
                  <c:v>0</c:v>
                </c:pt>
                <c:pt idx="25">
                  <c:v>0</c:v>
                </c:pt>
                <c:pt idx="26">
                  <c:v>98824</c:v>
                </c:pt>
                <c:pt idx="27">
                  <c:v>0</c:v>
                </c:pt>
                <c:pt idx="28">
                  <c:v>0</c:v>
                </c:pt>
                <c:pt idx="29">
                  <c:v>16000</c:v>
                </c:pt>
                <c:pt idx="30">
                  <c:v>1500000</c:v>
                </c:pt>
                <c:pt idx="31">
                  <c:v>0</c:v>
                </c:pt>
                <c:pt idx="32">
                  <c:v>0</c:v>
                </c:pt>
                <c:pt idx="33">
                  <c:v>0</c:v>
                </c:pt>
                <c:pt idx="34">
                  <c:v>0</c:v>
                </c:pt>
                <c:pt idx="35">
                  <c:v>660000</c:v>
                </c:pt>
                <c:pt idx="36">
                  <c:v>600000</c:v>
                </c:pt>
                <c:pt idx="37">
                  <c:v>0</c:v>
                </c:pt>
                <c:pt idx="38">
                  <c:v>0</c:v>
                </c:pt>
                <c:pt idx="39">
                  <c:v>0</c:v>
                </c:pt>
                <c:pt idx="40">
                  <c:v>0</c:v>
                </c:pt>
                <c:pt idx="41">
                  <c:v>0</c:v>
                </c:pt>
                <c:pt idx="42">
                  <c:v>368617</c:v>
                </c:pt>
                <c:pt idx="43">
                  <c:v>0</c:v>
                </c:pt>
                <c:pt idx="44">
                  <c:v>0</c:v>
                </c:pt>
                <c:pt idx="45">
                  <c:v>0</c:v>
                </c:pt>
                <c:pt idx="46">
                  <c:v>0</c:v>
                </c:pt>
                <c:pt idx="47">
                  <c:v>0</c:v>
                </c:pt>
                <c:pt idx="48">
                  <c:v>0</c:v>
                </c:pt>
                <c:pt idx="49">
                  <c:v>0</c:v>
                </c:pt>
                <c:pt idx="50">
                  <c:v>2584759</c:v>
                </c:pt>
                <c:pt idx="51">
                  <c:v>0</c:v>
                </c:pt>
                <c:pt idx="52">
                  <c:v>297500</c:v>
                </c:pt>
                <c:pt idx="53">
                  <c:v>240000</c:v>
                </c:pt>
                <c:pt idx="54">
                  <c:v>0</c:v>
                </c:pt>
                <c:pt idx="55">
                  <c:v>0</c:v>
                </c:pt>
                <c:pt idx="56">
                  <c:v>214200</c:v>
                </c:pt>
                <c:pt idx="57">
                  <c:v>70000</c:v>
                </c:pt>
                <c:pt idx="58">
                  <c:v>1423000</c:v>
                </c:pt>
                <c:pt idx="59">
                  <c:v>180000</c:v>
                </c:pt>
                <c:pt idx="60">
                  <c:v>120000</c:v>
                </c:pt>
                <c:pt idx="61">
                  <c:v>240000</c:v>
                </c:pt>
                <c:pt idx="62">
                  <c:v>232050</c:v>
                </c:pt>
                <c:pt idx="63">
                  <c:v>0</c:v>
                </c:pt>
                <c:pt idx="64">
                  <c:v>0</c:v>
                </c:pt>
                <c:pt idx="65">
                  <c:v>0</c:v>
                </c:pt>
                <c:pt idx="66">
                  <c:v>0</c:v>
                </c:pt>
                <c:pt idx="67">
                  <c:v>0</c:v>
                </c:pt>
                <c:pt idx="68">
                  <c:v>0</c:v>
                </c:pt>
                <c:pt idx="69">
                  <c:v>0</c:v>
                </c:pt>
                <c:pt idx="70">
                  <c:v>0</c:v>
                </c:pt>
                <c:pt idx="71">
                  <c:v>70000</c:v>
                </c:pt>
                <c:pt idx="72">
                  <c:v>0</c:v>
                </c:pt>
                <c:pt idx="74">
                  <c:v>0</c:v>
                </c:pt>
                <c:pt idx="75">
                  <c:v>693940</c:v>
                </c:pt>
                <c:pt idx="76">
                  <c:v>130000</c:v>
                </c:pt>
                <c:pt idx="77">
                  <c:v>0</c:v>
                </c:pt>
                <c:pt idx="78">
                  <c:v>0</c:v>
                </c:pt>
                <c:pt idx="79">
                  <c:v>0</c:v>
                </c:pt>
                <c:pt idx="80">
                  <c:v>0</c:v>
                </c:pt>
                <c:pt idx="81">
                  <c:v>647019</c:v>
                </c:pt>
                <c:pt idx="82">
                  <c:v>0</c:v>
                </c:pt>
                <c:pt idx="83">
                  <c:v>0</c:v>
                </c:pt>
                <c:pt idx="84">
                  <c:v>0</c:v>
                </c:pt>
                <c:pt idx="85">
                  <c:v>0</c:v>
                </c:pt>
                <c:pt idx="86">
                  <c:v>0</c:v>
                </c:pt>
                <c:pt idx="87">
                  <c:v>112000</c:v>
                </c:pt>
                <c:pt idx="88">
                  <c:v>0</c:v>
                </c:pt>
                <c:pt idx="89">
                  <c:v>160000</c:v>
                </c:pt>
                <c:pt idx="90">
                  <c:v>0</c:v>
                </c:pt>
                <c:pt idx="91">
                  <c:v>0</c:v>
                </c:pt>
                <c:pt idx="92">
                  <c:v>0</c:v>
                </c:pt>
                <c:pt idx="93">
                  <c:v>0</c:v>
                </c:pt>
                <c:pt idx="94">
                  <c:v>350000</c:v>
                </c:pt>
                <c:pt idx="95">
                  <c:v>0</c:v>
                </c:pt>
                <c:pt idx="96">
                  <c:v>0</c:v>
                </c:pt>
                <c:pt idx="97">
                  <c:v>0</c:v>
                </c:pt>
                <c:pt idx="98">
                  <c:v>0</c:v>
                </c:pt>
                <c:pt idx="99">
                  <c:v>450000</c:v>
                </c:pt>
                <c:pt idx="100">
                  <c:v>1700103</c:v>
                </c:pt>
                <c:pt idx="101">
                  <c:v>0</c:v>
                </c:pt>
                <c:pt idx="102">
                  <c:v>142800</c:v>
                </c:pt>
                <c:pt idx="103">
                  <c:v>2530000</c:v>
                </c:pt>
                <c:pt idx="104">
                  <c:v>0</c:v>
                </c:pt>
                <c:pt idx="105">
                  <c:v>0</c:v>
                </c:pt>
                <c:pt idx="106">
                  <c:v>0</c:v>
                </c:pt>
                <c:pt idx="107">
                  <c:v>0</c:v>
                </c:pt>
              </c:numCache>
            </c:numRef>
          </c:val>
          <c:extLst>
            <c:ext xmlns:c16="http://schemas.microsoft.com/office/drawing/2014/chart" uri="{C3380CC4-5D6E-409C-BE32-E72D297353CC}">
              <c16:uniqueId val="{0000001A-E202-4AED-9199-3EBE56CAA23C}"/>
            </c:ext>
          </c:extLst>
        </c:ser>
        <c:ser>
          <c:idx val="27"/>
          <c:order val="27"/>
          <c:tx>
            <c:strRef>
              <c:f>JUNIO!$AB$1</c:f>
              <c:strCache>
                <c:ptCount val="1"/>
                <c:pt idx="0">
                  <c:v>FACT(FE)</c:v>
                </c:pt>
              </c:strCache>
            </c:strRef>
          </c:tx>
          <c:spPr>
            <a:solidFill>
              <a:schemeClr val="accent4">
                <a:lumMod val="60000"/>
                <a:lumOff val="40000"/>
              </a:schemeClr>
            </a:solidFill>
            <a:ln>
              <a:noFill/>
            </a:ln>
            <a:effectLst/>
          </c:spPr>
          <c:invertIfNegative val="0"/>
          <c:val>
            <c:numRef>
              <c:f>JUNIO!$AB$2:$AB$109</c:f>
              <c:numCache>
                <c:formatCode>General</c:formatCode>
                <c:ptCount val="108"/>
                <c:pt idx="0">
                  <c:v>6000</c:v>
                </c:pt>
                <c:pt idx="1">
                  <c:v>5959</c:v>
                </c:pt>
                <c:pt idx="2">
                  <c:v>5952</c:v>
                </c:pt>
                <c:pt idx="3">
                  <c:v>5946</c:v>
                </c:pt>
                <c:pt idx="4">
                  <c:v>5951</c:v>
                </c:pt>
                <c:pt idx="5">
                  <c:v>5947</c:v>
                </c:pt>
                <c:pt idx="6">
                  <c:v>5958</c:v>
                </c:pt>
                <c:pt idx="7">
                  <c:v>5932</c:v>
                </c:pt>
                <c:pt idx="8">
                  <c:v>6027</c:v>
                </c:pt>
                <c:pt idx="9">
                  <c:v>5960</c:v>
                </c:pt>
                <c:pt idx="10">
                  <c:v>5990</c:v>
                </c:pt>
                <c:pt idx="11">
                  <c:v>5967</c:v>
                </c:pt>
                <c:pt idx="12">
                  <c:v>5919</c:v>
                </c:pt>
                <c:pt idx="13">
                  <c:v>5949</c:v>
                </c:pt>
                <c:pt idx="14">
                  <c:v>5922</c:v>
                </c:pt>
                <c:pt idx="15">
                  <c:v>5955</c:v>
                </c:pt>
                <c:pt idx="16">
                  <c:v>5961</c:v>
                </c:pt>
                <c:pt idx="17">
                  <c:v>5966</c:v>
                </c:pt>
                <c:pt idx="18">
                  <c:v>5924</c:v>
                </c:pt>
                <c:pt idx="19">
                  <c:v>5980</c:v>
                </c:pt>
                <c:pt idx="21">
                  <c:v>6032</c:v>
                </c:pt>
                <c:pt idx="22">
                  <c:v>5927</c:v>
                </c:pt>
                <c:pt idx="23">
                  <c:v>5977</c:v>
                </c:pt>
                <c:pt idx="24">
                  <c:v>5962</c:v>
                </c:pt>
                <c:pt idx="25">
                  <c:v>6005</c:v>
                </c:pt>
                <c:pt idx="26">
                  <c:v>5989</c:v>
                </c:pt>
                <c:pt idx="27">
                  <c:v>5934</c:v>
                </c:pt>
                <c:pt idx="28">
                  <c:v>0</c:v>
                </c:pt>
                <c:pt idx="29">
                  <c:v>5972</c:v>
                </c:pt>
                <c:pt idx="30">
                  <c:v>5987</c:v>
                </c:pt>
                <c:pt idx="31">
                  <c:v>5978</c:v>
                </c:pt>
                <c:pt idx="32">
                  <c:v>5986</c:v>
                </c:pt>
                <c:pt idx="33">
                  <c:v>5979</c:v>
                </c:pt>
                <c:pt idx="34">
                  <c:v>5964</c:v>
                </c:pt>
                <c:pt idx="35">
                  <c:v>6003</c:v>
                </c:pt>
                <c:pt idx="36">
                  <c:v>5992</c:v>
                </c:pt>
                <c:pt idx="37">
                  <c:v>5970</c:v>
                </c:pt>
                <c:pt idx="38">
                  <c:v>5985</c:v>
                </c:pt>
                <c:pt idx="39">
                  <c:v>5993</c:v>
                </c:pt>
                <c:pt idx="40">
                  <c:v>6014</c:v>
                </c:pt>
                <c:pt idx="41">
                  <c:v>5950</c:v>
                </c:pt>
                <c:pt idx="42">
                  <c:v>5936</c:v>
                </c:pt>
                <c:pt idx="43">
                  <c:v>5976</c:v>
                </c:pt>
                <c:pt idx="44">
                  <c:v>5939</c:v>
                </c:pt>
                <c:pt idx="45">
                  <c:v>6002</c:v>
                </c:pt>
                <c:pt idx="46">
                  <c:v>6033</c:v>
                </c:pt>
                <c:pt idx="47">
                  <c:v>5974</c:v>
                </c:pt>
                <c:pt idx="48">
                  <c:v>5988</c:v>
                </c:pt>
                <c:pt idx="50">
                  <c:v>5990</c:v>
                </c:pt>
                <c:pt idx="51">
                  <c:v>5982</c:v>
                </c:pt>
                <c:pt idx="52">
                  <c:v>5965</c:v>
                </c:pt>
                <c:pt idx="53">
                  <c:v>6008</c:v>
                </c:pt>
                <c:pt idx="54">
                  <c:v>5998</c:v>
                </c:pt>
                <c:pt idx="56">
                  <c:v>5969</c:v>
                </c:pt>
                <c:pt idx="57">
                  <c:v>6007</c:v>
                </c:pt>
                <c:pt idx="58">
                  <c:v>6001</c:v>
                </c:pt>
                <c:pt idx="59">
                  <c:v>6006</c:v>
                </c:pt>
                <c:pt idx="60">
                  <c:v>5954</c:v>
                </c:pt>
                <c:pt idx="61">
                  <c:v>5953</c:v>
                </c:pt>
                <c:pt idx="62">
                  <c:v>5975</c:v>
                </c:pt>
                <c:pt idx="65">
                  <c:v>6076</c:v>
                </c:pt>
                <c:pt idx="67">
                  <c:v>5971</c:v>
                </c:pt>
                <c:pt idx="69">
                  <c:v>6004</c:v>
                </c:pt>
                <c:pt idx="70">
                  <c:v>6064</c:v>
                </c:pt>
                <c:pt idx="71">
                  <c:v>6025</c:v>
                </c:pt>
                <c:pt idx="73">
                  <c:v>6029</c:v>
                </c:pt>
                <c:pt idx="74">
                  <c:v>6017</c:v>
                </c:pt>
                <c:pt idx="75">
                  <c:v>6020</c:v>
                </c:pt>
                <c:pt idx="76">
                  <c:v>5991</c:v>
                </c:pt>
                <c:pt idx="77">
                  <c:v>5983</c:v>
                </c:pt>
                <c:pt idx="78">
                  <c:v>6018</c:v>
                </c:pt>
                <c:pt idx="81">
                  <c:v>5984</c:v>
                </c:pt>
                <c:pt idx="83">
                  <c:v>6013</c:v>
                </c:pt>
                <c:pt idx="84">
                  <c:v>6042</c:v>
                </c:pt>
                <c:pt idx="85">
                  <c:v>6044</c:v>
                </c:pt>
                <c:pt idx="86">
                  <c:v>6046</c:v>
                </c:pt>
                <c:pt idx="87">
                  <c:v>6030</c:v>
                </c:pt>
                <c:pt idx="88">
                  <c:v>5997</c:v>
                </c:pt>
                <c:pt idx="89">
                  <c:v>6047</c:v>
                </c:pt>
                <c:pt idx="90">
                  <c:v>6035</c:v>
                </c:pt>
                <c:pt idx="91">
                  <c:v>6034</c:v>
                </c:pt>
                <c:pt idx="92">
                  <c:v>6024</c:v>
                </c:pt>
                <c:pt idx="94">
                  <c:v>6050</c:v>
                </c:pt>
                <c:pt idx="95">
                  <c:v>6071</c:v>
                </c:pt>
                <c:pt idx="96">
                  <c:v>6483</c:v>
                </c:pt>
                <c:pt idx="99">
                  <c:v>6010</c:v>
                </c:pt>
                <c:pt idx="100">
                  <c:v>6011</c:v>
                </c:pt>
                <c:pt idx="102">
                  <c:v>6012</c:v>
                </c:pt>
                <c:pt idx="103">
                  <c:v>6023</c:v>
                </c:pt>
                <c:pt idx="104">
                  <c:v>6022</c:v>
                </c:pt>
                <c:pt idx="105">
                  <c:v>6059</c:v>
                </c:pt>
                <c:pt idx="107">
                  <c:v>6079</c:v>
                </c:pt>
              </c:numCache>
            </c:numRef>
          </c:val>
          <c:extLst>
            <c:ext xmlns:c16="http://schemas.microsoft.com/office/drawing/2014/chart" uri="{C3380CC4-5D6E-409C-BE32-E72D297353CC}">
              <c16:uniqueId val="{0000001B-E202-4AED-9199-3EBE56CAA23C}"/>
            </c:ext>
          </c:extLst>
        </c:ser>
        <c:ser>
          <c:idx val="28"/>
          <c:order val="28"/>
          <c:tx>
            <c:strRef>
              <c:f>JUNIO!$AC$1</c:f>
              <c:strCache>
                <c:ptCount val="1"/>
                <c:pt idx="0">
                  <c:v> VALOR DEL PEDIDO SIN IVA </c:v>
                </c:pt>
              </c:strCache>
            </c:strRef>
          </c:tx>
          <c:spPr>
            <a:solidFill>
              <a:schemeClr val="accent5">
                <a:lumMod val="60000"/>
                <a:lumOff val="40000"/>
              </a:schemeClr>
            </a:solidFill>
            <a:ln>
              <a:noFill/>
            </a:ln>
            <a:effectLst/>
          </c:spPr>
          <c:invertIfNegative val="0"/>
          <c:val>
            <c:numRef>
              <c:f>JUNIO!$AC$2:$AC$109</c:f>
              <c:numCache>
                <c:formatCode>_-"$"\ * #,##0_-;\-"$"\ * #,##0_-;_-"$"\ * "-"??_-;_-@_-</c:formatCode>
                <c:ptCount val="108"/>
                <c:pt idx="0">
                  <c:v>783770</c:v>
                </c:pt>
                <c:pt idx="1">
                  <c:v>79832</c:v>
                </c:pt>
                <c:pt idx="2">
                  <c:v>150000</c:v>
                </c:pt>
                <c:pt idx="3">
                  <c:v>189124</c:v>
                </c:pt>
                <c:pt idx="4">
                  <c:v>2189335</c:v>
                </c:pt>
                <c:pt idx="5">
                  <c:v>531011</c:v>
                </c:pt>
                <c:pt idx="6">
                  <c:v>811263</c:v>
                </c:pt>
                <c:pt idx="7">
                  <c:v>210084</c:v>
                </c:pt>
                <c:pt idx="8">
                  <c:v>1414611</c:v>
                </c:pt>
                <c:pt idx="9">
                  <c:v>1426890</c:v>
                </c:pt>
                <c:pt idx="10">
                  <c:v>1949580</c:v>
                </c:pt>
                <c:pt idx="11">
                  <c:v>3252100</c:v>
                </c:pt>
                <c:pt idx="12">
                  <c:v>222816</c:v>
                </c:pt>
                <c:pt idx="13">
                  <c:v>126751</c:v>
                </c:pt>
                <c:pt idx="14">
                  <c:v>672650</c:v>
                </c:pt>
                <c:pt idx="15">
                  <c:v>516723</c:v>
                </c:pt>
                <c:pt idx="16">
                  <c:v>743322</c:v>
                </c:pt>
                <c:pt idx="17">
                  <c:v>315597</c:v>
                </c:pt>
                <c:pt idx="18">
                  <c:v>525210</c:v>
                </c:pt>
                <c:pt idx="19">
                  <c:v>1298319</c:v>
                </c:pt>
                <c:pt idx="20">
                  <c:v>239048</c:v>
                </c:pt>
                <c:pt idx="21">
                  <c:v>2017438</c:v>
                </c:pt>
                <c:pt idx="22">
                  <c:v>550000</c:v>
                </c:pt>
                <c:pt idx="23">
                  <c:v>813834</c:v>
                </c:pt>
                <c:pt idx="24">
                  <c:v>285714</c:v>
                </c:pt>
                <c:pt idx="25">
                  <c:v>10406366</c:v>
                </c:pt>
                <c:pt idx="26">
                  <c:v>83045</c:v>
                </c:pt>
                <c:pt idx="27">
                  <c:v>200000</c:v>
                </c:pt>
                <c:pt idx="28">
                  <c:v>6066217</c:v>
                </c:pt>
                <c:pt idx="29">
                  <c:v>134454</c:v>
                </c:pt>
                <c:pt idx="30">
                  <c:v>1260504</c:v>
                </c:pt>
                <c:pt idx="31">
                  <c:v>299805</c:v>
                </c:pt>
                <c:pt idx="32">
                  <c:v>3150076</c:v>
                </c:pt>
                <c:pt idx="33">
                  <c:v>2579406</c:v>
                </c:pt>
                <c:pt idx="34">
                  <c:v>197987</c:v>
                </c:pt>
                <c:pt idx="35">
                  <c:v>554622</c:v>
                </c:pt>
                <c:pt idx="36">
                  <c:v>504202</c:v>
                </c:pt>
                <c:pt idx="37">
                  <c:v>571429</c:v>
                </c:pt>
                <c:pt idx="38">
                  <c:v>4997205</c:v>
                </c:pt>
                <c:pt idx="39">
                  <c:v>9958782</c:v>
                </c:pt>
                <c:pt idx="40">
                  <c:v>2843939</c:v>
                </c:pt>
                <c:pt idx="41">
                  <c:v>220051</c:v>
                </c:pt>
                <c:pt idx="42">
                  <c:v>309763</c:v>
                </c:pt>
                <c:pt idx="43">
                  <c:v>473660</c:v>
                </c:pt>
                <c:pt idx="44">
                  <c:v>100840</c:v>
                </c:pt>
                <c:pt idx="45">
                  <c:v>501666</c:v>
                </c:pt>
                <c:pt idx="46">
                  <c:v>1245969</c:v>
                </c:pt>
                <c:pt idx="47">
                  <c:v>1728761</c:v>
                </c:pt>
                <c:pt idx="48">
                  <c:v>223445</c:v>
                </c:pt>
                <c:pt idx="49">
                  <c:v>0</c:v>
                </c:pt>
                <c:pt idx="50">
                  <c:v>2172067</c:v>
                </c:pt>
                <c:pt idx="51">
                  <c:v>1113109</c:v>
                </c:pt>
                <c:pt idx="52">
                  <c:v>250000</c:v>
                </c:pt>
                <c:pt idx="53">
                  <c:v>201681</c:v>
                </c:pt>
                <c:pt idx="54">
                  <c:v>1915966</c:v>
                </c:pt>
                <c:pt idx="55">
                  <c:v>0</c:v>
                </c:pt>
                <c:pt idx="56">
                  <c:v>180000</c:v>
                </c:pt>
                <c:pt idx="57">
                  <c:v>58824</c:v>
                </c:pt>
                <c:pt idx="58">
                  <c:v>1221429</c:v>
                </c:pt>
                <c:pt idx="59">
                  <c:v>151261</c:v>
                </c:pt>
                <c:pt idx="60">
                  <c:v>100840</c:v>
                </c:pt>
                <c:pt idx="61">
                  <c:v>201681</c:v>
                </c:pt>
                <c:pt idx="62">
                  <c:v>195000</c:v>
                </c:pt>
                <c:pt idx="63">
                  <c:v>3016964</c:v>
                </c:pt>
                <c:pt idx="64">
                  <c:v>571429</c:v>
                </c:pt>
                <c:pt idx="65">
                  <c:v>19029967</c:v>
                </c:pt>
                <c:pt idx="66">
                  <c:v>0</c:v>
                </c:pt>
                <c:pt idx="67">
                  <c:v>887404</c:v>
                </c:pt>
                <c:pt idx="68">
                  <c:v>0</c:v>
                </c:pt>
                <c:pt idx="69">
                  <c:v>451011</c:v>
                </c:pt>
                <c:pt idx="70">
                  <c:v>6561970</c:v>
                </c:pt>
                <c:pt idx="71">
                  <c:v>58824</c:v>
                </c:pt>
                <c:pt idx="72">
                  <c:v>0</c:v>
                </c:pt>
                <c:pt idx="73">
                  <c:v>284874</c:v>
                </c:pt>
                <c:pt idx="74">
                  <c:v>1722689</c:v>
                </c:pt>
                <c:pt idx="75">
                  <c:v>583143</c:v>
                </c:pt>
                <c:pt idx="76">
                  <c:v>109244</c:v>
                </c:pt>
                <c:pt idx="77">
                  <c:v>120000</c:v>
                </c:pt>
                <c:pt idx="78">
                  <c:v>405000</c:v>
                </c:pt>
                <c:pt idx="79">
                  <c:v>0</c:v>
                </c:pt>
                <c:pt idx="80">
                  <c:v>420168</c:v>
                </c:pt>
                <c:pt idx="81">
                  <c:v>647019</c:v>
                </c:pt>
                <c:pt idx="83">
                  <c:v>7497621</c:v>
                </c:pt>
                <c:pt idx="84">
                  <c:v>4313729</c:v>
                </c:pt>
                <c:pt idx="85">
                  <c:v>2726402</c:v>
                </c:pt>
                <c:pt idx="86">
                  <c:v>378151</c:v>
                </c:pt>
                <c:pt idx="87">
                  <c:v>94117</c:v>
                </c:pt>
                <c:pt idx="88">
                  <c:v>250000</c:v>
                </c:pt>
                <c:pt idx="89">
                  <c:v>134454</c:v>
                </c:pt>
                <c:pt idx="90">
                  <c:v>662464</c:v>
                </c:pt>
                <c:pt idx="91">
                  <c:v>701681</c:v>
                </c:pt>
                <c:pt idx="92">
                  <c:v>203000</c:v>
                </c:pt>
                <c:pt idx="93">
                  <c:v>0</c:v>
                </c:pt>
                <c:pt idx="94">
                  <c:v>294117</c:v>
                </c:pt>
                <c:pt idx="95">
                  <c:v>4175089</c:v>
                </c:pt>
                <c:pt idx="96">
                  <c:v>2646590</c:v>
                </c:pt>
                <c:pt idx="97">
                  <c:v>445000</c:v>
                </c:pt>
                <c:pt idx="98">
                  <c:v>0</c:v>
                </c:pt>
                <c:pt idx="99">
                  <c:v>378151</c:v>
                </c:pt>
                <c:pt idx="100">
                  <c:v>1478350</c:v>
                </c:pt>
                <c:pt idx="101">
                  <c:v>957983</c:v>
                </c:pt>
                <c:pt idx="102">
                  <c:v>120000</c:v>
                </c:pt>
                <c:pt idx="103">
                  <c:v>2200000</c:v>
                </c:pt>
                <c:pt idx="104">
                  <c:v>602780</c:v>
                </c:pt>
                <c:pt idx="105">
                  <c:v>973109</c:v>
                </c:pt>
                <c:pt idx="106">
                  <c:v>0</c:v>
                </c:pt>
                <c:pt idx="107">
                  <c:v>585714</c:v>
                </c:pt>
              </c:numCache>
            </c:numRef>
          </c:val>
          <c:extLst>
            <c:ext xmlns:c16="http://schemas.microsoft.com/office/drawing/2014/chart" uri="{C3380CC4-5D6E-409C-BE32-E72D297353CC}">
              <c16:uniqueId val="{0000001C-E202-4AED-9199-3EBE56CAA23C}"/>
            </c:ext>
          </c:extLst>
        </c:ser>
        <c:ser>
          <c:idx val="29"/>
          <c:order val="29"/>
          <c:tx>
            <c:strRef>
              <c:f>JUNIO!$AD$1</c:f>
              <c:strCache>
                <c:ptCount val="1"/>
                <c:pt idx="0">
                  <c:v> VALOR PEDIDO CON IVA </c:v>
                </c:pt>
              </c:strCache>
            </c:strRef>
          </c:tx>
          <c:spPr>
            <a:solidFill>
              <a:schemeClr val="accent6">
                <a:lumMod val="60000"/>
                <a:lumOff val="40000"/>
              </a:schemeClr>
            </a:solidFill>
            <a:ln>
              <a:noFill/>
            </a:ln>
            <a:effectLst/>
          </c:spPr>
          <c:invertIfNegative val="0"/>
          <c:val>
            <c:numRef>
              <c:f>JUNIO!$AD$2:$AD$109</c:f>
              <c:numCache>
                <c:formatCode>_-"$"\ * #,##0_-;\-"$"\ * #,##0_-;_-"$"\ * "-"??_-;_-@_-</c:formatCode>
                <c:ptCount val="108"/>
                <c:pt idx="0">
                  <c:v>932686.29999999993</c:v>
                </c:pt>
                <c:pt idx="1">
                  <c:v>95000.08</c:v>
                </c:pt>
                <c:pt idx="2">
                  <c:v>178500</c:v>
                </c:pt>
                <c:pt idx="3">
                  <c:v>225057.56</c:v>
                </c:pt>
                <c:pt idx="4">
                  <c:v>2605308.65</c:v>
                </c:pt>
                <c:pt idx="5">
                  <c:v>631903.09</c:v>
                </c:pt>
                <c:pt idx="6">
                  <c:v>965402.97</c:v>
                </c:pt>
                <c:pt idx="7">
                  <c:v>249999.96</c:v>
                </c:pt>
                <c:pt idx="8">
                  <c:v>1683387.0899999999</c:v>
                </c:pt>
                <c:pt idx="9">
                  <c:v>1697999.0999999999</c:v>
                </c:pt>
                <c:pt idx="10">
                  <c:v>2320000.1999999997</c:v>
                </c:pt>
                <c:pt idx="11">
                  <c:v>3869999</c:v>
                </c:pt>
                <c:pt idx="12">
                  <c:v>265151.03999999998</c:v>
                </c:pt>
                <c:pt idx="13">
                  <c:v>150833.69</c:v>
                </c:pt>
                <c:pt idx="14">
                  <c:v>800453.5</c:v>
                </c:pt>
                <c:pt idx="15">
                  <c:v>614900.37</c:v>
                </c:pt>
                <c:pt idx="16">
                  <c:v>884553.17999999993</c:v>
                </c:pt>
                <c:pt idx="17">
                  <c:v>375560.43</c:v>
                </c:pt>
                <c:pt idx="18">
                  <c:v>624999.9</c:v>
                </c:pt>
                <c:pt idx="19">
                  <c:v>1544999.6099999999</c:v>
                </c:pt>
                <c:pt idx="20">
                  <c:v>284467.12</c:v>
                </c:pt>
                <c:pt idx="21">
                  <c:v>2400751.2199999997</c:v>
                </c:pt>
                <c:pt idx="22">
                  <c:v>654500</c:v>
                </c:pt>
                <c:pt idx="23">
                  <c:v>968462.46</c:v>
                </c:pt>
                <c:pt idx="24">
                  <c:v>339999.66</c:v>
                </c:pt>
                <c:pt idx="25">
                  <c:v>12383575.539999999</c:v>
                </c:pt>
                <c:pt idx="26">
                  <c:v>98823.549999999988</c:v>
                </c:pt>
                <c:pt idx="27">
                  <c:v>238000</c:v>
                </c:pt>
                <c:pt idx="28">
                  <c:v>7218798.2299999995</c:v>
                </c:pt>
                <c:pt idx="29">
                  <c:v>160000.25999999998</c:v>
                </c:pt>
                <c:pt idx="30">
                  <c:v>1499999.76</c:v>
                </c:pt>
                <c:pt idx="31">
                  <c:v>356767.95</c:v>
                </c:pt>
                <c:pt idx="32">
                  <c:v>3748590.44</c:v>
                </c:pt>
                <c:pt idx="33">
                  <c:v>3069493.1399999997</c:v>
                </c:pt>
                <c:pt idx="34">
                  <c:v>235604.53</c:v>
                </c:pt>
                <c:pt idx="35">
                  <c:v>660000.17999999993</c:v>
                </c:pt>
                <c:pt idx="36">
                  <c:v>600000.38</c:v>
                </c:pt>
                <c:pt idx="37">
                  <c:v>680000.51</c:v>
                </c:pt>
                <c:pt idx="38">
                  <c:v>5946673.9500000002</c:v>
                </c:pt>
                <c:pt idx="39">
                  <c:v>11850950.58</c:v>
                </c:pt>
                <c:pt idx="40">
                  <c:v>3384287.4099999997</c:v>
                </c:pt>
                <c:pt idx="41">
                  <c:v>261860.69</c:v>
                </c:pt>
                <c:pt idx="42">
                  <c:v>368617.97</c:v>
                </c:pt>
                <c:pt idx="43">
                  <c:v>563655.4</c:v>
                </c:pt>
                <c:pt idx="44">
                  <c:v>119999.59999999999</c:v>
                </c:pt>
                <c:pt idx="45">
                  <c:v>596982.53999999992</c:v>
                </c:pt>
                <c:pt idx="46">
                  <c:v>1482703.1099999999</c:v>
                </c:pt>
                <c:pt idx="47">
                  <c:v>2057225.5899999999</c:v>
                </c:pt>
                <c:pt idx="48">
                  <c:v>265899.55</c:v>
                </c:pt>
                <c:pt idx="49">
                  <c:v>0</c:v>
                </c:pt>
                <c:pt idx="50">
                  <c:v>2584759.73</c:v>
                </c:pt>
                <c:pt idx="51">
                  <c:v>1324599.71</c:v>
                </c:pt>
                <c:pt idx="52">
                  <c:v>297500</c:v>
                </c:pt>
                <c:pt idx="53">
                  <c:v>240000.38999999998</c:v>
                </c:pt>
                <c:pt idx="54">
                  <c:v>2279999.54</c:v>
                </c:pt>
                <c:pt idx="55">
                  <c:v>0</c:v>
                </c:pt>
                <c:pt idx="56">
                  <c:v>214200</c:v>
                </c:pt>
                <c:pt idx="57">
                  <c:v>70000.56</c:v>
                </c:pt>
                <c:pt idx="58">
                  <c:v>1453500.51</c:v>
                </c:pt>
                <c:pt idx="59">
                  <c:v>180000.59</c:v>
                </c:pt>
                <c:pt idx="60">
                  <c:v>119999.59999999999</c:v>
                </c:pt>
                <c:pt idx="61">
                  <c:v>240000.38999999998</c:v>
                </c:pt>
                <c:pt idx="62">
                  <c:v>232050</c:v>
                </c:pt>
                <c:pt idx="63">
                  <c:v>3590187.1599999997</c:v>
                </c:pt>
                <c:pt idx="64">
                  <c:v>680000.51</c:v>
                </c:pt>
                <c:pt idx="65">
                  <c:v>22645660.73</c:v>
                </c:pt>
                <c:pt idx="66">
                  <c:v>0</c:v>
                </c:pt>
                <c:pt idx="67">
                  <c:v>1056010.76</c:v>
                </c:pt>
                <c:pt idx="68">
                  <c:v>0</c:v>
                </c:pt>
                <c:pt idx="69">
                  <c:v>536703.09</c:v>
                </c:pt>
                <c:pt idx="70">
                  <c:v>7808744.2999999998</c:v>
                </c:pt>
                <c:pt idx="71">
                  <c:v>70000.56</c:v>
                </c:pt>
                <c:pt idx="72">
                  <c:v>0</c:v>
                </c:pt>
                <c:pt idx="73">
                  <c:v>339000.06</c:v>
                </c:pt>
                <c:pt idx="74">
                  <c:v>2049999.91</c:v>
                </c:pt>
                <c:pt idx="75">
                  <c:v>693940.16999999993</c:v>
                </c:pt>
                <c:pt idx="76">
                  <c:v>130000.36</c:v>
                </c:pt>
                <c:pt idx="77">
                  <c:v>142800</c:v>
                </c:pt>
                <c:pt idx="78">
                  <c:v>481950</c:v>
                </c:pt>
                <c:pt idx="79">
                  <c:v>0</c:v>
                </c:pt>
                <c:pt idx="80">
                  <c:v>499999.92</c:v>
                </c:pt>
                <c:pt idx="81">
                  <c:v>769952.61</c:v>
                </c:pt>
                <c:pt idx="82">
                  <c:v>0</c:v>
                </c:pt>
                <c:pt idx="83">
                  <c:v>8922168.9900000002</c:v>
                </c:pt>
                <c:pt idx="84">
                  <c:v>5133337.51</c:v>
                </c:pt>
                <c:pt idx="85">
                  <c:v>3244418.38</c:v>
                </c:pt>
                <c:pt idx="86">
                  <c:v>449999.69</c:v>
                </c:pt>
                <c:pt idx="87">
                  <c:v>111999.23</c:v>
                </c:pt>
                <c:pt idx="88">
                  <c:v>297500</c:v>
                </c:pt>
                <c:pt idx="89">
                  <c:v>160000.25999999998</c:v>
                </c:pt>
                <c:pt idx="90">
                  <c:v>788332.15999999992</c:v>
                </c:pt>
                <c:pt idx="91">
                  <c:v>835000.39</c:v>
                </c:pt>
                <c:pt idx="92">
                  <c:v>241570</c:v>
                </c:pt>
                <c:pt idx="93">
                  <c:v>0</c:v>
                </c:pt>
                <c:pt idx="94">
                  <c:v>349999.23</c:v>
                </c:pt>
                <c:pt idx="95">
                  <c:v>4968355.91</c:v>
                </c:pt>
                <c:pt idx="96">
                  <c:v>3149442.0999999996</c:v>
                </c:pt>
                <c:pt idx="97">
                  <c:v>529550</c:v>
                </c:pt>
                <c:pt idx="98">
                  <c:v>0</c:v>
                </c:pt>
                <c:pt idx="99">
                  <c:v>449999.69</c:v>
                </c:pt>
                <c:pt idx="100">
                  <c:v>1759236.5</c:v>
                </c:pt>
                <c:pt idx="101">
                  <c:v>1139999.77</c:v>
                </c:pt>
                <c:pt idx="102">
                  <c:v>142800</c:v>
                </c:pt>
                <c:pt idx="103">
                  <c:v>2618000</c:v>
                </c:pt>
                <c:pt idx="104">
                  <c:v>717308.2</c:v>
                </c:pt>
                <c:pt idx="105">
                  <c:v>1157999.71</c:v>
                </c:pt>
                <c:pt idx="106">
                  <c:v>0</c:v>
                </c:pt>
                <c:pt idx="107">
                  <c:v>696999.65999999992</c:v>
                </c:pt>
              </c:numCache>
            </c:numRef>
          </c:val>
          <c:extLst>
            <c:ext xmlns:c16="http://schemas.microsoft.com/office/drawing/2014/chart" uri="{C3380CC4-5D6E-409C-BE32-E72D297353CC}">
              <c16:uniqueId val="{0000001D-E202-4AED-9199-3EBE56CAA23C}"/>
            </c:ext>
          </c:extLst>
        </c:ser>
        <c:ser>
          <c:idx val="30"/>
          <c:order val="30"/>
          <c:tx>
            <c:strRef>
              <c:f>JUNIO!$AE$1</c:f>
              <c:strCache>
                <c:ptCount val="1"/>
                <c:pt idx="0">
                  <c:v> ANTICIPO </c:v>
                </c:pt>
              </c:strCache>
            </c:strRef>
          </c:tx>
          <c:spPr>
            <a:solidFill>
              <a:schemeClr val="accent1">
                <a:lumMod val="50000"/>
              </a:schemeClr>
            </a:solidFill>
            <a:ln>
              <a:noFill/>
            </a:ln>
            <a:effectLst/>
          </c:spPr>
          <c:invertIfNegative val="0"/>
          <c:val>
            <c:numRef>
              <c:f>JUNIO!$AE$2:$AE$109</c:f>
              <c:numCache>
                <c:formatCode>_-"$"\ * #,##0_-;\-"$"\ * #,##0_-;_-"$"\ * "-"??_-;_-@_-</c:formatCode>
                <c:ptCount val="108"/>
                <c:pt idx="0">
                  <c:v>470000</c:v>
                </c:pt>
                <c:pt idx="1">
                  <c:v>0</c:v>
                </c:pt>
                <c:pt idx="2">
                  <c:v>0</c:v>
                </c:pt>
                <c:pt idx="3">
                  <c:v>0</c:v>
                </c:pt>
                <c:pt idx="4">
                  <c:v>1302655</c:v>
                </c:pt>
                <c:pt idx="5">
                  <c:v>316000</c:v>
                </c:pt>
                <c:pt idx="6">
                  <c:v>482700</c:v>
                </c:pt>
                <c:pt idx="7">
                  <c:v>0</c:v>
                </c:pt>
                <c:pt idx="8">
                  <c:v>841694</c:v>
                </c:pt>
                <c:pt idx="9">
                  <c:v>830000</c:v>
                </c:pt>
                <c:pt idx="10">
                  <c:v>0</c:v>
                </c:pt>
                <c:pt idx="11">
                  <c:v>2500000</c:v>
                </c:pt>
                <c:pt idx="12">
                  <c:v>0</c:v>
                </c:pt>
                <c:pt idx="13">
                  <c:v>0</c:v>
                </c:pt>
                <c:pt idx="14">
                  <c:v>773547</c:v>
                </c:pt>
                <c:pt idx="15">
                  <c:v>307000</c:v>
                </c:pt>
                <c:pt idx="16">
                  <c:v>423023</c:v>
                </c:pt>
                <c:pt idx="17">
                  <c:v>188000</c:v>
                </c:pt>
                <c:pt idx="18">
                  <c:v>0</c:v>
                </c:pt>
                <c:pt idx="19">
                  <c:v>772500</c:v>
                </c:pt>
                <c:pt idx="20">
                  <c:v>0</c:v>
                </c:pt>
                <c:pt idx="21">
                  <c:v>0</c:v>
                </c:pt>
                <c:pt idx="22">
                  <c:v>0</c:v>
                </c:pt>
                <c:pt idx="23">
                  <c:v>484232</c:v>
                </c:pt>
                <c:pt idx="24">
                  <c:v>200000</c:v>
                </c:pt>
                <c:pt idx="25">
                  <c:v>0</c:v>
                </c:pt>
                <c:pt idx="26">
                  <c:v>0</c:v>
                </c:pt>
                <c:pt idx="27">
                  <c:v>160000</c:v>
                </c:pt>
                <c:pt idx="28">
                  <c:v>2008971</c:v>
                </c:pt>
                <c:pt idx="29">
                  <c:v>0</c:v>
                </c:pt>
                <c:pt idx="30">
                  <c:v>0</c:v>
                </c:pt>
                <c:pt idx="31">
                  <c:v>218000</c:v>
                </c:pt>
                <c:pt idx="32">
                  <c:v>3669840</c:v>
                </c:pt>
                <c:pt idx="33">
                  <c:v>1535000</c:v>
                </c:pt>
                <c:pt idx="34">
                  <c:v>117802</c:v>
                </c:pt>
                <c:pt idx="35">
                  <c:v>0</c:v>
                </c:pt>
                <c:pt idx="36">
                  <c:v>0</c:v>
                </c:pt>
                <c:pt idx="37">
                  <c:v>350000</c:v>
                </c:pt>
                <c:pt idx="38">
                  <c:v>2759137</c:v>
                </c:pt>
                <c:pt idx="39">
                  <c:v>4979391</c:v>
                </c:pt>
                <c:pt idx="40">
                  <c:v>1692144</c:v>
                </c:pt>
                <c:pt idx="41">
                  <c:v>0</c:v>
                </c:pt>
                <c:pt idx="42">
                  <c:v>0</c:v>
                </c:pt>
                <c:pt idx="43">
                  <c:v>547706</c:v>
                </c:pt>
                <c:pt idx="44">
                  <c:v>0</c:v>
                </c:pt>
                <c:pt idx="45">
                  <c:v>300000</c:v>
                </c:pt>
                <c:pt idx="46">
                  <c:v>0</c:v>
                </c:pt>
                <c:pt idx="47">
                  <c:v>1200000</c:v>
                </c:pt>
                <c:pt idx="48">
                  <c:v>133000</c:v>
                </c:pt>
                <c:pt idx="49">
                  <c:v>0</c:v>
                </c:pt>
                <c:pt idx="50">
                  <c:v>0</c:v>
                </c:pt>
                <c:pt idx="51">
                  <c:v>662300</c:v>
                </c:pt>
                <c:pt idx="52">
                  <c:v>0</c:v>
                </c:pt>
                <c:pt idx="53">
                  <c:v>0</c:v>
                </c:pt>
                <c:pt idx="54">
                  <c:v>1140000</c:v>
                </c:pt>
                <c:pt idx="55">
                  <c:v>0</c:v>
                </c:pt>
                <c:pt idx="56">
                  <c:v>0</c:v>
                </c:pt>
                <c:pt idx="57">
                  <c:v>0</c:v>
                </c:pt>
                <c:pt idx="58">
                  <c:v>0</c:v>
                </c:pt>
                <c:pt idx="59">
                  <c:v>0</c:v>
                </c:pt>
                <c:pt idx="60">
                  <c:v>0</c:v>
                </c:pt>
                <c:pt idx="61">
                  <c:v>0</c:v>
                </c:pt>
                <c:pt idx="62">
                  <c:v>0</c:v>
                </c:pt>
                <c:pt idx="63">
                  <c:v>1795000</c:v>
                </c:pt>
                <c:pt idx="64">
                  <c:v>340000</c:v>
                </c:pt>
                <c:pt idx="65">
                  <c:v>9514984</c:v>
                </c:pt>
                <c:pt idx="66">
                  <c:v>0</c:v>
                </c:pt>
                <c:pt idx="67">
                  <c:v>500000</c:v>
                </c:pt>
                <c:pt idx="68">
                  <c:v>0</c:v>
                </c:pt>
                <c:pt idx="69">
                  <c:v>0</c:v>
                </c:pt>
                <c:pt idx="70">
                  <c:v>3900000</c:v>
                </c:pt>
                <c:pt idx="71">
                  <c:v>0</c:v>
                </c:pt>
                <c:pt idx="72">
                  <c:v>0</c:v>
                </c:pt>
                <c:pt idx="73">
                  <c:v>150000</c:v>
                </c:pt>
                <c:pt idx="74">
                  <c:v>1000000</c:v>
                </c:pt>
                <c:pt idx="75">
                  <c:v>0</c:v>
                </c:pt>
                <c:pt idx="76">
                  <c:v>0</c:v>
                </c:pt>
                <c:pt idx="77">
                  <c:v>0</c:v>
                </c:pt>
                <c:pt idx="78">
                  <c:v>250000</c:v>
                </c:pt>
                <c:pt idx="79">
                  <c:v>0</c:v>
                </c:pt>
                <c:pt idx="80">
                  <c:v>250000</c:v>
                </c:pt>
                <c:pt idx="81">
                  <c:v>0</c:v>
                </c:pt>
                <c:pt idx="82">
                  <c:v>0</c:v>
                </c:pt>
                <c:pt idx="83">
                  <c:v>4461534</c:v>
                </c:pt>
                <c:pt idx="84">
                  <c:v>3000000</c:v>
                </c:pt>
                <c:pt idx="85">
                  <c:v>1622209</c:v>
                </c:pt>
                <c:pt idx="86">
                  <c:v>225000</c:v>
                </c:pt>
                <c:pt idx="87">
                  <c:v>0</c:v>
                </c:pt>
                <c:pt idx="88">
                  <c:v>40000</c:v>
                </c:pt>
                <c:pt idx="89">
                  <c:v>0</c:v>
                </c:pt>
                <c:pt idx="90">
                  <c:v>394167</c:v>
                </c:pt>
                <c:pt idx="91">
                  <c:v>0</c:v>
                </c:pt>
                <c:pt idx="92">
                  <c:v>0</c:v>
                </c:pt>
                <c:pt idx="93">
                  <c:v>0</c:v>
                </c:pt>
                <c:pt idx="94">
                  <c:v>0</c:v>
                </c:pt>
                <c:pt idx="95">
                  <c:v>2500000</c:v>
                </c:pt>
                <c:pt idx="96">
                  <c:v>1700000</c:v>
                </c:pt>
                <c:pt idx="97">
                  <c:v>0</c:v>
                </c:pt>
                <c:pt idx="98">
                  <c:v>0</c:v>
                </c:pt>
                <c:pt idx="99">
                  <c:v>0</c:v>
                </c:pt>
                <c:pt idx="100">
                  <c:v>0</c:v>
                </c:pt>
                <c:pt idx="101">
                  <c:v>600000</c:v>
                </c:pt>
                <c:pt idx="102">
                  <c:v>0</c:v>
                </c:pt>
                <c:pt idx="103">
                  <c:v>0</c:v>
                </c:pt>
                <c:pt idx="104">
                  <c:v>0</c:v>
                </c:pt>
                <c:pt idx="105">
                  <c:v>580000</c:v>
                </c:pt>
                <c:pt idx="106">
                  <c:v>0</c:v>
                </c:pt>
                <c:pt idx="107">
                  <c:v>350000</c:v>
                </c:pt>
              </c:numCache>
            </c:numRef>
          </c:val>
          <c:extLst>
            <c:ext xmlns:c16="http://schemas.microsoft.com/office/drawing/2014/chart" uri="{C3380CC4-5D6E-409C-BE32-E72D297353CC}">
              <c16:uniqueId val="{0000001E-E202-4AED-9199-3EBE56CAA23C}"/>
            </c:ext>
          </c:extLst>
        </c:ser>
        <c:ser>
          <c:idx val="31"/>
          <c:order val="31"/>
          <c:tx>
            <c:strRef>
              <c:f>JUNIO!$AF$1</c:f>
              <c:strCache>
                <c:ptCount val="1"/>
                <c:pt idx="0">
                  <c:v> ENTREGA REAL </c:v>
                </c:pt>
              </c:strCache>
            </c:strRef>
          </c:tx>
          <c:spPr>
            <a:solidFill>
              <a:schemeClr val="accent2">
                <a:lumMod val="50000"/>
              </a:schemeClr>
            </a:solidFill>
            <a:ln>
              <a:noFill/>
            </a:ln>
            <a:effectLst/>
          </c:spPr>
          <c:invertIfNegative val="0"/>
          <c:val>
            <c:numRef>
              <c:f>JUNIO!$AF$2:$AF$109</c:f>
            </c:numRef>
          </c:val>
          <c:extLst>
            <c:ext xmlns:c16="http://schemas.microsoft.com/office/drawing/2014/chart" uri="{C3380CC4-5D6E-409C-BE32-E72D297353CC}">
              <c16:uniqueId val="{0000001F-E202-4AED-9199-3EBE56CAA23C}"/>
            </c:ext>
          </c:extLst>
        </c:ser>
        <c:ser>
          <c:idx val="32"/>
          <c:order val="32"/>
          <c:tx>
            <c:strRef>
              <c:f>JUNIO!$AG$1</c:f>
              <c:strCache>
                <c:ptCount val="1"/>
                <c:pt idx="0">
                  <c:v>OBSERVACIONES </c:v>
                </c:pt>
              </c:strCache>
            </c:strRef>
          </c:tx>
          <c:spPr>
            <a:solidFill>
              <a:schemeClr val="accent3">
                <a:lumMod val="50000"/>
              </a:schemeClr>
            </a:solidFill>
            <a:ln>
              <a:noFill/>
            </a:ln>
            <a:effectLst/>
          </c:spPr>
          <c:invertIfNegative val="0"/>
          <c:val>
            <c:numRef>
              <c:f>JUNIO!$AG$2:$AG$109</c:f>
              <c:numCache>
                <c:formatCode>General</c:formatCode>
                <c:ptCount val="108"/>
                <c:pt idx="0">
                  <c:v>0</c:v>
                </c:pt>
                <c:pt idx="1">
                  <c:v>0</c:v>
                </c:pt>
                <c:pt idx="2">
                  <c:v>0</c:v>
                </c:pt>
                <c:pt idx="3">
                  <c:v>0</c:v>
                </c:pt>
                <c:pt idx="4">
                  <c:v>0</c:v>
                </c:pt>
                <c:pt idx="5">
                  <c:v>0</c:v>
                </c:pt>
                <c:pt idx="6">
                  <c:v>0</c:v>
                </c:pt>
                <c:pt idx="7">
                  <c:v>0</c:v>
                </c:pt>
                <c:pt idx="8">
                  <c:v>0</c:v>
                </c:pt>
                <c:pt idx="9">
                  <c:v>0</c:v>
                </c:pt>
                <c:pt idx="11">
                  <c:v>0</c:v>
                </c:pt>
                <c:pt idx="12">
                  <c:v>0</c:v>
                </c:pt>
                <c:pt idx="13">
                  <c:v>0</c:v>
                </c:pt>
                <c:pt idx="14">
                  <c:v>0</c:v>
                </c:pt>
                <c:pt idx="15">
                  <c:v>0</c:v>
                </c:pt>
                <c:pt idx="16">
                  <c:v>0</c:v>
                </c:pt>
                <c:pt idx="17">
                  <c:v>0</c:v>
                </c:pt>
                <c:pt idx="18">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8">
                  <c:v>0</c:v>
                </c:pt>
                <c:pt idx="39">
                  <c:v>0</c:v>
                </c:pt>
                <c:pt idx="40">
                  <c:v>0</c:v>
                </c:pt>
                <c:pt idx="42">
                  <c:v>0</c:v>
                </c:pt>
                <c:pt idx="44">
                  <c:v>0</c:v>
                </c:pt>
                <c:pt idx="46">
                  <c:v>0</c:v>
                </c:pt>
                <c:pt idx="47">
                  <c:v>0</c:v>
                </c:pt>
                <c:pt idx="48">
                  <c:v>0</c:v>
                </c:pt>
                <c:pt idx="49">
                  <c:v>0</c:v>
                </c:pt>
                <c:pt idx="50">
                  <c:v>0</c:v>
                </c:pt>
                <c:pt idx="51">
                  <c:v>0</c:v>
                </c:pt>
                <c:pt idx="52">
                  <c:v>0</c:v>
                </c:pt>
                <c:pt idx="53">
                  <c:v>0</c:v>
                </c:pt>
                <c:pt idx="54">
                  <c:v>0</c:v>
                </c:pt>
                <c:pt idx="55">
                  <c:v>0</c:v>
                </c:pt>
                <c:pt idx="57">
                  <c:v>0</c:v>
                </c:pt>
                <c:pt idx="58">
                  <c:v>0</c:v>
                </c:pt>
                <c:pt idx="59">
                  <c:v>0</c:v>
                </c:pt>
                <c:pt idx="60">
                  <c:v>0</c:v>
                </c:pt>
                <c:pt idx="61">
                  <c:v>0</c:v>
                </c:pt>
                <c:pt idx="63">
                  <c:v>0</c:v>
                </c:pt>
                <c:pt idx="65">
                  <c:v>0</c:v>
                </c:pt>
                <c:pt idx="66">
                  <c:v>0</c:v>
                </c:pt>
                <c:pt idx="67">
                  <c:v>0</c:v>
                </c:pt>
                <c:pt idx="70">
                  <c:v>0</c:v>
                </c:pt>
                <c:pt idx="71">
                  <c:v>0</c:v>
                </c:pt>
                <c:pt idx="72">
                  <c:v>0</c:v>
                </c:pt>
                <c:pt idx="73">
                  <c:v>0</c:v>
                </c:pt>
                <c:pt idx="74">
                  <c:v>0</c:v>
                </c:pt>
                <c:pt idx="75">
                  <c:v>0</c:v>
                </c:pt>
                <c:pt idx="76">
                  <c:v>0</c:v>
                </c:pt>
                <c:pt idx="78">
                  <c:v>0</c:v>
                </c:pt>
                <c:pt idx="80">
                  <c:v>0</c:v>
                </c:pt>
                <c:pt idx="83">
                  <c:v>0</c:v>
                </c:pt>
                <c:pt idx="84">
                  <c:v>0</c:v>
                </c:pt>
                <c:pt idx="85">
                  <c:v>0</c:v>
                </c:pt>
                <c:pt idx="86">
                  <c:v>0</c:v>
                </c:pt>
                <c:pt idx="87">
                  <c:v>0</c:v>
                </c:pt>
                <c:pt idx="88">
                  <c:v>0</c:v>
                </c:pt>
                <c:pt idx="89">
                  <c:v>0</c:v>
                </c:pt>
                <c:pt idx="90">
                  <c:v>0</c:v>
                </c:pt>
                <c:pt idx="91">
                  <c:v>0</c:v>
                </c:pt>
                <c:pt idx="92">
                  <c:v>0</c:v>
                </c:pt>
                <c:pt idx="94">
                  <c:v>0</c:v>
                </c:pt>
                <c:pt idx="95">
                  <c:v>0</c:v>
                </c:pt>
                <c:pt idx="96">
                  <c:v>0</c:v>
                </c:pt>
                <c:pt idx="99">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20-E202-4AED-9199-3EBE56CAA23C}"/>
            </c:ext>
          </c:extLst>
        </c:ser>
        <c:ser>
          <c:idx val="33"/>
          <c:order val="33"/>
          <c:tx>
            <c:strRef>
              <c:f>JUNIO!$AH$1</c:f>
              <c:strCache>
                <c:ptCount val="1"/>
                <c:pt idx="0">
                  <c:v>FECHA DE CANCELACION </c:v>
                </c:pt>
              </c:strCache>
            </c:strRef>
          </c:tx>
          <c:spPr>
            <a:solidFill>
              <a:schemeClr val="accent4">
                <a:lumMod val="50000"/>
              </a:schemeClr>
            </a:solidFill>
            <a:ln>
              <a:noFill/>
            </a:ln>
            <a:effectLst/>
          </c:spPr>
          <c:invertIfNegative val="0"/>
          <c:val>
            <c:numRef>
              <c:f>JUNIO!$AH$2:$AH$109</c:f>
              <c:numCache>
                <c:formatCode>d\-mmm</c:formatCode>
                <c:ptCount val="108"/>
                <c:pt idx="0">
                  <c:v>45834</c:v>
                </c:pt>
                <c:pt idx="1">
                  <c:v>45811</c:v>
                </c:pt>
                <c:pt idx="2">
                  <c:v>45810</c:v>
                </c:pt>
                <c:pt idx="4">
                  <c:v>45825</c:v>
                </c:pt>
                <c:pt idx="5">
                  <c:v>45821</c:v>
                </c:pt>
                <c:pt idx="6" formatCode="m/d/yyyy">
                  <c:v>45834</c:v>
                </c:pt>
                <c:pt idx="7">
                  <c:v>45807</c:v>
                </c:pt>
                <c:pt idx="8">
                  <c:v>45842</c:v>
                </c:pt>
                <c:pt idx="9" formatCode="m/d/yyyy">
                  <c:v>45825</c:v>
                </c:pt>
                <c:pt idx="11">
                  <c:v>45825</c:v>
                </c:pt>
                <c:pt idx="12">
                  <c:v>45814</c:v>
                </c:pt>
                <c:pt idx="13">
                  <c:v>45809</c:v>
                </c:pt>
                <c:pt idx="14">
                  <c:v>45814</c:v>
                </c:pt>
                <c:pt idx="15">
                  <c:v>45821</c:v>
                </c:pt>
                <c:pt idx="16">
                  <c:v>45834</c:v>
                </c:pt>
                <c:pt idx="17">
                  <c:v>45824</c:v>
                </c:pt>
                <c:pt idx="18">
                  <c:v>45825</c:v>
                </c:pt>
                <c:pt idx="19" formatCode="m/d/yyyy">
                  <c:v>45828</c:v>
                </c:pt>
                <c:pt idx="23">
                  <c:v>45826</c:v>
                </c:pt>
                <c:pt idx="24">
                  <c:v>45825</c:v>
                </c:pt>
                <c:pt idx="26">
                  <c:v>45814</c:v>
                </c:pt>
                <c:pt idx="29">
                  <c:v>45815</c:v>
                </c:pt>
                <c:pt idx="30">
                  <c:v>45814</c:v>
                </c:pt>
                <c:pt idx="31">
                  <c:v>45826</c:v>
                </c:pt>
                <c:pt idx="32">
                  <c:v>45832</c:v>
                </c:pt>
                <c:pt idx="33">
                  <c:v>45835</c:v>
                </c:pt>
                <c:pt idx="34">
                  <c:v>45824</c:v>
                </c:pt>
                <c:pt idx="35">
                  <c:v>45817</c:v>
                </c:pt>
                <c:pt idx="36">
                  <c:v>45829</c:v>
                </c:pt>
                <c:pt idx="37">
                  <c:v>45825</c:v>
                </c:pt>
                <c:pt idx="39" formatCode="m/d/yyyy">
                  <c:v>45832</c:v>
                </c:pt>
                <c:pt idx="40">
                  <c:v>45835</c:v>
                </c:pt>
                <c:pt idx="41" formatCode="m/d/yyyy">
                  <c:v>45829</c:v>
                </c:pt>
                <c:pt idx="42">
                  <c:v>45827</c:v>
                </c:pt>
                <c:pt idx="45">
                  <c:v>45834</c:v>
                </c:pt>
                <c:pt idx="48">
                  <c:v>45829</c:v>
                </c:pt>
                <c:pt idx="50">
                  <c:v>45819</c:v>
                </c:pt>
                <c:pt idx="51" formatCode="m/d/yyyy">
                  <c:v>45828</c:v>
                </c:pt>
                <c:pt idx="52">
                  <c:v>45820</c:v>
                </c:pt>
                <c:pt idx="53" formatCode="m/d/yyyy">
                  <c:v>45820</c:v>
                </c:pt>
                <c:pt idx="54" formatCode="m/d/yyyy">
                  <c:v>45834</c:v>
                </c:pt>
                <c:pt idx="56" formatCode="m/d/yyyy">
                  <c:v>45820</c:v>
                </c:pt>
                <c:pt idx="57">
                  <c:v>45821</c:v>
                </c:pt>
                <c:pt idx="58">
                  <c:v>45821</c:v>
                </c:pt>
                <c:pt idx="59">
                  <c:v>45821</c:v>
                </c:pt>
                <c:pt idx="60" formatCode="d\-mmm\-yy">
                  <c:v>45821</c:v>
                </c:pt>
                <c:pt idx="61" formatCode="d\-mmm\-yy">
                  <c:v>45821</c:v>
                </c:pt>
                <c:pt idx="62" formatCode="m/d/yyyy">
                  <c:v>45826</c:v>
                </c:pt>
                <c:pt idx="67">
                  <c:v>45842</c:v>
                </c:pt>
                <c:pt idx="71">
                  <c:v>45826</c:v>
                </c:pt>
                <c:pt idx="73">
                  <c:v>45845</c:v>
                </c:pt>
                <c:pt idx="74">
                  <c:v>45839</c:v>
                </c:pt>
                <c:pt idx="75">
                  <c:v>45826</c:v>
                </c:pt>
                <c:pt idx="76">
                  <c:v>45825</c:v>
                </c:pt>
                <c:pt idx="78">
                  <c:v>45839</c:v>
                </c:pt>
                <c:pt idx="81">
                  <c:v>45833</c:v>
                </c:pt>
                <c:pt idx="83">
                  <c:v>45852</c:v>
                </c:pt>
                <c:pt idx="85">
                  <c:v>45849</c:v>
                </c:pt>
                <c:pt idx="86">
                  <c:v>45850</c:v>
                </c:pt>
                <c:pt idx="87">
                  <c:v>45830</c:v>
                </c:pt>
                <c:pt idx="88" formatCode="m/d/yyyy">
                  <c:v>45833</c:v>
                </c:pt>
                <c:pt idx="89">
                  <c:v>45843</c:v>
                </c:pt>
                <c:pt idx="90">
                  <c:v>45847</c:v>
                </c:pt>
                <c:pt idx="91">
                  <c:v>45845</c:v>
                </c:pt>
                <c:pt idx="92">
                  <c:v>45857</c:v>
                </c:pt>
                <c:pt idx="94">
                  <c:v>45848</c:v>
                </c:pt>
                <c:pt idx="95">
                  <c:v>45856</c:v>
                </c:pt>
                <c:pt idx="96">
                  <c:v>45849</c:v>
                </c:pt>
                <c:pt idx="99">
                  <c:v>45835</c:v>
                </c:pt>
                <c:pt idx="102">
                  <c:v>45834</c:v>
                </c:pt>
                <c:pt idx="105">
                  <c:v>45849</c:v>
                </c:pt>
                <c:pt idx="107">
                  <c:v>45859</c:v>
                </c:pt>
              </c:numCache>
            </c:numRef>
          </c:val>
          <c:extLst>
            <c:ext xmlns:c16="http://schemas.microsoft.com/office/drawing/2014/chart" uri="{C3380CC4-5D6E-409C-BE32-E72D297353CC}">
              <c16:uniqueId val="{00000021-E202-4AED-9199-3EBE56CAA23C}"/>
            </c:ext>
          </c:extLst>
        </c:ser>
        <c:ser>
          <c:idx val="34"/>
          <c:order val="34"/>
          <c:tx>
            <c:strRef>
              <c:f>JUNIO!$AI$1</c:f>
              <c:strCache>
                <c:ptCount val="1"/>
                <c:pt idx="0">
                  <c:v>SEGUIMIENTO PEDIDO</c:v>
                </c:pt>
              </c:strCache>
            </c:strRef>
          </c:tx>
          <c:spPr>
            <a:solidFill>
              <a:schemeClr val="accent5">
                <a:lumMod val="50000"/>
              </a:schemeClr>
            </a:solidFill>
            <a:ln>
              <a:noFill/>
            </a:ln>
            <a:effectLst/>
          </c:spPr>
          <c:invertIfNegative val="0"/>
          <c:val>
            <c:numRef>
              <c:f>JUNIO!$AI$2:$AI$109</c:f>
              <c:numCache>
                <c:formatCode>d\-mmm\-yy</c:formatCode>
                <c:ptCount val="108"/>
                <c:pt idx="0">
                  <c:v>45834</c:v>
                </c:pt>
                <c:pt idx="1">
                  <c:v>45826</c:v>
                </c:pt>
                <c:pt idx="2">
                  <c:v>45821</c:v>
                </c:pt>
                <c:pt idx="3">
                  <c:v>45820</c:v>
                </c:pt>
                <c:pt idx="4">
                  <c:v>45826</c:v>
                </c:pt>
                <c:pt idx="5">
                  <c:v>45826</c:v>
                </c:pt>
                <c:pt idx="6">
                  <c:v>45836</c:v>
                </c:pt>
                <c:pt idx="7">
                  <c:v>45826</c:v>
                </c:pt>
                <c:pt idx="8">
                  <c:v>45859</c:v>
                </c:pt>
                <c:pt idx="9">
                  <c:v>45825</c:v>
                </c:pt>
                <c:pt idx="10">
                  <c:v>45820</c:v>
                </c:pt>
                <c:pt idx="11">
                  <c:v>45826</c:v>
                </c:pt>
                <c:pt idx="12">
                  <c:v>45826</c:v>
                </c:pt>
                <c:pt idx="13">
                  <c:v>45821</c:v>
                </c:pt>
                <c:pt idx="14">
                  <c:v>45836</c:v>
                </c:pt>
                <c:pt idx="15">
                  <c:v>45826</c:v>
                </c:pt>
                <c:pt idx="16">
                  <c:v>45836</c:v>
                </c:pt>
                <c:pt idx="17">
                  <c:v>45826</c:v>
                </c:pt>
                <c:pt idx="18">
                  <c:v>45847</c:v>
                </c:pt>
                <c:pt idx="19">
                  <c:v>45836</c:v>
                </c:pt>
                <c:pt idx="20">
                  <c:v>45826</c:v>
                </c:pt>
                <c:pt idx="21">
                  <c:v>45847</c:v>
                </c:pt>
                <c:pt idx="22">
                  <c:v>45817</c:v>
                </c:pt>
                <c:pt idx="23">
                  <c:v>45836</c:v>
                </c:pt>
                <c:pt idx="24">
                  <c:v>45826</c:v>
                </c:pt>
                <c:pt idx="25">
                  <c:v>45835</c:v>
                </c:pt>
                <c:pt idx="26">
                  <c:v>45833</c:v>
                </c:pt>
                <c:pt idx="27">
                  <c:v>45817</c:v>
                </c:pt>
                <c:pt idx="28">
                  <c:v>45836</c:v>
                </c:pt>
                <c:pt idx="29">
                  <c:v>45826</c:v>
                </c:pt>
                <c:pt idx="30">
                  <c:v>45835</c:v>
                </c:pt>
                <c:pt idx="31">
                  <c:v>45836</c:v>
                </c:pt>
                <c:pt idx="32">
                  <c:v>45833</c:v>
                </c:pt>
                <c:pt idx="33">
                  <c:v>45847</c:v>
                </c:pt>
                <c:pt idx="34">
                  <c:v>45825</c:v>
                </c:pt>
                <c:pt idx="35">
                  <c:v>45835</c:v>
                </c:pt>
                <c:pt idx="36">
                  <c:v>45835</c:v>
                </c:pt>
                <c:pt idx="37">
                  <c:v>45826</c:v>
                </c:pt>
                <c:pt idx="38">
                  <c:v>45826</c:v>
                </c:pt>
                <c:pt idx="39">
                  <c:v>45836</c:v>
                </c:pt>
                <c:pt idx="40">
                  <c:v>45842</c:v>
                </c:pt>
                <c:pt idx="41">
                  <c:v>45836</c:v>
                </c:pt>
                <c:pt idx="42">
                  <c:v>45847</c:v>
                </c:pt>
                <c:pt idx="43">
                  <c:v>45826</c:v>
                </c:pt>
                <c:pt idx="44">
                  <c:v>45820</c:v>
                </c:pt>
                <c:pt idx="45">
                  <c:v>45835</c:v>
                </c:pt>
                <c:pt idx="46">
                  <c:v>45847</c:v>
                </c:pt>
                <c:pt idx="47">
                  <c:v>45828</c:v>
                </c:pt>
                <c:pt idx="48">
                  <c:v>45836</c:v>
                </c:pt>
                <c:pt idx="49">
                  <c:v>45842</c:v>
                </c:pt>
                <c:pt idx="50">
                  <c:v>45833</c:v>
                </c:pt>
                <c:pt idx="51">
                  <c:v>45836</c:v>
                </c:pt>
                <c:pt idx="52">
                  <c:v>45826</c:v>
                </c:pt>
                <c:pt idx="53">
                  <c:v>45836</c:v>
                </c:pt>
                <c:pt idx="54">
                  <c:v>45836</c:v>
                </c:pt>
                <c:pt idx="55">
                  <c:v>45845</c:v>
                </c:pt>
                <c:pt idx="56">
                  <c:v>45821</c:v>
                </c:pt>
                <c:pt idx="57">
                  <c:v>45835</c:v>
                </c:pt>
                <c:pt idx="58">
                  <c:v>45835</c:v>
                </c:pt>
                <c:pt idx="59">
                  <c:v>45847</c:v>
                </c:pt>
                <c:pt idx="60">
                  <c:v>45836</c:v>
                </c:pt>
                <c:pt idx="61">
                  <c:v>45826</c:v>
                </c:pt>
                <c:pt idx="62">
                  <c:v>45836</c:v>
                </c:pt>
                <c:pt idx="63">
                  <c:v>45842</c:v>
                </c:pt>
                <c:pt idx="64">
                  <c:v>45847</c:v>
                </c:pt>
                <c:pt idx="65">
                  <c:v>45859</c:v>
                </c:pt>
                <c:pt idx="66">
                  <c:v>45842</c:v>
                </c:pt>
                <c:pt idx="67">
                  <c:v>45847</c:v>
                </c:pt>
                <c:pt idx="68">
                  <c:v>45835</c:v>
                </c:pt>
                <c:pt idx="69">
                  <c:v>45835</c:v>
                </c:pt>
                <c:pt idx="70">
                  <c:v>45856</c:v>
                </c:pt>
                <c:pt idx="71">
                  <c:v>45847</c:v>
                </c:pt>
                <c:pt idx="72">
                  <c:v>45833</c:v>
                </c:pt>
                <c:pt idx="73">
                  <c:v>45856</c:v>
                </c:pt>
                <c:pt idx="74">
                  <c:v>45847</c:v>
                </c:pt>
                <c:pt idx="75">
                  <c:v>45847</c:v>
                </c:pt>
                <c:pt idx="76">
                  <c:v>45833</c:v>
                </c:pt>
                <c:pt idx="77">
                  <c:v>45833</c:v>
                </c:pt>
                <c:pt idx="78">
                  <c:v>45847</c:v>
                </c:pt>
                <c:pt idx="79">
                  <c:v>45828</c:v>
                </c:pt>
                <c:pt idx="80">
                  <c:v>45833</c:v>
                </c:pt>
                <c:pt idx="81">
                  <c:v>45852</c:v>
                </c:pt>
                <c:pt idx="82">
                  <c:v>45835</c:v>
                </c:pt>
                <c:pt idx="83">
                  <c:v>45859</c:v>
                </c:pt>
                <c:pt idx="84">
                  <c:v>45849</c:v>
                </c:pt>
                <c:pt idx="85">
                  <c:v>45859</c:v>
                </c:pt>
                <c:pt idx="86">
                  <c:v>45852</c:v>
                </c:pt>
                <c:pt idx="87">
                  <c:v>45847</c:v>
                </c:pt>
                <c:pt idx="88">
                  <c:v>45836</c:v>
                </c:pt>
                <c:pt idx="89">
                  <c:v>45849</c:v>
                </c:pt>
                <c:pt idx="90">
                  <c:v>45852</c:v>
                </c:pt>
                <c:pt idx="91">
                  <c:v>45852</c:v>
                </c:pt>
                <c:pt idx="92">
                  <c:v>45859</c:v>
                </c:pt>
                <c:pt idx="94">
                  <c:v>45849</c:v>
                </c:pt>
                <c:pt idx="95">
                  <c:v>45861</c:v>
                </c:pt>
                <c:pt idx="96">
                  <c:v>45856</c:v>
                </c:pt>
                <c:pt idx="97">
                  <c:v>45835</c:v>
                </c:pt>
                <c:pt idx="98">
                  <c:v>45835</c:v>
                </c:pt>
                <c:pt idx="99">
                  <c:v>45842</c:v>
                </c:pt>
                <c:pt idx="100">
                  <c:v>45845</c:v>
                </c:pt>
                <c:pt idx="101">
                  <c:v>45835</c:v>
                </c:pt>
                <c:pt idx="102">
                  <c:v>45835</c:v>
                </c:pt>
                <c:pt idx="103">
                  <c:v>45847</c:v>
                </c:pt>
                <c:pt idx="104">
                  <c:v>45847</c:v>
                </c:pt>
                <c:pt idx="105" formatCode="d\-mmm">
                  <c:v>45859</c:v>
                </c:pt>
                <c:pt idx="106" formatCode="d\-mmm">
                  <c:v>45847</c:v>
                </c:pt>
                <c:pt idx="107" formatCode="d\-mmm">
                  <c:v>45861</c:v>
                </c:pt>
              </c:numCache>
            </c:numRef>
          </c:val>
          <c:extLst>
            <c:ext xmlns:c16="http://schemas.microsoft.com/office/drawing/2014/chart" uri="{C3380CC4-5D6E-409C-BE32-E72D297353CC}">
              <c16:uniqueId val="{00000022-E202-4AED-9199-3EBE56CAA23C}"/>
            </c:ext>
          </c:extLst>
        </c:ser>
        <c:ser>
          <c:idx val="35"/>
          <c:order val="35"/>
          <c:tx>
            <c:strRef>
              <c:f>JUNIO!$AJ$1</c:f>
              <c:strCache>
                <c:ptCount val="1"/>
                <c:pt idx="0">
                  <c:v>INGRESO INFORMACION</c:v>
                </c:pt>
              </c:strCache>
            </c:strRef>
          </c:tx>
          <c:spPr>
            <a:solidFill>
              <a:schemeClr val="accent6">
                <a:lumMod val="50000"/>
              </a:schemeClr>
            </a:solidFill>
            <a:ln>
              <a:noFill/>
            </a:ln>
            <a:effectLst/>
          </c:spPr>
          <c:invertIfNegative val="0"/>
          <c:val>
            <c:numRef>
              <c:f>JUNIO!$AJ$2:$AJ$109</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23-E202-4AED-9199-3EBE56CAA23C}"/>
            </c:ext>
          </c:extLst>
        </c:ser>
        <c:ser>
          <c:idx val="36"/>
          <c:order val="36"/>
          <c:tx>
            <c:strRef>
              <c:f>JUNIO!$AK$1</c:f>
              <c:strCache>
                <c:ptCount val="1"/>
                <c:pt idx="0">
                  <c:v>NC/GAR.</c:v>
                </c:pt>
              </c:strCache>
            </c:strRef>
          </c:tx>
          <c:spPr>
            <a:solidFill>
              <a:schemeClr val="accent1">
                <a:lumMod val="70000"/>
                <a:lumOff val="30000"/>
              </a:schemeClr>
            </a:solidFill>
            <a:ln>
              <a:noFill/>
            </a:ln>
            <a:effectLst/>
          </c:spPr>
          <c:invertIfNegative val="0"/>
          <c:val>
            <c:numRef>
              <c:f>JUNIO!$AK$2:$AK$109</c:f>
              <c:numCache>
                <c:formatCode>General</c:formatCode>
                <c:ptCount val="108"/>
                <c:pt idx="55">
                  <c:v>0</c:v>
                </c:pt>
              </c:numCache>
            </c:numRef>
          </c:val>
          <c:extLst>
            <c:ext xmlns:c16="http://schemas.microsoft.com/office/drawing/2014/chart" uri="{C3380CC4-5D6E-409C-BE32-E72D297353CC}">
              <c16:uniqueId val="{00000024-E202-4AED-9199-3EBE56CAA23C}"/>
            </c:ext>
          </c:extLst>
        </c:ser>
        <c:dLbls>
          <c:showLegendKey val="0"/>
          <c:showVal val="0"/>
          <c:showCatName val="0"/>
          <c:showSerName val="0"/>
          <c:showPercent val="0"/>
          <c:showBubbleSize val="0"/>
        </c:dLbls>
        <c:gapWidth val="219"/>
        <c:overlap val="-27"/>
        <c:axId val="-882227168"/>
        <c:axId val="-882226624"/>
      </c:barChart>
      <c:catAx>
        <c:axId val="-8822271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82226624"/>
        <c:crosses val="autoZero"/>
        <c:auto val="1"/>
        <c:lblAlgn val="ctr"/>
        <c:lblOffset val="100"/>
        <c:noMultiLvlLbl val="0"/>
      </c:catAx>
      <c:valAx>
        <c:axId val="-88222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82227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Gráfico1"/>
  <sheetViews>
    <sheetView zoomScale="73"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absoluteAnchor>
    <xdr:pos x="0" y="0"/>
    <xdr:ext cx="9290137" cy="6067295"/>
    <xdr:graphicFrame macro="">
      <xdr:nvGraphicFramePr>
        <xdr:cNvPr id="2" name="Gráfico 1">
          <a:extLst>
            <a:ext uri="{FF2B5EF4-FFF2-40B4-BE49-F238E27FC236}">
              <a16:creationId xmlns:a16="http://schemas.microsoft.com/office/drawing/2014/main" id="{BF97C750-2DB3-035E-275D-121FD21F189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0</xdr:col>
      <xdr:colOff>114300</xdr:colOff>
      <xdr:row>0</xdr:row>
      <xdr:rowOff>38100</xdr:rowOff>
    </xdr:from>
    <xdr:to>
      <xdr:col>4</xdr:col>
      <xdr:colOff>28575</xdr:colOff>
      <xdr:row>1</xdr:row>
      <xdr:rowOff>9526</xdr:rowOff>
    </xdr:to>
    <xdr:pic>
      <xdr:nvPicPr>
        <xdr:cNvPr id="2" name="Imagen 1">
          <a:extLst>
            <a:ext uri="{FF2B5EF4-FFF2-40B4-BE49-F238E27FC236}">
              <a16:creationId xmlns:a16="http://schemas.microsoft.com/office/drawing/2014/main" id="{A897AAFB-027E-4606-BE41-A4E2495CB639}"/>
            </a:ext>
            <a:ext uri="{C183D7F6-B498-43B3-948B-1728B52AA6E4}">
              <adec:decorative xmlns:adec="http://schemas.microsoft.com/office/drawing/2017/decorative" val="1"/>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7124" r="13487" b="18886"/>
        <a:stretch/>
      </xdr:blipFill>
      <xdr:spPr>
        <a:xfrm>
          <a:off x="114300" y="38100"/>
          <a:ext cx="2962275" cy="638176"/>
        </a:xfrm>
        <a:prstGeom prst="rect">
          <a:avLst/>
        </a:prstGeom>
      </xdr:spPr>
    </xdr:pic>
    <xdr:clientData/>
  </xdr:twoCellAnchor>
  <xdr:twoCellAnchor>
    <xdr:from>
      <xdr:col>0</xdr:col>
      <xdr:colOff>0</xdr:colOff>
      <xdr:row>1</xdr:row>
      <xdr:rowOff>19050</xdr:rowOff>
    </xdr:from>
    <xdr:to>
      <xdr:col>5</xdr:col>
      <xdr:colOff>315191</xdr:colOff>
      <xdr:row>4</xdr:row>
      <xdr:rowOff>9371</xdr:rowOff>
    </xdr:to>
    <xdr:sp macro="[0]!LimpiarYConsultar" textlink="">
      <xdr:nvSpPr>
        <xdr:cNvPr id="3" name="Rectángulo: biselado 2">
          <a:extLst>
            <a:ext uri="{FF2B5EF4-FFF2-40B4-BE49-F238E27FC236}">
              <a16:creationId xmlns:a16="http://schemas.microsoft.com/office/drawing/2014/main" id="{1AC16AA7-1467-47B9-B633-F5F24D5FFBAB}"/>
            </a:ext>
          </a:extLst>
        </xdr:cNvPr>
        <xdr:cNvSpPr/>
      </xdr:nvSpPr>
      <xdr:spPr>
        <a:xfrm>
          <a:off x="0" y="685800"/>
          <a:ext cx="4125191" cy="561821"/>
        </a:xfrm>
        <a:prstGeom prst="bevel">
          <a:avLst/>
        </a:prstGeom>
        <a:solidFill>
          <a:schemeClr val="accent2">
            <a:lumMod val="75000"/>
          </a:schemeClr>
        </a:solidFill>
        <a:ln>
          <a:solidFill>
            <a:schemeClr val="tx1"/>
          </a:solid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400">
              <a:latin typeface="Berlin Sans FB" panose="020E0602020502020306" pitchFamily="34" charset="0"/>
            </a:rPr>
            <a:t>CONSULTAS</a:t>
          </a:r>
        </a:p>
        <a:p>
          <a:pPr algn="ctr"/>
          <a:endParaRPr lang="es-CO" sz="2400">
            <a:latin typeface="Berlin Sans FB" panose="020E0602020502020306" pitchFamily="34" charset="0"/>
          </a:endParaRPr>
        </a:p>
      </xdr:txBody>
    </xdr:sp>
    <xdr:clientData/>
  </xdr:twoCellAnchor>
  <xdr:twoCellAnchor>
    <xdr:from>
      <xdr:col>5</xdr:col>
      <xdr:colOff>342900</xdr:colOff>
      <xdr:row>1</xdr:row>
      <xdr:rowOff>19050</xdr:rowOff>
    </xdr:from>
    <xdr:to>
      <xdr:col>13</xdr:col>
      <xdr:colOff>38100</xdr:colOff>
      <xdr:row>3</xdr:row>
      <xdr:rowOff>190067</xdr:rowOff>
    </xdr:to>
    <xdr:sp macro="" textlink="">
      <xdr:nvSpPr>
        <xdr:cNvPr id="4" name="Rectángulo: biselado 3">
          <a:extLst>
            <a:ext uri="{FF2B5EF4-FFF2-40B4-BE49-F238E27FC236}">
              <a16:creationId xmlns:a16="http://schemas.microsoft.com/office/drawing/2014/main" id="{E19EC6D1-1BE5-40D0-BC65-9E24A6D4F0D1}"/>
            </a:ext>
          </a:extLst>
        </xdr:cNvPr>
        <xdr:cNvSpPr/>
      </xdr:nvSpPr>
      <xdr:spPr>
        <a:xfrm>
          <a:off x="4152900" y="685800"/>
          <a:ext cx="5791200" cy="552017"/>
        </a:xfrm>
        <a:prstGeom prst="bevel">
          <a:avLst/>
        </a:prstGeom>
        <a:solidFill>
          <a:schemeClr val="accent6">
            <a:lumMod val="50000"/>
          </a:schemeClr>
        </a:solidFill>
        <a:ln>
          <a:solidFill>
            <a:schemeClr val="tx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400">
              <a:latin typeface="Berlin Sans FB" panose="020E0602020502020306" pitchFamily="34" charset="0"/>
            </a:rPr>
            <a:t>INGRESOS</a:t>
          </a:r>
        </a:p>
      </xdr:txBody>
    </xdr:sp>
    <xdr:clientData/>
  </xdr:twoCellAnchor>
  <xdr:twoCellAnchor>
    <xdr:from>
      <xdr:col>13</xdr:col>
      <xdr:colOff>66675</xdr:colOff>
      <xdr:row>1</xdr:row>
      <xdr:rowOff>19050</xdr:rowOff>
    </xdr:from>
    <xdr:to>
      <xdr:col>18</xdr:col>
      <xdr:colOff>0</xdr:colOff>
      <xdr:row>3</xdr:row>
      <xdr:rowOff>189633</xdr:rowOff>
    </xdr:to>
    <xdr:sp macro="" textlink="">
      <xdr:nvSpPr>
        <xdr:cNvPr id="5" name="Rectángulo: biselado 4">
          <a:extLst>
            <a:ext uri="{FF2B5EF4-FFF2-40B4-BE49-F238E27FC236}">
              <a16:creationId xmlns:a16="http://schemas.microsoft.com/office/drawing/2014/main" id="{0C7EB8F9-2E8B-4F77-9350-B30380AFBA51}"/>
            </a:ext>
          </a:extLst>
        </xdr:cNvPr>
        <xdr:cNvSpPr/>
      </xdr:nvSpPr>
      <xdr:spPr>
        <a:xfrm>
          <a:off x="10287000" y="685800"/>
          <a:ext cx="3438525" cy="551583"/>
        </a:xfrm>
        <a:prstGeom prst="bevel">
          <a:avLst/>
        </a:prstGeom>
        <a:solidFill>
          <a:srgbClr val="C000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800">
              <a:latin typeface="Berlin Sans FB" panose="020E0602020502020306" pitchFamily="34" charset="0"/>
            </a:rPr>
            <a:t>Modificaciones y</a:t>
          </a:r>
          <a:r>
            <a:rPr lang="es-CO" sz="1800" baseline="0">
              <a:latin typeface="Berlin Sans FB" panose="020E0602020502020306" pitchFamily="34" charset="0"/>
            </a:rPr>
            <a:t> Reportes</a:t>
          </a:r>
          <a:endParaRPr lang="es-CO" sz="1800">
            <a:latin typeface="Berlin Sans FB" panose="020E0602020502020306"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676275</xdr:colOff>
      <xdr:row>0</xdr:row>
      <xdr:rowOff>638176</xdr:rowOff>
    </xdr:to>
    <xdr:pic>
      <xdr:nvPicPr>
        <xdr:cNvPr id="2" name="Imagen 1">
          <a:extLst>
            <a:ext uri="{FF2B5EF4-FFF2-40B4-BE49-F238E27FC236}">
              <a16:creationId xmlns:a16="http://schemas.microsoft.com/office/drawing/2014/main" id="{A92094D8-7600-4200-9217-209FD55D9642}"/>
            </a:ext>
            <a:ext uri="{C183D7F6-B498-43B3-948B-1728B52AA6E4}">
              <adec:decorative xmlns:adec="http://schemas.microsoft.com/office/drawing/2017/decorative" val="1"/>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7124" r="13487" b="18886"/>
        <a:stretch/>
      </xdr:blipFill>
      <xdr:spPr>
        <a:xfrm>
          <a:off x="0" y="0"/>
          <a:ext cx="2962275" cy="638176"/>
        </a:xfrm>
        <a:prstGeom prst="rect">
          <a:avLst/>
        </a:prstGeom>
      </xdr:spPr>
    </xdr:pic>
    <xdr:clientData/>
  </xdr:twoCellAnchor>
  <xdr:twoCellAnchor>
    <xdr:from>
      <xdr:col>0</xdr:col>
      <xdr:colOff>0</xdr:colOff>
      <xdr:row>1</xdr:row>
      <xdr:rowOff>19050</xdr:rowOff>
    </xdr:from>
    <xdr:to>
      <xdr:col>5</xdr:col>
      <xdr:colOff>315191</xdr:colOff>
      <xdr:row>4</xdr:row>
      <xdr:rowOff>9371</xdr:rowOff>
    </xdr:to>
    <xdr:sp macro="[0]!LimpiarYConsultar" textlink="">
      <xdr:nvSpPr>
        <xdr:cNvPr id="3" name="Rectángulo: biselado 2">
          <a:extLst>
            <a:ext uri="{FF2B5EF4-FFF2-40B4-BE49-F238E27FC236}">
              <a16:creationId xmlns:a16="http://schemas.microsoft.com/office/drawing/2014/main" id="{F1FE31AD-EEE1-4475-A35C-21F3FE6F7350}"/>
            </a:ext>
          </a:extLst>
        </xdr:cNvPr>
        <xdr:cNvSpPr/>
      </xdr:nvSpPr>
      <xdr:spPr>
        <a:xfrm>
          <a:off x="0" y="685800"/>
          <a:ext cx="4153766" cy="561821"/>
        </a:xfrm>
        <a:prstGeom prst="bevel">
          <a:avLst/>
        </a:prstGeom>
        <a:solidFill>
          <a:schemeClr val="accent2">
            <a:lumMod val="75000"/>
          </a:schemeClr>
        </a:solidFill>
        <a:ln>
          <a:solidFill>
            <a:schemeClr val="tx1"/>
          </a:solid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400">
              <a:latin typeface="Berlin Sans FB" panose="020E0602020502020306" pitchFamily="34" charset="0"/>
            </a:rPr>
            <a:t>CONSULTAS</a:t>
          </a:r>
        </a:p>
        <a:p>
          <a:pPr algn="ctr"/>
          <a:endParaRPr lang="es-CO" sz="2400">
            <a:latin typeface="Berlin Sans FB" panose="020E0602020502020306" pitchFamily="34" charset="0"/>
          </a:endParaRPr>
        </a:p>
      </xdr:txBody>
    </xdr:sp>
    <xdr:clientData/>
  </xdr:twoCellAnchor>
  <xdr:twoCellAnchor>
    <xdr:from>
      <xdr:col>5</xdr:col>
      <xdr:colOff>342900</xdr:colOff>
      <xdr:row>1</xdr:row>
      <xdr:rowOff>19050</xdr:rowOff>
    </xdr:from>
    <xdr:to>
      <xdr:col>13</xdr:col>
      <xdr:colOff>38100</xdr:colOff>
      <xdr:row>3</xdr:row>
      <xdr:rowOff>190067</xdr:rowOff>
    </xdr:to>
    <xdr:sp macro="" textlink="">
      <xdr:nvSpPr>
        <xdr:cNvPr id="4" name="Rectángulo: biselado 3">
          <a:extLst>
            <a:ext uri="{FF2B5EF4-FFF2-40B4-BE49-F238E27FC236}">
              <a16:creationId xmlns:a16="http://schemas.microsoft.com/office/drawing/2014/main" id="{3BCE3DF5-9236-49CE-9D61-69B4318A189E}"/>
            </a:ext>
          </a:extLst>
        </xdr:cNvPr>
        <xdr:cNvSpPr/>
      </xdr:nvSpPr>
      <xdr:spPr>
        <a:xfrm>
          <a:off x="4181475" y="685800"/>
          <a:ext cx="6076950" cy="552017"/>
        </a:xfrm>
        <a:prstGeom prst="bevel">
          <a:avLst/>
        </a:prstGeom>
        <a:solidFill>
          <a:schemeClr val="accent6">
            <a:lumMod val="50000"/>
          </a:schemeClr>
        </a:solidFill>
        <a:ln>
          <a:solidFill>
            <a:schemeClr val="tx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400">
              <a:latin typeface="Berlin Sans FB" panose="020E0602020502020306" pitchFamily="34" charset="0"/>
            </a:rPr>
            <a:t>INGRESOS</a:t>
          </a:r>
        </a:p>
      </xdr:txBody>
    </xdr:sp>
    <xdr:clientData/>
  </xdr:twoCellAnchor>
  <xdr:twoCellAnchor>
    <xdr:from>
      <xdr:col>13</xdr:col>
      <xdr:colOff>66675</xdr:colOff>
      <xdr:row>1</xdr:row>
      <xdr:rowOff>19050</xdr:rowOff>
    </xdr:from>
    <xdr:to>
      <xdr:col>19</xdr:col>
      <xdr:colOff>5196</xdr:colOff>
      <xdr:row>3</xdr:row>
      <xdr:rowOff>189633</xdr:rowOff>
    </xdr:to>
    <xdr:sp macro="" textlink="">
      <xdr:nvSpPr>
        <xdr:cNvPr id="5" name="Rectángulo: biselado 4">
          <a:extLst>
            <a:ext uri="{FF2B5EF4-FFF2-40B4-BE49-F238E27FC236}">
              <a16:creationId xmlns:a16="http://schemas.microsoft.com/office/drawing/2014/main" id="{47EC0486-EEC5-4C5F-9801-1307A879D28A}"/>
            </a:ext>
          </a:extLst>
        </xdr:cNvPr>
        <xdr:cNvSpPr/>
      </xdr:nvSpPr>
      <xdr:spPr>
        <a:xfrm>
          <a:off x="10287000" y="685800"/>
          <a:ext cx="3481821" cy="551583"/>
        </a:xfrm>
        <a:prstGeom prst="bevel">
          <a:avLst/>
        </a:prstGeom>
        <a:solidFill>
          <a:srgbClr val="C000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800">
              <a:latin typeface="Berlin Sans FB" panose="020E0602020502020306" pitchFamily="34" charset="0"/>
            </a:rPr>
            <a:t>Modificaciones y</a:t>
          </a:r>
          <a:r>
            <a:rPr lang="es-CO" sz="1800" baseline="0">
              <a:latin typeface="Berlin Sans FB" panose="020E0602020502020306" pitchFamily="34" charset="0"/>
            </a:rPr>
            <a:t> Reportes</a:t>
          </a:r>
          <a:endParaRPr lang="es-CO" sz="1800">
            <a:latin typeface="Berlin Sans FB" panose="020E0602020502020306"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I37"/>
  <sheetViews>
    <sheetView topLeftCell="A31" zoomScaleNormal="100" workbookViewId="0">
      <selection activeCell="F15" sqref="F15"/>
    </sheetView>
  </sheetViews>
  <sheetFormatPr baseColWidth="10" defaultColWidth="8.85546875" defaultRowHeight="15" x14ac:dyDescent="0.25"/>
  <cols>
    <col min="2" max="2" width="31.5703125" customWidth="1"/>
    <col min="3" max="3" width="83.5703125" customWidth="1"/>
    <col min="4" max="4" width="13.140625" customWidth="1"/>
    <col min="5" max="5" width="15.7109375" customWidth="1"/>
    <col min="6" max="6" width="17" customWidth="1"/>
    <col min="7" max="9" width="8.85546875" customWidth="1"/>
  </cols>
  <sheetData>
    <row r="1" spans="2:9" ht="15.75" thickBot="1" x14ac:dyDescent="0.3"/>
    <row r="2" spans="2:9" ht="24" x14ac:dyDescent="0.3">
      <c r="B2" s="452" t="s">
        <v>40</v>
      </c>
      <c r="C2" s="453"/>
      <c r="D2" s="42"/>
      <c r="G2" s="37"/>
      <c r="H2" s="37"/>
      <c r="I2" s="25" t="s">
        <v>18</v>
      </c>
    </row>
    <row r="3" spans="2:9" x14ac:dyDescent="0.25">
      <c r="B3" s="27"/>
      <c r="C3" s="28"/>
      <c r="G3" s="40"/>
      <c r="H3" s="40"/>
      <c r="I3" s="38" t="s">
        <v>19</v>
      </c>
    </row>
    <row r="4" spans="2:9" ht="75" x14ac:dyDescent="0.25">
      <c r="B4" s="46" t="s">
        <v>41</v>
      </c>
      <c r="C4" s="47" t="s">
        <v>42</v>
      </c>
      <c r="D4" s="43"/>
      <c r="G4" s="41"/>
      <c r="H4" s="41"/>
      <c r="I4" s="39" t="s">
        <v>35</v>
      </c>
    </row>
    <row r="5" spans="2:9" ht="27.75" customHeight="1" x14ac:dyDescent="0.25">
      <c r="B5" s="57" t="s">
        <v>43</v>
      </c>
      <c r="C5" s="48" t="s">
        <v>44</v>
      </c>
      <c r="D5" s="58"/>
      <c r="G5" s="41"/>
      <c r="H5" s="41"/>
      <c r="I5" s="38" t="s">
        <v>20</v>
      </c>
    </row>
    <row r="6" spans="2:9" x14ac:dyDescent="0.25">
      <c r="B6" s="29" t="s">
        <v>0</v>
      </c>
      <c r="C6" s="47" t="s">
        <v>45</v>
      </c>
      <c r="D6" s="43"/>
      <c r="G6" s="41"/>
      <c r="H6" s="41"/>
      <c r="I6" s="39" t="s">
        <v>36</v>
      </c>
    </row>
    <row r="7" spans="2:9" x14ac:dyDescent="0.25">
      <c r="B7" s="29" t="s">
        <v>1</v>
      </c>
      <c r="C7" s="47" t="s">
        <v>46</v>
      </c>
      <c r="D7" s="43"/>
      <c r="I7" s="26" t="s">
        <v>37</v>
      </c>
    </row>
    <row r="8" spans="2:9" ht="36.75" thickBot="1" x14ac:dyDescent="0.3">
      <c r="B8" s="29" t="s">
        <v>2</v>
      </c>
      <c r="C8" s="47" t="s">
        <v>47</v>
      </c>
      <c r="D8" s="43"/>
      <c r="I8" s="19" t="s">
        <v>11</v>
      </c>
    </row>
    <row r="9" spans="2:9" ht="34.5" customHeight="1" thickBot="1" x14ac:dyDescent="0.3">
      <c r="B9" s="30" t="s">
        <v>3</v>
      </c>
      <c r="C9" s="49" t="s">
        <v>48</v>
      </c>
      <c r="D9" s="44"/>
      <c r="E9" s="454" t="s">
        <v>131</v>
      </c>
      <c r="F9" s="455"/>
      <c r="I9" s="20" t="s">
        <v>25</v>
      </c>
    </row>
    <row r="10" spans="2:9" ht="45.75" thickBot="1" x14ac:dyDescent="0.3">
      <c r="B10" s="29" t="s">
        <v>4</v>
      </c>
      <c r="C10" s="47" t="s">
        <v>49</v>
      </c>
      <c r="D10" s="43"/>
      <c r="E10" s="318" t="s">
        <v>76</v>
      </c>
      <c r="F10" s="319" t="s">
        <v>77</v>
      </c>
      <c r="I10" s="20" t="s">
        <v>38</v>
      </c>
    </row>
    <row r="11" spans="2:9" ht="30.75" thickBot="1" x14ac:dyDescent="0.3">
      <c r="B11" s="29" t="s">
        <v>8</v>
      </c>
      <c r="C11" s="47" t="s">
        <v>50</v>
      </c>
      <c r="D11" s="43"/>
      <c r="E11" s="320" t="s">
        <v>78</v>
      </c>
      <c r="F11" s="321" t="s">
        <v>79</v>
      </c>
      <c r="I11" s="21" t="s">
        <v>26</v>
      </c>
    </row>
    <row r="12" spans="2:9" ht="48.75" thickBot="1" x14ac:dyDescent="0.3">
      <c r="B12" s="30" t="s">
        <v>9</v>
      </c>
      <c r="C12" s="49" t="s">
        <v>124</v>
      </c>
      <c r="D12" s="44"/>
      <c r="E12" s="322" t="s">
        <v>80</v>
      </c>
      <c r="F12" s="321" t="s">
        <v>81</v>
      </c>
      <c r="I12" s="22" t="s">
        <v>28</v>
      </c>
    </row>
    <row r="13" spans="2:9" ht="45.75" thickBot="1" x14ac:dyDescent="0.3">
      <c r="B13" s="29" t="s">
        <v>10</v>
      </c>
      <c r="C13" s="47" t="s">
        <v>51</v>
      </c>
      <c r="D13" s="43"/>
      <c r="E13" s="323" t="s">
        <v>82</v>
      </c>
      <c r="F13" s="324" t="s">
        <v>83</v>
      </c>
      <c r="I13" s="22" t="s">
        <v>29</v>
      </c>
    </row>
    <row r="14" spans="2:9" ht="30.75" thickBot="1" x14ac:dyDescent="0.3">
      <c r="B14" s="29" t="s">
        <v>11</v>
      </c>
      <c r="C14" s="49" t="s">
        <v>52</v>
      </c>
      <c r="D14" s="44"/>
      <c r="E14" s="325" t="s">
        <v>1027</v>
      </c>
      <c r="F14" s="321" t="s">
        <v>1026</v>
      </c>
      <c r="I14" s="22" t="s">
        <v>30</v>
      </c>
    </row>
    <row r="15" spans="2:9" ht="48" x14ac:dyDescent="0.25">
      <c r="B15" s="31" t="s">
        <v>121</v>
      </c>
      <c r="C15" s="49" t="s">
        <v>125</v>
      </c>
      <c r="D15" s="44"/>
      <c r="I15" s="23" t="s">
        <v>39</v>
      </c>
    </row>
    <row r="16" spans="2:9" ht="45" x14ac:dyDescent="0.25">
      <c r="B16" s="32" t="s">
        <v>13</v>
      </c>
      <c r="C16" s="47" t="s">
        <v>53</v>
      </c>
      <c r="D16" s="43"/>
      <c r="I16" s="23" t="s">
        <v>32</v>
      </c>
    </row>
    <row r="17" spans="2:9" ht="45" x14ac:dyDescent="0.25">
      <c r="B17" s="33" t="s">
        <v>14</v>
      </c>
      <c r="C17" s="47" t="s">
        <v>54</v>
      </c>
      <c r="D17" s="43"/>
      <c r="I17" s="24" t="s">
        <v>33</v>
      </c>
    </row>
    <row r="18" spans="2:9" x14ac:dyDescent="0.25">
      <c r="B18" s="29" t="s">
        <v>55</v>
      </c>
      <c r="C18" s="49" t="s">
        <v>56</v>
      </c>
      <c r="D18" s="44"/>
    </row>
    <row r="19" spans="2:9" ht="30" x14ac:dyDescent="0.25">
      <c r="B19" s="29" t="s">
        <v>16</v>
      </c>
      <c r="C19" s="47" t="s">
        <v>57</v>
      </c>
      <c r="D19" s="43"/>
    </row>
    <row r="20" spans="2:9" ht="30" x14ac:dyDescent="0.25">
      <c r="B20" s="34" t="s">
        <v>17</v>
      </c>
      <c r="C20" s="50" t="s">
        <v>58</v>
      </c>
      <c r="D20" s="45"/>
    </row>
    <row r="21" spans="2:9" ht="45" x14ac:dyDescent="0.25">
      <c r="B21" s="34" t="s">
        <v>18</v>
      </c>
      <c r="C21" s="47" t="s">
        <v>59</v>
      </c>
      <c r="D21" s="43"/>
    </row>
    <row r="22" spans="2:9" ht="30" x14ac:dyDescent="0.25">
      <c r="B22" s="34" t="s">
        <v>19</v>
      </c>
      <c r="C22" s="47" t="s">
        <v>60</v>
      </c>
      <c r="D22" s="43"/>
    </row>
    <row r="23" spans="2:9" ht="30" x14ac:dyDescent="0.25">
      <c r="B23" s="34" t="s">
        <v>20</v>
      </c>
      <c r="C23" s="51" t="s">
        <v>61</v>
      </c>
      <c r="D23" s="41"/>
    </row>
    <row r="24" spans="2:9" ht="30" x14ac:dyDescent="0.25">
      <c r="B24" s="29" t="s">
        <v>21</v>
      </c>
      <c r="C24" s="47" t="s">
        <v>62</v>
      </c>
      <c r="D24" s="43"/>
    </row>
    <row r="25" spans="2:9" ht="75" x14ac:dyDescent="0.25">
      <c r="B25" s="30" t="s">
        <v>22</v>
      </c>
      <c r="C25" s="50" t="s">
        <v>63</v>
      </c>
      <c r="D25" s="45"/>
    </row>
    <row r="26" spans="2:9" ht="45" x14ac:dyDescent="0.25">
      <c r="B26" s="30" t="s">
        <v>23</v>
      </c>
      <c r="C26" s="47" t="s">
        <v>64</v>
      </c>
      <c r="D26" s="43"/>
    </row>
    <row r="27" spans="2:9" ht="30" x14ac:dyDescent="0.25">
      <c r="B27" s="35" t="s">
        <v>24</v>
      </c>
      <c r="C27" s="49" t="s">
        <v>128</v>
      </c>
      <c r="D27" s="44"/>
    </row>
    <row r="28" spans="2:9" ht="45" x14ac:dyDescent="0.25">
      <c r="B28" s="30" t="s">
        <v>65</v>
      </c>
      <c r="C28" s="47" t="s">
        <v>66</v>
      </c>
      <c r="D28" s="43"/>
    </row>
    <row r="29" spans="2:9" ht="30" x14ac:dyDescent="0.25">
      <c r="B29" s="30" t="s">
        <v>67</v>
      </c>
      <c r="C29" s="47" t="s">
        <v>120</v>
      </c>
      <c r="D29" s="43"/>
    </row>
    <row r="30" spans="2:9" ht="30" x14ac:dyDescent="0.25">
      <c r="B30" s="31" t="s">
        <v>27</v>
      </c>
      <c r="C30" s="47" t="s">
        <v>68</v>
      </c>
      <c r="D30" s="43"/>
    </row>
    <row r="31" spans="2:9" ht="45" x14ac:dyDescent="0.25">
      <c r="B31" s="36" t="s">
        <v>28</v>
      </c>
      <c r="C31" s="47" t="s">
        <v>69</v>
      </c>
      <c r="D31" s="43"/>
    </row>
    <row r="32" spans="2:9" ht="30" x14ac:dyDescent="0.25">
      <c r="B32" s="36" t="s">
        <v>29</v>
      </c>
      <c r="C32" s="47" t="s">
        <v>70</v>
      </c>
      <c r="D32" s="43"/>
    </row>
    <row r="33" spans="2:4" ht="60" x14ac:dyDescent="0.25">
      <c r="B33" s="36" t="s">
        <v>30</v>
      </c>
      <c r="C33" s="47" t="s">
        <v>71</v>
      </c>
      <c r="D33" s="43"/>
    </row>
    <row r="34" spans="2:4" ht="30" x14ac:dyDescent="0.25">
      <c r="B34" s="52" t="s">
        <v>31</v>
      </c>
      <c r="C34" s="47" t="s">
        <v>72</v>
      </c>
      <c r="D34" s="43"/>
    </row>
    <row r="35" spans="2:4" ht="60" x14ac:dyDescent="0.25">
      <c r="B35" s="53" t="s">
        <v>32</v>
      </c>
      <c r="C35" s="47" t="s">
        <v>73</v>
      </c>
      <c r="D35" s="43"/>
    </row>
    <row r="36" spans="2:4" ht="60" x14ac:dyDescent="0.25">
      <c r="B36" s="54" t="s">
        <v>33</v>
      </c>
      <c r="C36" s="47" t="s">
        <v>74</v>
      </c>
      <c r="D36" s="43"/>
    </row>
    <row r="37" spans="2:4" ht="30.75" thickBot="1" x14ac:dyDescent="0.3">
      <c r="B37" s="55" t="s">
        <v>34</v>
      </c>
      <c r="C37" s="56" t="s">
        <v>75</v>
      </c>
      <c r="D37" s="44"/>
    </row>
  </sheetData>
  <mergeCells count="2">
    <mergeCell ref="B2:C2"/>
    <mergeCell ref="E9:F9"/>
  </mergeCells>
  <conditionalFormatting sqref="B8">
    <cfRule type="duplicateValues" dxfId="27" priority="1"/>
    <cfRule type="duplicateValues" dxfId="26" priority="2"/>
  </conditionalFormatting>
  <pageMargins left="0.70866141732283472" right="0.70866141732283472" top="0.74803149606299213" bottom="0.74803149606299213" header="0.31496062992125984" footer="0.31496062992125984"/>
  <pageSetup scale="73" orientation="portrait" r:id="rId1"/>
  <colBreaks count="2" manualBreakCount="2">
    <brk id="2" max="36" man="1"/>
    <brk id="3" max="36" man="1"/>
  </col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FF0000"/>
  </sheetPr>
  <dimension ref="A1:AJ208"/>
  <sheetViews>
    <sheetView zoomScale="90" zoomScaleNormal="90" workbookViewId="0">
      <pane ySplit="1" topLeftCell="A71" activePane="bottomLeft" state="frozen"/>
      <selection activeCell="L1" sqref="L1"/>
      <selection pane="bottomLeft" activeCell="D75" sqref="D75"/>
    </sheetView>
  </sheetViews>
  <sheetFormatPr baseColWidth="10" defaultColWidth="8.85546875" defaultRowHeight="46.5" customHeight="1" x14ac:dyDescent="0.25"/>
  <cols>
    <col min="1" max="1" width="6.5703125" style="65" customWidth="1"/>
    <col min="2" max="2" width="5.7109375" style="65" customWidth="1"/>
    <col min="3" max="3" width="8.85546875" style="65"/>
    <col min="4" max="4" width="15" style="66" customWidth="1"/>
    <col min="5" max="5" width="31.7109375" style="193" customWidth="1"/>
    <col min="6" max="6" width="25" style="65" bestFit="1" customWidth="1"/>
    <col min="7" max="7" width="20.140625" style="65" bestFit="1" customWidth="1"/>
    <col min="8" max="8" width="16.28515625" style="65" customWidth="1"/>
    <col min="9" max="9" width="17.42578125" style="65" customWidth="1"/>
    <col min="10" max="10" width="13" style="67" customWidth="1"/>
    <col min="11" max="11" width="18" style="65" customWidth="1"/>
    <col min="12" max="12" width="58.5703125" style="69" customWidth="1"/>
    <col min="13" max="13" width="6.5703125" style="65" customWidth="1"/>
    <col min="14" max="14" width="6.140625" style="65" customWidth="1"/>
    <col min="15" max="15" width="7.140625" style="65" customWidth="1"/>
    <col min="16" max="16" width="5.85546875" style="65" customWidth="1"/>
    <col min="17" max="17" width="6.140625" style="65" customWidth="1"/>
    <col min="18" max="18" width="5" style="65" customWidth="1"/>
    <col min="19" max="19" width="4.42578125" style="65" customWidth="1"/>
    <col min="20" max="20" width="4.5703125" style="65" customWidth="1"/>
    <col min="21" max="21" width="6.140625" style="65" customWidth="1"/>
    <col min="22" max="22" width="16.140625" style="65" customWidth="1"/>
    <col min="23" max="23" width="11.42578125" style="67" customWidth="1"/>
    <col min="24" max="24" width="12.85546875" style="65" customWidth="1"/>
    <col min="25" max="25" width="15.42578125" style="65" hidden="1" customWidth="1"/>
    <col min="26" max="26" width="16.28515625" style="65" customWidth="1"/>
    <col min="27" max="27" width="15.28515625" style="68" bestFit="1" customWidth="1"/>
    <col min="28" max="28" width="13.42578125" style="65" bestFit="1" customWidth="1"/>
    <col min="29" max="29" width="12.85546875" style="68" customWidth="1"/>
    <col min="30" max="30" width="14.140625" style="68" customWidth="1"/>
    <col min="31" max="31" width="14.5703125" style="68" bestFit="1" customWidth="1"/>
    <col min="32" max="32" width="18.28515625" style="65" customWidth="1"/>
    <col min="33" max="33" width="43.7109375" style="65" customWidth="1"/>
    <col min="34" max="34" width="11.5703125" style="67" customWidth="1"/>
    <col min="35" max="35" width="10.7109375" style="65" bestFit="1" customWidth="1"/>
    <col min="36" max="36" width="8.85546875" style="64"/>
  </cols>
  <sheetData>
    <row r="1" spans="1:36" ht="54.75" x14ac:dyDescent="0.25">
      <c r="A1" s="1" t="s">
        <v>0</v>
      </c>
      <c r="B1" s="1" t="s">
        <v>1</v>
      </c>
      <c r="C1" s="1" t="s">
        <v>2</v>
      </c>
      <c r="D1" s="2" t="s">
        <v>3</v>
      </c>
      <c r="E1" s="1" t="s">
        <v>4</v>
      </c>
      <c r="F1" s="3" t="s">
        <v>5</v>
      </c>
      <c r="G1" s="3" t="s">
        <v>6</v>
      </c>
      <c r="H1" s="3" t="s">
        <v>7</v>
      </c>
      <c r="I1" s="1" t="s">
        <v>8</v>
      </c>
      <c r="J1" s="2" t="s">
        <v>9</v>
      </c>
      <c r="K1" s="4" t="s">
        <v>10</v>
      </c>
      <c r="L1" s="159" t="s">
        <v>11</v>
      </c>
      <c r="M1" s="6" t="s">
        <v>12</v>
      </c>
      <c r="N1" s="7" t="s">
        <v>13</v>
      </c>
      <c r="O1" s="8" t="s">
        <v>14</v>
      </c>
      <c r="P1" s="8" t="s">
        <v>15</v>
      </c>
      <c r="Q1" s="8" t="s">
        <v>16</v>
      </c>
      <c r="R1" s="9" t="s">
        <v>17</v>
      </c>
      <c r="S1" s="9" t="s">
        <v>18</v>
      </c>
      <c r="T1" s="9" t="s">
        <v>19</v>
      </c>
      <c r="U1" s="9" t="s">
        <v>20</v>
      </c>
      <c r="V1" s="4" t="s">
        <v>21</v>
      </c>
      <c r="W1" s="11" t="s">
        <v>22</v>
      </c>
      <c r="X1" s="11" t="s">
        <v>23</v>
      </c>
      <c r="Y1" s="12" t="s">
        <v>24</v>
      </c>
      <c r="Z1" s="13" t="s">
        <v>25</v>
      </c>
      <c r="AA1" s="14" t="s">
        <v>26</v>
      </c>
      <c r="AB1" s="6" t="s">
        <v>27</v>
      </c>
      <c r="AC1" s="15" t="s">
        <v>28</v>
      </c>
      <c r="AD1" s="15" t="s">
        <v>29</v>
      </c>
      <c r="AE1" s="15" t="s">
        <v>30</v>
      </c>
      <c r="AF1" s="16" t="s">
        <v>280</v>
      </c>
      <c r="AG1" s="86" t="s">
        <v>32</v>
      </c>
      <c r="AH1" s="87" t="s">
        <v>33</v>
      </c>
      <c r="AI1" s="87" t="s">
        <v>34</v>
      </c>
      <c r="AJ1" s="88" t="s">
        <v>132</v>
      </c>
    </row>
    <row r="2" spans="1:36" s="65" customFormat="1" ht="225" x14ac:dyDescent="0.25">
      <c r="A2" s="106">
        <v>2025</v>
      </c>
      <c r="B2" s="106">
        <v>1</v>
      </c>
      <c r="C2" s="107">
        <v>22210</v>
      </c>
      <c r="D2" s="108">
        <v>45664</v>
      </c>
      <c r="E2" s="129" t="s">
        <v>233</v>
      </c>
      <c r="F2" s="111" t="s">
        <v>234</v>
      </c>
      <c r="G2" s="111" t="s">
        <v>143</v>
      </c>
      <c r="H2" s="111">
        <v>3006194380</v>
      </c>
      <c r="I2" s="111">
        <v>3006194380</v>
      </c>
      <c r="J2" s="116">
        <v>45695</v>
      </c>
      <c r="K2" s="111" t="s">
        <v>88</v>
      </c>
      <c r="L2" s="215" t="s">
        <v>1472</v>
      </c>
      <c r="M2" s="111" t="s">
        <v>136</v>
      </c>
      <c r="N2" s="111">
        <v>5666</v>
      </c>
      <c r="O2" s="111">
        <v>5925</v>
      </c>
      <c r="P2" s="111">
        <v>8171</v>
      </c>
      <c r="Q2" s="111">
        <v>5328</v>
      </c>
      <c r="R2" s="111" t="s">
        <v>134</v>
      </c>
      <c r="S2" s="111" t="s">
        <v>134</v>
      </c>
      <c r="T2" s="111" t="s">
        <v>134</v>
      </c>
      <c r="U2" s="111" t="s">
        <v>136</v>
      </c>
      <c r="V2" s="111" t="s">
        <v>119</v>
      </c>
      <c r="W2" s="116">
        <v>45701</v>
      </c>
      <c r="X2" s="116">
        <v>45719</v>
      </c>
      <c r="Y2" s="111"/>
      <c r="Z2" s="111" t="s">
        <v>85</v>
      </c>
      <c r="AA2" s="130">
        <v>0</v>
      </c>
      <c r="AB2" s="111">
        <v>5555</v>
      </c>
      <c r="AC2" s="114">
        <v>5100354</v>
      </c>
      <c r="AD2" s="114">
        <f>+AC2*1.19</f>
        <v>6069421.2599999998</v>
      </c>
      <c r="AE2" s="114">
        <v>3000000</v>
      </c>
      <c r="AF2" s="139">
        <v>45706</v>
      </c>
      <c r="AG2" s="125" t="s">
        <v>316</v>
      </c>
      <c r="AH2" s="116">
        <v>45784</v>
      </c>
      <c r="AI2" s="111" t="s">
        <v>137</v>
      </c>
      <c r="AJ2" s="110"/>
    </row>
    <row r="3" spans="1:36" s="65" customFormat="1" ht="60" x14ac:dyDescent="0.25">
      <c r="A3" s="106">
        <v>2025</v>
      </c>
      <c r="B3" s="106">
        <v>1</v>
      </c>
      <c r="C3" s="107">
        <v>22211</v>
      </c>
      <c r="D3" s="108">
        <v>45664</v>
      </c>
      <c r="E3" s="129" t="s">
        <v>138</v>
      </c>
      <c r="F3" s="111" t="s">
        <v>153</v>
      </c>
      <c r="G3" s="111" t="s">
        <v>154</v>
      </c>
      <c r="H3" s="111">
        <v>3113182966</v>
      </c>
      <c r="I3" s="111">
        <v>3113182966</v>
      </c>
      <c r="J3" s="116">
        <v>45673</v>
      </c>
      <c r="K3" s="111" t="s">
        <v>88</v>
      </c>
      <c r="L3" s="215" t="s">
        <v>1473</v>
      </c>
      <c r="M3" s="111" t="s">
        <v>136</v>
      </c>
      <c r="N3" s="111">
        <v>1901</v>
      </c>
      <c r="O3" s="111" t="s">
        <v>136</v>
      </c>
      <c r="P3" s="111" t="s">
        <v>136</v>
      </c>
      <c r="Q3" s="111" t="s">
        <v>136</v>
      </c>
      <c r="R3" s="111" t="s">
        <v>136</v>
      </c>
      <c r="S3" s="111" t="s">
        <v>134</v>
      </c>
      <c r="T3" s="111" t="s">
        <v>134</v>
      </c>
      <c r="U3" s="111" t="s">
        <v>136</v>
      </c>
      <c r="V3" s="111" t="s">
        <v>87</v>
      </c>
      <c r="W3" s="116">
        <v>45673</v>
      </c>
      <c r="X3" s="116">
        <v>45693</v>
      </c>
      <c r="Y3" s="111"/>
      <c r="Z3" s="111" t="s">
        <v>85</v>
      </c>
      <c r="AA3" s="130">
        <v>0</v>
      </c>
      <c r="AB3" s="111" t="s">
        <v>136</v>
      </c>
      <c r="AC3" s="114">
        <v>0</v>
      </c>
      <c r="AD3" s="114">
        <v>0</v>
      </c>
      <c r="AE3" s="115">
        <v>0</v>
      </c>
      <c r="AF3" s="111" t="s">
        <v>136</v>
      </c>
      <c r="AG3" s="111" t="s">
        <v>1474</v>
      </c>
      <c r="AH3" s="116">
        <v>45784</v>
      </c>
      <c r="AI3" s="111" t="s">
        <v>137</v>
      </c>
      <c r="AJ3" s="110" t="s">
        <v>155</v>
      </c>
    </row>
    <row r="4" spans="1:36" s="65" customFormat="1" ht="46.5" customHeight="1" x14ac:dyDescent="0.25">
      <c r="A4" s="106">
        <v>2025</v>
      </c>
      <c r="B4" s="106">
        <v>1</v>
      </c>
      <c r="C4" s="107">
        <v>22212</v>
      </c>
      <c r="D4" s="108">
        <v>45664</v>
      </c>
      <c r="E4" s="111" t="s">
        <v>152</v>
      </c>
      <c r="F4" s="111" t="s">
        <v>152</v>
      </c>
      <c r="G4" s="155" t="s">
        <v>143</v>
      </c>
      <c r="H4" s="154">
        <v>3148734300</v>
      </c>
      <c r="I4" s="154">
        <v>3148734300</v>
      </c>
      <c r="J4" s="144">
        <v>45673</v>
      </c>
      <c r="K4" s="156" t="s">
        <v>84</v>
      </c>
      <c r="L4" s="216" t="s">
        <v>1475</v>
      </c>
      <c r="M4" s="111" t="s">
        <v>136</v>
      </c>
      <c r="N4" s="111">
        <v>5611</v>
      </c>
      <c r="O4" s="111" t="s">
        <v>136</v>
      </c>
      <c r="P4" s="111" t="s">
        <v>136</v>
      </c>
      <c r="Q4" s="111" t="s">
        <v>136</v>
      </c>
      <c r="R4" s="111" t="s">
        <v>136</v>
      </c>
      <c r="S4" s="111" t="s">
        <v>136</v>
      </c>
      <c r="T4" s="111" t="s">
        <v>136</v>
      </c>
      <c r="U4" s="111" t="s">
        <v>136</v>
      </c>
      <c r="V4" s="111" t="s">
        <v>119</v>
      </c>
      <c r="W4" s="108">
        <v>45672</v>
      </c>
      <c r="X4" s="108">
        <v>45673</v>
      </c>
      <c r="Y4" s="110"/>
      <c r="Z4" s="111" t="s">
        <v>85</v>
      </c>
      <c r="AA4" s="132">
        <v>0</v>
      </c>
      <c r="AB4" s="111">
        <v>5464</v>
      </c>
      <c r="AC4" s="114">
        <v>75630</v>
      </c>
      <c r="AD4" s="114">
        <f>+AC4*1.19</f>
        <v>89999.7</v>
      </c>
      <c r="AE4" s="114">
        <v>80000</v>
      </c>
      <c r="AF4" s="145">
        <v>45691</v>
      </c>
      <c r="AG4" s="111" t="s">
        <v>1476</v>
      </c>
      <c r="AH4" s="116">
        <v>45784</v>
      </c>
      <c r="AI4" s="111" t="s">
        <v>137</v>
      </c>
      <c r="AJ4" s="110"/>
    </row>
    <row r="5" spans="1:36" ht="60" x14ac:dyDescent="0.25">
      <c r="A5" s="106">
        <v>2025</v>
      </c>
      <c r="B5" s="106">
        <v>1</v>
      </c>
      <c r="C5" s="107">
        <v>22213</v>
      </c>
      <c r="D5" s="108">
        <v>45664</v>
      </c>
      <c r="E5" s="129" t="s">
        <v>133</v>
      </c>
      <c r="F5" s="129" t="s">
        <v>135</v>
      </c>
      <c r="G5" s="111" t="s">
        <v>98</v>
      </c>
      <c r="H5" s="111">
        <v>3102805548</v>
      </c>
      <c r="I5" s="111">
        <v>3102805548</v>
      </c>
      <c r="J5" s="116">
        <v>45677</v>
      </c>
      <c r="K5" s="111" t="s">
        <v>88</v>
      </c>
      <c r="L5" s="215" t="s">
        <v>1477</v>
      </c>
      <c r="M5" s="111" t="s">
        <v>282</v>
      </c>
      <c r="N5" s="111" t="s">
        <v>136</v>
      </c>
      <c r="O5" s="111">
        <v>5872</v>
      </c>
      <c r="P5" s="111">
        <v>8084</v>
      </c>
      <c r="Q5" s="111" t="s">
        <v>136</v>
      </c>
      <c r="R5" s="111" t="s">
        <v>134</v>
      </c>
      <c r="S5" s="111" t="s">
        <v>134</v>
      </c>
      <c r="T5" s="111" t="s">
        <v>136</v>
      </c>
      <c r="U5" s="111" t="s">
        <v>136</v>
      </c>
      <c r="V5" s="111" t="s">
        <v>87</v>
      </c>
      <c r="W5" s="116">
        <v>45681</v>
      </c>
      <c r="X5" s="116">
        <v>45684</v>
      </c>
      <c r="Y5" s="111"/>
      <c r="Z5" s="111" t="s">
        <v>85</v>
      </c>
      <c r="AA5" s="132">
        <v>0</v>
      </c>
      <c r="AB5" s="111">
        <v>5480</v>
      </c>
      <c r="AC5" s="114">
        <v>628403</v>
      </c>
      <c r="AD5" s="114">
        <f>+AC5*1.19</f>
        <v>747799.57</v>
      </c>
      <c r="AE5" s="115">
        <v>471180</v>
      </c>
      <c r="AF5" s="139">
        <v>45719</v>
      </c>
      <c r="AG5" s="125" t="s">
        <v>1478</v>
      </c>
      <c r="AH5" s="116">
        <v>45784</v>
      </c>
      <c r="AI5" s="111" t="s">
        <v>137</v>
      </c>
      <c r="AJ5" s="110"/>
    </row>
    <row r="6" spans="1:36" s="65" customFormat="1" ht="46.5" customHeight="1" x14ac:dyDescent="0.25">
      <c r="A6" s="95">
        <v>2025</v>
      </c>
      <c r="B6" s="95">
        <v>1</v>
      </c>
      <c r="C6" s="96">
        <v>22214</v>
      </c>
      <c r="D6" s="97">
        <v>45665</v>
      </c>
      <c r="E6" s="100" t="s">
        <v>176</v>
      </c>
      <c r="F6" s="100" t="s">
        <v>177</v>
      </c>
      <c r="G6" s="98" t="s">
        <v>267</v>
      </c>
      <c r="H6" s="100">
        <v>3115739064</v>
      </c>
      <c r="I6" s="100">
        <v>3115739064</v>
      </c>
      <c r="J6" s="97">
        <v>45679</v>
      </c>
      <c r="K6" s="203" t="s">
        <v>84</v>
      </c>
      <c r="L6" s="217" t="s">
        <v>1480</v>
      </c>
      <c r="M6" s="100" t="s">
        <v>136</v>
      </c>
      <c r="N6" s="100">
        <v>5616</v>
      </c>
      <c r="O6" s="100">
        <v>5879</v>
      </c>
      <c r="P6" s="100" t="s">
        <v>136</v>
      </c>
      <c r="Q6" s="100" t="s">
        <v>136</v>
      </c>
      <c r="R6" s="100" t="s">
        <v>134</v>
      </c>
      <c r="S6" s="100" t="s">
        <v>136</v>
      </c>
      <c r="T6" s="100" t="s">
        <v>136</v>
      </c>
      <c r="U6" s="100" t="s">
        <v>136</v>
      </c>
      <c r="V6" s="100" t="s">
        <v>93</v>
      </c>
      <c r="W6" s="97">
        <v>45681</v>
      </c>
      <c r="X6" s="97"/>
      <c r="Y6" s="99"/>
      <c r="Z6" s="100" t="s">
        <v>97</v>
      </c>
      <c r="AA6" s="102">
        <v>0</v>
      </c>
      <c r="AB6" s="100">
        <v>5396</v>
      </c>
      <c r="AC6" s="103">
        <v>231041</v>
      </c>
      <c r="AD6" s="103">
        <f>+AC6*1.19</f>
        <v>274938.78999999998</v>
      </c>
      <c r="AE6" s="103">
        <v>150000</v>
      </c>
      <c r="AF6" s="141">
        <v>45696</v>
      </c>
      <c r="AG6" s="119" t="s">
        <v>1479</v>
      </c>
      <c r="AH6" s="105">
        <v>45784</v>
      </c>
      <c r="AI6" s="100" t="s">
        <v>137</v>
      </c>
      <c r="AJ6" s="99"/>
    </row>
    <row r="7" spans="1:36" s="302" customFormat="1" ht="46.5" customHeight="1" x14ac:dyDescent="0.25">
      <c r="A7" s="265">
        <v>2025</v>
      </c>
      <c r="B7" s="265">
        <v>1</v>
      </c>
      <c r="C7" s="301">
        <v>22215</v>
      </c>
      <c r="D7" s="252" t="s">
        <v>136</v>
      </c>
      <c r="E7" s="252" t="s">
        <v>136</v>
      </c>
      <c r="F7" s="252" t="s">
        <v>136</v>
      </c>
      <c r="G7" s="252" t="s">
        <v>136</v>
      </c>
      <c r="H7" s="252" t="s">
        <v>136</v>
      </c>
      <c r="I7" s="252" t="s">
        <v>136</v>
      </c>
      <c r="J7" s="252" t="s">
        <v>136</v>
      </c>
      <c r="K7" s="252" t="s">
        <v>136</v>
      </c>
      <c r="L7" s="252" t="s">
        <v>136</v>
      </c>
      <c r="M7" s="252" t="s">
        <v>136</v>
      </c>
      <c r="N7" s="252" t="s">
        <v>136</v>
      </c>
      <c r="O7" s="252" t="s">
        <v>136</v>
      </c>
      <c r="P7" s="252" t="s">
        <v>136</v>
      </c>
      <c r="Q7" s="252" t="s">
        <v>136</v>
      </c>
      <c r="R7" s="252" t="s">
        <v>136</v>
      </c>
      <c r="S7" s="252" t="s">
        <v>136</v>
      </c>
      <c r="T7" s="252" t="s">
        <v>136</v>
      </c>
      <c r="U7" s="252" t="s">
        <v>136</v>
      </c>
      <c r="V7" s="252" t="s">
        <v>136</v>
      </c>
      <c r="W7" s="252" t="s">
        <v>136</v>
      </c>
      <c r="X7" s="252" t="s">
        <v>136</v>
      </c>
      <c r="Y7" s="252" t="s">
        <v>136</v>
      </c>
      <c r="Z7" s="252" t="s">
        <v>136</v>
      </c>
      <c r="AA7" s="252" t="s">
        <v>136</v>
      </c>
      <c r="AB7" s="252" t="s">
        <v>136</v>
      </c>
      <c r="AC7" s="252" t="s">
        <v>136</v>
      </c>
      <c r="AD7" s="252" t="s">
        <v>136</v>
      </c>
      <c r="AE7" s="252" t="s">
        <v>136</v>
      </c>
      <c r="AF7" s="252" t="s">
        <v>136</v>
      </c>
      <c r="AG7" s="252" t="s">
        <v>136</v>
      </c>
      <c r="AH7" s="375">
        <v>45782</v>
      </c>
      <c r="AI7" s="252" t="s">
        <v>136</v>
      </c>
      <c r="AJ7" s="252" t="s">
        <v>136</v>
      </c>
    </row>
    <row r="8" spans="1:36" s="155" customFormat="1" ht="90" x14ac:dyDescent="0.25">
      <c r="A8" s="106">
        <v>2025</v>
      </c>
      <c r="B8" s="106">
        <v>1</v>
      </c>
      <c r="C8" s="107">
        <v>22216</v>
      </c>
      <c r="D8" s="108">
        <v>45665</v>
      </c>
      <c r="E8" s="129" t="s">
        <v>267</v>
      </c>
      <c r="F8" s="129" t="s">
        <v>267</v>
      </c>
      <c r="G8" s="129" t="s">
        <v>267</v>
      </c>
      <c r="H8" s="111">
        <v>3004961399</v>
      </c>
      <c r="I8" s="111">
        <v>3004961399</v>
      </c>
      <c r="J8" s="108">
        <v>45698</v>
      </c>
      <c r="K8" s="111" t="s">
        <v>84</v>
      </c>
      <c r="L8" s="215" t="s">
        <v>1481</v>
      </c>
      <c r="M8" s="111" t="s">
        <v>281</v>
      </c>
      <c r="N8" s="111" t="s">
        <v>136</v>
      </c>
      <c r="O8" s="111">
        <v>5882</v>
      </c>
      <c r="P8" s="111">
        <v>8189</v>
      </c>
      <c r="Q8" s="111" t="s">
        <v>136</v>
      </c>
      <c r="R8" s="111" t="s">
        <v>136</v>
      </c>
      <c r="S8" s="111" t="s">
        <v>134</v>
      </c>
      <c r="T8" s="111" t="s">
        <v>134</v>
      </c>
      <c r="U8" s="111" t="s">
        <v>136</v>
      </c>
      <c r="V8" s="111" t="s">
        <v>89</v>
      </c>
      <c r="W8" s="108">
        <v>45710</v>
      </c>
      <c r="X8" s="116">
        <v>45744</v>
      </c>
      <c r="Y8" s="110"/>
      <c r="Z8" s="111" t="s">
        <v>85</v>
      </c>
      <c r="AA8" s="132">
        <v>0</v>
      </c>
      <c r="AB8" s="111">
        <v>5413</v>
      </c>
      <c r="AC8" s="114">
        <v>8356626</v>
      </c>
      <c r="AD8" s="114">
        <f t="shared" ref="AD8" si="0">+AC8*1.19</f>
        <v>9944384.9399999995</v>
      </c>
      <c r="AE8" s="114">
        <v>5000000</v>
      </c>
      <c r="AF8" s="145">
        <v>45715</v>
      </c>
      <c r="AG8" s="125" t="s">
        <v>1483</v>
      </c>
      <c r="AH8" s="116">
        <v>45784</v>
      </c>
      <c r="AI8" s="111" t="s">
        <v>571</v>
      </c>
      <c r="AJ8" s="110"/>
    </row>
    <row r="9" spans="1:36" s="65" customFormat="1" ht="45" x14ac:dyDescent="0.25">
      <c r="A9" s="106">
        <v>2025</v>
      </c>
      <c r="B9" s="106">
        <v>1</v>
      </c>
      <c r="C9" s="107">
        <v>22217</v>
      </c>
      <c r="D9" s="108">
        <v>45665</v>
      </c>
      <c r="E9" s="129" t="s">
        <v>141</v>
      </c>
      <c r="F9" s="109" t="s">
        <v>142</v>
      </c>
      <c r="G9" s="110" t="s">
        <v>143</v>
      </c>
      <c r="H9" s="111">
        <v>3137674259</v>
      </c>
      <c r="I9" s="111">
        <v>3108484442</v>
      </c>
      <c r="J9" s="108">
        <v>45673</v>
      </c>
      <c r="K9" s="111" t="s">
        <v>88</v>
      </c>
      <c r="L9" s="215" t="s">
        <v>1482</v>
      </c>
      <c r="M9" s="111" t="s">
        <v>282</v>
      </c>
      <c r="N9" s="111" t="s">
        <v>136</v>
      </c>
      <c r="O9" s="111">
        <v>5873</v>
      </c>
      <c r="P9" s="111">
        <v>8195</v>
      </c>
      <c r="Q9" s="111" t="s">
        <v>136</v>
      </c>
      <c r="R9" s="111" t="s">
        <v>136</v>
      </c>
      <c r="S9" s="111" t="s">
        <v>136</v>
      </c>
      <c r="T9" s="111" t="s">
        <v>136</v>
      </c>
      <c r="U9" s="111" t="s">
        <v>136</v>
      </c>
      <c r="V9" s="111" t="s">
        <v>87</v>
      </c>
      <c r="W9" s="108">
        <v>45672</v>
      </c>
      <c r="X9" s="108">
        <v>45672</v>
      </c>
      <c r="Y9" s="110"/>
      <c r="Z9" s="111" t="s">
        <v>85</v>
      </c>
      <c r="AA9" s="113">
        <v>262354</v>
      </c>
      <c r="AB9" s="346">
        <v>5452</v>
      </c>
      <c r="AC9" s="114">
        <v>220466</v>
      </c>
      <c r="AD9" s="114">
        <f t="shared" ref="AD9:AD19" si="1">+AC9*1.19</f>
        <v>262354.53999999998</v>
      </c>
      <c r="AE9" s="115">
        <v>0</v>
      </c>
      <c r="AF9" s="116">
        <v>45665</v>
      </c>
      <c r="AG9" s="125" t="s">
        <v>288</v>
      </c>
      <c r="AH9" s="116">
        <v>45784</v>
      </c>
      <c r="AI9" s="111" t="s">
        <v>137</v>
      </c>
      <c r="AJ9" s="110"/>
    </row>
    <row r="10" spans="1:36" s="65" customFormat="1" ht="68.25" customHeight="1" x14ac:dyDescent="0.25">
      <c r="A10" s="106">
        <v>2025</v>
      </c>
      <c r="B10" s="106">
        <v>1</v>
      </c>
      <c r="C10" s="107">
        <v>22218</v>
      </c>
      <c r="D10" s="108">
        <v>45665</v>
      </c>
      <c r="E10" s="129" t="s">
        <v>156</v>
      </c>
      <c r="F10" s="110" t="s">
        <v>157</v>
      </c>
      <c r="G10" s="110" t="s">
        <v>143</v>
      </c>
      <c r="H10" s="111">
        <v>3003342086</v>
      </c>
      <c r="I10" s="111">
        <v>3003342086</v>
      </c>
      <c r="J10" s="108">
        <v>45678</v>
      </c>
      <c r="K10" s="111" t="s">
        <v>84</v>
      </c>
      <c r="L10" s="215" t="s">
        <v>1484</v>
      </c>
      <c r="M10" s="111" t="s">
        <v>136</v>
      </c>
      <c r="N10" s="111">
        <v>5610</v>
      </c>
      <c r="O10" s="111">
        <v>5874</v>
      </c>
      <c r="P10" s="111">
        <v>8193</v>
      </c>
      <c r="Q10" s="111">
        <v>5335</v>
      </c>
      <c r="R10" s="111" t="s">
        <v>136</v>
      </c>
      <c r="S10" s="111" t="s">
        <v>134</v>
      </c>
      <c r="T10" s="111" t="s">
        <v>134</v>
      </c>
      <c r="U10" s="111" t="s">
        <v>136</v>
      </c>
      <c r="V10" s="111" t="s">
        <v>89</v>
      </c>
      <c r="W10" s="108">
        <v>45681</v>
      </c>
      <c r="X10" s="116">
        <v>45682</v>
      </c>
      <c r="Y10" s="110"/>
      <c r="Z10" s="111" t="s">
        <v>85</v>
      </c>
      <c r="AA10" s="132">
        <v>0</v>
      </c>
      <c r="AB10" s="111">
        <v>5483</v>
      </c>
      <c r="AC10" s="114">
        <v>656670</v>
      </c>
      <c r="AD10" s="114">
        <f t="shared" si="1"/>
        <v>781437.29999999993</v>
      </c>
      <c r="AE10" s="114">
        <v>400000</v>
      </c>
      <c r="AF10" s="116">
        <v>45681</v>
      </c>
      <c r="AG10" s="125" t="s">
        <v>1485</v>
      </c>
      <c r="AH10" s="116">
        <v>45784</v>
      </c>
      <c r="AI10" s="111" t="s">
        <v>137</v>
      </c>
      <c r="AJ10" s="110"/>
    </row>
    <row r="11" spans="1:36" s="65" customFormat="1" ht="60" x14ac:dyDescent="0.25">
      <c r="A11" s="106">
        <v>2025</v>
      </c>
      <c r="B11" s="106">
        <v>1</v>
      </c>
      <c r="C11" s="107">
        <v>22219</v>
      </c>
      <c r="D11" s="108">
        <v>45665</v>
      </c>
      <c r="E11" s="129" t="s">
        <v>139</v>
      </c>
      <c r="F11" s="109" t="s">
        <v>140</v>
      </c>
      <c r="G11" s="110" t="s">
        <v>98</v>
      </c>
      <c r="H11" s="110">
        <v>3113327679</v>
      </c>
      <c r="I11" s="110">
        <v>3113327679</v>
      </c>
      <c r="J11" s="108">
        <v>45672</v>
      </c>
      <c r="K11" s="111" t="s">
        <v>84</v>
      </c>
      <c r="L11" s="215" t="s">
        <v>1486</v>
      </c>
      <c r="M11" s="111" t="s">
        <v>136</v>
      </c>
      <c r="N11" s="111" t="s">
        <v>136</v>
      </c>
      <c r="O11" s="111">
        <v>5875</v>
      </c>
      <c r="P11" s="111">
        <v>8183</v>
      </c>
      <c r="Q11" s="111" t="s">
        <v>136</v>
      </c>
      <c r="R11" s="111" t="s">
        <v>134</v>
      </c>
      <c r="S11" s="111" t="s">
        <v>136</v>
      </c>
      <c r="T11" s="111" t="s">
        <v>136</v>
      </c>
      <c r="U11" s="111" t="s">
        <v>136</v>
      </c>
      <c r="V11" s="111" t="s">
        <v>89</v>
      </c>
      <c r="W11" s="108">
        <v>45679</v>
      </c>
      <c r="X11" s="108">
        <v>45684</v>
      </c>
      <c r="Y11" s="110"/>
      <c r="Z11" s="111" t="s">
        <v>85</v>
      </c>
      <c r="AA11" s="114">
        <v>480509</v>
      </c>
      <c r="AB11" s="111">
        <v>5477</v>
      </c>
      <c r="AC11" s="114">
        <v>403789</v>
      </c>
      <c r="AD11" s="114">
        <f t="shared" si="1"/>
        <v>480508.91</v>
      </c>
      <c r="AE11" s="115">
        <v>0</v>
      </c>
      <c r="AF11" s="108">
        <v>45659</v>
      </c>
      <c r="AG11" s="137" t="s">
        <v>1487</v>
      </c>
      <c r="AH11" s="116">
        <v>45784</v>
      </c>
      <c r="AI11" s="111" t="s">
        <v>137</v>
      </c>
      <c r="AJ11" s="110"/>
    </row>
    <row r="12" spans="1:36" s="65" customFormat="1" ht="46.5" customHeight="1" x14ac:dyDescent="0.25">
      <c r="A12" s="106">
        <v>2025</v>
      </c>
      <c r="B12" s="106">
        <v>1</v>
      </c>
      <c r="C12" s="107">
        <v>22220</v>
      </c>
      <c r="D12" s="108">
        <v>45665</v>
      </c>
      <c r="E12" s="129" t="s">
        <v>144</v>
      </c>
      <c r="F12" s="109" t="s">
        <v>145</v>
      </c>
      <c r="G12" s="110" t="s">
        <v>98</v>
      </c>
      <c r="H12" s="111">
        <v>3006096018</v>
      </c>
      <c r="I12" s="111">
        <v>3045578359</v>
      </c>
      <c r="J12" s="108">
        <v>45670</v>
      </c>
      <c r="K12" s="111" t="s">
        <v>88</v>
      </c>
      <c r="L12" s="215" t="s">
        <v>1488</v>
      </c>
      <c r="M12" s="111" t="s">
        <v>281</v>
      </c>
      <c r="N12" s="111" t="s">
        <v>136</v>
      </c>
      <c r="O12" s="111" t="s">
        <v>136</v>
      </c>
      <c r="P12" s="111">
        <v>8196</v>
      </c>
      <c r="Q12" s="111" t="s">
        <v>136</v>
      </c>
      <c r="R12" s="111" t="s">
        <v>136</v>
      </c>
      <c r="S12" s="111" t="s">
        <v>136</v>
      </c>
      <c r="T12" s="111" t="s">
        <v>136</v>
      </c>
      <c r="U12" s="111" t="s">
        <v>136</v>
      </c>
      <c r="V12" s="111" t="s">
        <v>119</v>
      </c>
      <c r="W12" s="108">
        <v>45667</v>
      </c>
      <c r="X12" s="108">
        <v>45670</v>
      </c>
      <c r="Y12" s="110"/>
      <c r="Z12" s="111" t="s">
        <v>85</v>
      </c>
      <c r="AA12" s="132">
        <v>0</v>
      </c>
      <c r="AB12" s="111">
        <v>5435</v>
      </c>
      <c r="AC12" s="114">
        <v>150000</v>
      </c>
      <c r="AD12" s="114">
        <f t="shared" si="1"/>
        <v>178500</v>
      </c>
      <c r="AE12" s="114">
        <v>178000</v>
      </c>
      <c r="AF12" s="108">
        <v>45665</v>
      </c>
      <c r="AG12" s="125" t="s">
        <v>1489</v>
      </c>
      <c r="AH12" s="116">
        <v>45784</v>
      </c>
      <c r="AI12" s="111" t="s">
        <v>137</v>
      </c>
      <c r="AJ12" s="110"/>
    </row>
    <row r="13" spans="1:36" s="65" customFormat="1" ht="90" x14ac:dyDescent="0.25">
      <c r="A13" s="106">
        <v>2025</v>
      </c>
      <c r="B13" s="106">
        <v>1</v>
      </c>
      <c r="C13" s="107">
        <v>22221</v>
      </c>
      <c r="D13" s="108">
        <v>45666</v>
      </c>
      <c r="E13" s="111" t="s">
        <v>146</v>
      </c>
      <c r="F13" s="110" t="s">
        <v>147</v>
      </c>
      <c r="G13" s="110" t="s">
        <v>148</v>
      </c>
      <c r="H13" s="111">
        <v>3136573185</v>
      </c>
      <c r="I13" s="111">
        <v>3136573185</v>
      </c>
      <c r="J13" s="108">
        <v>45677</v>
      </c>
      <c r="K13" s="111" t="s">
        <v>88</v>
      </c>
      <c r="L13" s="215" t="s">
        <v>1490</v>
      </c>
      <c r="M13" s="111" t="s">
        <v>281</v>
      </c>
      <c r="N13" s="111" t="s">
        <v>136</v>
      </c>
      <c r="O13" s="111">
        <v>5876</v>
      </c>
      <c r="P13" s="111">
        <v>8157</v>
      </c>
      <c r="Q13" s="111">
        <v>5324</v>
      </c>
      <c r="R13" s="111" t="s">
        <v>136</v>
      </c>
      <c r="S13" s="111" t="s">
        <v>134</v>
      </c>
      <c r="T13" s="111" t="s">
        <v>134</v>
      </c>
      <c r="U13" s="111" t="s">
        <v>136</v>
      </c>
      <c r="V13" s="111" t="s">
        <v>119</v>
      </c>
      <c r="W13" s="108">
        <v>45679</v>
      </c>
      <c r="X13" s="116">
        <v>45708</v>
      </c>
      <c r="Y13" s="110"/>
      <c r="Z13" s="111" t="s">
        <v>85</v>
      </c>
      <c r="AA13" s="132">
        <v>0</v>
      </c>
      <c r="AB13" s="111">
        <v>5473</v>
      </c>
      <c r="AC13" s="114">
        <v>635200</v>
      </c>
      <c r="AD13" s="114">
        <f t="shared" si="1"/>
        <v>755888</v>
      </c>
      <c r="AE13" s="115">
        <v>0</v>
      </c>
      <c r="AF13" s="145">
        <v>45688</v>
      </c>
      <c r="AG13" s="142" t="s">
        <v>1491</v>
      </c>
      <c r="AH13" s="116">
        <v>45784</v>
      </c>
      <c r="AI13" s="111" t="s">
        <v>137</v>
      </c>
      <c r="AJ13" s="110"/>
    </row>
    <row r="14" spans="1:36" s="65" customFormat="1" ht="60" x14ac:dyDescent="0.25">
      <c r="A14" s="106">
        <v>2025</v>
      </c>
      <c r="B14" s="106">
        <v>1</v>
      </c>
      <c r="C14" s="107">
        <v>22222</v>
      </c>
      <c r="D14" s="108">
        <v>45666</v>
      </c>
      <c r="E14" s="129" t="s">
        <v>158</v>
      </c>
      <c r="F14" s="110" t="s">
        <v>159</v>
      </c>
      <c r="G14" s="110" t="s">
        <v>160</v>
      </c>
      <c r="H14" s="111">
        <v>3148133819</v>
      </c>
      <c r="I14" s="111">
        <v>3105724232</v>
      </c>
      <c r="J14" s="108">
        <v>45679</v>
      </c>
      <c r="K14" s="111" t="s">
        <v>88</v>
      </c>
      <c r="L14" s="215" t="s">
        <v>161</v>
      </c>
      <c r="M14" s="111" t="s">
        <v>136</v>
      </c>
      <c r="N14" s="111">
        <v>5612</v>
      </c>
      <c r="O14" s="111">
        <v>5877</v>
      </c>
      <c r="P14" s="111">
        <v>8197</v>
      </c>
      <c r="Q14" s="111" t="s">
        <v>136</v>
      </c>
      <c r="R14" s="111" t="s">
        <v>136</v>
      </c>
      <c r="S14" s="111" t="s">
        <v>134</v>
      </c>
      <c r="T14" s="111" t="s">
        <v>134</v>
      </c>
      <c r="U14" s="111" t="s">
        <v>136</v>
      </c>
      <c r="V14" s="111" t="s">
        <v>87</v>
      </c>
      <c r="W14" s="108">
        <v>45679</v>
      </c>
      <c r="X14" s="116">
        <v>45699</v>
      </c>
      <c r="Y14" s="110"/>
      <c r="Z14" s="111" t="s">
        <v>85</v>
      </c>
      <c r="AA14" s="132">
        <v>0</v>
      </c>
      <c r="AB14" s="111">
        <v>5478</v>
      </c>
      <c r="AC14" s="114">
        <v>11312783</v>
      </c>
      <c r="AD14" s="114">
        <f t="shared" si="1"/>
        <v>13462211.77</v>
      </c>
      <c r="AE14" s="114">
        <v>6731106</v>
      </c>
      <c r="AF14" s="108">
        <v>45681</v>
      </c>
      <c r="AG14" s="125" t="s">
        <v>1492</v>
      </c>
      <c r="AH14" s="116">
        <v>45784</v>
      </c>
      <c r="AI14" s="111" t="s">
        <v>137</v>
      </c>
      <c r="AJ14" s="110"/>
    </row>
    <row r="15" spans="1:36" s="65" customFormat="1" ht="60" x14ac:dyDescent="0.25">
      <c r="A15" s="106">
        <v>2025</v>
      </c>
      <c r="B15" s="106">
        <v>1</v>
      </c>
      <c r="C15" s="107">
        <v>22223</v>
      </c>
      <c r="D15" s="108">
        <v>45666</v>
      </c>
      <c r="E15" s="129" t="s">
        <v>228</v>
      </c>
      <c r="F15" s="109" t="s">
        <v>228</v>
      </c>
      <c r="G15" s="110" t="s">
        <v>143</v>
      </c>
      <c r="H15" s="111">
        <v>3234370341</v>
      </c>
      <c r="I15" s="111">
        <v>3234370341</v>
      </c>
      <c r="J15" s="108">
        <v>45678</v>
      </c>
      <c r="K15" s="111" t="s">
        <v>84</v>
      </c>
      <c r="L15" s="215" t="s">
        <v>1493</v>
      </c>
      <c r="M15" s="111" t="s">
        <v>136</v>
      </c>
      <c r="N15" s="111">
        <v>5641</v>
      </c>
      <c r="O15" s="111">
        <v>5901</v>
      </c>
      <c r="P15" s="111">
        <v>8218</v>
      </c>
      <c r="Q15" s="111">
        <v>5347</v>
      </c>
      <c r="R15" s="111" t="s">
        <v>136</v>
      </c>
      <c r="S15" s="111" t="s">
        <v>134</v>
      </c>
      <c r="T15" s="111" t="s">
        <v>134</v>
      </c>
      <c r="U15" s="111" t="s">
        <v>136</v>
      </c>
      <c r="V15" s="111" t="s">
        <v>87</v>
      </c>
      <c r="W15" s="108">
        <v>45688</v>
      </c>
      <c r="X15" s="116">
        <v>45692</v>
      </c>
      <c r="Y15" s="110"/>
      <c r="Z15" s="111" t="s">
        <v>85</v>
      </c>
      <c r="AA15" s="132">
        <v>0</v>
      </c>
      <c r="AB15" s="111">
        <v>5506</v>
      </c>
      <c r="AC15" s="114">
        <v>984035</v>
      </c>
      <c r="AD15" s="114">
        <f t="shared" si="1"/>
        <v>1171001.6499999999</v>
      </c>
      <c r="AE15" s="114">
        <v>625501</v>
      </c>
      <c r="AF15" s="145">
        <v>45691</v>
      </c>
      <c r="AG15" s="125" t="s">
        <v>1494</v>
      </c>
      <c r="AH15" s="116">
        <v>45784</v>
      </c>
      <c r="AI15" s="111" t="s">
        <v>137</v>
      </c>
      <c r="AJ15" s="110"/>
    </row>
    <row r="16" spans="1:36" s="155" customFormat="1" ht="30" x14ac:dyDescent="0.25">
      <c r="A16" s="106">
        <v>2025</v>
      </c>
      <c r="B16" s="106">
        <v>1</v>
      </c>
      <c r="C16" s="107">
        <v>22224</v>
      </c>
      <c r="D16" s="108">
        <v>45666</v>
      </c>
      <c r="E16" s="129" t="s">
        <v>162</v>
      </c>
      <c r="F16" s="110" t="s">
        <v>163</v>
      </c>
      <c r="G16" s="110" t="s">
        <v>150</v>
      </c>
      <c r="H16" s="111">
        <v>6044483227</v>
      </c>
      <c r="I16" s="111">
        <v>6044483227</v>
      </c>
      <c r="J16" s="108">
        <v>45678</v>
      </c>
      <c r="K16" s="111" t="s">
        <v>88</v>
      </c>
      <c r="L16" s="215" t="s">
        <v>1495</v>
      </c>
      <c r="M16" s="111" t="s">
        <v>136</v>
      </c>
      <c r="N16" s="111">
        <v>5614</v>
      </c>
      <c r="O16" s="111" t="s">
        <v>136</v>
      </c>
      <c r="P16" s="111">
        <v>8166</v>
      </c>
      <c r="Q16" s="111">
        <v>5326</v>
      </c>
      <c r="R16" s="111" t="s">
        <v>136</v>
      </c>
      <c r="S16" s="111" t="s">
        <v>134</v>
      </c>
      <c r="T16" s="111" t="s">
        <v>134</v>
      </c>
      <c r="U16" s="111" t="s">
        <v>136</v>
      </c>
      <c r="V16" s="111" t="s">
        <v>89</v>
      </c>
      <c r="W16" s="108">
        <v>45678</v>
      </c>
      <c r="X16" s="108">
        <v>45685</v>
      </c>
      <c r="Y16" s="110"/>
      <c r="Z16" s="111" t="s">
        <v>85</v>
      </c>
      <c r="AA16" s="132">
        <v>0</v>
      </c>
      <c r="AB16" s="111">
        <v>5519</v>
      </c>
      <c r="AC16" s="114">
        <v>219150</v>
      </c>
      <c r="AD16" s="114">
        <f t="shared" si="1"/>
        <v>260788.5</v>
      </c>
      <c r="AE16" s="115">
        <v>0</v>
      </c>
      <c r="AF16" s="145">
        <v>45728</v>
      </c>
      <c r="AG16" s="125" t="s">
        <v>1496</v>
      </c>
      <c r="AH16" s="116">
        <v>45784</v>
      </c>
      <c r="AI16" s="111" t="s">
        <v>137</v>
      </c>
      <c r="AJ16" s="110"/>
    </row>
    <row r="17" spans="1:36" s="155" customFormat="1" ht="30" x14ac:dyDescent="0.25">
      <c r="A17" s="106">
        <v>2025</v>
      </c>
      <c r="B17" s="106">
        <v>1</v>
      </c>
      <c r="C17" s="107">
        <v>22225</v>
      </c>
      <c r="D17" s="108">
        <v>45666</v>
      </c>
      <c r="E17" s="129" t="s">
        <v>162</v>
      </c>
      <c r="F17" s="110" t="s">
        <v>163</v>
      </c>
      <c r="G17" s="110" t="s">
        <v>150</v>
      </c>
      <c r="H17" s="111">
        <v>6044483227</v>
      </c>
      <c r="I17" s="111">
        <v>6044483227</v>
      </c>
      <c r="J17" s="108">
        <v>45679</v>
      </c>
      <c r="K17" s="111" t="s">
        <v>88</v>
      </c>
      <c r="L17" s="215" t="s">
        <v>1495</v>
      </c>
      <c r="M17" s="111" t="s">
        <v>136</v>
      </c>
      <c r="N17" s="111">
        <v>5613</v>
      </c>
      <c r="O17" s="111" t="s">
        <v>136</v>
      </c>
      <c r="P17" s="111">
        <v>8203</v>
      </c>
      <c r="Q17" s="111" t="s">
        <v>136</v>
      </c>
      <c r="R17" s="111" t="s">
        <v>136</v>
      </c>
      <c r="S17" s="111" t="s">
        <v>134</v>
      </c>
      <c r="T17" s="111" t="s">
        <v>134</v>
      </c>
      <c r="U17" s="111" t="s">
        <v>136</v>
      </c>
      <c r="V17" s="111" t="s">
        <v>89</v>
      </c>
      <c r="W17" s="108">
        <v>45682</v>
      </c>
      <c r="X17" s="108">
        <v>45685</v>
      </c>
      <c r="Y17" s="110"/>
      <c r="Z17" s="111" t="s">
        <v>85</v>
      </c>
      <c r="AA17" s="132">
        <v>0</v>
      </c>
      <c r="AB17" s="111">
        <v>5517</v>
      </c>
      <c r="AC17" s="114">
        <v>1410751</v>
      </c>
      <c r="AD17" s="114">
        <f t="shared" si="1"/>
        <v>1678793.69</v>
      </c>
      <c r="AE17" s="115">
        <v>0</v>
      </c>
      <c r="AF17" s="145">
        <v>45728</v>
      </c>
      <c r="AG17" s="125" t="s">
        <v>1496</v>
      </c>
      <c r="AH17" s="116">
        <v>45784</v>
      </c>
      <c r="AI17" s="111" t="s">
        <v>137</v>
      </c>
      <c r="AJ17" s="110"/>
    </row>
    <row r="18" spans="1:36" s="65" customFormat="1" ht="46.5" customHeight="1" x14ac:dyDescent="0.25">
      <c r="A18" s="106">
        <v>2025</v>
      </c>
      <c r="B18" s="106">
        <v>1</v>
      </c>
      <c r="C18" s="107">
        <v>22226</v>
      </c>
      <c r="D18" s="108">
        <v>45666</v>
      </c>
      <c r="E18" s="129" t="s">
        <v>151</v>
      </c>
      <c r="F18" s="129" t="s">
        <v>151</v>
      </c>
      <c r="G18" s="110" t="s">
        <v>143</v>
      </c>
      <c r="H18" s="111">
        <v>3004343362</v>
      </c>
      <c r="I18" s="111">
        <v>3004343362</v>
      </c>
      <c r="J18" s="108">
        <v>45674</v>
      </c>
      <c r="K18" s="111" t="s">
        <v>84</v>
      </c>
      <c r="L18" s="215" t="s">
        <v>1497</v>
      </c>
      <c r="M18" s="111" t="s">
        <v>281</v>
      </c>
      <c r="N18" s="111" t="s">
        <v>136</v>
      </c>
      <c r="O18" s="111" t="s">
        <v>136</v>
      </c>
      <c r="P18" s="111">
        <v>8205</v>
      </c>
      <c r="Q18" s="111">
        <v>5336</v>
      </c>
      <c r="R18" s="111" t="s">
        <v>136</v>
      </c>
      <c r="S18" s="111" t="s">
        <v>134</v>
      </c>
      <c r="T18" s="111" t="s">
        <v>134</v>
      </c>
      <c r="U18" s="111" t="s">
        <v>136</v>
      </c>
      <c r="V18" s="111" t="s">
        <v>119</v>
      </c>
      <c r="W18" s="108">
        <v>45671</v>
      </c>
      <c r="X18" s="108">
        <v>45673</v>
      </c>
      <c r="Y18" s="110"/>
      <c r="Z18" s="111" t="s">
        <v>85</v>
      </c>
      <c r="AA18" s="114">
        <v>0</v>
      </c>
      <c r="AB18" s="111">
        <v>5455</v>
      </c>
      <c r="AC18" s="114">
        <v>240000</v>
      </c>
      <c r="AD18" s="114">
        <f t="shared" si="1"/>
        <v>285600</v>
      </c>
      <c r="AE18" s="114">
        <v>200000</v>
      </c>
      <c r="AF18" s="108">
        <v>45673</v>
      </c>
      <c r="AG18" s="111" t="s">
        <v>1498</v>
      </c>
      <c r="AH18" s="116">
        <v>45784</v>
      </c>
      <c r="AI18" s="111" t="s">
        <v>137</v>
      </c>
      <c r="AJ18" s="110"/>
    </row>
    <row r="19" spans="1:36" s="65" customFormat="1" ht="75" x14ac:dyDescent="0.25">
      <c r="A19" s="106">
        <v>2025</v>
      </c>
      <c r="B19" s="106">
        <v>1</v>
      </c>
      <c r="C19" s="107">
        <v>22227</v>
      </c>
      <c r="D19" s="108">
        <v>45667</v>
      </c>
      <c r="E19" s="111" t="s">
        <v>149</v>
      </c>
      <c r="F19" s="110" t="s">
        <v>166</v>
      </c>
      <c r="G19" s="110" t="s">
        <v>150</v>
      </c>
      <c r="H19" s="111">
        <v>3153406315</v>
      </c>
      <c r="I19" s="111">
        <v>3153406315</v>
      </c>
      <c r="J19" s="108">
        <v>45670</v>
      </c>
      <c r="K19" s="111" t="s">
        <v>88</v>
      </c>
      <c r="L19" s="215" t="s">
        <v>1499</v>
      </c>
      <c r="M19" s="111" t="s">
        <v>136</v>
      </c>
      <c r="N19" s="111" t="s">
        <v>136</v>
      </c>
      <c r="O19" s="111" t="s">
        <v>136</v>
      </c>
      <c r="P19" s="111" t="s">
        <v>136</v>
      </c>
      <c r="Q19" s="111" t="s">
        <v>136</v>
      </c>
      <c r="R19" s="111" t="s">
        <v>136</v>
      </c>
      <c r="S19" s="111" t="s">
        <v>134</v>
      </c>
      <c r="T19" s="111" t="s">
        <v>134</v>
      </c>
      <c r="U19" s="111" t="s">
        <v>134</v>
      </c>
      <c r="V19" s="111" t="s">
        <v>89</v>
      </c>
      <c r="W19" s="108">
        <v>45674</v>
      </c>
      <c r="X19" s="108">
        <v>45674</v>
      </c>
      <c r="Y19" s="110"/>
      <c r="Z19" s="111" t="s">
        <v>85</v>
      </c>
      <c r="AA19" s="114">
        <v>0</v>
      </c>
      <c r="AB19" s="111">
        <v>5450</v>
      </c>
      <c r="AC19" s="114">
        <v>1680400</v>
      </c>
      <c r="AD19" s="114">
        <f t="shared" si="1"/>
        <v>1999676</v>
      </c>
      <c r="AE19" s="114">
        <v>1957666</v>
      </c>
      <c r="AF19" s="108">
        <v>45681</v>
      </c>
      <c r="AG19" s="125" t="s">
        <v>1500</v>
      </c>
      <c r="AH19" s="116">
        <v>45784</v>
      </c>
      <c r="AI19" s="111" t="s">
        <v>137</v>
      </c>
      <c r="AJ19" s="110"/>
    </row>
    <row r="20" spans="1:36" s="65" customFormat="1" ht="45" x14ac:dyDescent="0.25">
      <c r="A20" s="106">
        <v>2025</v>
      </c>
      <c r="B20" s="106">
        <v>1</v>
      </c>
      <c r="C20" s="107">
        <v>22228</v>
      </c>
      <c r="D20" s="108">
        <v>45667</v>
      </c>
      <c r="E20" s="129" t="s">
        <v>164</v>
      </c>
      <c r="F20" s="109" t="s">
        <v>165</v>
      </c>
      <c r="G20" s="110" t="s">
        <v>143</v>
      </c>
      <c r="H20" s="111">
        <v>3122501795</v>
      </c>
      <c r="I20" s="111">
        <v>3122501795</v>
      </c>
      <c r="J20" s="108">
        <v>45675</v>
      </c>
      <c r="K20" s="111" t="s">
        <v>84</v>
      </c>
      <c r="L20" s="215" t="s">
        <v>1501</v>
      </c>
      <c r="M20" s="111" t="s">
        <v>136</v>
      </c>
      <c r="N20" s="111">
        <v>5615</v>
      </c>
      <c r="O20" s="111">
        <v>5878</v>
      </c>
      <c r="P20" s="111">
        <v>8212</v>
      </c>
      <c r="Q20" s="111" t="s">
        <v>136</v>
      </c>
      <c r="R20" s="111" t="s">
        <v>136</v>
      </c>
      <c r="S20" s="111" t="s">
        <v>136</v>
      </c>
      <c r="T20" s="111" t="s">
        <v>136</v>
      </c>
      <c r="U20" s="111" t="s">
        <v>136</v>
      </c>
      <c r="V20" s="111" t="s">
        <v>87</v>
      </c>
      <c r="W20" s="108">
        <v>45678</v>
      </c>
      <c r="X20" s="108">
        <v>45678</v>
      </c>
      <c r="Y20" s="110"/>
      <c r="Z20" s="111" t="s">
        <v>85</v>
      </c>
      <c r="AA20" s="124">
        <v>0</v>
      </c>
      <c r="AB20" s="111">
        <v>5457</v>
      </c>
      <c r="AC20" s="114">
        <v>0</v>
      </c>
      <c r="AD20" s="114">
        <v>1684746</v>
      </c>
      <c r="AE20" s="114">
        <v>1684746</v>
      </c>
      <c r="AF20" s="116">
        <v>45673</v>
      </c>
      <c r="AG20" s="125" t="s">
        <v>1502</v>
      </c>
      <c r="AH20" s="116">
        <v>45784</v>
      </c>
      <c r="AI20" s="111" t="s">
        <v>137</v>
      </c>
      <c r="AJ20" s="110"/>
    </row>
    <row r="21" spans="1:36" s="65" customFormat="1" ht="30" x14ac:dyDescent="0.25">
      <c r="A21" s="106">
        <v>2025</v>
      </c>
      <c r="B21" s="106">
        <v>1</v>
      </c>
      <c r="C21" s="107">
        <v>22229</v>
      </c>
      <c r="D21" s="108">
        <v>45667</v>
      </c>
      <c r="E21" s="129" t="s">
        <v>178</v>
      </c>
      <c r="F21" s="110" t="s">
        <v>179</v>
      </c>
      <c r="G21" s="110" t="s">
        <v>98</v>
      </c>
      <c r="H21" s="110">
        <v>3137386443</v>
      </c>
      <c r="I21" s="111">
        <v>3113495683</v>
      </c>
      <c r="J21" s="108">
        <v>45677</v>
      </c>
      <c r="K21" s="111" t="s">
        <v>88</v>
      </c>
      <c r="L21" s="215" t="s">
        <v>1503</v>
      </c>
      <c r="M21" s="111" t="s">
        <v>136</v>
      </c>
      <c r="N21" s="111">
        <v>5617</v>
      </c>
      <c r="O21" s="111" t="s">
        <v>136</v>
      </c>
      <c r="P21" s="111">
        <v>8201</v>
      </c>
      <c r="Q21" s="111" t="s">
        <v>136</v>
      </c>
      <c r="R21" s="111" t="s">
        <v>136</v>
      </c>
      <c r="S21" s="111" t="s">
        <v>134</v>
      </c>
      <c r="T21" s="111" t="s">
        <v>136</v>
      </c>
      <c r="U21" s="111" t="s">
        <v>136</v>
      </c>
      <c r="V21" s="111" t="s">
        <v>87</v>
      </c>
      <c r="W21" s="108">
        <v>45677</v>
      </c>
      <c r="X21" s="108">
        <v>45677</v>
      </c>
      <c r="Y21" s="110"/>
      <c r="Z21" s="111" t="s">
        <v>85</v>
      </c>
      <c r="AA21" s="130">
        <v>175000</v>
      </c>
      <c r="AB21" s="111">
        <v>5471</v>
      </c>
      <c r="AC21" s="114">
        <v>147059</v>
      </c>
      <c r="AD21" s="114">
        <f t="shared" ref="AD21:AD31" si="2">+AC21*1.19</f>
        <v>175000.21</v>
      </c>
      <c r="AE21" s="115">
        <v>0</v>
      </c>
      <c r="AF21" s="116">
        <v>45667</v>
      </c>
      <c r="AG21" s="125" t="s">
        <v>1504</v>
      </c>
      <c r="AH21" s="116">
        <v>45784</v>
      </c>
      <c r="AI21" s="111" t="s">
        <v>137</v>
      </c>
      <c r="AJ21" s="110"/>
    </row>
    <row r="22" spans="1:36" s="65" customFormat="1" ht="90" x14ac:dyDescent="0.25">
      <c r="A22" s="106">
        <v>2025</v>
      </c>
      <c r="B22" s="106">
        <v>1</v>
      </c>
      <c r="C22" s="107">
        <v>22230</v>
      </c>
      <c r="D22" s="108">
        <v>45668</v>
      </c>
      <c r="E22" s="129" t="s">
        <v>167</v>
      </c>
      <c r="F22" s="110" t="s">
        <v>168</v>
      </c>
      <c r="G22" s="110" t="s">
        <v>143</v>
      </c>
      <c r="H22" s="111">
        <v>6044279300</v>
      </c>
      <c r="I22" s="111">
        <v>6044279300</v>
      </c>
      <c r="J22" s="108">
        <v>45681</v>
      </c>
      <c r="K22" s="111" t="s">
        <v>99</v>
      </c>
      <c r="L22" s="215" t="s">
        <v>1505</v>
      </c>
      <c r="M22" s="111" t="s">
        <v>283</v>
      </c>
      <c r="N22" s="111" t="s">
        <v>136</v>
      </c>
      <c r="O22" s="111">
        <v>5880</v>
      </c>
      <c r="P22" s="111" t="s">
        <v>136</v>
      </c>
      <c r="Q22" s="111">
        <v>5346</v>
      </c>
      <c r="R22" s="111" t="s">
        <v>136</v>
      </c>
      <c r="S22" s="111" t="s">
        <v>134</v>
      </c>
      <c r="T22" s="111" t="s">
        <v>134</v>
      </c>
      <c r="U22" s="111" t="s">
        <v>136</v>
      </c>
      <c r="V22" s="111" t="s">
        <v>89</v>
      </c>
      <c r="W22" s="108">
        <v>45668</v>
      </c>
      <c r="X22" s="108">
        <v>45668</v>
      </c>
      <c r="Y22" s="110"/>
      <c r="Z22" s="111" t="s">
        <v>85</v>
      </c>
      <c r="AA22" s="132">
        <v>0</v>
      </c>
      <c r="AB22" s="111">
        <v>5443</v>
      </c>
      <c r="AC22" s="114">
        <v>1522827</v>
      </c>
      <c r="AD22" s="114">
        <f t="shared" si="2"/>
        <v>1812164.13</v>
      </c>
      <c r="AE22" s="115">
        <v>0</v>
      </c>
      <c r="AF22" s="145">
        <v>45713</v>
      </c>
      <c r="AG22" s="125" t="s">
        <v>1506</v>
      </c>
      <c r="AH22" s="116">
        <v>45784</v>
      </c>
      <c r="AI22" s="111" t="s">
        <v>137</v>
      </c>
      <c r="AJ22" s="110"/>
    </row>
    <row r="23" spans="1:36" s="65" customFormat="1" ht="45" x14ac:dyDescent="0.25">
      <c r="A23" s="106">
        <v>2025</v>
      </c>
      <c r="B23" s="106">
        <v>1</v>
      </c>
      <c r="C23" s="107">
        <v>22231</v>
      </c>
      <c r="D23" s="108">
        <v>45668</v>
      </c>
      <c r="E23" s="129" t="s">
        <v>167</v>
      </c>
      <c r="F23" s="109" t="s">
        <v>169</v>
      </c>
      <c r="G23" s="110" t="s">
        <v>143</v>
      </c>
      <c r="H23" s="111">
        <v>6044279300</v>
      </c>
      <c r="I23" s="111">
        <v>6044279300</v>
      </c>
      <c r="J23" s="108">
        <v>45681</v>
      </c>
      <c r="K23" s="111" t="s">
        <v>99</v>
      </c>
      <c r="L23" s="215" t="s">
        <v>1507</v>
      </c>
      <c r="M23" s="111" t="s">
        <v>136</v>
      </c>
      <c r="N23" s="111" t="s">
        <v>136</v>
      </c>
      <c r="O23" s="111">
        <v>5881</v>
      </c>
      <c r="P23" s="111" t="s">
        <v>136</v>
      </c>
      <c r="Q23" s="111">
        <v>5346</v>
      </c>
      <c r="R23" s="111" t="s">
        <v>136</v>
      </c>
      <c r="S23" s="111" t="s">
        <v>170</v>
      </c>
      <c r="T23" s="111" t="s">
        <v>134</v>
      </c>
      <c r="U23" s="111" t="s">
        <v>136</v>
      </c>
      <c r="V23" s="111" t="s">
        <v>89</v>
      </c>
      <c r="W23" s="108">
        <v>45668</v>
      </c>
      <c r="X23" s="108">
        <v>45668</v>
      </c>
      <c r="Y23" s="110"/>
      <c r="Z23" s="111" t="s">
        <v>85</v>
      </c>
      <c r="AA23" s="132">
        <v>0</v>
      </c>
      <c r="AB23" s="111">
        <v>5444</v>
      </c>
      <c r="AC23" s="114">
        <v>1334665</v>
      </c>
      <c r="AD23" s="114">
        <f t="shared" si="2"/>
        <v>1588251.3499999999</v>
      </c>
      <c r="AE23" s="115">
        <v>0</v>
      </c>
      <c r="AF23" s="145">
        <v>45713</v>
      </c>
      <c r="AG23" s="125" t="s">
        <v>1508</v>
      </c>
      <c r="AH23" s="116">
        <v>45784</v>
      </c>
      <c r="AI23" s="111" t="s">
        <v>137</v>
      </c>
      <c r="AJ23" s="110"/>
    </row>
    <row r="24" spans="1:36" s="65" customFormat="1" ht="46.5" customHeight="1" x14ac:dyDescent="0.25">
      <c r="A24" s="106">
        <v>2025</v>
      </c>
      <c r="B24" s="106">
        <v>1</v>
      </c>
      <c r="C24" s="107">
        <v>22232</v>
      </c>
      <c r="D24" s="108">
        <v>45668</v>
      </c>
      <c r="E24" s="129" t="s">
        <v>180</v>
      </c>
      <c r="F24" s="110" t="s">
        <v>181</v>
      </c>
      <c r="G24" s="110" t="s">
        <v>98</v>
      </c>
      <c r="H24" s="111">
        <v>3183500128</v>
      </c>
      <c r="I24" s="111">
        <v>3183500128</v>
      </c>
      <c r="J24" s="108">
        <v>45685</v>
      </c>
      <c r="K24" s="111" t="s">
        <v>88</v>
      </c>
      <c r="L24" s="215" t="s">
        <v>1509</v>
      </c>
      <c r="M24" s="111" t="s">
        <v>136</v>
      </c>
      <c r="N24" s="111">
        <v>5621</v>
      </c>
      <c r="O24" s="111" t="s">
        <v>136</v>
      </c>
      <c r="P24" s="111">
        <v>8220</v>
      </c>
      <c r="Q24" s="111">
        <v>5349</v>
      </c>
      <c r="R24" s="111" t="s">
        <v>136</v>
      </c>
      <c r="S24" s="111" t="s">
        <v>134</v>
      </c>
      <c r="T24" s="111" t="s">
        <v>134</v>
      </c>
      <c r="U24" s="111" t="s">
        <v>136</v>
      </c>
      <c r="V24" s="111" t="s">
        <v>119</v>
      </c>
      <c r="W24" s="108">
        <v>45684</v>
      </c>
      <c r="X24" s="108">
        <v>45696</v>
      </c>
      <c r="Y24" s="110"/>
      <c r="Z24" s="111" t="s">
        <v>85</v>
      </c>
      <c r="AA24" s="132">
        <v>0</v>
      </c>
      <c r="AB24" s="111">
        <v>5505</v>
      </c>
      <c r="AC24" s="114">
        <v>749256</v>
      </c>
      <c r="AD24" s="114">
        <f t="shared" si="2"/>
        <v>891614.64</v>
      </c>
      <c r="AE24" s="115">
        <v>500000</v>
      </c>
      <c r="AF24" s="145">
        <v>45686</v>
      </c>
      <c r="AG24" s="111" t="s">
        <v>1510</v>
      </c>
      <c r="AH24" s="116">
        <v>45784</v>
      </c>
      <c r="AI24" s="111" t="s">
        <v>137</v>
      </c>
      <c r="AJ24" s="110"/>
    </row>
    <row r="25" spans="1:36" s="65" customFormat="1" ht="46.5" customHeight="1" x14ac:dyDescent="0.25">
      <c r="A25" s="106">
        <v>2025</v>
      </c>
      <c r="B25" s="106">
        <v>1</v>
      </c>
      <c r="C25" s="107">
        <v>22233</v>
      </c>
      <c r="D25" s="108">
        <v>45668</v>
      </c>
      <c r="E25" s="129" t="s">
        <v>182</v>
      </c>
      <c r="F25" s="109" t="s">
        <v>183</v>
      </c>
      <c r="G25" s="110" t="s">
        <v>98</v>
      </c>
      <c r="H25" s="111">
        <v>3206699358</v>
      </c>
      <c r="I25" s="111">
        <v>3206699358</v>
      </c>
      <c r="J25" s="108">
        <v>45687</v>
      </c>
      <c r="K25" s="111" t="s">
        <v>88</v>
      </c>
      <c r="L25" s="215" t="s">
        <v>1511</v>
      </c>
      <c r="M25" s="111" t="s">
        <v>136</v>
      </c>
      <c r="N25" s="111">
        <v>5618</v>
      </c>
      <c r="O25" s="111" t="s">
        <v>136</v>
      </c>
      <c r="P25" s="111">
        <v>8224</v>
      </c>
      <c r="Q25" s="111" t="s">
        <v>136</v>
      </c>
      <c r="R25" s="111" t="s">
        <v>136</v>
      </c>
      <c r="S25" s="111" t="s">
        <v>136</v>
      </c>
      <c r="T25" s="111" t="s">
        <v>136</v>
      </c>
      <c r="U25" s="111" t="s">
        <v>136</v>
      </c>
      <c r="V25" s="111" t="s">
        <v>119</v>
      </c>
      <c r="W25" s="108">
        <v>45713</v>
      </c>
      <c r="X25" s="108">
        <v>45709</v>
      </c>
      <c r="Y25" s="110"/>
      <c r="Z25" s="111" t="s">
        <v>85</v>
      </c>
      <c r="AA25" s="132">
        <v>0</v>
      </c>
      <c r="AB25" s="111">
        <v>5503</v>
      </c>
      <c r="AC25" s="114">
        <v>657143</v>
      </c>
      <c r="AD25" s="114">
        <f t="shared" si="2"/>
        <v>782000.16999999993</v>
      </c>
      <c r="AE25" s="115">
        <v>500000</v>
      </c>
      <c r="AF25" s="145">
        <v>45696</v>
      </c>
      <c r="AG25" s="142" t="s">
        <v>1502</v>
      </c>
      <c r="AH25" s="116">
        <v>45784</v>
      </c>
      <c r="AI25" s="111" t="s">
        <v>137</v>
      </c>
      <c r="AJ25" s="110"/>
    </row>
    <row r="26" spans="1:36" s="65" customFormat="1" ht="45" x14ac:dyDescent="0.25">
      <c r="A26" s="106">
        <v>2025</v>
      </c>
      <c r="B26" s="106">
        <v>1</v>
      </c>
      <c r="C26" s="107">
        <v>22234</v>
      </c>
      <c r="D26" s="108">
        <v>45670</v>
      </c>
      <c r="E26" s="129" t="s">
        <v>261</v>
      </c>
      <c r="F26" s="110" t="s">
        <v>262</v>
      </c>
      <c r="G26" s="110" t="s">
        <v>173</v>
      </c>
      <c r="H26" s="111">
        <v>6043140491</v>
      </c>
      <c r="I26" s="111">
        <v>3108452977</v>
      </c>
      <c r="J26" s="108">
        <v>45694</v>
      </c>
      <c r="K26" s="111" t="s">
        <v>88</v>
      </c>
      <c r="L26" s="215" t="s">
        <v>1512</v>
      </c>
      <c r="M26" s="111" t="s">
        <v>136</v>
      </c>
      <c r="N26" s="111">
        <v>5657</v>
      </c>
      <c r="O26" s="111" t="s">
        <v>136</v>
      </c>
      <c r="P26" s="111">
        <v>8229</v>
      </c>
      <c r="Q26" s="111">
        <v>5345</v>
      </c>
      <c r="R26" s="111" t="s">
        <v>136</v>
      </c>
      <c r="S26" s="111" t="s">
        <v>134</v>
      </c>
      <c r="T26" s="111" t="s">
        <v>134</v>
      </c>
      <c r="U26" s="111" t="s">
        <v>136</v>
      </c>
      <c r="V26" s="111" t="s">
        <v>119</v>
      </c>
      <c r="W26" s="108">
        <v>45687</v>
      </c>
      <c r="X26" s="108">
        <v>45692</v>
      </c>
      <c r="Y26" s="110"/>
      <c r="Z26" s="111" t="s">
        <v>85</v>
      </c>
      <c r="AA26" s="132">
        <v>0</v>
      </c>
      <c r="AB26" s="111">
        <v>5447</v>
      </c>
      <c r="AC26" s="114">
        <v>390006</v>
      </c>
      <c r="AD26" s="114">
        <f t="shared" si="2"/>
        <v>464107.13999999996</v>
      </c>
      <c r="AE26" s="114">
        <v>449542</v>
      </c>
      <c r="AF26" s="116">
        <v>45680</v>
      </c>
      <c r="AG26" s="125" t="s">
        <v>1513</v>
      </c>
      <c r="AH26" s="116">
        <v>45784</v>
      </c>
      <c r="AI26" s="111" t="s">
        <v>137</v>
      </c>
      <c r="AJ26" s="110"/>
    </row>
    <row r="27" spans="1:36" s="65" customFormat="1" ht="45" x14ac:dyDescent="0.25">
      <c r="A27" s="106">
        <v>2025</v>
      </c>
      <c r="B27" s="106">
        <v>1</v>
      </c>
      <c r="C27" s="107">
        <v>22235</v>
      </c>
      <c r="D27" s="108">
        <v>45670</v>
      </c>
      <c r="E27" s="129" t="s">
        <v>184</v>
      </c>
      <c r="F27" s="109" t="s">
        <v>184</v>
      </c>
      <c r="G27" s="110" t="s">
        <v>143</v>
      </c>
      <c r="H27" s="111">
        <v>3004170409</v>
      </c>
      <c r="I27" s="111">
        <v>3004170409</v>
      </c>
      <c r="J27" s="108">
        <v>45681</v>
      </c>
      <c r="K27" s="111" t="s">
        <v>84</v>
      </c>
      <c r="L27" s="215" t="s">
        <v>1514</v>
      </c>
      <c r="M27" s="111" t="s">
        <v>136</v>
      </c>
      <c r="N27" s="111">
        <v>5619</v>
      </c>
      <c r="O27" s="111">
        <v>5886</v>
      </c>
      <c r="P27" s="111" t="s">
        <v>136</v>
      </c>
      <c r="Q27" s="111">
        <v>5350</v>
      </c>
      <c r="R27" s="111" t="s">
        <v>136</v>
      </c>
      <c r="S27" s="111" t="s">
        <v>134</v>
      </c>
      <c r="T27" s="111" t="s">
        <v>134</v>
      </c>
      <c r="U27" s="111" t="s">
        <v>136</v>
      </c>
      <c r="V27" s="111" t="s">
        <v>119</v>
      </c>
      <c r="W27" s="108">
        <v>45677</v>
      </c>
      <c r="X27" s="108">
        <v>45685</v>
      </c>
      <c r="Y27" s="110"/>
      <c r="Z27" s="111" t="s">
        <v>85</v>
      </c>
      <c r="AA27" s="124">
        <v>0</v>
      </c>
      <c r="AB27" s="111">
        <v>5476</v>
      </c>
      <c r="AC27" s="114">
        <v>243697</v>
      </c>
      <c r="AD27" s="114">
        <f t="shared" si="2"/>
        <v>289999.43</v>
      </c>
      <c r="AE27" s="115">
        <v>150000</v>
      </c>
      <c r="AF27" s="116">
        <v>45682</v>
      </c>
      <c r="AG27" s="125" t="s">
        <v>1515</v>
      </c>
      <c r="AH27" s="116">
        <v>45784</v>
      </c>
      <c r="AI27" s="111" t="s">
        <v>137</v>
      </c>
      <c r="AJ27" s="110"/>
    </row>
    <row r="28" spans="1:36" s="65" customFormat="1" ht="60" x14ac:dyDescent="0.25">
      <c r="A28" s="106">
        <v>2025</v>
      </c>
      <c r="B28" s="106">
        <v>1</v>
      </c>
      <c r="C28" s="107">
        <v>22236</v>
      </c>
      <c r="D28" s="108">
        <v>45670</v>
      </c>
      <c r="E28" s="129" t="s">
        <v>185</v>
      </c>
      <c r="F28" s="110" t="s">
        <v>186</v>
      </c>
      <c r="G28" s="110" t="s">
        <v>98</v>
      </c>
      <c r="H28" s="111">
        <v>3226082941</v>
      </c>
      <c r="I28" s="111">
        <v>3226082941</v>
      </c>
      <c r="J28" s="108">
        <v>45679</v>
      </c>
      <c r="K28" s="111" t="s">
        <v>86</v>
      </c>
      <c r="L28" s="215" t="s">
        <v>1516</v>
      </c>
      <c r="M28" s="111" t="s">
        <v>136</v>
      </c>
      <c r="N28" s="111">
        <v>5622</v>
      </c>
      <c r="O28" s="111">
        <v>5884</v>
      </c>
      <c r="P28" s="111">
        <v>8179</v>
      </c>
      <c r="Q28" s="111" t="s">
        <v>136</v>
      </c>
      <c r="R28" s="111" t="s">
        <v>136</v>
      </c>
      <c r="S28" s="111" t="s">
        <v>134</v>
      </c>
      <c r="T28" s="111" t="s">
        <v>136</v>
      </c>
      <c r="U28" s="111" t="s">
        <v>136</v>
      </c>
      <c r="V28" s="111" t="s">
        <v>87</v>
      </c>
      <c r="W28" s="108">
        <v>45684</v>
      </c>
      <c r="X28" s="108">
        <v>45685</v>
      </c>
      <c r="Y28" s="110"/>
      <c r="Z28" s="111" t="s">
        <v>85</v>
      </c>
      <c r="AA28" s="132">
        <v>0</v>
      </c>
      <c r="AB28" s="111">
        <v>5487</v>
      </c>
      <c r="AC28" s="114">
        <v>1240411</v>
      </c>
      <c r="AD28" s="114">
        <f t="shared" si="2"/>
        <v>1476089.0899999999</v>
      </c>
      <c r="AE28" s="115">
        <v>738044</v>
      </c>
      <c r="AF28" s="116">
        <v>45684</v>
      </c>
      <c r="AG28" s="125" t="s">
        <v>1517</v>
      </c>
      <c r="AH28" s="116">
        <v>45784</v>
      </c>
      <c r="AI28" s="111" t="s">
        <v>137</v>
      </c>
      <c r="AJ28" s="110"/>
    </row>
    <row r="29" spans="1:36" s="65" customFormat="1" ht="45" x14ac:dyDescent="0.25">
      <c r="A29" s="106">
        <v>2025</v>
      </c>
      <c r="B29" s="106">
        <v>1</v>
      </c>
      <c r="C29" s="107">
        <v>22237</v>
      </c>
      <c r="D29" s="108">
        <v>45673</v>
      </c>
      <c r="E29" s="129" t="s">
        <v>187</v>
      </c>
      <c r="F29" s="110" t="s">
        <v>188</v>
      </c>
      <c r="G29" s="110" t="s">
        <v>143</v>
      </c>
      <c r="H29" s="111">
        <v>3105922552</v>
      </c>
      <c r="I29" s="111">
        <v>3105922552</v>
      </c>
      <c r="J29" s="108">
        <v>45688</v>
      </c>
      <c r="K29" s="111" t="s">
        <v>84</v>
      </c>
      <c r="L29" s="215" t="s">
        <v>1518</v>
      </c>
      <c r="M29" s="111" t="s">
        <v>136</v>
      </c>
      <c r="N29" s="111">
        <v>5626</v>
      </c>
      <c r="O29" s="111">
        <v>5888</v>
      </c>
      <c r="P29" s="111">
        <v>8153</v>
      </c>
      <c r="Q29" s="111">
        <v>5353</v>
      </c>
      <c r="R29" s="111" t="s">
        <v>136</v>
      </c>
      <c r="S29" s="111" t="s">
        <v>134</v>
      </c>
      <c r="T29" s="111" t="s">
        <v>134</v>
      </c>
      <c r="U29" s="111" t="s">
        <v>136</v>
      </c>
      <c r="V29" s="111" t="s">
        <v>119</v>
      </c>
      <c r="W29" s="108">
        <v>45678</v>
      </c>
      <c r="X29" s="108">
        <v>45680</v>
      </c>
      <c r="Y29" s="110"/>
      <c r="Z29" s="111" t="s">
        <v>85</v>
      </c>
      <c r="AA29" s="114">
        <v>950000</v>
      </c>
      <c r="AB29" s="111">
        <v>5474</v>
      </c>
      <c r="AC29" s="114">
        <v>798319</v>
      </c>
      <c r="AD29" s="114">
        <f t="shared" si="2"/>
        <v>949999.61</v>
      </c>
      <c r="AE29" s="115">
        <v>0</v>
      </c>
      <c r="AF29" s="108">
        <v>45670</v>
      </c>
      <c r="AG29" s="125" t="s">
        <v>1519</v>
      </c>
      <c r="AH29" s="116">
        <v>45784</v>
      </c>
      <c r="AI29" s="111" t="s">
        <v>137</v>
      </c>
      <c r="AJ29" s="110"/>
    </row>
    <row r="30" spans="1:36" s="65" customFormat="1" ht="45" x14ac:dyDescent="0.25">
      <c r="A30" s="106">
        <v>2025</v>
      </c>
      <c r="B30" s="106">
        <v>1</v>
      </c>
      <c r="C30" s="107">
        <v>22238</v>
      </c>
      <c r="D30" s="108">
        <v>45670</v>
      </c>
      <c r="E30" s="129" t="s">
        <v>189</v>
      </c>
      <c r="F30" s="110" t="s">
        <v>190</v>
      </c>
      <c r="G30" s="111" t="s">
        <v>143</v>
      </c>
      <c r="H30" s="111">
        <v>3217831789</v>
      </c>
      <c r="I30" s="111">
        <v>3207575119</v>
      </c>
      <c r="J30" s="108">
        <v>45679</v>
      </c>
      <c r="K30" s="111" t="s">
        <v>95</v>
      </c>
      <c r="L30" s="215" t="s">
        <v>1520</v>
      </c>
      <c r="M30" s="111" t="s">
        <v>136</v>
      </c>
      <c r="N30" s="111">
        <v>5620</v>
      </c>
      <c r="O30" s="111" t="s">
        <v>136</v>
      </c>
      <c r="P30" s="111">
        <v>8239</v>
      </c>
      <c r="Q30" s="111" t="s">
        <v>136</v>
      </c>
      <c r="R30" s="111" t="s">
        <v>136</v>
      </c>
      <c r="S30" s="111" t="s">
        <v>136</v>
      </c>
      <c r="T30" s="111" t="s">
        <v>136</v>
      </c>
      <c r="U30" s="111" t="s">
        <v>136</v>
      </c>
      <c r="V30" s="111" t="s">
        <v>87</v>
      </c>
      <c r="W30" s="108">
        <v>45678</v>
      </c>
      <c r="X30" s="108">
        <v>45684</v>
      </c>
      <c r="Y30" s="110"/>
      <c r="Z30" s="111" t="s">
        <v>85</v>
      </c>
      <c r="AA30" s="113">
        <v>419832</v>
      </c>
      <c r="AB30" s="111">
        <v>5475</v>
      </c>
      <c r="AC30" s="114">
        <v>352800</v>
      </c>
      <c r="AD30" s="114">
        <f t="shared" si="2"/>
        <v>419832</v>
      </c>
      <c r="AE30" s="115">
        <v>0</v>
      </c>
      <c r="AF30" s="108">
        <v>45670</v>
      </c>
      <c r="AG30" s="125" t="s">
        <v>1521</v>
      </c>
      <c r="AH30" s="116">
        <v>45784</v>
      </c>
      <c r="AI30" s="111" t="s">
        <v>137</v>
      </c>
      <c r="AJ30" s="110"/>
    </row>
    <row r="31" spans="1:36" s="65" customFormat="1" ht="45" x14ac:dyDescent="0.25">
      <c r="A31" s="106">
        <v>2025</v>
      </c>
      <c r="B31" s="106">
        <v>1</v>
      </c>
      <c r="C31" s="107">
        <v>22239</v>
      </c>
      <c r="D31" s="108">
        <v>45671</v>
      </c>
      <c r="E31" s="129" t="s">
        <v>191</v>
      </c>
      <c r="F31" s="109" t="s">
        <v>192</v>
      </c>
      <c r="G31" s="111" t="s">
        <v>143</v>
      </c>
      <c r="H31" s="111">
        <v>3017379540</v>
      </c>
      <c r="I31" s="111">
        <v>3017379540</v>
      </c>
      <c r="J31" s="108">
        <v>45686</v>
      </c>
      <c r="K31" s="111" t="s">
        <v>84</v>
      </c>
      <c r="L31" s="215" t="s">
        <v>1522</v>
      </c>
      <c r="M31" s="111" t="s">
        <v>136</v>
      </c>
      <c r="N31" s="111">
        <v>5625</v>
      </c>
      <c r="O31" s="111">
        <v>5887</v>
      </c>
      <c r="P31" s="111" t="s">
        <v>136</v>
      </c>
      <c r="Q31" s="111" t="s">
        <v>136</v>
      </c>
      <c r="R31" s="111" t="s">
        <v>136</v>
      </c>
      <c r="S31" s="111" t="s">
        <v>134</v>
      </c>
      <c r="T31" s="111" t="s">
        <v>134</v>
      </c>
      <c r="U31" s="111" t="s">
        <v>136</v>
      </c>
      <c r="V31" s="111" t="s">
        <v>119</v>
      </c>
      <c r="W31" s="108">
        <v>45681</v>
      </c>
      <c r="X31" s="108">
        <v>45682</v>
      </c>
      <c r="Y31" s="110"/>
      <c r="Z31" s="111" t="s">
        <v>85</v>
      </c>
      <c r="AA31" s="114">
        <v>0</v>
      </c>
      <c r="AB31" s="111">
        <v>5484</v>
      </c>
      <c r="AC31" s="114">
        <v>420168</v>
      </c>
      <c r="AD31" s="114">
        <f t="shared" si="2"/>
        <v>499999.92</v>
      </c>
      <c r="AE31" s="115">
        <v>250000</v>
      </c>
      <c r="AF31" s="108">
        <v>45681</v>
      </c>
      <c r="AG31" s="125" t="s">
        <v>1523</v>
      </c>
      <c r="AH31" s="116">
        <v>45784</v>
      </c>
      <c r="AI31" s="111" t="s">
        <v>137</v>
      </c>
      <c r="AJ31" s="110"/>
    </row>
    <row r="32" spans="1:36" s="65" customFormat="1" ht="65.25" customHeight="1" x14ac:dyDescent="0.25">
      <c r="A32" s="106">
        <v>2025</v>
      </c>
      <c r="B32" s="106">
        <v>1</v>
      </c>
      <c r="C32" s="107">
        <v>22240</v>
      </c>
      <c r="D32" s="108">
        <v>45670</v>
      </c>
      <c r="E32" s="111" t="s">
        <v>149</v>
      </c>
      <c r="F32" s="110" t="s">
        <v>166</v>
      </c>
      <c r="G32" s="110" t="s">
        <v>150</v>
      </c>
      <c r="H32" s="111">
        <v>3153406315</v>
      </c>
      <c r="I32" s="111">
        <v>3153406315</v>
      </c>
      <c r="J32" s="108">
        <v>45670</v>
      </c>
      <c r="K32" s="111" t="s">
        <v>88</v>
      </c>
      <c r="L32" s="215" t="s">
        <v>171</v>
      </c>
      <c r="M32" s="111" t="s">
        <v>136</v>
      </c>
      <c r="N32" s="111" t="s">
        <v>136</v>
      </c>
      <c r="O32" s="111" t="s">
        <v>136</v>
      </c>
      <c r="P32" s="111" t="s">
        <v>136</v>
      </c>
      <c r="Q32" s="111" t="s">
        <v>136</v>
      </c>
      <c r="R32" s="111" t="s">
        <v>136</v>
      </c>
      <c r="S32" s="111" t="s">
        <v>136</v>
      </c>
      <c r="T32" s="111" t="s">
        <v>134</v>
      </c>
      <c r="U32" s="111" t="s">
        <v>136</v>
      </c>
      <c r="V32" s="111" t="s">
        <v>89</v>
      </c>
      <c r="W32" s="108">
        <v>45668</v>
      </c>
      <c r="X32" s="108">
        <v>45668</v>
      </c>
      <c r="Y32" s="110"/>
      <c r="Z32" s="111" t="s">
        <v>85</v>
      </c>
      <c r="AA32" s="132">
        <v>0</v>
      </c>
      <c r="AB32" s="111">
        <v>5449</v>
      </c>
      <c r="AC32" s="114">
        <v>750000</v>
      </c>
      <c r="AD32" s="114">
        <v>892500</v>
      </c>
      <c r="AE32" s="114">
        <v>892500</v>
      </c>
      <c r="AF32" s="108">
        <v>45681</v>
      </c>
      <c r="AG32" s="125" t="s">
        <v>1524</v>
      </c>
      <c r="AH32" s="116">
        <v>45784</v>
      </c>
      <c r="AI32" s="111" t="s">
        <v>137</v>
      </c>
      <c r="AJ32" s="110"/>
    </row>
    <row r="33" spans="1:36" s="65" customFormat="1" ht="63.75" customHeight="1" x14ac:dyDescent="0.25">
      <c r="A33" s="106">
        <v>2025</v>
      </c>
      <c r="B33" s="106">
        <v>1</v>
      </c>
      <c r="C33" s="107">
        <v>22241</v>
      </c>
      <c r="D33" s="108">
        <v>45671</v>
      </c>
      <c r="E33" s="129" t="s">
        <v>226</v>
      </c>
      <c r="F33" s="110" t="s">
        <v>227</v>
      </c>
      <c r="G33" s="110" t="s">
        <v>173</v>
      </c>
      <c r="H33" s="111">
        <v>3045306051</v>
      </c>
      <c r="I33" s="111">
        <v>3045306051</v>
      </c>
      <c r="J33" s="108">
        <v>45686</v>
      </c>
      <c r="K33" s="111" t="s">
        <v>95</v>
      </c>
      <c r="L33" s="215" t="s">
        <v>1525</v>
      </c>
      <c r="M33" s="111" t="s">
        <v>136</v>
      </c>
      <c r="N33" s="111" t="s">
        <v>136</v>
      </c>
      <c r="O33" s="111" t="s">
        <v>136</v>
      </c>
      <c r="P33" s="111">
        <v>6220</v>
      </c>
      <c r="Q33" s="111" t="s">
        <v>136</v>
      </c>
      <c r="R33" s="111" t="s">
        <v>136</v>
      </c>
      <c r="S33" s="111" t="s">
        <v>136</v>
      </c>
      <c r="T33" s="111" t="s">
        <v>134</v>
      </c>
      <c r="U33" s="111" t="s">
        <v>134</v>
      </c>
      <c r="V33" s="111" t="s">
        <v>89</v>
      </c>
      <c r="W33" s="108">
        <v>45684</v>
      </c>
      <c r="X33" s="108">
        <v>45693</v>
      </c>
      <c r="Y33" s="110"/>
      <c r="Z33" s="111" t="s">
        <v>85</v>
      </c>
      <c r="AA33" s="132">
        <v>0</v>
      </c>
      <c r="AB33" s="111">
        <v>5445</v>
      </c>
      <c r="AC33" s="114">
        <v>850000</v>
      </c>
      <c r="AD33" s="114">
        <f t="shared" ref="AD33:AD43" si="3">+AC33*1.19</f>
        <v>1011500</v>
      </c>
      <c r="AE33" s="114">
        <v>977800</v>
      </c>
      <c r="AF33" s="108">
        <v>45674</v>
      </c>
      <c r="AG33" s="142" t="s">
        <v>1526</v>
      </c>
      <c r="AH33" s="116">
        <v>45784</v>
      </c>
      <c r="AI33" s="111" t="s">
        <v>137</v>
      </c>
      <c r="AJ33" s="110"/>
    </row>
    <row r="34" spans="1:36" s="65" customFormat="1" ht="45" x14ac:dyDescent="0.25">
      <c r="A34" s="106">
        <v>2025</v>
      </c>
      <c r="B34" s="106">
        <v>1</v>
      </c>
      <c r="C34" s="107">
        <v>22242</v>
      </c>
      <c r="D34" s="108">
        <v>45671</v>
      </c>
      <c r="E34" s="129" t="s">
        <v>226</v>
      </c>
      <c r="F34" s="110" t="s">
        <v>227</v>
      </c>
      <c r="G34" s="110" t="s">
        <v>173</v>
      </c>
      <c r="H34" s="111">
        <v>3045306051</v>
      </c>
      <c r="I34" s="111">
        <v>3045306051</v>
      </c>
      <c r="J34" s="108">
        <v>45694</v>
      </c>
      <c r="K34" s="111" t="s">
        <v>95</v>
      </c>
      <c r="L34" s="215" t="s">
        <v>1527</v>
      </c>
      <c r="M34" s="111" t="s">
        <v>136</v>
      </c>
      <c r="N34" s="111">
        <v>5662</v>
      </c>
      <c r="O34" s="111" t="s">
        <v>136</v>
      </c>
      <c r="P34" s="111">
        <v>6228</v>
      </c>
      <c r="Q34" s="111" t="s">
        <v>136</v>
      </c>
      <c r="R34" s="111" t="s">
        <v>136</v>
      </c>
      <c r="S34" s="111" t="s">
        <v>134</v>
      </c>
      <c r="T34" s="111" t="s">
        <v>134</v>
      </c>
      <c r="U34" s="111" t="s">
        <v>136</v>
      </c>
      <c r="V34" s="111" t="s">
        <v>89</v>
      </c>
      <c r="W34" s="108">
        <v>45687</v>
      </c>
      <c r="X34" s="108">
        <v>45693</v>
      </c>
      <c r="Y34" s="110"/>
      <c r="Z34" s="111" t="s">
        <v>85</v>
      </c>
      <c r="AA34" s="132">
        <v>0</v>
      </c>
      <c r="AB34" s="111">
        <v>5446</v>
      </c>
      <c r="AC34" s="114">
        <v>1212047</v>
      </c>
      <c r="AD34" s="158">
        <f t="shared" si="3"/>
        <v>1442335.93</v>
      </c>
      <c r="AE34" s="114">
        <v>1393853</v>
      </c>
      <c r="AF34" s="108">
        <v>45674</v>
      </c>
      <c r="AG34" s="125" t="s">
        <v>1528</v>
      </c>
      <c r="AH34" s="116">
        <v>45784</v>
      </c>
      <c r="AI34" s="111" t="s">
        <v>137</v>
      </c>
      <c r="AJ34" s="110"/>
    </row>
    <row r="35" spans="1:36" s="155" customFormat="1" ht="46.5" customHeight="1" x14ac:dyDescent="0.25">
      <c r="A35" s="106">
        <v>2025</v>
      </c>
      <c r="B35" s="106">
        <v>1</v>
      </c>
      <c r="C35" s="107">
        <v>22243</v>
      </c>
      <c r="D35" s="108">
        <v>45671</v>
      </c>
      <c r="E35" s="129" t="s">
        <v>162</v>
      </c>
      <c r="F35" s="110" t="s">
        <v>163</v>
      </c>
      <c r="G35" s="110" t="s">
        <v>150</v>
      </c>
      <c r="H35" s="111">
        <v>6044483227</v>
      </c>
      <c r="I35" s="111">
        <v>6044483227</v>
      </c>
      <c r="J35" s="108">
        <v>45684</v>
      </c>
      <c r="K35" s="111" t="s">
        <v>88</v>
      </c>
      <c r="L35" s="215" t="s">
        <v>1529</v>
      </c>
      <c r="M35" s="111" t="s">
        <v>281</v>
      </c>
      <c r="N35" s="111">
        <v>5624</v>
      </c>
      <c r="O35" s="111">
        <v>589</v>
      </c>
      <c r="P35" s="111">
        <v>8145</v>
      </c>
      <c r="Q35" s="111" t="s">
        <v>136</v>
      </c>
      <c r="R35" s="111" t="s">
        <v>136</v>
      </c>
      <c r="S35" s="111" t="s">
        <v>134</v>
      </c>
      <c r="T35" s="111" t="s">
        <v>134</v>
      </c>
      <c r="U35" s="111" t="s">
        <v>136</v>
      </c>
      <c r="V35" s="111" t="s">
        <v>89</v>
      </c>
      <c r="W35" s="108">
        <v>45682</v>
      </c>
      <c r="X35" s="108">
        <v>45686</v>
      </c>
      <c r="Y35" s="110"/>
      <c r="Z35" s="111" t="s">
        <v>85</v>
      </c>
      <c r="AA35" s="132">
        <v>0</v>
      </c>
      <c r="AB35" s="111">
        <v>5516</v>
      </c>
      <c r="AC35" s="114">
        <v>8141077</v>
      </c>
      <c r="AD35" s="114">
        <f t="shared" si="3"/>
        <v>9687881.629999999</v>
      </c>
      <c r="AE35" s="115">
        <v>0</v>
      </c>
      <c r="AF35" s="145">
        <v>45728</v>
      </c>
      <c r="AG35" s="125" t="s">
        <v>1530</v>
      </c>
      <c r="AH35" s="116">
        <v>45784</v>
      </c>
      <c r="AI35" s="111" t="s">
        <v>137</v>
      </c>
      <c r="AJ35" s="110"/>
    </row>
    <row r="36" spans="1:36" s="65" customFormat="1" ht="60" x14ac:dyDescent="0.25">
      <c r="A36" s="106">
        <v>2025</v>
      </c>
      <c r="B36" s="106">
        <v>1</v>
      </c>
      <c r="C36" s="107">
        <v>22244</v>
      </c>
      <c r="D36" s="108">
        <v>45671</v>
      </c>
      <c r="E36" s="129" t="s">
        <v>193</v>
      </c>
      <c r="F36" s="129" t="s">
        <v>194</v>
      </c>
      <c r="G36" s="110" t="s">
        <v>143</v>
      </c>
      <c r="H36" s="111">
        <v>3013196292</v>
      </c>
      <c r="I36" s="111">
        <v>3013196292</v>
      </c>
      <c r="J36" s="108">
        <v>45685</v>
      </c>
      <c r="K36" s="111" t="s">
        <v>84</v>
      </c>
      <c r="L36" s="215" t="s">
        <v>1531</v>
      </c>
      <c r="M36" s="111" t="s">
        <v>136</v>
      </c>
      <c r="N36" s="111">
        <v>5627</v>
      </c>
      <c r="O36" s="111">
        <v>5890</v>
      </c>
      <c r="P36" s="111">
        <v>8150</v>
      </c>
      <c r="Q36" s="111">
        <v>5348</v>
      </c>
      <c r="R36" s="111" t="s">
        <v>136</v>
      </c>
      <c r="S36" s="111" t="s">
        <v>170</v>
      </c>
      <c r="T36" s="111" t="s">
        <v>134</v>
      </c>
      <c r="U36" s="111" t="s">
        <v>136</v>
      </c>
      <c r="V36" s="111" t="s">
        <v>119</v>
      </c>
      <c r="W36" s="108">
        <v>45684</v>
      </c>
      <c r="X36" s="108">
        <v>45687</v>
      </c>
      <c r="Y36" s="110"/>
      <c r="Z36" s="111" t="s">
        <v>85</v>
      </c>
      <c r="AA36" s="132">
        <v>0</v>
      </c>
      <c r="AB36" s="111">
        <v>5496</v>
      </c>
      <c r="AC36" s="114">
        <v>389757</v>
      </c>
      <c r="AD36" s="114">
        <f t="shared" si="3"/>
        <v>463810.82999999996</v>
      </c>
      <c r="AE36" s="114">
        <v>232000</v>
      </c>
      <c r="AF36" s="116">
        <v>45685</v>
      </c>
      <c r="AG36" s="125" t="s">
        <v>1532</v>
      </c>
      <c r="AH36" s="116">
        <v>45784</v>
      </c>
      <c r="AI36" s="111" t="s">
        <v>137</v>
      </c>
      <c r="AJ36" s="110"/>
    </row>
    <row r="37" spans="1:36" s="65" customFormat="1" ht="45" x14ac:dyDescent="0.25">
      <c r="A37" s="106">
        <v>2025</v>
      </c>
      <c r="B37" s="106">
        <v>1</v>
      </c>
      <c r="C37" s="107">
        <v>22245</v>
      </c>
      <c r="D37" s="108">
        <v>45671</v>
      </c>
      <c r="E37" s="129" t="s">
        <v>195</v>
      </c>
      <c r="F37" s="110" t="s">
        <v>196</v>
      </c>
      <c r="G37" s="110" t="s">
        <v>143</v>
      </c>
      <c r="H37" s="111">
        <v>6045604050</v>
      </c>
      <c r="I37" s="111">
        <v>3137372413</v>
      </c>
      <c r="J37" s="108">
        <v>45684</v>
      </c>
      <c r="K37" s="111" t="s">
        <v>88</v>
      </c>
      <c r="L37" s="215" t="s">
        <v>1533</v>
      </c>
      <c r="M37" s="111" t="s">
        <v>136</v>
      </c>
      <c r="N37" s="111">
        <v>5628</v>
      </c>
      <c r="O37" s="111">
        <v>5891</v>
      </c>
      <c r="P37" s="111" t="s">
        <v>136</v>
      </c>
      <c r="Q37" s="111" t="s">
        <v>136</v>
      </c>
      <c r="R37" s="111" t="s">
        <v>136</v>
      </c>
      <c r="S37" s="111" t="s">
        <v>134</v>
      </c>
      <c r="T37" s="111" t="s">
        <v>134</v>
      </c>
      <c r="U37" s="111" t="s">
        <v>136</v>
      </c>
      <c r="V37" s="111" t="s">
        <v>89</v>
      </c>
      <c r="W37" s="108">
        <v>45677</v>
      </c>
      <c r="X37" s="108">
        <v>45677</v>
      </c>
      <c r="Y37" s="110"/>
      <c r="Z37" s="111" t="s">
        <v>85</v>
      </c>
      <c r="AA37" s="132">
        <v>0</v>
      </c>
      <c r="AB37" s="111" t="s">
        <v>136</v>
      </c>
      <c r="AC37" s="114">
        <v>0</v>
      </c>
      <c r="AD37" s="114">
        <f t="shared" si="3"/>
        <v>0</v>
      </c>
      <c r="AE37" s="115">
        <v>0</v>
      </c>
      <c r="AF37" s="110" t="s">
        <v>136</v>
      </c>
      <c r="AG37" s="125" t="s">
        <v>1534</v>
      </c>
      <c r="AH37" s="116">
        <v>45784</v>
      </c>
      <c r="AI37" s="111" t="s">
        <v>137</v>
      </c>
      <c r="AJ37" s="110" t="s">
        <v>236</v>
      </c>
    </row>
    <row r="38" spans="1:36" s="65" customFormat="1" ht="45" x14ac:dyDescent="0.25">
      <c r="A38" s="106">
        <v>2025</v>
      </c>
      <c r="B38" s="106">
        <v>1</v>
      </c>
      <c r="C38" s="107">
        <v>22246</v>
      </c>
      <c r="D38" s="108">
        <v>45671</v>
      </c>
      <c r="E38" s="129" t="s">
        <v>200</v>
      </c>
      <c r="F38" s="109" t="s">
        <v>201</v>
      </c>
      <c r="G38" s="110" t="s">
        <v>143</v>
      </c>
      <c r="H38" s="111">
        <v>3002867648</v>
      </c>
      <c r="I38" s="111">
        <v>3002867648</v>
      </c>
      <c r="J38" s="108">
        <v>45681</v>
      </c>
      <c r="K38" s="111" t="s">
        <v>84</v>
      </c>
      <c r="L38" s="215" t="s">
        <v>203</v>
      </c>
      <c r="M38" s="111" t="s">
        <v>136</v>
      </c>
      <c r="N38" s="111">
        <v>5630</v>
      </c>
      <c r="O38" s="111">
        <v>5893</v>
      </c>
      <c r="P38" s="111">
        <v>8028</v>
      </c>
      <c r="Q38" s="111">
        <v>5355</v>
      </c>
      <c r="R38" s="111" t="s">
        <v>136</v>
      </c>
      <c r="S38" s="111" t="s">
        <v>134</v>
      </c>
      <c r="T38" s="111" t="s">
        <v>134</v>
      </c>
      <c r="U38" s="111" t="s">
        <v>136</v>
      </c>
      <c r="V38" s="111" t="s">
        <v>119</v>
      </c>
      <c r="W38" s="108">
        <v>45688</v>
      </c>
      <c r="X38" s="108">
        <v>45695</v>
      </c>
      <c r="Y38" s="110"/>
      <c r="Z38" s="111" t="s">
        <v>85</v>
      </c>
      <c r="AA38" s="132">
        <v>0</v>
      </c>
      <c r="AB38" s="111">
        <v>5507</v>
      </c>
      <c r="AC38" s="114">
        <v>790912</v>
      </c>
      <c r="AD38" s="114">
        <f t="shared" si="3"/>
        <v>941185.27999999991</v>
      </c>
      <c r="AE38" s="114">
        <v>500000</v>
      </c>
      <c r="AF38" s="202">
        <v>45720</v>
      </c>
      <c r="AG38" s="125" t="s">
        <v>925</v>
      </c>
      <c r="AH38" s="116">
        <v>45784</v>
      </c>
      <c r="AI38" s="111" t="s">
        <v>137</v>
      </c>
      <c r="AJ38" s="110"/>
    </row>
    <row r="39" spans="1:36" s="65" customFormat="1" ht="180" x14ac:dyDescent="0.25">
      <c r="A39" s="207">
        <v>2025</v>
      </c>
      <c r="B39" s="95">
        <v>1</v>
      </c>
      <c r="C39" s="96">
        <v>22247</v>
      </c>
      <c r="D39" s="97">
        <v>45671</v>
      </c>
      <c r="E39" s="100" t="s">
        <v>174</v>
      </c>
      <c r="F39" s="100" t="s">
        <v>175</v>
      </c>
      <c r="G39" s="99" t="s">
        <v>173</v>
      </c>
      <c r="H39" s="99">
        <v>3165707123</v>
      </c>
      <c r="I39" s="99">
        <v>3043536470</v>
      </c>
      <c r="J39" s="97">
        <v>45689</v>
      </c>
      <c r="K39" s="99" t="s">
        <v>88</v>
      </c>
      <c r="L39" s="217" t="s">
        <v>202</v>
      </c>
      <c r="M39" s="99" t="s">
        <v>136</v>
      </c>
      <c r="N39" s="99" t="s">
        <v>658</v>
      </c>
      <c r="O39" s="99">
        <v>5892</v>
      </c>
      <c r="P39" s="99">
        <v>8081</v>
      </c>
      <c r="Q39" s="99">
        <v>5297</v>
      </c>
      <c r="R39" s="99" t="s">
        <v>136</v>
      </c>
      <c r="S39" s="99" t="s">
        <v>134</v>
      </c>
      <c r="T39" s="99" t="s">
        <v>134</v>
      </c>
      <c r="U39" s="99" t="s">
        <v>134</v>
      </c>
      <c r="V39" s="99" t="s">
        <v>119</v>
      </c>
      <c r="W39" s="97">
        <v>45679</v>
      </c>
      <c r="X39" s="97">
        <v>45714</v>
      </c>
      <c r="Y39" s="99">
        <f>+J39-W39</f>
        <v>10</v>
      </c>
      <c r="Z39" s="100" t="s">
        <v>97</v>
      </c>
      <c r="AA39" s="122">
        <v>0</v>
      </c>
      <c r="AB39" s="99">
        <v>5580</v>
      </c>
      <c r="AC39" s="103">
        <v>15990990</v>
      </c>
      <c r="AD39" s="123">
        <f>+AC39*1.19</f>
        <v>19029278.099999998</v>
      </c>
      <c r="AE39" s="117">
        <v>9514638</v>
      </c>
      <c r="AF39" s="99"/>
      <c r="AG39" s="119" t="s">
        <v>912</v>
      </c>
      <c r="AH39" s="105">
        <v>45784</v>
      </c>
      <c r="AI39" s="99" t="s">
        <v>137</v>
      </c>
      <c r="AJ39" s="99"/>
    </row>
    <row r="40" spans="1:36" s="65" customFormat="1" ht="90" x14ac:dyDescent="0.25">
      <c r="A40" s="143">
        <v>2025</v>
      </c>
      <c r="B40" s="106">
        <v>1</v>
      </c>
      <c r="C40" s="107">
        <v>22248</v>
      </c>
      <c r="D40" s="108">
        <v>45672</v>
      </c>
      <c r="E40" s="111" t="s">
        <v>204</v>
      </c>
      <c r="F40" s="110" t="s">
        <v>205</v>
      </c>
      <c r="G40" s="110" t="s">
        <v>206</v>
      </c>
      <c r="H40" s="111">
        <v>6046411890</v>
      </c>
      <c r="I40" s="111">
        <v>3104077307</v>
      </c>
      <c r="J40" s="108">
        <v>45687</v>
      </c>
      <c r="K40" s="111" t="s">
        <v>88</v>
      </c>
      <c r="L40" s="215" t="s">
        <v>308</v>
      </c>
      <c r="M40" s="111" t="s">
        <v>136</v>
      </c>
      <c r="N40" s="111">
        <v>5629</v>
      </c>
      <c r="O40" s="111">
        <v>5894</v>
      </c>
      <c r="P40" s="111">
        <v>8048</v>
      </c>
      <c r="Q40" s="111">
        <v>5302</v>
      </c>
      <c r="R40" s="111" t="s">
        <v>136</v>
      </c>
      <c r="S40" s="111" t="s">
        <v>134</v>
      </c>
      <c r="T40" s="111" t="s">
        <v>134</v>
      </c>
      <c r="U40" s="111" t="s">
        <v>136</v>
      </c>
      <c r="V40" s="111" t="s">
        <v>119</v>
      </c>
      <c r="W40" s="144">
        <v>45682</v>
      </c>
      <c r="X40" s="108">
        <v>45693</v>
      </c>
      <c r="Y40" s="110"/>
      <c r="Z40" s="111" t="s">
        <v>85</v>
      </c>
      <c r="AA40" s="132">
        <v>0</v>
      </c>
      <c r="AB40" s="111">
        <v>5501</v>
      </c>
      <c r="AC40" s="114">
        <v>1621915</v>
      </c>
      <c r="AD40" s="113">
        <f t="shared" si="3"/>
        <v>1930078.8499999999</v>
      </c>
      <c r="AE40" s="114">
        <v>1930079</v>
      </c>
      <c r="AF40" s="202">
        <v>45672</v>
      </c>
      <c r="AG40" s="125" t="s">
        <v>1602</v>
      </c>
      <c r="AH40" s="116">
        <v>45787</v>
      </c>
      <c r="AI40" s="111" t="s">
        <v>137</v>
      </c>
      <c r="AJ40" s="110"/>
    </row>
    <row r="41" spans="1:36" s="65" customFormat="1" ht="46.5" customHeight="1" x14ac:dyDescent="0.25">
      <c r="A41" s="106">
        <v>2025</v>
      </c>
      <c r="B41" s="106">
        <v>1</v>
      </c>
      <c r="C41" s="107">
        <v>22249</v>
      </c>
      <c r="D41" s="108">
        <v>45672</v>
      </c>
      <c r="E41" s="154" t="s">
        <v>207</v>
      </c>
      <c r="F41" s="153" t="s">
        <v>208</v>
      </c>
      <c r="G41" s="153" t="s">
        <v>98</v>
      </c>
      <c r="H41" s="154">
        <v>6044483480</v>
      </c>
      <c r="I41" s="154">
        <v>3188020898</v>
      </c>
      <c r="J41" s="144">
        <v>45684</v>
      </c>
      <c r="K41" s="154" t="s">
        <v>86</v>
      </c>
      <c r="L41" s="216" t="s">
        <v>1603</v>
      </c>
      <c r="M41" s="154" t="s">
        <v>136</v>
      </c>
      <c r="N41" s="154">
        <v>5634</v>
      </c>
      <c r="O41" s="154" t="s">
        <v>136</v>
      </c>
      <c r="P41" s="154" t="s">
        <v>136</v>
      </c>
      <c r="Q41" s="154" t="s">
        <v>136</v>
      </c>
      <c r="R41" s="154" t="s">
        <v>136</v>
      </c>
      <c r="S41" s="154" t="s">
        <v>136</v>
      </c>
      <c r="T41" s="154" t="s">
        <v>136</v>
      </c>
      <c r="U41" s="154" t="s">
        <v>136</v>
      </c>
      <c r="V41" s="154" t="s">
        <v>119</v>
      </c>
      <c r="W41" s="144">
        <v>45682</v>
      </c>
      <c r="X41" s="144">
        <v>45678</v>
      </c>
      <c r="Y41" s="153"/>
      <c r="Z41" s="111" t="s">
        <v>85</v>
      </c>
      <c r="AA41" s="136">
        <v>160000</v>
      </c>
      <c r="AB41" s="111">
        <v>5489</v>
      </c>
      <c r="AC41" s="114">
        <v>135235</v>
      </c>
      <c r="AD41" s="113">
        <f t="shared" si="3"/>
        <v>160929.65</v>
      </c>
      <c r="AE41" s="115">
        <v>0</v>
      </c>
      <c r="AF41" s="116">
        <v>45672</v>
      </c>
      <c r="AG41" s="111" t="s">
        <v>1502</v>
      </c>
      <c r="AH41" s="116">
        <v>45787</v>
      </c>
      <c r="AI41" s="111" t="s">
        <v>137</v>
      </c>
      <c r="AJ41" s="110"/>
    </row>
    <row r="42" spans="1:36" s="155" customFormat="1" ht="200.25" customHeight="1" x14ac:dyDescent="0.25">
      <c r="A42" s="106">
        <v>2025</v>
      </c>
      <c r="B42" s="106">
        <v>1</v>
      </c>
      <c r="C42" s="107">
        <v>22250</v>
      </c>
      <c r="D42" s="108">
        <v>45672</v>
      </c>
      <c r="E42" s="111" t="s">
        <v>231</v>
      </c>
      <c r="F42" s="110" t="s">
        <v>172</v>
      </c>
      <c r="G42" s="110" t="s">
        <v>173</v>
      </c>
      <c r="H42" s="111">
        <v>6043140491</v>
      </c>
      <c r="I42" s="111">
        <v>3108452977</v>
      </c>
      <c r="J42" s="108">
        <v>45694</v>
      </c>
      <c r="K42" s="111" t="s">
        <v>88</v>
      </c>
      <c r="L42" s="215" t="s">
        <v>232</v>
      </c>
      <c r="M42" s="111" t="s">
        <v>136</v>
      </c>
      <c r="N42" s="111" t="s">
        <v>136</v>
      </c>
      <c r="O42" s="111">
        <v>5919</v>
      </c>
      <c r="P42" s="111">
        <v>8227</v>
      </c>
      <c r="Q42" s="111">
        <v>5342</v>
      </c>
      <c r="R42" s="111" t="s">
        <v>136</v>
      </c>
      <c r="S42" s="111" t="s">
        <v>134</v>
      </c>
      <c r="T42" s="111" t="s">
        <v>134</v>
      </c>
      <c r="U42" s="111" t="s">
        <v>134</v>
      </c>
      <c r="V42" s="111" t="s">
        <v>119</v>
      </c>
      <c r="W42" s="108">
        <v>45682</v>
      </c>
      <c r="X42" s="108">
        <v>45682</v>
      </c>
      <c r="Y42" s="110"/>
      <c r="Z42" s="111" t="s">
        <v>85</v>
      </c>
      <c r="AA42" s="136">
        <v>1767550</v>
      </c>
      <c r="AB42" s="111">
        <v>5459</v>
      </c>
      <c r="AC42" s="114">
        <v>1537000</v>
      </c>
      <c r="AD42" s="113">
        <f t="shared" si="3"/>
        <v>1829030</v>
      </c>
      <c r="AE42" s="114">
        <v>0</v>
      </c>
      <c r="AF42" s="108">
        <v>45680</v>
      </c>
      <c r="AG42" s="125" t="s">
        <v>1604</v>
      </c>
      <c r="AH42" s="116">
        <v>45787</v>
      </c>
      <c r="AI42" s="111" t="s">
        <v>137</v>
      </c>
      <c r="AJ42" s="110"/>
    </row>
    <row r="43" spans="1:36" s="65" customFormat="1" ht="90" x14ac:dyDescent="0.25">
      <c r="A43" s="106">
        <v>2025</v>
      </c>
      <c r="B43" s="106">
        <v>1</v>
      </c>
      <c r="C43" s="107">
        <v>22251</v>
      </c>
      <c r="D43" s="108">
        <v>45673</v>
      </c>
      <c r="E43" s="111" t="s">
        <v>209</v>
      </c>
      <c r="F43" s="110" t="s">
        <v>210</v>
      </c>
      <c r="G43" s="110" t="s">
        <v>211</v>
      </c>
      <c r="H43" s="111">
        <v>6042701545</v>
      </c>
      <c r="I43" s="111">
        <v>3176367651</v>
      </c>
      <c r="J43" s="108">
        <v>45686</v>
      </c>
      <c r="K43" s="111" t="s">
        <v>84</v>
      </c>
      <c r="L43" s="215" t="s">
        <v>212</v>
      </c>
      <c r="M43" s="111" t="s">
        <v>136</v>
      </c>
      <c r="N43" s="111">
        <v>5631</v>
      </c>
      <c r="O43" s="111">
        <v>5895</v>
      </c>
      <c r="P43" s="111" t="s">
        <v>136</v>
      </c>
      <c r="Q43" s="111" t="s">
        <v>136</v>
      </c>
      <c r="R43" s="111" t="s">
        <v>136</v>
      </c>
      <c r="S43" s="111" t="s">
        <v>134</v>
      </c>
      <c r="T43" s="111" t="s">
        <v>134</v>
      </c>
      <c r="U43" s="111" t="s">
        <v>136</v>
      </c>
      <c r="V43" s="111" t="s">
        <v>89</v>
      </c>
      <c r="W43" s="108">
        <v>45685</v>
      </c>
      <c r="X43" s="108">
        <v>45686</v>
      </c>
      <c r="Y43" s="111" t="s">
        <v>114</v>
      </c>
      <c r="Z43" s="111" t="s">
        <v>85</v>
      </c>
      <c r="AA43" s="132">
        <v>0</v>
      </c>
      <c r="AB43" s="373">
        <v>5500</v>
      </c>
      <c r="AC43" s="114">
        <v>1486000</v>
      </c>
      <c r="AD43" s="113">
        <f t="shared" si="3"/>
        <v>1768340</v>
      </c>
      <c r="AE43" s="114">
        <v>884170</v>
      </c>
      <c r="AF43" s="116">
        <v>45677</v>
      </c>
      <c r="AG43" s="125" t="s">
        <v>312</v>
      </c>
      <c r="AH43" s="116">
        <v>45787</v>
      </c>
      <c r="AI43" s="111" t="s">
        <v>137</v>
      </c>
      <c r="AJ43" s="110"/>
    </row>
    <row r="44" spans="1:36" s="65" customFormat="1" ht="49.5" customHeight="1" x14ac:dyDescent="0.25">
      <c r="A44" s="106">
        <v>2025</v>
      </c>
      <c r="B44" s="106">
        <v>1</v>
      </c>
      <c r="C44" s="107">
        <v>22252</v>
      </c>
      <c r="D44" s="108">
        <v>45673</v>
      </c>
      <c r="E44" s="111" t="s">
        <v>213</v>
      </c>
      <c r="F44" s="110" t="s">
        <v>214</v>
      </c>
      <c r="G44" s="110" t="s">
        <v>143</v>
      </c>
      <c r="H44" s="111">
        <v>3117002575</v>
      </c>
      <c r="I44" s="111">
        <v>3117002575</v>
      </c>
      <c r="J44" s="108">
        <v>45684</v>
      </c>
      <c r="K44" s="111" t="s">
        <v>84</v>
      </c>
      <c r="L44" s="215" t="s">
        <v>215</v>
      </c>
      <c r="M44" s="111" t="s">
        <v>136</v>
      </c>
      <c r="N44" s="111">
        <v>5635</v>
      </c>
      <c r="O44" s="111" t="s">
        <v>136</v>
      </c>
      <c r="P44" s="111" t="s">
        <v>136</v>
      </c>
      <c r="Q44" s="111" t="s">
        <v>136</v>
      </c>
      <c r="R44" s="111" t="s">
        <v>136</v>
      </c>
      <c r="S44" s="111" t="s">
        <v>136</v>
      </c>
      <c r="T44" s="111" t="s">
        <v>136</v>
      </c>
      <c r="U44" s="111" t="s">
        <v>136</v>
      </c>
      <c r="V44" s="133" t="s">
        <v>87</v>
      </c>
      <c r="W44" s="108">
        <v>45682</v>
      </c>
      <c r="X44" s="108">
        <v>45684</v>
      </c>
      <c r="Y44" s="110"/>
      <c r="Z44" s="111" t="s">
        <v>85</v>
      </c>
      <c r="AA44" s="132">
        <v>0</v>
      </c>
      <c r="AB44" s="111">
        <v>5488</v>
      </c>
      <c r="AC44" s="114">
        <v>0</v>
      </c>
      <c r="AD44" s="113">
        <v>275000</v>
      </c>
      <c r="AE44" s="114">
        <v>150000</v>
      </c>
      <c r="AF44" s="116">
        <v>45684</v>
      </c>
      <c r="AG44" s="125" t="s">
        <v>1605</v>
      </c>
      <c r="AH44" s="116">
        <v>45787</v>
      </c>
      <c r="AI44" s="111" t="s">
        <v>137</v>
      </c>
      <c r="AJ44" s="110"/>
    </row>
    <row r="45" spans="1:36" s="65" customFormat="1" ht="46.5" customHeight="1" x14ac:dyDescent="0.25">
      <c r="A45" s="106">
        <v>2025</v>
      </c>
      <c r="B45" s="106">
        <v>1</v>
      </c>
      <c r="C45" s="107">
        <v>22253</v>
      </c>
      <c r="D45" s="108">
        <v>45673</v>
      </c>
      <c r="E45" s="111" t="s">
        <v>216</v>
      </c>
      <c r="F45" s="110" t="s">
        <v>217</v>
      </c>
      <c r="G45" s="110" t="s">
        <v>98</v>
      </c>
      <c r="H45" s="111">
        <v>6044484122</v>
      </c>
      <c r="I45" s="111">
        <v>3006356123</v>
      </c>
      <c r="J45" s="108">
        <v>45681</v>
      </c>
      <c r="K45" s="111" t="s">
        <v>86</v>
      </c>
      <c r="L45" s="215" t="s">
        <v>1606</v>
      </c>
      <c r="M45" s="111" t="s">
        <v>136</v>
      </c>
      <c r="N45" s="111">
        <v>5637</v>
      </c>
      <c r="O45" s="111" t="s">
        <v>136</v>
      </c>
      <c r="P45" s="111">
        <v>8250</v>
      </c>
      <c r="Q45" s="111" t="s">
        <v>136</v>
      </c>
      <c r="R45" s="111" t="s">
        <v>136</v>
      </c>
      <c r="S45" s="111" t="s">
        <v>136</v>
      </c>
      <c r="T45" s="111" t="s">
        <v>136</v>
      </c>
      <c r="U45" s="111" t="s">
        <v>136</v>
      </c>
      <c r="V45" s="111" t="s">
        <v>119</v>
      </c>
      <c r="W45" s="108">
        <v>45682</v>
      </c>
      <c r="X45" s="108">
        <v>45686</v>
      </c>
      <c r="Y45" s="110"/>
      <c r="Z45" s="111" t="s">
        <v>85</v>
      </c>
      <c r="AA45" s="136">
        <v>208559</v>
      </c>
      <c r="AB45" s="111">
        <v>5490</v>
      </c>
      <c r="AC45" s="114">
        <v>175260</v>
      </c>
      <c r="AD45" s="113">
        <f>+AC45*1.19</f>
        <v>208559.4</v>
      </c>
      <c r="AE45" s="114">
        <v>0</v>
      </c>
      <c r="AF45" s="116">
        <v>45673</v>
      </c>
      <c r="AG45" s="125" t="s">
        <v>1607</v>
      </c>
      <c r="AH45" s="116">
        <v>45787</v>
      </c>
      <c r="AI45" s="111" t="s">
        <v>137</v>
      </c>
      <c r="AJ45" s="110"/>
    </row>
    <row r="46" spans="1:36" s="155" customFormat="1" ht="75" x14ac:dyDescent="0.25">
      <c r="A46" s="106">
        <v>2025</v>
      </c>
      <c r="B46" s="106">
        <v>1</v>
      </c>
      <c r="C46" s="107">
        <v>22254</v>
      </c>
      <c r="D46" s="108">
        <v>45673</v>
      </c>
      <c r="E46" s="111" t="s">
        <v>218</v>
      </c>
      <c r="F46" s="110" t="s">
        <v>219</v>
      </c>
      <c r="G46" s="110" t="s">
        <v>98</v>
      </c>
      <c r="H46" s="111">
        <v>6045024579</v>
      </c>
      <c r="I46" s="111">
        <v>3022404503</v>
      </c>
      <c r="J46" s="108">
        <v>45686</v>
      </c>
      <c r="K46" s="111" t="s">
        <v>88</v>
      </c>
      <c r="L46" s="215" t="s">
        <v>220</v>
      </c>
      <c r="M46" s="111" t="s">
        <v>136</v>
      </c>
      <c r="N46" s="111">
        <v>5632</v>
      </c>
      <c r="O46" s="111" t="s">
        <v>136</v>
      </c>
      <c r="P46" s="111">
        <v>8244</v>
      </c>
      <c r="Q46" s="111" t="s">
        <v>136</v>
      </c>
      <c r="R46" s="111" t="s">
        <v>136</v>
      </c>
      <c r="S46" s="111" t="s">
        <v>134</v>
      </c>
      <c r="T46" s="111" t="s">
        <v>136</v>
      </c>
      <c r="U46" s="111" t="s">
        <v>136</v>
      </c>
      <c r="V46" s="111" t="s">
        <v>119</v>
      </c>
      <c r="W46" s="108">
        <v>45682</v>
      </c>
      <c r="X46" s="108">
        <v>45685</v>
      </c>
      <c r="Y46" s="110"/>
      <c r="Z46" s="111" t="s">
        <v>85</v>
      </c>
      <c r="AA46" s="132">
        <v>0</v>
      </c>
      <c r="AB46" s="111">
        <v>5491</v>
      </c>
      <c r="AC46" s="114">
        <v>779330</v>
      </c>
      <c r="AD46" s="113">
        <f>+AC46*1.19</f>
        <v>927402.7</v>
      </c>
      <c r="AE46" s="114">
        <v>463800</v>
      </c>
      <c r="AF46" s="116">
        <v>45685</v>
      </c>
      <c r="AG46" s="125" t="s">
        <v>307</v>
      </c>
      <c r="AH46" s="116">
        <v>45787</v>
      </c>
      <c r="AI46" s="111" t="s">
        <v>137</v>
      </c>
      <c r="AJ46" s="110"/>
    </row>
    <row r="47" spans="1:36" s="65" customFormat="1" ht="225" x14ac:dyDescent="0.25">
      <c r="A47" s="95">
        <v>2025</v>
      </c>
      <c r="B47" s="95">
        <v>1</v>
      </c>
      <c r="C47" s="96">
        <v>22255</v>
      </c>
      <c r="D47" s="97">
        <v>45673</v>
      </c>
      <c r="E47" s="100" t="s">
        <v>235</v>
      </c>
      <c r="F47" s="99">
        <v>3185608945</v>
      </c>
      <c r="G47" s="99" t="s">
        <v>95</v>
      </c>
      <c r="H47" s="100">
        <v>6046796985</v>
      </c>
      <c r="I47" s="100">
        <v>3185608945</v>
      </c>
      <c r="J47" s="97">
        <v>45700</v>
      </c>
      <c r="K47" s="100" t="s">
        <v>95</v>
      </c>
      <c r="L47" s="217" t="s">
        <v>317</v>
      </c>
      <c r="M47" s="100" t="s">
        <v>281</v>
      </c>
      <c r="N47" s="100" t="s">
        <v>136</v>
      </c>
      <c r="O47" s="100">
        <v>5869</v>
      </c>
      <c r="P47" s="100">
        <v>7989</v>
      </c>
      <c r="Q47" s="100">
        <v>5357</v>
      </c>
      <c r="R47" s="100" t="s">
        <v>136</v>
      </c>
      <c r="S47" s="100" t="s">
        <v>134</v>
      </c>
      <c r="T47" s="100" t="s">
        <v>134</v>
      </c>
      <c r="U47" s="100" t="s">
        <v>136</v>
      </c>
      <c r="V47" s="100" t="s">
        <v>89</v>
      </c>
      <c r="W47" s="97">
        <v>45705</v>
      </c>
      <c r="X47" s="97">
        <v>45705</v>
      </c>
      <c r="Y47" s="99"/>
      <c r="Z47" s="100" t="s">
        <v>97</v>
      </c>
      <c r="AA47" s="102">
        <v>0</v>
      </c>
      <c r="AB47" s="100">
        <v>5558</v>
      </c>
      <c r="AC47" s="103">
        <v>28537283</v>
      </c>
      <c r="AD47" s="123">
        <f>+AC47*1.19</f>
        <v>33959366.769999996</v>
      </c>
      <c r="AE47" s="103">
        <v>18157787</v>
      </c>
      <c r="AF47" s="99"/>
      <c r="AG47" s="104" t="s">
        <v>1608</v>
      </c>
      <c r="AH47" s="105">
        <v>45787</v>
      </c>
      <c r="AI47" s="100" t="s">
        <v>137</v>
      </c>
      <c r="AJ47" s="99"/>
    </row>
    <row r="48" spans="1:36" s="207" customFormat="1" ht="75" x14ac:dyDescent="0.25">
      <c r="A48" s="95">
        <v>2025</v>
      </c>
      <c r="B48" s="95">
        <v>1</v>
      </c>
      <c r="C48" s="96">
        <v>22256</v>
      </c>
      <c r="D48" s="97">
        <v>45673</v>
      </c>
      <c r="E48" s="100" t="s">
        <v>223</v>
      </c>
      <c r="F48" s="99" t="s">
        <v>224</v>
      </c>
      <c r="G48" s="99" t="s">
        <v>225</v>
      </c>
      <c r="H48" s="100">
        <v>3017421861</v>
      </c>
      <c r="I48" s="100">
        <v>3112259947</v>
      </c>
      <c r="J48" s="97">
        <v>45685</v>
      </c>
      <c r="K48" s="100" t="s">
        <v>88</v>
      </c>
      <c r="L48" s="217" t="s">
        <v>1678</v>
      </c>
      <c r="M48" s="100" t="s">
        <v>136</v>
      </c>
      <c r="N48" s="100">
        <v>5633</v>
      </c>
      <c r="O48" s="100">
        <v>5896</v>
      </c>
      <c r="P48" s="100">
        <v>8101</v>
      </c>
      <c r="Q48" s="100" t="s">
        <v>136</v>
      </c>
      <c r="R48" s="100" t="s">
        <v>136</v>
      </c>
      <c r="S48" s="100" t="s">
        <v>170</v>
      </c>
      <c r="T48" s="100" t="s">
        <v>134</v>
      </c>
      <c r="U48" s="100" t="s">
        <v>136</v>
      </c>
      <c r="V48" s="100" t="s">
        <v>89</v>
      </c>
      <c r="W48" s="97">
        <v>45687</v>
      </c>
      <c r="X48" s="97">
        <v>45687</v>
      </c>
      <c r="Y48" s="99"/>
      <c r="Z48" s="100" t="s">
        <v>97</v>
      </c>
      <c r="AA48" s="102">
        <v>0</v>
      </c>
      <c r="AB48" s="100">
        <v>5526</v>
      </c>
      <c r="AC48" s="103">
        <v>394662</v>
      </c>
      <c r="AD48" s="123">
        <f>+AC48*1.19</f>
        <v>469647.77999999997</v>
      </c>
      <c r="AE48" s="103">
        <v>0</v>
      </c>
      <c r="AF48" s="205">
        <v>45771</v>
      </c>
      <c r="AG48" s="119" t="s">
        <v>1682</v>
      </c>
      <c r="AH48" s="105">
        <v>45789</v>
      </c>
      <c r="AI48" s="100" t="s">
        <v>137</v>
      </c>
      <c r="AJ48" s="99"/>
    </row>
    <row r="49" spans="1:36" s="65" customFormat="1" ht="46.5" customHeight="1" x14ac:dyDescent="0.25">
      <c r="A49" s="106">
        <v>2025</v>
      </c>
      <c r="B49" s="106">
        <v>1</v>
      </c>
      <c r="C49" s="107">
        <v>22257</v>
      </c>
      <c r="D49" s="108">
        <v>45673</v>
      </c>
      <c r="E49" s="111" t="s">
        <v>158</v>
      </c>
      <c r="F49" s="110" t="s">
        <v>345</v>
      </c>
      <c r="G49" s="110" t="s">
        <v>346</v>
      </c>
      <c r="H49" s="111">
        <v>604322651</v>
      </c>
      <c r="I49" s="111">
        <v>3148133819</v>
      </c>
      <c r="J49" s="108">
        <v>45696</v>
      </c>
      <c r="K49" s="111" t="s">
        <v>88</v>
      </c>
      <c r="L49" s="215" t="s">
        <v>1609</v>
      </c>
      <c r="M49" s="111" t="s">
        <v>136</v>
      </c>
      <c r="N49" s="111">
        <v>5668</v>
      </c>
      <c r="O49" s="111" t="s">
        <v>136</v>
      </c>
      <c r="P49" s="111">
        <v>8251</v>
      </c>
      <c r="Q49" s="111" t="s">
        <v>136</v>
      </c>
      <c r="R49" s="111" t="s">
        <v>136</v>
      </c>
      <c r="S49" s="111" t="s">
        <v>134</v>
      </c>
      <c r="T49" s="111" t="s">
        <v>134</v>
      </c>
      <c r="U49" s="111" t="s">
        <v>136</v>
      </c>
      <c r="V49" s="111" t="s">
        <v>87</v>
      </c>
      <c r="W49" s="108">
        <v>45693</v>
      </c>
      <c r="X49" s="108">
        <v>45700</v>
      </c>
      <c r="Y49" s="110"/>
      <c r="Z49" s="111" t="s">
        <v>85</v>
      </c>
      <c r="AA49" s="132">
        <v>0</v>
      </c>
      <c r="AB49" s="111">
        <v>5529</v>
      </c>
      <c r="AC49" s="114">
        <v>1697997</v>
      </c>
      <c r="AD49" s="113">
        <v>2020617</v>
      </c>
      <c r="AE49" s="114">
        <v>1010309</v>
      </c>
      <c r="AF49" s="145">
        <v>45699</v>
      </c>
      <c r="AG49" s="111" t="s">
        <v>1610</v>
      </c>
      <c r="AH49" s="116">
        <v>45782</v>
      </c>
      <c r="AI49" s="111" t="s">
        <v>245</v>
      </c>
      <c r="AJ49" s="110"/>
    </row>
    <row r="50" spans="1:36" s="69" customFormat="1" ht="70.5" customHeight="1" x14ac:dyDescent="0.25">
      <c r="A50" s="106">
        <v>2025</v>
      </c>
      <c r="B50" s="106">
        <v>1</v>
      </c>
      <c r="C50" s="107">
        <v>22258</v>
      </c>
      <c r="D50" s="108">
        <v>45673</v>
      </c>
      <c r="E50" s="111" t="s">
        <v>139</v>
      </c>
      <c r="F50" s="109" t="s">
        <v>140</v>
      </c>
      <c r="G50" s="110" t="s">
        <v>98</v>
      </c>
      <c r="H50" s="110">
        <v>3113327679</v>
      </c>
      <c r="I50" s="110">
        <v>3113327679</v>
      </c>
      <c r="J50" s="108">
        <v>45679</v>
      </c>
      <c r="K50" s="111" t="s">
        <v>84</v>
      </c>
      <c r="L50" s="215" t="s">
        <v>197</v>
      </c>
      <c r="M50" s="111" t="s">
        <v>136</v>
      </c>
      <c r="N50" s="111" t="s">
        <v>136</v>
      </c>
      <c r="O50" s="111">
        <v>5897</v>
      </c>
      <c r="P50" s="111">
        <v>8243</v>
      </c>
      <c r="Q50" s="111" t="s">
        <v>136</v>
      </c>
      <c r="R50" s="111" t="s">
        <v>136</v>
      </c>
      <c r="S50" s="111" t="s">
        <v>136</v>
      </c>
      <c r="T50" s="111" t="s">
        <v>136</v>
      </c>
      <c r="U50" s="111" t="s">
        <v>136</v>
      </c>
      <c r="V50" s="111" t="s">
        <v>89</v>
      </c>
      <c r="W50" s="108">
        <v>45680</v>
      </c>
      <c r="X50" s="108">
        <v>45684</v>
      </c>
      <c r="Y50" s="110"/>
      <c r="Z50" s="111" t="s">
        <v>85</v>
      </c>
      <c r="AA50" s="113">
        <v>107100</v>
      </c>
      <c r="AB50" s="111">
        <v>5486</v>
      </c>
      <c r="AC50" s="114">
        <v>90000</v>
      </c>
      <c r="AD50" s="113">
        <f t="shared" ref="AD50:AD57" si="4">+AC50*1.19</f>
        <v>107100</v>
      </c>
      <c r="AE50" s="114">
        <v>107100</v>
      </c>
      <c r="AF50" s="116">
        <v>45672</v>
      </c>
      <c r="AG50" s="125" t="s">
        <v>309</v>
      </c>
      <c r="AH50" s="116">
        <v>45782</v>
      </c>
      <c r="AI50" s="111" t="s">
        <v>137</v>
      </c>
      <c r="AJ50" s="110"/>
    </row>
    <row r="51" spans="1:36" ht="46.5" customHeight="1" x14ac:dyDescent="0.25">
      <c r="A51" s="106">
        <v>2025</v>
      </c>
      <c r="B51" s="106">
        <v>1</v>
      </c>
      <c r="C51" s="107">
        <v>22259</v>
      </c>
      <c r="D51" s="108">
        <v>45674</v>
      </c>
      <c r="E51" s="111" t="s">
        <v>221</v>
      </c>
      <c r="F51" s="110" t="s">
        <v>222</v>
      </c>
      <c r="G51" s="110" t="s">
        <v>98</v>
      </c>
      <c r="H51" s="111">
        <v>6045451616</v>
      </c>
      <c r="I51" s="111">
        <v>3023998725</v>
      </c>
      <c r="J51" s="108">
        <v>45687</v>
      </c>
      <c r="K51" s="111" t="s">
        <v>84</v>
      </c>
      <c r="L51" s="215" t="s">
        <v>1611</v>
      </c>
      <c r="M51" s="111" t="s">
        <v>136</v>
      </c>
      <c r="N51" s="111">
        <v>5636</v>
      </c>
      <c r="O51" s="111" t="s">
        <v>136</v>
      </c>
      <c r="P51" s="111">
        <v>8214</v>
      </c>
      <c r="Q51" s="111">
        <v>5342</v>
      </c>
      <c r="R51" s="111" t="s">
        <v>134</v>
      </c>
      <c r="S51" s="111" t="s">
        <v>134</v>
      </c>
      <c r="T51" s="111" t="s">
        <v>134</v>
      </c>
      <c r="U51" s="111" t="s">
        <v>136</v>
      </c>
      <c r="V51" s="111" t="s">
        <v>119</v>
      </c>
      <c r="W51" s="108">
        <v>45679</v>
      </c>
      <c r="X51" s="108">
        <v>45715</v>
      </c>
      <c r="Y51" s="110"/>
      <c r="Z51" s="111" t="s">
        <v>85</v>
      </c>
      <c r="AA51" s="132">
        <v>0</v>
      </c>
      <c r="AB51" s="111">
        <v>5502</v>
      </c>
      <c r="AC51" s="114">
        <v>312389</v>
      </c>
      <c r="AD51" s="113">
        <f t="shared" si="4"/>
        <v>371742.91</v>
      </c>
      <c r="AE51" s="114">
        <v>359247</v>
      </c>
      <c r="AF51" s="145">
        <v>45703</v>
      </c>
      <c r="AG51" s="125" t="s">
        <v>1612</v>
      </c>
      <c r="AH51" s="116">
        <v>45782</v>
      </c>
      <c r="AI51" s="111" t="s">
        <v>137</v>
      </c>
      <c r="AJ51" s="110"/>
    </row>
    <row r="52" spans="1:36" ht="46.5" customHeight="1" x14ac:dyDescent="0.25">
      <c r="A52" s="106">
        <v>2025</v>
      </c>
      <c r="B52" s="106">
        <v>1</v>
      </c>
      <c r="C52" s="107">
        <v>22260</v>
      </c>
      <c r="D52" s="108">
        <v>45674</v>
      </c>
      <c r="E52" s="111" t="s">
        <v>284</v>
      </c>
      <c r="F52" s="110" t="s">
        <v>263</v>
      </c>
      <c r="G52" s="110" t="s">
        <v>98</v>
      </c>
      <c r="H52" s="111">
        <v>3007777489</v>
      </c>
      <c r="I52" s="111">
        <v>3016054781</v>
      </c>
      <c r="J52" s="108">
        <v>45687</v>
      </c>
      <c r="K52" s="111" t="s">
        <v>94</v>
      </c>
      <c r="L52" s="215" t="s">
        <v>1613</v>
      </c>
      <c r="M52" s="111" t="s">
        <v>136</v>
      </c>
      <c r="N52" s="111">
        <v>5645</v>
      </c>
      <c r="O52" s="111" t="s">
        <v>136</v>
      </c>
      <c r="P52" s="111" t="s">
        <v>136</v>
      </c>
      <c r="Q52" s="111" t="s">
        <v>136</v>
      </c>
      <c r="R52" s="111" t="s">
        <v>136</v>
      </c>
      <c r="S52" s="111" t="s">
        <v>134</v>
      </c>
      <c r="T52" s="111" t="s">
        <v>136</v>
      </c>
      <c r="U52" s="111" t="s">
        <v>136</v>
      </c>
      <c r="V52" s="111" t="s">
        <v>119</v>
      </c>
      <c r="W52" s="108">
        <v>45684</v>
      </c>
      <c r="X52" s="108">
        <v>45685</v>
      </c>
      <c r="Y52" s="110"/>
      <c r="Z52" s="111" t="s">
        <v>85</v>
      </c>
      <c r="AA52" s="136">
        <v>796258</v>
      </c>
      <c r="AB52" s="111">
        <v>5495</v>
      </c>
      <c r="AC52" s="114">
        <v>669124</v>
      </c>
      <c r="AD52" s="113">
        <f t="shared" si="4"/>
        <v>796257.55999999994</v>
      </c>
      <c r="AE52" s="114">
        <v>0</v>
      </c>
      <c r="AF52" s="116">
        <v>45674</v>
      </c>
      <c r="AG52" s="125" t="s">
        <v>1614</v>
      </c>
      <c r="AH52" s="116">
        <v>45782</v>
      </c>
      <c r="AI52" s="111" t="s">
        <v>137</v>
      </c>
      <c r="AJ52" s="110"/>
    </row>
    <row r="53" spans="1:36" ht="75" x14ac:dyDescent="0.25">
      <c r="A53" s="106">
        <v>2025</v>
      </c>
      <c r="B53" s="106">
        <v>1</v>
      </c>
      <c r="C53" s="107">
        <v>22261</v>
      </c>
      <c r="D53" s="108">
        <v>45674</v>
      </c>
      <c r="E53" s="111" t="s">
        <v>360</v>
      </c>
      <c r="F53" s="111" t="s">
        <v>264</v>
      </c>
      <c r="G53" s="110" t="s">
        <v>265</v>
      </c>
      <c r="H53" s="111">
        <v>3138108235</v>
      </c>
      <c r="I53" s="111">
        <v>3138108235</v>
      </c>
      <c r="J53" s="108">
        <v>45688</v>
      </c>
      <c r="K53" s="111" t="s">
        <v>88</v>
      </c>
      <c r="L53" s="215" t="s">
        <v>1615</v>
      </c>
      <c r="M53" s="111" t="s">
        <v>136</v>
      </c>
      <c r="N53" s="111">
        <v>5647</v>
      </c>
      <c r="O53" s="111">
        <v>5902</v>
      </c>
      <c r="P53" s="111">
        <v>8093</v>
      </c>
      <c r="Q53" s="111" t="s">
        <v>136</v>
      </c>
      <c r="R53" s="111" t="s">
        <v>136</v>
      </c>
      <c r="S53" s="111" t="s">
        <v>134</v>
      </c>
      <c r="T53" s="111" t="s">
        <v>134</v>
      </c>
      <c r="U53" s="111" t="s">
        <v>134</v>
      </c>
      <c r="V53" s="111" t="s">
        <v>89</v>
      </c>
      <c r="W53" s="108">
        <v>45692</v>
      </c>
      <c r="X53" s="108">
        <v>45693</v>
      </c>
      <c r="Y53" s="110"/>
      <c r="Z53" s="111" t="s">
        <v>85</v>
      </c>
      <c r="AA53" s="132">
        <v>0</v>
      </c>
      <c r="AB53" s="111">
        <v>5515</v>
      </c>
      <c r="AC53" s="114">
        <v>1138221</v>
      </c>
      <c r="AD53" s="113">
        <f t="shared" si="4"/>
        <v>1354482.99</v>
      </c>
      <c r="AE53" s="114">
        <v>5691190</v>
      </c>
      <c r="AF53" s="145">
        <v>45692</v>
      </c>
      <c r="AG53" s="125" t="s">
        <v>1528</v>
      </c>
      <c r="AH53" s="116">
        <v>45782</v>
      </c>
      <c r="AI53" s="111" t="s">
        <v>137</v>
      </c>
      <c r="AJ53" s="110"/>
    </row>
    <row r="54" spans="1:36" ht="46.5" customHeight="1" x14ac:dyDescent="0.25">
      <c r="A54" s="106">
        <v>2025</v>
      </c>
      <c r="B54" s="106">
        <v>1</v>
      </c>
      <c r="C54" s="107">
        <v>22262</v>
      </c>
      <c r="D54" s="108">
        <v>45674</v>
      </c>
      <c r="E54" s="111" t="s">
        <v>254</v>
      </c>
      <c r="F54" s="111" t="s">
        <v>254</v>
      </c>
      <c r="G54" s="110" t="s">
        <v>143</v>
      </c>
      <c r="H54" s="111">
        <v>3113323054</v>
      </c>
      <c r="I54" s="111">
        <v>3113323054</v>
      </c>
      <c r="J54" s="108">
        <v>45679</v>
      </c>
      <c r="K54" s="111" t="s">
        <v>84</v>
      </c>
      <c r="L54" s="215" t="s">
        <v>1616</v>
      </c>
      <c r="M54" s="111" t="s">
        <v>136</v>
      </c>
      <c r="N54" s="111" t="s">
        <v>136</v>
      </c>
      <c r="O54" s="111">
        <v>5898</v>
      </c>
      <c r="P54" s="111" t="s">
        <v>136</v>
      </c>
      <c r="Q54" s="111" t="s">
        <v>136</v>
      </c>
      <c r="R54" s="111" t="s">
        <v>136</v>
      </c>
      <c r="S54" s="111" t="s">
        <v>136</v>
      </c>
      <c r="T54" s="111" t="s">
        <v>134</v>
      </c>
      <c r="U54" s="111" t="s">
        <v>134</v>
      </c>
      <c r="V54" s="111" t="s">
        <v>119</v>
      </c>
      <c r="W54" s="108">
        <v>45679</v>
      </c>
      <c r="X54" s="108">
        <v>45679</v>
      </c>
      <c r="Y54" s="110"/>
      <c r="Z54" s="111" t="s">
        <v>85</v>
      </c>
      <c r="AA54" s="113">
        <v>95200</v>
      </c>
      <c r="AB54" s="111">
        <v>5470</v>
      </c>
      <c r="AC54" s="114">
        <v>80000</v>
      </c>
      <c r="AD54" s="113">
        <f t="shared" si="4"/>
        <v>95200</v>
      </c>
      <c r="AE54" s="114">
        <v>0</v>
      </c>
      <c r="AF54" s="108">
        <v>45674</v>
      </c>
      <c r="AG54" s="125" t="s">
        <v>255</v>
      </c>
      <c r="AH54" s="116">
        <v>45782</v>
      </c>
      <c r="AI54" s="111" t="s">
        <v>137</v>
      </c>
      <c r="AJ54" s="110"/>
    </row>
    <row r="55" spans="1:36" ht="45" x14ac:dyDescent="0.25">
      <c r="A55" s="106">
        <v>2025</v>
      </c>
      <c r="B55" s="106">
        <v>1</v>
      </c>
      <c r="C55" s="107">
        <v>22263</v>
      </c>
      <c r="D55" s="108">
        <v>45675</v>
      </c>
      <c r="E55" s="111" t="s">
        <v>242</v>
      </c>
      <c r="F55" s="110" t="s">
        <v>243</v>
      </c>
      <c r="G55" s="110" t="s">
        <v>98</v>
      </c>
      <c r="H55" s="110">
        <v>4488656</v>
      </c>
      <c r="I55" s="111">
        <v>3112259947</v>
      </c>
      <c r="J55" s="108">
        <v>45688</v>
      </c>
      <c r="K55" s="111" t="s">
        <v>88</v>
      </c>
      <c r="L55" s="215" t="s">
        <v>1617</v>
      </c>
      <c r="M55" s="111" t="s">
        <v>136</v>
      </c>
      <c r="N55" s="111">
        <v>5638</v>
      </c>
      <c r="O55" s="111" t="s">
        <v>136</v>
      </c>
      <c r="P55" s="111">
        <v>8264</v>
      </c>
      <c r="Q55" s="111" t="s">
        <v>136</v>
      </c>
      <c r="R55" s="111" t="s">
        <v>136</v>
      </c>
      <c r="S55" s="111" t="s">
        <v>134</v>
      </c>
      <c r="T55" s="111" t="s">
        <v>134</v>
      </c>
      <c r="U55" s="111" t="s">
        <v>136</v>
      </c>
      <c r="V55" s="111" t="s">
        <v>93</v>
      </c>
      <c r="W55" s="108">
        <v>45682</v>
      </c>
      <c r="X55" s="108">
        <v>45687</v>
      </c>
      <c r="Y55" s="110"/>
      <c r="Z55" s="111" t="s">
        <v>85</v>
      </c>
      <c r="AA55" s="114">
        <v>0</v>
      </c>
      <c r="AB55" s="111" t="s">
        <v>136</v>
      </c>
      <c r="AC55" s="114">
        <v>0</v>
      </c>
      <c r="AD55" s="113">
        <f t="shared" si="4"/>
        <v>0</v>
      </c>
      <c r="AE55" s="114">
        <v>0</v>
      </c>
      <c r="AF55" s="110" t="s">
        <v>136</v>
      </c>
      <c r="AG55" s="125" t="s">
        <v>321</v>
      </c>
      <c r="AH55" s="116">
        <v>45782</v>
      </c>
      <c r="AI55" s="139" t="s">
        <v>137</v>
      </c>
      <c r="AJ55" s="111" t="s">
        <v>1138</v>
      </c>
    </row>
    <row r="56" spans="1:36" ht="46.5" customHeight="1" x14ac:dyDescent="0.25">
      <c r="A56" s="106">
        <v>2025</v>
      </c>
      <c r="B56" s="106">
        <v>1</v>
      </c>
      <c r="C56" s="107">
        <v>22264</v>
      </c>
      <c r="D56" s="108">
        <v>45677</v>
      </c>
      <c r="E56" s="111" t="s">
        <v>285</v>
      </c>
      <c r="F56" s="111" t="s">
        <v>286</v>
      </c>
      <c r="G56" s="111" t="s">
        <v>143</v>
      </c>
      <c r="H56" s="111">
        <v>3163207036</v>
      </c>
      <c r="I56" s="111">
        <v>3163207036</v>
      </c>
      <c r="J56" s="108">
        <v>45691</v>
      </c>
      <c r="K56" s="111" t="s">
        <v>84</v>
      </c>
      <c r="L56" s="215" t="s">
        <v>1618</v>
      </c>
      <c r="M56" s="111" t="s">
        <v>136</v>
      </c>
      <c r="N56" s="111">
        <v>5646</v>
      </c>
      <c r="O56" s="111">
        <v>5906</v>
      </c>
      <c r="P56" s="111">
        <v>8277</v>
      </c>
      <c r="Q56" s="111" t="s">
        <v>136</v>
      </c>
      <c r="R56" s="111" t="s">
        <v>136</v>
      </c>
      <c r="S56" s="111" t="s">
        <v>134</v>
      </c>
      <c r="T56" s="111" t="s">
        <v>134</v>
      </c>
      <c r="U56" s="111" t="s">
        <v>136</v>
      </c>
      <c r="V56" s="111" t="s">
        <v>87</v>
      </c>
      <c r="W56" s="108">
        <v>45684</v>
      </c>
      <c r="X56" s="108">
        <v>45688</v>
      </c>
      <c r="Y56" s="110"/>
      <c r="Z56" s="111" t="s">
        <v>85</v>
      </c>
      <c r="AA56" s="114">
        <v>0</v>
      </c>
      <c r="AB56" s="111">
        <v>5497</v>
      </c>
      <c r="AC56" s="114">
        <v>940824</v>
      </c>
      <c r="AD56" s="113">
        <f t="shared" si="4"/>
        <v>1119580.56</v>
      </c>
      <c r="AE56" s="114">
        <v>410000</v>
      </c>
      <c r="AF56" s="116">
        <v>45685</v>
      </c>
      <c r="AG56" s="111" t="s">
        <v>1121</v>
      </c>
      <c r="AH56" s="116">
        <v>45782</v>
      </c>
      <c r="AI56" s="111" t="s">
        <v>137</v>
      </c>
      <c r="AJ56" s="110"/>
    </row>
    <row r="57" spans="1:36" s="199" customFormat="1" ht="45" x14ac:dyDescent="0.25">
      <c r="A57" s="106">
        <v>2025</v>
      </c>
      <c r="B57" s="106">
        <v>1</v>
      </c>
      <c r="C57" s="107">
        <v>22265</v>
      </c>
      <c r="D57" s="108">
        <v>45677</v>
      </c>
      <c r="E57" s="111" t="s">
        <v>244</v>
      </c>
      <c r="F57" s="111" t="s">
        <v>244</v>
      </c>
      <c r="G57" s="111" t="s">
        <v>143</v>
      </c>
      <c r="H57" s="111">
        <v>3004985928</v>
      </c>
      <c r="I57" s="111">
        <v>3043793144</v>
      </c>
      <c r="J57" s="108">
        <v>45687</v>
      </c>
      <c r="K57" s="111" t="s">
        <v>84</v>
      </c>
      <c r="L57" s="215" t="s">
        <v>1619</v>
      </c>
      <c r="M57" s="111" t="s">
        <v>136</v>
      </c>
      <c r="N57" s="111">
        <v>5644</v>
      </c>
      <c r="O57" s="111">
        <v>5899</v>
      </c>
      <c r="P57" s="111">
        <v>8273</v>
      </c>
      <c r="Q57" s="111">
        <v>5367</v>
      </c>
      <c r="R57" s="111" t="s">
        <v>136</v>
      </c>
      <c r="S57" s="111" t="s">
        <v>134</v>
      </c>
      <c r="T57" s="111" t="s">
        <v>134</v>
      </c>
      <c r="U57" s="111" t="s">
        <v>136</v>
      </c>
      <c r="V57" s="111" t="s">
        <v>87</v>
      </c>
      <c r="W57" s="108">
        <v>45684</v>
      </c>
      <c r="X57" s="108">
        <v>45688</v>
      </c>
      <c r="Y57" s="110"/>
      <c r="Z57" s="111" t="s">
        <v>85</v>
      </c>
      <c r="AA57" s="114">
        <v>0</v>
      </c>
      <c r="AB57" s="111">
        <v>5498</v>
      </c>
      <c r="AC57" s="114">
        <v>1302521</v>
      </c>
      <c r="AD57" s="113">
        <f t="shared" si="4"/>
        <v>1549999.99</v>
      </c>
      <c r="AE57" s="114">
        <v>853912</v>
      </c>
      <c r="AF57" s="116">
        <v>45685</v>
      </c>
      <c r="AG57" s="111" t="s">
        <v>1121</v>
      </c>
      <c r="AH57" s="116">
        <v>45782</v>
      </c>
      <c r="AI57" s="111" t="s">
        <v>137</v>
      </c>
      <c r="AJ57" s="110"/>
    </row>
    <row r="58" spans="1:36" ht="60" x14ac:dyDescent="0.25">
      <c r="A58" s="106">
        <v>2025</v>
      </c>
      <c r="B58" s="106">
        <v>1</v>
      </c>
      <c r="C58" s="107">
        <v>22266</v>
      </c>
      <c r="D58" s="108">
        <v>45677</v>
      </c>
      <c r="E58" s="111" t="s">
        <v>246</v>
      </c>
      <c r="F58" s="110" t="s">
        <v>247</v>
      </c>
      <c r="G58" s="110" t="s">
        <v>98</v>
      </c>
      <c r="H58" s="111">
        <v>6045405100</v>
      </c>
      <c r="I58" s="111">
        <v>3128104356</v>
      </c>
      <c r="J58" s="108">
        <v>45688</v>
      </c>
      <c r="K58" s="111" t="s">
        <v>88</v>
      </c>
      <c r="L58" s="215" t="s">
        <v>1620</v>
      </c>
      <c r="M58" s="111" t="s">
        <v>136</v>
      </c>
      <c r="N58" s="111">
        <v>5639</v>
      </c>
      <c r="O58" s="111">
        <v>5900</v>
      </c>
      <c r="P58" s="111">
        <v>8200</v>
      </c>
      <c r="Q58" s="111">
        <v>5364</v>
      </c>
      <c r="R58" s="111" t="s">
        <v>136</v>
      </c>
      <c r="S58" s="111" t="s">
        <v>134</v>
      </c>
      <c r="T58" s="111" t="s">
        <v>134</v>
      </c>
      <c r="U58" s="111" t="s">
        <v>136</v>
      </c>
      <c r="V58" s="111" t="s">
        <v>89</v>
      </c>
      <c r="W58" s="108">
        <v>45684</v>
      </c>
      <c r="X58" s="108">
        <v>45691</v>
      </c>
      <c r="Y58" s="110"/>
      <c r="Z58" s="111" t="s">
        <v>85</v>
      </c>
      <c r="AA58" s="114">
        <v>0</v>
      </c>
      <c r="AB58" s="111">
        <v>5312</v>
      </c>
      <c r="AC58" s="114">
        <v>1008186</v>
      </c>
      <c r="AD58" s="113">
        <f t="shared" ref="AD58" si="5">+AC58*1.19</f>
        <v>1199741.3399999999</v>
      </c>
      <c r="AE58" s="114">
        <v>0</v>
      </c>
      <c r="AF58" s="202">
        <v>45687</v>
      </c>
      <c r="AG58" s="125" t="s">
        <v>1621</v>
      </c>
      <c r="AH58" s="116">
        <v>45782</v>
      </c>
      <c r="AI58" s="111" t="s">
        <v>137</v>
      </c>
      <c r="AJ58" s="110"/>
    </row>
    <row r="59" spans="1:36" ht="30" x14ac:dyDescent="0.25">
      <c r="A59" s="106">
        <v>2025</v>
      </c>
      <c r="B59" s="106">
        <v>1</v>
      </c>
      <c r="C59" s="107">
        <v>22267</v>
      </c>
      <c r="D59" s="108">
        <v>45677</v>
      </c>
      <c r="E59" s="111" t="s">
        <v>248</v>
      </c>
      <c r="F59" s="111" t="s">
        <v>248</v>
      </c>
      <c r="G59" s="110" t="s">
        <v>154</v>
      </c>
      <c r="H59" s="111">
        <v>3127104351</v>
      </c>
      <c r="I59" s="111">
        <v>3127104351</v>
      </c>
      <c r="J59" s="108">
        <v>45687</v>
      </c>
      <c r="K59" s="111" t="s">
        <v>84</v>
      </c>
      <c r="L59" s="215" t="s">
        <v>1622</v>
      </c>
      <c r="M59" s="111" t="s">
        <v>136</v>
      </c>
      <c r="N59" s="111">
        <v>5640</v>
      </c>
      <c r="O59" s="111" t="s">
        <v>136</v>
      </c>
      <c r="P59" s="111" t="s">
        <v>136</v>
      </c>
      <c r="Q59" s="111" t="s">
        <v>136</v>
      </c>
      <c r="R59" s="111" t="s">
        <v>136</v>
      </c>
      <c r="S59" s="111" t="s">
        <v>134</v>
      </c>
      <c r="T59" s="111" t="s">
        <v>136</v>
      </c>
      <c r="U59" s="111" t="s">
        <v>136</v>
      </c>
      <c r="V59" s="111" t="s">
        <v>87</v>
      </c>
      <c r="W59" s="108">
        <v>45682</v>
      </c>
      <c r="X59" s="108">
        <v>45685</v>
      </c>
      <c r="Y59" s="110"/>
      <c r="Z59" s="111" t="s">
        <v>85</v>
      </c>
      <c r="AA59" s="114">
        <v>0</v>
      </c>
      <c r="AB59" s="111">
        <v>5492</v>
      </c>
      <c r="AC59" s="114">
        <v>899159</v>
      </c>
      <c r="AD59" s="113">
        <v>1070000</v>
      </c>
      <c r="AE59" s="114">
        <v>600000</v>
      </c>
      <c r="AF59" s="116">
        <v>45685</v>
      </c>
      <c r="AG59" s="125" t="s">
        <v>1614</v>
      </c>
      <c r="AH59" s="116">
        <v>45782</v>
      </c>
      <c r="AI59" s="111" t="s">
        <v>137</v>
      </c>
      <c r="AJ59" s="110"/>
    </row>
    <row r="60" spans="1:36" s="199" customFormat="1" ht="45" x14ac:dyDescent="0.25">
      <c r="A60" s="106">
        <v>2025</v>
      </c>
      <c r="B60" s="106">
        <v>1</v>
      </c>
      <c r="C60" s="107">
        <v>22268</v>
      </c>
      <c r="D60" s="108">
        <v>45678</v>
      </c>
      <c r="E60" s="111" t="s">
        <v>249</v>
      </c>
      <c r="F60" s="110" t="s">
        <v>250</v>
      </c>
      <c r="G60" s="111" t="s">
        <v>251</v>
      </c>
      <c r="H60" s="111">
        <v>6044309000</v>
      </c>
      <c r="I60" s="111">
        <v>3105048862</v>
      </c>
      <c r="J60" s="108">
        <v>45688</v>
      </c>
      <c r="K60" s="111" t="s">
        <v>88</v>
      </c>
      <c r="L60" s="215" t="s">
        <v>1623</v>
      </c>
      <c r="M60" s="111" t="s">
        <v>136</v>
      </c>
      <c r="N60" s="111">
        <v>5643</v>
      </c>
      <c r="O60" s="111">
        <v>5904</v>
      </c>
      <c r="P60" s="111">
        <v>8176</v>
      </c>
      <c r="Q60" s="111">
        <v>5331</v>
      </c>
      <c r="R60" s="111" t="s">
        <v>134</v>
      </c>
      <c r="S60" s="111" t="s">
        <v>134</v>
      </c>
      <c r="T60" s="111" t="s">
        <v>134</v>
      </c>
      <c r="U60" s="111" t="s">
        <v>136</v>
      </c>
      <c r="V60" s="111" t="s">
        <v>89</v>
      </c>
      <c r="W60" s="108">
        <v>45685</v>
      </c>
      <c r="X60" s="108">
        <v>38390</v>
      </c>
      <c r="Y60" s="110"/>
      <c r="Z60" s="111" t="s">
        <v>85</v>
      </c>
      <c r="AA60" s="114">
        <v>0</v>
      </c>
      <c r="AB60" s="111">
        <v>5563</v>
      </c>
      <c r="AC60" s="114">
        <v>870233</v>
      </c>
      <c r="AD60" s="113">
        <f t="shared" ref="AD60:AD72" si="6">+AC60*1.19</f>
        <v>1035577.2699999999</v>
      </c>
      <c r="AE60" s="114">
        <v>0</v>
      </c>
      <c r="AF60" s="202">
        <v>45707</v>
      </c>
      <c r="AG60" s="125" t="s">
        <v>1624</v>
      </c>
      <c r="AH60" s="116">
        <v>45782</v>
      </c>
      <c r="AI60" s="111" t="s">
        <v>137</v>
      </c>
      <c r="AJ60" s="110"/>
    </row>
    <row r="61" spans="1:36" ht="60" x14ac:dyDescent="0.25">
      <c r="A61" s="106">
        <v>2025</v>
      </c>
      <c r="B61" s="106">
        <v>1</v>
      </c>
      <c r="C61" s="107">
        <v>22269</v>
      </c>
      <c r="D61" s="108">
        <v>45678</v>
      </c>
      <c r="E61" s="111" t="s">
        <v>252</v>
      </c>
      <c r="F61" s="111" t="s">
        <v>253</v>
      </c>
      <c r="G61" s="111" t="s">
        <v>98</v>
      </c>
      <c r="H61" s="111">
        <v>6044449112</v>
      </c>
      <c r="I61" s="111">
        <v>3008950442</v>
      </c>
      <c r="J61" s="108">
        <v>45688</v>
      </c>
      <c r="K61" s="111" t="s">
        <v>88</v>
      </c>
      <c r="L61" s="215" t="s">
        <v>1625</v>
      </c>
      <c r="M61" s="111" t="s">
        <v>136</v>
      </c>
      <c r="N61" s="111">
        <v>5642</v>
      </c>
      <c r="O61" s="111" t="s">
        <v>136</v>
      </c>
      <c r="P61" s="111">
        <v>8268</v>
      </c>
      <c r="Q61" s="111">
        <v>5360</v>
      </c>
      <c r="R61" s="111" t="s">
        <v>136</v>
      </c>
      <c r="S61" s="111" t="s">
        <v>134</v>
      </c>
      <c r="T61" s="111" t="s">
        <v>134</v>
      </c>
      <c r="U61" s="111" t="s">
        <v>134</v>
      </c>
      <c r="V61" s="111" t="s">
        <v>89</v>
      </c>
      <c r="W61" s="108">
        <v>45682</v>
      </c>
      <c r="X61" s="108">
        <v>45685</v>
      </c>
      <c r="Y61" s="110"/>
      <c r="Z61" s="111" t="s">
        <v>85</v>
      </c>
      <c r="AA61" s="114">
        <v>0</v>
      </c>
      <c r="AB61" s="111">
        <v>5493</v>
      </c>
      <c r="AC61" s="114">
        <v>1206297</v>
      </c>
      <c r="AD61" s="113">
        <f t="shared" si="6"/>
        <v>1435493.43</v>
      </c>
      <c r="AE61" s="114">
        <v>0</v>
      </c>
      <c r="AF61" s="116">
        <v>45685</v>
      </c>
      <c r="AG61" s="125" t="s">
        <v>310</v>
      </c>
      <c r="AH61" s="116">
        <v>45782</v>
      </c>
      <c r="AI61" s="111" t="s">
        <v>137</v>
      </c>
      <c r="AJ61" s="110"/>
    </row>
    <row r="62" spans="1:36" ht="90" x14ac:dyDescent="0.25">
      <c r="A62" s="106">
        <v>2025</v>
      </c>
      <c r="B62" s="106">
        <v>1</v>
      </c>
      <c r="C62" s="107">
        <v>22270</v>
      </c>
      <c r="D62" s="108">
        <v>45678</v>
      </c>
      <c r="E62" s="111" t="s">
        <v>266</v>
      </c>
      <c r="F62" s="111" t="s">
        <v>266</v>
      </c>
      <c r="G62" s="110" t="s">
        <v>154</v>
      </c>
      <c r="H62" s="111">
        <v>3206989082</v>
      </c>
      <c r="I62" s="111">
        <v>3206989082</v>
      </c>
      <c r="J62" s="108">
        <v>45693</v>
      </c>
      <c r="K62" s="111" t="s">
        <v>88</v>
      </c>
      <c r="L62" s="215" t="s">
        <v>1626</v>
      </c>
      <c r="M62" s="111" t="s">
        <v>136</v>
      </c>
      <c r="N62" s="111">
        <v>5649</v>
      </c>
      <c r="O62" s="111">
        <v>5907</v>
      </c>
      <c r="P62" s="111">
        <v>8274</v>
      </c>
      <c r="Q62" s="111">
        <v>5287</v>
      </c>
      <c r="R62" s="111" t="s">
        <v>134</v>
      </c>
      <c r="S62" s="111" t="s">
        <v>134</v>
      </c>
      <c r="T62" s="111" t="s">
        <v>134</v>
      </c>
      <c r="U62" s="111" t="s">
        <v>136</v>
      </c>
      <c r="V62" s="111" t="s">
        <v>119</v>
      </c>
      <c r="W62" s="108">
        <v>45693</v>
      </c>
      <c r="X62" s="108">
        <v>45696</v>
      </c>
      <c r="Y62" s="110"/>
      <c r="Z62" s="111" t="s">
        <v>85</v>
      </c>
      <c r="AA62" s="114">
        <v>0</v>
      </c>
      <c r="AB62" s="111">
        <v>5531</v>
      </c>
      <c r="AC62" s="114">
        <v>35966369</v>
      </c>
      <c r="AD62" s="113">
        <f t="shared" si="6"/>
        <v>42799979.109999999</v>
      </c>
      <c r="AE62" s="114">
        <v>1360000</v>
      </c>
      <c r="AF62" s="202">
        <v>45693</v>
      </c>
      <c r="AG62" s="125" t="s">
        <v>1030</v>
      </c>
      <c r="AH62" s="116">
        <v>45782</v>
      </c>
      <c r="AI62" s="111" t="s">
        <v>137</v>
      </c>
      <c r="AJ62" s="110">
        <v>391</v>
      </c>
    </row>
    <row r="63" spans="1:36" ht="75" x14ac:dyDescent="0.25">
      <c r="A63" s="106">
        <v>2025</v>
      </c>
      <c r="B63" s="106">
        <v>1</v>
      </c>
      <c r="C63" s="107">
        <v>22271</v>
      </c>
      <c r="D63" s="108">
        <v>45680</v>
      </c>
      <c r="E63" s="111" t="s">
        <v>271</v>
      </c>
      <c r="F63" s="110" t="s">
        <v>272</v>
      </c>
      <c r="G63" s="110" t="s">
        <v>98</v>
      </c>
      <c r="H63" s="111">
        <v>6044484823</v>
      </c>
      <c r="I63" s="111">
        <v>3117616144</v>
      </c>
      <c r="J63" s="108">
        <v>45694</v>
      </c>
      <c r="K63" s="111" t="s">
        <v>88</v>
      </c>
      <c r="L63" s="215" t="s">
        <v>1627</v>
      </c>
      <c r="M63" s="111" t="s">
        <v>136</v>
      </c>
      <c r="N63" s="111">
        <v>5650</v>
      </c>
      <c r="O63" s="111">
        <v>5908</v>
      </c>
      <c r="P63" s="111">
        <v>8281</v>
      </c>
      <c r="Q63" s="111">
        <v>5362</v>
      </c>
      <c r="R63" s="111" t="s">
        <v>134</v>
      </c>
      <c r="S63" s="111" t="s">
        <v>134</v>
      </c>
      <c r="T63" s="111" t="s">
        <v>134</v>
      </c>
      <c r="U63" s="111" t="s">
        <v>136</v>
      </c>
      <c r="V63" s="111" t="s">
        <v>119</v>
      </c>
      <c r="W63" s="108">
        <v>45693</v>
      </c>
      <c r="X63" s="108">
        <v>45699</v>
      </c>
      <c r="Y63" s="110"/>
      <c r="Z63" s="111" t="s">
        <v>85</v>
      </c>
      <c r="AA63" s="113">
        <v>0</v>
      </c>
      <c r="AB63" s="111">
        <v>5530</v>
      </c>
      <c r="AC63" s="114">
        <v>5261808</v>
      </c>
      <c r="AD63" s="113">
        <f t="shared" si="6"/>
        <v>6261551.5199999996</v>
      </c>
      <c r="AE63" s="114">
        <v>3130775</v>
      </c>
      <c r="AF63" s="202">
        <v>45693</v>
      </c>
      <c r="AG63" s="125" t="s">
        <v>1628</v>
      </c>
      <c r="AH63" s="116">
        <v>45782</v>
      </c>
      <c r="AI63" s="111" t="s">
        <v>137</v>
      </c>
      <c r="AJ63" s="110"/>
    </row>
    <row r="64" spans="1:36" s="199" customFormat="1" ht="75" x14ac:dyDescent="0.25">
      <c r="A64" s="106">
        <v>2025</v>
      </c>
      <c r="B64" s="106">
        <v>1</v>
      </c>
      <c r="C64" s="107">
        <v>22272</v>
      </c>
      <c r="D64" s="108">
        <v>45678</v>
      </c>
      <c r="E64" s="111" t="s">
        <v>162</v>
      </c>
      <c r="F64" s="110" t="s">
        <v>163</v>
      </c>
      <c r="G64" s="110" t="s">
        <v>150</v>
      </c>
      <c r="H64" s="111">
        <v>6044483227</v>
      </c>
      <c r="I64" s="111">
        <v>6044483227</v>
      </c>
      <c r="J64" s="108">
        <v>45688</v>
      </c>
      <c r="K64" s="111" t="s">
        <v>88</v>
      </c>
      <c r="L64" s="215" t="s">
        <v>238</v>
      </c>
      <c r="M64" s="111" t="s">
        <v>136</v>
      </c>
      <c r="N64" s="111" t="s">
        <v>136</v>
      </c>
      <c r="O64" s="111">
        <v>5905</v>
      </c>
      <c r="P64" s="111">
        <v>8265</v>
      </c>
      <c r="Q64" s="111" t="s">
        <v>136</v>
      </c>
      <c r="R64" s="111" t="s">
        <v>136</v>
      </c>
      <c r="S64" s="111" t="s">
        <v>136</v>
      </c>
      <c r="T64" s="111" t="s">
        <v>134</v>
      </c>
      <c r="U64" s="111" t="s">
        <v>134</v>
      </c>
      <c r="V64" s="111" t="s">
        <v>89</v>
      </c>
      <c r="W64" s="108">
        <v>45685</v>
      </c>
      <c r="X64" s="108">
        <v>45699</v>
      </c>
      <c r="Y64" s="110"/>
      <c r="Z64" s="111" t="s">
        <v>85</v>
      </c>
      <c r="AA64" s="113">
        <v>0</v>
      </c>
      <c r="AB64" s="111">
        <v>5542</v>
      </c>
      <c r="AC64" s="114">
        <v>1372941</v>
      </c>
      <c r="AD64" s="113">
        <f t="shared" si="6"/>
        <v>1633799.79</v>
      </c>
      <c r="AE64" s="114">
        <v>1576410</v>
      </c>
      <c r="AF64" s="202">
        <v>45730</v>
      </c>
      <c r="AG64" s="125" t="s">
        <v>304</v>
      </c>
      <c r="AH64" s="116">
        <v>45782</v>
      </c>
      <c r="AI64" s="111" t="s">
        <v>137</v>
      </c>
      <c r="AJ64" s="110"/>
    </row>
    <row r="65" spans="1:36" ht="60" x14ac:dyDescent="0.25">
      <c r="A65" s="106">
        <v>2025</v>
      </c>
      <c r="B65" s="106">
        <v>1</v>
      </c>
      <c r="C65" s="107">
        <v>22273</v>
      </c>
      <c r="D65" s="108">
        <v>45679</v>
      </c>
      <c r="E65" s="111" t="s">
        <v>292</v>
      </c>
      <c r="F65" s="110" t="s">
        <v>293</v>
      </c>
      <c r="G65" s="110" t="s">
        <v>294</v>
      </c>
      <c r="H65" s="111">
        <v>3005103364</v>
      </c>
      <c r="I65" s="111">
        <v>3218746064</v>
      </c>
      <c r="J65" s="108">
        <v>45663</v>
      </c>
      <c r="K65" s="111" t="s">
        <v>95</v>
      </c>
      <c r="L65" s="215" t="s">
        <v>1629</v>
      </c>
      <c r="M65" s="111" t="s">
        <v>136</v>
      </c>
      <c r="N65" s="111">
        <v>5655</v>
      </c>
      <c r="O65" s="111">
        <v>5916</v>
      </c>
      <c r="P65" s="111">
        <v>7062</v>
      </c>
      <c r="Q65" s="111">
        <v>5373</v>
      </c>
      <c r="R65" s="111" t="s">
        <v>136</v>
      </c>
      <c r="S65" s="111" t="s">
        <v>134</v>
      </c>
      <c r="T65" s="111" t="s">
        <v>134</v>
      </c>
      <c r="U65" s="111" t="s">
        <v>136</v>
      </c>
      <c r="V65" s="111" t="s">
        <v>87</v>
      </c>
      <c r="W65" s="108">
        <v>45688</v>
      </c>
      <c r="X65" s="108">
        <v>45696</v>
      </c>
      <c r="Y65" s="110"/>
      <c r="Z65" s="111" t="s">
        <v>85</v>
      </c>
      <c r="AA65" s="113">
        <v>0</v>
      </c>
      <c r="AB65" s="111">
        <v>5514</v>
      </c>
      <c r="AC65" s="114">
        <v>8669236</v>
      </c>
      <c r="AD65" s="113">
        <f t="shared" si="6"/>
        <v>10316390.84</v>
      </c>
      <c r="AE65" s="114">
        <v>5000000</v>
      </c>
      <c r="AF65" s="202">
        <v>45693</v>
      </c>
      <c r="AG65" s="125" t="s">
        <v>1630</v>
      </c>
      <c r="AH65" s="116">
        <v>45782</v>
      </c>
      <c r="AI65" s="111" t="s">
        <v>137</v>
      </c>
      <c r="AJ65" s="110"/>
    </row>
    <row r="66" spans="1:36" ht="45" x14ac:dyDescent="0.25">
      <c r="A66" s="106">
        <v>2025</v>
      </c>
      <c r="B66" s="106">
        <v>1</v>
      </c>
      <c r="C66" s="107">
        <v>22274</v>
      </c>
      <c r="D66" s="108">
        <v>45679</v>
      </c>
      <c r="E66" s="111" t="s">
        <v>273</v>
      </c>
      <c r="F66" s="110" t="s">
        <v>274</v>
      </c>
      <c r="G66" s="110" t="s">
        <v>98</v>
      </c>
      <c r="H66" s="111">
        <v>6044441423</v>
      </c>
      <c r="I66" s="111">
        <v>3176384250</v>
      </c>
      <c r="J66" s="108">
        <v>45693</v>
      </c>
      <c r="K66" s="111" t="s">
        <v>88</v>
      </c>
      <c r="L66" s="215" t="s">
        <v>1631</v>
      </c>
      <c r="M66" s="111" t="s">
        <v>136</v>
      </c>
      <c r="N66" s="111">
        <v>5648</v>
      </c>
      <c r="O66" s="111" t="s">
        <v>136</v>
      </c>
      <c r="P66" s="111">
        <v>8299</v>
      </c>
      <c r="Q66" s="111">
        <v>5366</v>
      </c>
      <c r="R66" s="111" t="s">
        <v>136</v>
      </c>
      <c r="S66" s="111" t="s">
        <v>134</v>
      </c>
      <c r="T66" s="111" t="s">
        <v>134</v>
      </c>
      <c r="U66" s="111" t="s">
        <v>136</v>
      </c>
      <c r="V66" s="111" t="s">
        <v>87</v>
      </c>
      <c r="W66" s="108">
        <v>45687</v>
      </c>
      <c r="X66" s="108">
        <v>45661</v>
      </c>
      <c r="Y66" s="110"/>
      <c r="Z66" s="111" t="s">
        <v>85</v>
      </c>
      <c r="AA66" s="114">
        <v>0</v>
      </c>
      <c r="AB66" s="111">
        <v>5523</v>
      </c>
      <c r="AC66" s="114">
        <v>1100513</v>
      </c>
      <c r="AD66" s="113">
        <f t="shared" si="6"/>
        <v>1309610.47</v>
      </c>
      <c r="AE66" s="114">
        <v>0</v>
      </c>
      <c r="AF66" s="202">
        <v>45717</v>
      </c>
      <c r="AG66" s="125" t="s">
        <v>1632</v>
      </c>
      <c r="AH66" s="116">
        <v>45782</v>
      </c>
      <c r="AI66" s="111" t="s">
        <v>137</v>
      </c>
      <c r="AJ66" s="110"/>
    </row>
    <row r="67" spans="1:36" ht="60" x14ac:dyDescent="0.25">
      <c r="A67" s="106">
        <v>2025</v>
      </c>
      <c r="B67" s="106">
        <v>1</v>
      </c>
      <c r="C67" s="107">
        <v>22275</v>
      </c>
      <c r="D67" s="108">
        <v>45680</v>
      </c>
      <c r="E67" s="111" t="s">
        <v>256</v>
      </c>
      <c r="F67" s="110" t="s">
        <v>257</v>
      </c>
      <c r="G67" s="110" t="s">
        <v>98</v>
      </c>
      <c r="H67" s="111">
        <v>6043018189</v>
      </c>
      <c r="I67" s="111">
        <v>3160265951</v>
      </c>
      <c r="J67" s="108">
        <v>45693</v>
      </c>
      <c r="K67" s="111" t="s">
        <v>88</v>
      </c>
      <c r="L67" s="215" t="s">
        <v>1633</v>
      </c>
      <c r="M67" s="111" t="s">
        <v>281</v>
      </c>
      <c r="N67" s="111" t="s">
        <v>136</v>
      </c>
      <c r="O67" s="111">
        <v>5912</v>
      </c>
      <c r="P67" s="111" t="s">
        <v>258</v>
      </c>
      <c r="Q67" s="111">
        <v>5361</v>
      </c>
      <c r="R67" s="111" t="s">
        <v>136</v>
      </c>
      <c r="S67" s="111" t="s">
        <v>134</v>
      </c>
      <c r="T67" s="111" t="s">
        <v>134</v>
      </c>
      <c r="U67" s="111" t="s">
        <v>136</v>
      </c>
      <c r="V67" s="111" t="s">
        <v>119</v>
      </c>
      <c r="W67" s="108">
        <v>45692</v>
      </c>
      <c r="X67" s="108">
        <v>45692</v>
      </c>
      <c r="Y67" s="110"/>
      <c r="Z67" s="111" t="s">
        <v>85</v>
      </c>
      <c r="AA67" s="113">
        <v>0</v>
      </c>
      <c r="AB67" s="111">
        <v>5504</v>
      </c>
      <c r="AC67" s="114">
        <v>1595948</v>
      </c>
      <c r="AD67" s="113">
        <f t="shared" si="6"/>
        <v>1899178.1199999999</v>
      </c>
      <c r="AE67" s="114">
        <v>949600</v>
      </c>
      <c r="AF67" s="145">
        <v>45692</v>
      </c>
      <c r="AG67" s="111" t="s">
        <v>1634</v>
      </c>
      <c r="AH67" s="116">
        <v>45782</v>
      </c>
      <c r="AI67" s="111" t="s">
        <v>137</v>
      </c>
      <c r="AJ67" s="110"/>
    </row>
    <row r="68" spans="1:36" ht="45" x14ac:dyDescent="0.25">
      <c r="A68" s="106">
        <v>2025</v>
      </c>
      <c r="B68" s="106">
        <v>1</v>
      </c>
      <c r="C68" s="107">
        <v>22276</v>
      </c>
      <c r="D68" s="108">
        <v>45680</v>
      </c>
      <c r="E68" s="111" t="s">
        <v>275</v>
      </c>
      <c r="F68" s="110" t="s">
        <v>276</v>
      </c>
      <c r="G68" s="110" t="s">
        <v>143</v>
      </c>
      <c r="H68" s="111">
        <v>3122983804</v>
      </c>
      <c r="I68" s="111">
        <v>3122983804</v>
      </c>
      <c r="J68" s="108">
        <v>45692</v>
      </c>
      <c r="K68" s="111" t="s">
        <v>84</v>
      </c>
      <c r="L68" s="215" t="s">
        <v>1635</v>
      </c>
      <c r="M68" s="111" t="s">
        <v>136</v>
      </c>
      <c r="N68" s="111">
        <v>5651</v>
      </c>
      <c r="O68" s="111">
        <v>5910</v>
      </c>
      <c r="P68" s="111">
        <v>8287</v>
      </c>
      <c r="Q68" s="111" t="s">
        <v>136</v>
      </c>
      <c r="R68" s="111" t="s">
        <v>134</v>
      </c>
      <c r="S68" s="111" t="s">
        <v>134</v>
      </c>
      <c r="T68" s="111" t="s">
        <v>134</v>
      </c>
      <c r="U68" s="111" t="s">
        <v>136</v>
      </c>
      <c r="V68" s="111" t="s">
        <v>119</v>
      </c>
      <c r="W68" s="108">
        <v>45692</v>
      </c>
      <c r="X68" s="108">
        <v>45693</v>
      </c>
      <c r="Y68" s="110"/>
      <c r="Z68" s="111" t="s">
        <v>85</v>
      </c>
      <c r="AA68" s="113">
        <v>0</v>
      </c>
      <c r="AB68" s="111">
        <v>5524</v>
      </c>
      <c r="AC68" s="114">
        <v>1285537</v>
      </c>
      <c r="AD68" s="113">
        <f t="shared" si="6"/>
        <v>1529789.03</v>
      </c>
      <c r="AE68" s="114">
        <v>764891</v>
      </c>
      <c r="AF68" s="145">
        <v>45691</v>
      </c>
      <c r="AG68" s="125" t="s">
        <v>1636</v>
      </c>
      <c r="AH68" s="116">
        <v>45782</v>
      </c>
      <c r="AI68" s="111" t="s">
        <v>137</v>
      </c>
      <c r="AJ68" s="110"/>
    </row>
    <row r="69" spans="1:36" ht="165" x14ac:dyDescent="0.25">
      <c r="A69" s="106">
        <v>2025</v>
      </c>
      <c r="B69" s="106">
        <v>1</v>
      </c>
      <c r="C69" s="107">
        <v>22277</v>
      </c>
      <c r="D69" s="108">
        <v>45685</v>
      </c>
      <c r="E69" s="111" t="s">
        <v>342</v>
      </c>
      <c r="F69" s="110" t="s">
        <v>343</v>
      </c>
      <c r="G69" s="110" t="s">
        <v>95</v>
      </c>
      <c r="H69" s="111">
        <v>3134922929</v>
      </c>
      <c r="I69" s="111">
        <v>3134922929</v>
      </c>
      <c r="J69" s="108">
        <v>45698</v>
      </c>
      <c r="K69" s="111" t="s">
        <v>88</v>
      </c>
      <c r="L69" s="215" t="s">
        <v>344</v>
      </c>
      <c r="M69" s="155" t="s">
        <v>136</v>
      </c>
      <c r="N69" s="111">
        <v>5670</v>
      </c>
      <c r="O69" s="111">
        <v>5927</v>
      </c>
      <c r="P69" s="111">
        <v>8238</v>
      </c>
      <c r="Q69" s="111">
        <v>5344</v>
      </c>
      <c r="R69" s="111" t="s">
        <v>136</v>
      </c>
      <c r="S69" s="111" t="s">
        <v>134</v>
      </c>
      <c r="T69" s="111" t="s">
        <v>134</v>
      </c>
      <c r="U69" s="111" t="s">
        <v>136</v>
      </c>
      <c r="V69" s="111" t="s">
        <v>119</v>
      </c>
      <c r="W69" s="108">
        <v>45693</v>
      </c>
      <c r="X69" s="108">
        <v>45701</v>
      </c>
      <c r="Y69" s="110"/>
      <c r="Z69" s="111" t="s">
        <v>85</v>
      </c>
      <c r="AA69" s="114">
        <v>0</v>
      </c>
      <c r="AB69" s="111">
        <v>5544</v>
      </c>
      <c r="AC69" s="113">
        <v>4957983</v>
      </c>
      <c r="AD69" s="113">
        <f t="shared" si="6"/>
        <v>5899999.7699999996</v>
      </c>
      <c r="AE69" s="114">
        <v>0</v>
      </c>
      <c r="AF69" s="145">
        <v>45701</v>
      </c>
      <c r="AG69" s="111" t="s">
        <v>1637</v>
      </c>
      <c r="AH69" s="116">
        <v>45782</v>
      </c>
      <c r="AI69" s="111" t="s">
        <v>245</v>
      </c>
      <c r="AJ69" s="110"/>
    </row>
    <row r="70" spans="1:36" ht="60" x14ac:dyDescent="0.25">
      <c r="A70" s="106">
        <v>2025</v>
      </c>
      <c r="B70" s="106">
        <v>1</v>
      </c>
      <c r="C70" s="107">
        <v>22278</v>
      </c>
      <c r="D70" s="108">
        <v>45680</v>
      </c>
      <c r="E70" s="111" t="s">
        <v>268</v>
      </c>
      <c r="F70" s="110" t="s">
        <v>269</v>
      </c>
      <c r="G70" s="110" t="s">
        <v>160</v>
      </c>
      <c r="H70" s="111">
        <v>3136742207</v>
      </c>
      <c r="I70" s="111">
        <v>3013974078</v>
      </c>
      <c r="J70" s="108">
        <v>45699</v>
      </c>
      <c r="K70" s="111" t="s">
        <v>88</v>
      </c>
      <c r="L70" s="215" t="s">
        <v>1638</v>
      </c>
      <c r="M70" s="111" t="s">
        <v>136</v>
      </c>
      <c r="N70" s="111">
        <v>5653</v>
      </c>
      <c r="O70" s="111">
        <v>5914</v>
      </c>
      <c r="P70" s="111">
        <v>8219</v>
      </c>
      <c r="Q70" s="111" t="s">
        <v>136</v>
      </c>
      <c r="R70" s="111" t="s">
        <v>134</v>
      </c>
      <c r="S70" s="111" t="s">
        <v>134</v>
      </c>
      <c r="T70" s="111" t="s">
        <v>134</v>
      </c>
      <c r="U70" s="111" t="s">
        <v>134</v>
      </c>
      <c r="V70" s="111" t="s">
        <v>119</v>
      </c>
      <c r="W70" s="108">
        <v>45700</v>
      </c>
      <c r="X70" s="108">
        <v>45705</v>
      </c>
      <c r="Y70" s="110"/>
      <c r="Z70" s="111" t="s">
        <v>85</v>
      </c>
      <c r="AA70" s="114">
        <v>0</v>
      </c>
      <c r="AB70" s="111">
        <v>5536</v>
      </c>
      <c r="AC70" s="113">
        <v>4182674</v>
      </c>
      <c r="AD70" s="113">
        <f t="shared" si="6"/>
        <v>4977382.0599999996</v>
      </c>
      <c r="AE70" s="114">
        <v>2091337</v>
      </c>
      <c r="AF70" s="145">
        <v>45700</v>
      </c>
      <c r="AG70" s="125" t="s">
        <v>1639</v>
      </c>
      <c r="AH70" s="116">
        <v>45782</v>
      </c>
      <c r="AI70" s="111" t="s">
        <v>137</v>
      </c>
      <c r="AJ70" s="110"/>
    </row>
    <row r="71" spans="1:36" ht="70.5" customHeight="1" x14ac:dyDescent="0.25">
      <c r="A71" s="106">
        <v>2025</v>
      </c>
      <c r="B71" s="106">
        <v>1</v>
      </c>
      <c r="C71" s="107">
        <v>22279</v>
      </c>
      <c r="D71" s="108">
        <v>45680</v>
      </c>
      <c r="E71" s="111" t="s">
        <v>278</v>
      </c>
      <c r="F71" s="110" t="s">
        <v>279</v>
      </c>
      <c r="G71" s="110" t="s">
        <v>143</v>
      </c>
      <c r="H71" s="111">
        <v>3118210213</v>
      </c>
      <c r="I71" s="111">
        <v>3118210213</v>
      </c>
      <c r="J71" s="108">
        <v>45684</v>
      </c>
      <c r="K71" s="111" t="s">
        <v>84</v>
      </c>
      <c r="L71" s="215" t="s">
        <v>1640</v>
      </c>
      <c r="M71" s="111" t="s">
        <v>136</v>
      </c>
      <c r="N71" s="111" t="s">
        <v>136</v>
      </c>
      <c r="O71" s="111">
        <v>5913</v>
      </c>
      <c r="P71" s="111">
        <v>5913</v>
      </c>
      <c r="Q71" s="111" t="s">
        <v>136</v>
      </c>
      <c r="R71" s="111" t="s">
        <v>136</v>
      </c>
      <c r="S71" s="111" t="s">
        <v>136</v>
      </c>
      <c r="T71" s="111" t="s">
        <v>134</v>
      </c>
      <c r="U71" s="111" t="s">
        <v>134</v>
      </c>
      <c r="V71" s="111" t="s">
        <v>119</v>
      </c>
      <c r="W71" s="108">
        <v>45682</v>
      </c>
      <c r="X71" s="108">
        <v>45686</v>
      </c>
      <c r="Y71" s="110"/>
      <c r="Z71" s="111" t="s">
        <v>85</v>
      </c>
      <c r="AA71" s="113">
        <v>0</v>
      </c>
      <c r="AB71" s="111">
        <v>5494</v>
      </c>
      <c r="AC71" s="113">
        <v>327731</v>
      </c>
      <c r="AD71" s="113">
        <f t="shared" si="6"/>
        <v>389999.88999999996</v>
      </c>
      <c r="AE71" s="114">
        <v>390000</v>
      </c>
      <c r="AF71" s="116">
        <v>45680</v>
      </c>
      <c r="AG71" s="125" t="s">
        <v>311</v>
      </c>
      <c r="AH71" s="116">
        <v>45782</v>
      </c>
      <c r="AI71" s="111" t="s">
        <v>137</v>
      </c>
      <c r="AJ71" s="110"/>
    </row>
    <row r="72" spans="1:36" ht="45" x14ac:dyDescent="0.25">
      <c r="A72" s="106">
        <v>2025</v>
      </c>
      <c r="B72" s="106">
        <v>1</v>
      </c>
      <c r="C72" s="107">
        <v>22280</v>
      </c>
      <c r="D72" s="108">
        <v>45680</v>
      </c>
      <c r="E72" s="111" t="s">
        <v>259</v>
      </c>
      <c r="F72" s="110" t="s">
        <v>260</v>
      </c>
      <c r="G72" s="110" t="s">
        <v>173</v>
      </c>
      <c r="H72" s="111">
        <v>6046054966</v>
      </c>
      <c r="I72" s="111">
        <v>3103950263</v>
      </c>
      <c r="J72" s="108">
        <v>45687</v>
      </c>
      <c r="K72" s="111" t="s">
        <v>88</v>
      </c>
      <c r="L72" s="215" t="s">
        <v>1641</v>
      </c>
      <c r="M72" s="111" t="s">
        <v>281</v>
      </c>
      <c r="N72" s="111" t="s">
        <v>136</v>
      </c>
      <c r="O72" s="111">
        <v>5909</v>
      </c>
      <c r="P72" s="111">
        <v>8303</v>
      </c>
      <c r="Q72" s="111">
        <v>5369</v>
      </c>
      <c r="R72" s="111" t="s">
        <v>136</v>
      </c>
      <c r="S72" s="111" t="s">
        <v>134</v>
      </c>
      <c r="T72" s="111" t="s">
        <v>134</v>
      </c>
      <c r="U72" s="111" t="s">
        <v>136</v>
      </c>
      <c r="V72" s="111" t="s">
        <v>87</v>
      </c>
      <c r="W72" s="108">
        <v>45686</v>
      </c>
      <c r="X72" s="108">
        <v>45687</v>
      </c>
      <c r="Y72" s="110"/>
      <c r="Z72" s="111" t="s">
        <v>85</v>
      </c>
      <c r="AA72" s="113">
        <v>0</v>
      </c>
      <c r="AB72" s="111">
        <v>5499</v>
      </c>
      <c r="AC72" s="113">
        <v>317159</v>
      </c>
      <c r="AD72" s="113">
        <f t="shared" si="6"/>
        <v>377419.20999999996</v>
      </c>
      <c r="AE72" s="114">
        <v>200000</v>
      </c>
      <c r="AF72" s="202">
        <v>45806</v>
      </c>
      <c r="AG72" s="125" t="s">
        <v>320</v>
      </c>
      <c r="AH72" s="116">
        <v>45782</v>
      </c>
      <c r="AI72" s="111" t="s">
        <v>137</v>
      </c>
      <c r="AJ72" s="110"/>
    </row>
    <row r="73" spans="1:36" ht="60" x14ac:dyDescent="0.25">
      <c r="A73" s="106">
        <v>2025</v>
      </c>
      <c r="B73" s="106">
        <v>1</v>
      </c>
      <c r="C73" s="107">
        <v>22281</v>
      </c>
      <c r="D73" s="108">
        <v>45680</v>
      </c>
      <c r="E73" s="111" t="s">
        <v>270</v>
      </c>
      <c r="F73" s="111" t="s">
        <v>270</v>
      </c>
      <c r="G73" s="110" t="s">
        <v>143</v>
      </c>
      <c r="H73" s="111">
        <v>3162657990</v>
      </c>
      <c r="I73" s="111">
        <v>3162657990</v>
      </c>
      <c r="J73" s="108">
        <v>45693</v>
      </c>
      <c r="K73" s="111" t="s">
        <v>84</v>
      </c>
      <c r="L73" s="215" t="s">
        <v>1642</v>
      </c>
      <c r="M73" s="111" t="s">
        <v>136</v>
      </c>
      <c r="N73" s="111">
        <v>5654</v>
      </c>
      <c r="O73" s="111">
        <v>5911</v>
      </c>
      <c r="P73" s="111">
        <v>8291</v>
      </c>
      <c r="Q73" s="111">
        <v>5374</v>
      </c>
      <c r="R73" s="111" t="s">
        <v>136</v>
      </c>
      <c r="S73" s="111" t="s">
        <v>134</v>
      </c>
      <c r="T73" s="111" t="s">
        <v>134</v>
      </c>
      <c r="U73" s="111" t="s">
        <v>136</v>
      </c>
      <c r="V73" s="111" t="s">
        <v>87</v>
      </c>
      <c r="W73" s="108">
        <v>45693</v>
      </c>
      <c r="X73" s="108">
        <v>45694</v>
      </c>
      <c r="Y73" s="110"/>
      <c r="Z73" s="111" t="s">
        <v>85</v>
      </c>
      <c r="AA73" s="113">
        <v>0</v>
      </c>
      <c r="AB73" s="111">
        <v>5528</v>
      </c>
      <c r="AC73" s="113">
        <v>0</v>
      </c>
      <c r="AD73" s="113">
        <v>1500000</v>
      </c>
      <c r="AE73" s="114">
        <v>750000</v>
      </c>
      <c r="AF73" s="202">
        <v>45693</v>
      </c>
      <c r="AG73" s="125" t="s">
        <v>1643</v>
      </c>
      <c r="AH73" s="116">
        <v>45782</v>
      </c>
      <c r="AI73" s="111" t="s">
        <v>137</v>
      </c>
      <c r="AJ73" s="110"/>
    </row>
    <row r="74" spans="1:36" ht="46.5" customHeight="1" x14ac:dyDescent="0.25">
      <c r="A74" s="106">
        <v>2025</v>
      </c>
      <c r="B74" s="106">
        <v>1</v>
      </c>
      <c r="C74" s="157">
        <v>22282</v>
      </c>
      <c r="D74" s="108">
        <v>45680</v>
      </c>
      <c r="E74" s="111" t="s">
        <v>287</v>
      </c>
      <c r="F74" s="110" t="s">
        <v>960</v>
      </c>
      <c r="G74" s="110" t="s">
        <v>148</v>
      </c>
      <c r="H74" s="111">
        <v>3004657333</v>
      </c>
      <c r="I74" s="111">
        <v>3004657333</v>
      </c>
      <c r="J74" s="108">
        <v>45688</v>
      </c>
      <c r="K74" s="111" t="s">
        <v>84</v>
      </c>
      <c r="L74" s="215" t="s">
        <v>1644</v>
      </c>
      <c r="M74" s="111" t="s">
        <v>136</v>
      </c>
      <c r="N74" s="111" t="s">
        <v>136</v>
      </c>
      <c r="O74" s="111">
        <v>5920</v>
      </c>
      <c r="P74" s="111" t="s">
        <v>136</v>
      </c>
      <c r="Q74" s="111" t="s">
        <v>136</v>
      </c>
      <c r="R74" s="111" t="s">
        <v>134</v>
      </c>
      <c r="S74" s="111" t="s">
        <v>136</v>
      </c>
      <c r="T74" s="111" t="s">
        <v>134</v>
      </c>
      <c r="U74" s="111" t="s">
        <v>134</v>
      </c>
      <c r="V74" s="111" t="s">
        <v>89</v>
      </c>
      <c r="W74" s="108">
        <v>45692</v>
      </c>
      <c r="X74" s="108">
        <v>45693</v>
      </c>
      <c r="Y74" s="110"/>
      <c r="Z74" s="111" t="s">
        <v>85</v>
      </c>
      <c r="AA74" s="113">
        <v>0</v>
      </c>
      <c r="AB74" s="111">
        <v>5520</v>
      </c>
      <c r="AC74" s="113">
        <v>294117</v>
      </c>
      <c r="AD74" s="113">
        <v>350000</v>
      </c>
      <c r="AE74" s="113">
        <v>175000</v>
      </c>
      <c r="AF74" s="145">
        <v>45687</v>
      </c>
      <c r="AG74" s="125" t="s">
        <v>1474</v>
      </c>
      <c r="AH74" s="116">
        <v>45782</v>
      </c>
      <c r="AI74" s="111" t="s">
        <v>137</v>
      </c>
      <c r="AJ74" s="110"/>
    </row>
    <row r="75" spans="1:36" s="350" customFormat="1" ht="46.5" customHeight="1" x14ac:dyDescent="0.25">
      <c r="A75" s="95">
        <v>2025</v>
      </c>
      <c r="B75" s="376">
        <v>1</v>
      </c>
      <c r="C75" s="140">
        <v>22283</v>
      </c>
      <c r="D75" s="97">
        <v>45680</v>
      </c>
      <c r="E75" s="100" t="s">
        <v>223</v>
      </c>
      <c r="F75" s="99" t="s">
        <v>224</v>
      </c>
      <c r="G75" s="99" t="s">
        <v>225</v>
      </c>
      <c r="H75" s="100">
        <v>3017421861</v>
      </c>
      <c r="I75" s="100">
        <v>3112259947</v>
      </c>
      <c r="J75" s="97">
        <v>45693</v>
      </c>
      <c r="K75" s="100" t="s">
        <v>88</v>
      </c>
      <c r="L75" s="217" t="s">
        <v>1679</v>
      </c>
      <c r="M75" s="100" t="s">
        <v>136</v>
      </c>
      <c r="N75" s="100" t="s">
        <v>136</v>
      </c>
      <c r="O75" s="100">
        <v>5915</v>
      </c>
      <c r="P75" s="100">
        <v>8305</v>
      </c>
      <c r="Q75" s="100">
        <v>5370</v>
      </c>
      <c r="R75" s="100" t="s">
        <v>136</v>
      </c>
      <c r="S75" s="100" t="s">
        <v>134</v>
      </c>
      <c r="T75" s="100" t="s">
        <v>134</v>
      </c>
      <c r="U75" s="100" t="s">
        <v>136</v>
      </c>
      <c r="V75" s="100" t="s">
        <v>89</v>
      </c>
      <c r="W75" s="97">
        <v>45687</v>
      </c>
      <c r="X75" s="97"/>
      <c r="Y75" s="99"/>
      <c r="Z75" s="100" t="s">
        <v>97</v>
      </c>
      <c r="AA75" s="123">
        <v>0</v>
      </c>
      <c r="AB75" s="100">
        <v>5527</v>
      </c>
      <c r="AC75" s="123">
        <v>251357</v>
      </c>
      <c r="AD75" s="123">
        <f t="shared" ref="AD75:AD99" si="7">+AC75*1.19</f>
        <v>299114.82999999996</v>
      </c>
      <c r="AE75" s="103">
        <v>0</v>
      </c>
      <c r="AF75" s="205">
        <v>45771</v>
      </c>
      <c r="AG75" s="100" t="s">
        <v>1683</v>
      </c>
      <c r="AH75" s="105">
        <v>45789</v>
      </c>
      <c r="AI75" s="100" t="s">
        <v>137</v>
      </c>
      <c r="AJ75" s="99"/>
    </row>
    <row r="76" spans="1:36" ht="46.5" customHeight="1" x14ac:dyDescent="0.25">
      <c r="A76" s="106">
        <v>2025</v>
      </c>
      <c r="B76" s="110">
        <v>1</v>
      </c>
      <c r="C76" s="151">
        <v>22284</v>
      </c>
      <c r="D76" s="108">
        <v>45681</v>
      </c>
      <c r="E76" s="111" t="s">
        <v>295</v>
      </c>
      <c r="F76" s="110" t="s">
        <v>296</v>
      </c>
      <c r="G76" s="110" t="s">
        <v>143</v>
      </c>
      <c r="H76" s="111">
        <v>3218246226</v>
      </c>
      <c r="I76" s="111">
        <v>3218246226</v>
      </c>
      <c r="J76" s="108">
        <v>45692</v>
      </c>
      <c r="K76" s="111" t="s">
        <v>86</v>
      </c>
      <c r="L76" s="215" t="s">
        <v>1645</v>
      </c>
      <c r="M76" s="111" t="s">
        <v>136</v>
      </c>
      <c r="N76" s="111">
        <v>5662</v>
      </c>
      <c r="O76" s="111" t="s">
        <v>136</v>
      </c>
      <c r="P76" s="111" t="s">
        <v>136</v>
      </c>
      <c r="Q76" s="111" t="s">
        <v>136</v>
      </c>
      <c r="R76" s="111" t="s">
        <v>136</v>
      </c>
      <c r="S76" s="111" t="s">
        <v>136</v>
      </c>
      <c r="T76" s="111" t="s">
        <v>136</v>
      </c>
      <c r="U76" s="111" t="s">
        <v>136</v>
      </c>
      <c r="V76" s="111" t="s">
        <v>119</v>
      </c>
      <c r="W76" s="108">
        <v>45688</v>
      </c>
      <c r="X76" s="108">
        <v>45692</v>
      </c>
      <c r="Y76" s="110"/>
      <c r="Z76" s="111" t="s">
        <v>85</v>
      </c>
      <c r="AA76" s="113">
        <v>0</v>
      </c>
      <c r="AB76" s="111">
        <v>5508</v>
      </c>
      <c r="AC76" s="113">
        <v>200840</v>
      </c>
      <c r="AD76" s="113">
        <f t="shared" si="7"/>
        <v>238999.59999999998</v>
      </c>
      <c r="AE76" s="113">
        <v>100000</v>
      </c>
      <c r="AF76" s="202">
        <v>45692</v>
      </c>
      <c r="AG76" s="111" t="s">
        <v>1646</v>
      </c>
      <c r="AH76" s="116">
        <v>45782</v>
      </c>
      <c r="AI76" s="111" t="s">
        <v>137</v>
      </c>
      <c r="AJ76" s="110"/>
    </row>
    <row r="77" spans="1:36" ht="46.5" customHeight="1" x14ac:dyDescent="0.25">
      <c r="A77" s="106">
        <v>2025</v>
      </c>
      <c r="B77" s="110">
        <v>1</v>
      </c>
      <c r="C77" s="107">
        <v>22285</v>
      </c>
      <c r="D77" s="108">
        <v>45681</v>
      </c>
      <c r="E77" s="111" t="s">
        <v>248</v>
      </c>
      <c r="F77" s="110" t="s">
        <v>297</v>
      </c>
      <c r="G77" s="110" t="s">
        <v>143</v>
      </c>
      <c r="H77" s="111">
        <v>3127104351</v>
      </c>
      <c r="I77" s="111">
        <v>3127104351</v>
      </c>
      <c r="J77" s="108">
        <v>45692</v>
      </c>
      <c r="K77" s="111" t="s">
        <v>84</v>
      </c>
      <c r="L77" s="215" t="s">
        <v>298</v>
      </c>
      <c r="M77" s="111" t="s">
        <v>136</v>
      </c>
      <c r="N77" s="111">
        <v>5658</v>
      </c>
      <c r="O77" s="111" t="s">
        <v>136</v>
      </c>
      <c r="P77" s="111" t="s">
        <v>136</v>
      </c>
      <c r="Q77" s="111" t="s">
        <v>136</v>
      </c>
      <c r="R77" s="111" t="s">
        <v>136</v>
      </c>
      <c r="S77" s="111" t="s">
        <v>136</v>
      </c>
      <c r="T77" s="111" t="s">
        <v>136</v>
      </c>
      <c r="U77" s="111" t="s">
        <v>136</v>
      </c>
      <c r="V77" s="111" t="s">
        <v>87</v>
      </c>
      <c r="W77" s="108">
        <v>45688</v>
      </c>
      <c r="X77" s="108">
        <v>45698</v>
      </c>
      <c r="Y77" s="110"/>
      <c r="Z77" s="111" t="s">
        <v>85</v>
      </c>
      <c r="AA77" s="113">
        <v>0</v>
      </c>
      <c r="AB77" s="111">
        <v>5509</v>
      </c>
      <c r="AC77" s="113">
        <v>449580</v>
      </c>
      <c r="AD77" s="113">
        <f t="shared" si="7"/>
        <v>535000.19999999995</v>
      </c>
      <c r="AE77" s="113">
        <v>300000</v>
      </c>
      <c r="AF77" s="145">
        <v>45698</v>
      </c>
      <c r="AG77" s="111" t="s">
        <v>1647</v>
      </c>
      <c r="AH77" s="116">
        <v>45782</v>
      </c>
      <c r="AI77" s="111" t="s">
        <v>245</v>
      </c>
      <c r="AJ77" s="110"/>
    </row>
    <row r="78" spans="1:36" ht="60" x14ac:dyDescent="0.25">
      <c r="A78" s="106">
        <v>2025</v>
      </c>
      <c r="B78" s="110">
        <v>1</v>
      </c>
      <c r="C78" s="107">
        <v>22286</v>
      </c>
      <c r="D78" s="108">
        <v>45681</v>
      </c>
      <c r="E78" s="111" t="s">
        <v>299</v>
      </c>
      <c r="F78" s="110" t="s">
        <v>300</v>
      </c>
      <c r="G78" s="110" t="s">
        <v>143</v>
      </c>
      <c r="H78" s="111">
        <v>3192670378</v>
      </c>
      <c r="I78" s="111">
        <v>3192670378</v>
      </c>
      <c r="J78" s="108">
        <v>45694</v>
      </c>
      <c r="K78" s="111" t="s">
        <v>84</v>
      </c>
      <c r="L78" s="215" t="s">
        <v>1648</v>
      </c>
      <c r="M78" s="111" t="s">
        <v>136</v>
      </c>
      <c r="N78" s="111">
        <v>5659</v>
      </c>
      <c r="O78" s="111">
        <v>5918</v>
      </c>
      <c r="P78" s="111">
        <v>8321</v>
      </c>
      <c r="Q78" s="111">
        <v>5375</v>
      </c>
      <c r="R78" s="111" t="s">
        <v>136</v>
      </c>
      <c r="S78" s="111" t="s">
        <v>134</v>
      </c>
      <c r="T78" s="111" t="s">
        <v>134</v>
      </c>
      <c r="U78" s="111" t="s">
        <v>136</v>
      </c>
      <c r="V78" s="111" t="s">
        <v>119</v>
      </c>
      <c r="W78" s="108">
        <v>45688</v>
      </c>
      <c r="X78" s="108">
        <v>45695</v>
      </c>
      <c r="Y78" s="110"/>
      <c r="Z78" s="111" t="s">
        <v>85</v>
      </c>
      <c r="AA78" s="113">
        <v>0</v>
      </c>
      <c r="AB78" s="111">
        <v>5519</v>
      </c>
      <c r="AC78" s="113">
        <v>690698</v>
      </c>
      <c r="AD78" s="113">
        <f t="shared" si="7"/>
        <v>821930.62</v>
      </c>
      <c r="AE78" s="113">
        <v>410965</v>
      </c>
      <c r="AF78" s="145">
        <v>45691</v>
      </c>
      <c r="AG78" s="111" t="s">
        <v>1649</v>
      </c>
      <c r="AH78" s="116">
        <v>45782</v>
      </c>
      <c r="AI78" s="111" t="s">
        <v>245</v>
      </c>
      <c r="AJ78" s="110"/>
    </row>
    <row r="79" spans="1:36" ht="45" x14ac:dyDescent="0.25">
      <c r="A79" s="106">
        <v>2025</v>
      </c>
      <c r="B79" s="110">
        <v>1</v>
      </c>
      <c r="C79" s="107">
        <v>22287</v>
      </c>
      <c r="D79" s="108">
        <v>45681</v>
      </c>
      <c r="E79" s="111" t="s">
        <v>195</v>
      </c>
      <c r="F79" s="110" t="s">
        <v>196</v>
      </c>
      <c r="G79" s="110" t="s">
        <v>154</v>
      </c>
      <c r="H79" s="111">
        <v>6045604050</v>
      </c>
      <c r="I79" s="111">
        <v>3137372413</v>
      </c>
      <c r="J79" s="108">
        <v>45663</v>
      </c>
      <c r="K79" s="111" t="s">
        <v>88</v>
      </c>
      <c r="L79" s="215" t="s">
        <v>1650</v>
      </c>
      <c r="M79" s="111" t="s">
        <v>136</v>
      </c>
      <c r="N79" s="111">
        <v>5656</v>
      </c>
      <c r="O79" s="111" t="s">
        <v>136</v>
      </c>
      <c r="P79" s="111" t="s">
        <v>136</v>
      </c>
      <c r="Q79" s="111" t="s">
        <v>136</v>
      </c>
      <c r="R79" s="111" t="s">
        <v>136</v>
      </c>
      <c r="S79" s="111" t="s">
        <v>134</v>
      </c>
      <c r="T79" s="111" t="s">
        <v>134</v>
      </c>
      <c r="U79" s="111" t="s">
        <v>136</v>
      </c>
      <c r="V79" s="111" t="s">
        <v>89</v>
      </c>
      <c r="W79" s="108">
        <v>45688</v>
      </c>
      <c r="X79" s="108">
        <v>45693</v>
      </c>
      <c r="Y79" s="110"/>
      <c r="Z79" s="111" t="s">
        <v>85</v>
      </c>
      <c r="AA79" s="113">
        <v>0</v>
      </c>
      <c r="AB79" s="111" t="s">
        <v>136</v>
      </c>
      <c r="AC79" s="113">
        <v>0</v>
      </c>
      <c r="AD79" s="113">
        <f t="shared" si="7"/>
        <v>0</v>
      </c>
      <c r="AE79" s="113">
        <v>0</v>
      </c>
      <c r="AF79" s="110" t="s">
        <v>136</v>
      </c>
      <c r="AG79" s="111" t="s">
        <v>1651</v>
      </c>
      <c r="AH79" s="116">
        <v>45782</v>
      </c>
      <c r="AI79" s="111" t="s">
        <v>137</v>
      </c>
      <c r="AJ79" s="110" t="s">
        <v>277</v>
      </c>
    </row>
    <row r="80" spans="1:36" ht="45" x14ac:dyDescent="0.25">
      <c r="A80" s="106">
        <v>2025</v>
      </c>
      <c r="B80" s="110">
        <v>1</v>
      </c>
      <c r="C80" s="107">
        <v>22288</v>
      </c>
      <c r="D80" s="108">
        <v>45682</v>
      </c>
      <c r="E80" s="111" t="s">
        <v>301</v>
      </c>
      <c r="F80" s="110" t="s">
        <v>302</v>
      </c>
      <c r="G80" s="110" t="s">
        <v>154</v>
      </c>
      <c r="H80" s="111">
        <v>3015468214</v>
      </c>
      <c r="I80" s="111">
        <v>3015468214</v>
      </c>
      <c r="J80" s="108">
        <v>45695</v>
      </c>
      <c r="K80" s="111" t="s">
        <v>84</v>
      </c>
      <c r="L80" s="215" t="s">
        <v>303</v>
      </c>
      <c r="M80" s="111" t="s">
        <v>136</v>
      </c>
      <c r="N80" s="111">
        <v>5661</v>
      </c>
      <c r="O80" s="111">
        <v>5921</v>
      </c>
      <c r="P80" s="111">
        <v>8327</v>
      </c>
      <c r="Q80" s="111">
        <v>5381</v>
      </c>
      <c r="R80" s="111" t="s">
        <v>136</v>
      </c>
      <c r="S80" s="111" t="s">
        <v>134</v>
      </c>
      <c r="T80" s="111" t="s">
        <v>134</v>
      </c>
      <c r="U80" s="111" t="s">
        <v>136</v>
      </c>
      <c r="V80" s="111" t="s">
        <v>87</v>
      </c>
      <c r="W80" s="108">
        <v>45693</v>
      </c>
      <c r="X80" s="108">
        <v>45703</v>
      </c>
      <c r="Y80" s="110"/>
      <c r="Z80" s="111" t="s">
        <v>85</v>
      </c>
      <c r="AA80" s="113">
        <v>0</v>
      </c>
      <c r="AB80" s="111">
        <v>5511</v>
      </c>
      <c r="AC80" s="113">
        <v>831932</v>
      </c>
      <c r="AD80" s="113">
        <f t="shared" si="7"/>
        <v>989999.08</v>
      </c>
      <c r="AE80" s="113">
        <v>550000</v>
      </c>
      <c r="AF80" s="145">
        <v>45699</v>
      </c>
      <c r="AG80" s="125" t="s">
        <v>1652</v>
      </c>
      <c r="AH80" s="116">
        <v>45782</v>
      </c>
      <c r="AI80" s="111" t="s">
        <v>245</v>
      </c>
      <c r="AJ80" s="110"/>
    </row>
    <row r="81" spans="1:36" ht="45" x14ac:dyDescent="0.25">
      <c r="A81" s="106">
        <v>2025</v>
      </c>
      <c r="B81" s="110">
        <v>1</v>
      </c>
      <c r="C81" s="107">
        <v>22289</v>
      </c>
      <c r="D81" s="108">
        <v>45684</v>
      </c>
      <c r="E81" s="111" t="s">
        <v>138</v>
      </c>
      <c r="F81" s="110" t="s">
        <v>153</v>
      </c>
      <c r="G81" s="110" t="s">
        <v>154</v>
      </c>
      <c r="H81" s="111">
        <v>6043223815</v>
      </c>
      <c r="I81" s="111">
        <v>3104197179</v>
      </c>
      <c r="J81" s="108">
        <v>45694</v>
      </c>
      <c r="K81" s="111" t="s">
        <v>95</v>
      </c>
      <c r="L81" s="215" t="s">
        <v>1653</v>
      </c>
      <c r="M81" s="111" t="s">
        <v>136</v>
      </c>
      <c r="N81" s="111">
        <v>5663</v>
      </c>
      <c r="O81" s="111">
        <v>5924</v>
      </c>
      <c r="P81" s="111">
        <v>8010</v>
      </c>
      <c r="Q81" s="111">
        <v>5379</v>
      </c>
      <c r="R81" s="111" t="s">
        <v>136</v>
      </c>
      <c r="S81" s="111" t="s">
        <v>134</v>
      </c>
      <c r="T81" s="111" t="s">
        <v>134</v>
      </c>
      <c r="U81" s="111" t="s">
        <v>136</v>
      </c>
      <c r="V81" s="111" t="s">
        <v>87</v>
      </c>
      <c r="W81" s="108">
        <v>45693</v>
      </c>
      <c r="X81" s="108">
        <v>45693</v>
      </c>
      <c r="Y81" s="110"/>
      <c r="Z81" s="111" t="s">
        <v>85</v>
      </c>
      <c r="AA81" s="113">
        <v>0</v>
      </c>
      <c r="AB81" s="111" t="s">
        <v>136</v>
      </c>
      <c r="AC81" s="113">
        <v>0</v>
      </c>
      <c r="AD81" s="113">
        <f t="shared" si="7"/>
        <v>0</v>
      </c>
      <c r="AE81" s="113">
        <v>0</v>
      </c>
      <c r="AF81" s="110" t="s">
        <v>136</v>
      </c>
      <c r="AG81" s="125" t="s">
        <v>1654</v>
      </c>
      <c r="AH81" s="116">
        <v>45782</v>
      </c>
      <c r="AI81" s="111" t="s">
        <v>137</v>
      </c>
      <c r="AJ81" s="110"/>
    </row>
    <row r="82" spans="1:36" s="374" customFormat="1" ht="46.5" customHeight="1" x14ac:dyDescent="0.25">
      <c r="A82" s="265">
        <v>2025</v>
      </c>
      <c r="B82" s="252">
        <v>1</v>
      </c>
      <c r="C82" s="301">
        <v>22290</v>
      </c>
      <c r="D82" s="263">
        <v>45684</v>
      </c>
      <c r="E82" s="253" t="s">
        <v>136</v>
      </c>
      <c r="F82" s="253" t="s">
        <v>136</v>
      </c>
      <c r="G82" s="253" t="s">
        <v>136</v>
      </c>
      <c r="H82" s="253" t="s">
        <v>136</v>
      </c>
      <c r="I82" s="253" t="s">
        <v>136</v>
      </c>
      <c r="J82" s="253" t="s">
        <v>136</v>
      </c>
      <c r="K82" s="253" t="s">
        <v>136</v>
      </c>
      <c r="L82" s="253" t="s">
        <v>136</v>
      </c>
      <c r="M82" s="253" t="s">
        <v>136</v>
      </c>
      <c r="N82" s="253" t="s">
        <v>136</v>
      </c>
      <c r="O82" s="253" t="s">
        <v>136</v>
      </c>
      <c r="P82" s="253" t="s">
        <v>136</v>
      </c>
      <c r="Q82" s="253" t="s">
        <v>136</v>
      </c>
      <c r="R82" s="253" t="s">
        <v>136</v>
      </c>
      <c r="S82" s="253" t="s">
        <v>136</v>
      </c>
      <c r="T82" s="253" t="s">
        <v>136</v>
      </c>
      <c r="U82" s="253" t="s">
        <v>136</v>
      </c>
      <c r="V82" s="253" t="s">
        <v>136</v>
      </c>
      <c r="W82" s="253" t="s">
        <v>136</v>
      </c>
      <c r="X82" s="253" t="s">
        <v>136</v>
      </c>
      <c r="Y82" s="253" t="s">
        <v>136</v>
      </c>
      <c r="Z82" s="253" t="s">
        <v>136</v>
      </c>
      <c r="AA82" s="253" t="s">
        <v>136</v>
      </c>
      <c r="AB82" s="253" t="s">
        <v>136</v>
      </c>
      <c r="AC82" s="253" t="s">
        <v>136</v>
      </c>
      <c r="AD82" s="253" t="s">
        <v>136</v>
      </c>
      <c r="AE82" s="253" t="s">
        <v>136</v>
      </c>
      <c r="AF82" s="253" t="s">
        <v>136</v>
      </c>
      <c r="AG82" s="253" t="s">
        <v>136</v>
      </c>
      <c r="AH82" s="326">
        <v>45782</v>
      </c>
      <c r="AI82" s="253" t="s">
        <v>137</v>
      </c>
      <c r="AJ82" s="252"/>
    </row>
    <row r="83" spans="1:36" ht="150" x14ac:dyDescent="0.25">
      <c r="A83" s="106">
        <v>2025</v>
      </c>
      <c r="B83" s="110">
        <v>1</v>
      </c>
      <c r="C83" s="107">
        <v>22291</v>
      </c>
      <c r="D83" s="108">
        <v>45685</v>
      </c>
      <c r="E83" s="111" t="s">
        <v>313</v>
      </c>
      <c r="F83" s="110" t="s">
        <v>314</v>
      </c>
      <c r="G83" s="110" t="s">
        <v>143</v>
      </c>
      <c r="H83" s="111">
        <v>3004683189</v>
      </c>
      <c r="I83" s="111">
        <v>3004683189</v>
      </c>
      <c r="J83" s="108">
        <v>45695</v>
      </c>
      <c r="K83" s="111" t="s">
        <v>84</v>
      </c>
      <c r="L83" s="215" t="s">
        <v>315</v>
      </c>
      <c r="M83" s="111" t="s">
        <v>136</v>
      </c>
      <c r="N83" s="111">
        <v>5667</v>
      </c>
      <c r="O83" s="111">
        <v>5928</v>
      </c>
      <c r="P83" s="111">
        <v>8315</v>
      </c>
      <c r="Q83" s="111">
        <v>5371</v>
      </c>
      <c r="R83" s="111" t="s">
        <v>136</v>
      </c>
      <c r="S83" s="111" t="s">
        <v>134</v>
      </c>
      <c r="T83" s="111" t="s">
        <v>134</v>
      </c>
      <c r="U83" s="111" t="s">
        <v>136</v>
      </c>
      <c r="V83" s="111" t="s">
        <v>119</v>
      </c>
      <c r="W83" s="108">
        <v>45700</v>
      </c>
      <c r="X83" s="108">
        <v>5537</v>
      </c>
      <c r="Y83" s="110"/>
      <c r="Z83" s="111" t="s">
        <v>85</v>
      </c>
      <c r="AA83" s="113">
        <v>0</v>
      </c>
      <c r="AB83" s="111">
        <v>5537</v>
      </c>
      <c r="AC83" s="113">
        <v>1660602</v>
      </c>
      <c r="AD83" s="113">
        <f t="shared" si="7"/>
        <v>1976116.38</v>
      </c>
      <c r="AE83" s="114">
        <v>950000</v>
      </c>
      <c r="AF83" s="202">
        <v>45700</v>
      </c>
      <c r="AG83" s="125" t="s">
        <v>1655</v>
      </c>
      <c r="AH83" s="116">
        <v>45782</v>
      </c>
      <c r="AI83" s="111" t="s">
        <v>137</v>
      </c>
      <c r="AJ83" s="110"/>
    </row>
    <row r="84" spans="1:36" s="199" customFormat="1" ht="60" x14ac:dyDescent="0.25">
      <c r="A84" s="106">
        <v>2025</v>
      </c>
      <c r="B84" s="110">
        <v>1</v>
      </c>
      <c r="C84" s="107">
        <v>22292</v>
      </c>
      <c r="D84" s="108">
        <v>45684</v>
      </c>
      <c r="E84" s="111" t="s">
        <v>289</v>
      </c>
      <c r="F84" s="110" t="s">
        <v>290</v>
      </c>
      <c r="G84" s="110" t="s">
        <v>98</v>
      </c>
      <c r="H84" s="111">
        <v>6044005100</v>
      </c>
      <c r="I84" s="111">
        <v>3102736625</v>
      </c>
      <c r="J84" s="108">
        <v>45693</v>
      </c>
      <c r="K84" s="111" t="s">
        <v>88</v>
      </c>
      <c r="L84" s="215" t="s">
        <v>1656</v>
      </c>
      <c r="M84" s="111" t="s">
        <v>136</v>
      </c>
      <c r="N84" s="111" t="s">
        <v>136</v>
      </c>
      <c r="O84" s="111">
        <v>5922</v>
      </c>
      <c r="P84" s="111">
        <v>8098</v>
      </c>
      <c r="Q84" s="111" t="s">
        <v>136</v>
      </c>
      <c r="R84" s="111" t="s">
        <v>134</v>
      </c>
      <c r="S84" s="111" t="s">
        <v>136</v>
      </c>
      <c r="T84" s="111" t="s">
        <v>134</v>
      </c>
      <c r="U84" s="111" t="s">
        <v>136</v>
      </c>
      <c r="V84" s="111" t="s">
        <v>87</v>
      </c>
      <c r="W84" s="108">
        <v>45720</v>
      </c>
      <c r="X84" s="108">
        <v>45720</v>
      </c>
      <c r="Y84" s="110"/>
      <c r="Z84" s="111" t="s">
        <v>85</v>
      </c>
      <c r="AA84" s="113">
        <v>0</v>
      </c>
      <c r="AB84" s="111">
        <v>5620</v>
      </c>
      <c r="AC84" s="113">
        <v>855164</v>
      </c>
      <c r="AD84" s="113">
        <f t="shared" si="7"/>
        <v>1017645.1599999999</v>
      </c>
      <c r="AE84" s="114">
        <v>0</v>
      </c>
      <c r="AF84" s="202">
        <v>45742</v>
      </c>
      <c r="AG84" s="125" t="s">
        <v>1122</v>
      </c>
      <c r="AH84" s="116">
        <v>45782</v>
      </c>
      <c r="AI84" s="111" t="s">
        <v>245</v>
      </c>
      <c r="AJ84" s="110"/>
    </row>
    <row r="85" spans="1:36" ht="60" x14ac:dyDescent="0.25">
      <c r="A85" s="106">
        <v>2025</v>
      </c>
      <c r="B85" s="110">
        <v>1</v>
      </c>
      <c r="C85" s="107">
        <v>22293</v>
      </c>
      <c r="D85" s="108">
        <v>45685</v>
      </c>
      <c r="E85" s="111" t="s">
        <v>331</v>
      </c>
      <c r="F85" s="110" t="s">
        <v>332</v>
      </c>
      <c r="G85" s="110" t="s">
        <v>333</v>
      </c>
      <c r="H85" s="111">
        <v>3054710113</v>
      </c>
      <c r="I85" s="111">
        <v>3054710113</v>
      </c>
      <c r="J85" s="108">
        <v>45694</v>
      </c>
      <c r="K85" s="111" t="s">
        <v>94</v>
      </c>
      <c r="L85" s="215" t="s">
        <v>1657</v>
      </c>
      <c r="M85" s="111" t="s">
        <v>136</v>
      </c>
      <c r="N85" s="111">
        <v>5669</v>
      </c>
      <c r="O85" s="111">
        <v>8930</v>
      </c>
      <c r="P85" s="111" t="s">
        <v>136</v>
      </c>
      <c r="Q85" s="111" t="s">
        <v>136</v>
      </c>
      <c r="R85" s="111" t="s">
        <v>136</v>
      </c>
      <c r="S85" s="111" t="s">
        <v>136</v>
      </c>
      <c r="T85" s="111" t="s">
        <v>136</v>
      </c>
      <c r="U85" s="111" t="s">
        <v>136</v>
      </c>
      <c r="V85" s="111" t="s">
        <v>119</v>
      </c>
      <c r="W85" s="108">
        <v>45696</v>
      </c>
      <c r="X85" s="108">
        <v>45698</v>
      </c>
      <c r="Y85" s="110"/>
      <c r="Z85" s="111" t="s">
        <v>85</v>
      </c>
      <c r="AA85" s="113">
        <v>0</v>
      </c>
      <c r="AB85" s="111">
        <v>5537</v>
      </c>
      <c r="AC85" s="113">
        <v>563797</v>
      </c>
      <c r="AD85" s="113">
        <f t="shared" si="7"/>
        <v>670918.42999999993</v>
      </c>
      <c r="AE85" s="113">
        <v>400000</v>
      </c>
      <c r="AF85" s="202">
        <v>45698</v>
      </c>
      <c r="AG85" s="111" t="s">
        <v>1123</v>
      </c>
      <c r="AH85" s="116">
        <v>45782</v>
      </c>
      <c r="AI85" s="111" t="s">
        <v>245</v>
      </c>
      <c r="AJ85" s="110"/>
    </row>
    <row r="86" spans="1:36" s="199" customFormat="1" ht="46.5" customHeight="1" x14ac:dyDescent="0.25">
      <c r="A86" s="106">
        <v>2025</v>
      </c>
      <c r="B86" s="110">
        <v>1</v>
      </c>
      <c r="C86" s="107">
        <v>22294</v>
      </c>
      <c r="D86" s="108">
        <v>45685</v>
      </c>
      <c r="E86" s="111" t="s">
        <v>326</v>
      </c>
      <c r="F86" s="110" t="s">
        <v>327</v>
      </c>
      <c r="G86" s="110" t="s">
        <v>98</v>
      </c>
      <c r="H86" s="111">
        <v>6045196588</v>
      </c>
      <c r="I86" s="111">
        <v>3013682133</v>
      </c>
      <c r="J86" s="108">
        <v>45694</v>
      </c>
      <c r="K86" s="111" t="s">
        <v>88</v>
      </c>
      <c r="L86" s="215" t="s">
        <v>1658</v>
      </c>
      <c r="M86" s="111" t="s">
        <v>281</v>
      </c>
      <c r="N86" s="111" t="s">
        <v>136</v>
      </c>
      <c r="O86" s="111" t="s">
        <v>136</v>
      </c>
      <c r="P86" s="111">
        <v>8294</v>
      </c>
      <c r="Q86" s="111" t="s">
        <v>136</v>
      </c>
      <c r="R86" s="111" t="s">
        <v>136</v>
      </c>
      <c r="S86" s="111" t="s">
        <v>134</v>
      </c>
      <c r="T86" s="111" t="s">
        <v>136</v>
      </c>
      <c r="U86" s="111" t="s">
        <v>136</v>
      </c>
      <c r="V86" s="111" t="s">
        <v>119</v>
      </c>
      <c r="W86" s="108">
        <v>45696</v>
      </c>
      <c r="X86" s="108">
        <v>45694</v>
      </c>
      <c r="Y86" s="110"/>
      <c r="Z86" s="111" t="s">
        <v>85</v>
      </c>
      <c r="AA86" s="113">
        <v>425000</v>
      </c>
      <c r="AB86" s="111">
        <v>5539</v>
      </c>
      <c r="AC86" s="113">
        <v>357143</v>
      </c>
      <c r="AD86" s="113">
        <f t="shared" si="7"/>
        <v>425000.17</v>
      </c>
      <c r="AE86" s="113">
        <v>0</v>
      </c>
      <c r="AF86" s="145">
        <v>45716</v>
      </c>
      <c r="AG86" s="111" t="s">
        <v>1659</v>
      </c>
      <c r="AH86" s="116">
        <v>45782</v>
      </c>
      <c r="AI86" s="111" t="s">
        <v>245</v>
      </c>
      <c r="AJ86" s="110"/>
    </row>
    <row r="87" spans="1:36" ht="46.5" customHeight="1" x14ac:dyDescent="0.25">
      <c r="A87" s="106">
        <v>2025</v>
      </c>
      <c r="B87" s="110">
        <v>1</v>
      </c>
      <c r="C87" s="107">
        <v>22295</v>
      </c>
      <c r="D87" s="108">
        <v>45685</v>
      </c>
      <c r="E87" s="111" t="s">
        <v>334</v>
      </c>
      <c r="F87" s="110" t="s">
        <v>335</v>
      </c>
      <c r="G87" s="110" t="s">
        <v>98</v>
      </c>
      <c r="H87" s="111">
        <v>6044449351</v>
      </c>
      <c r="I87" s="111">
        <v>3265429304</v>
      </c>
      <c r="J87" s="108">
        <v>45689</v>
      </c>
      <c r="K87" s="111" t="s">
        <v>88</v>
      </c>
      <c r="L87" s="215" t="s">
        <v>1660</v>
      </c>
      <c r="M87" s="111" t="s">
        <v>136</v>
      </c>
      <c r="N87" s="111" t="s">
        <v>136</v>
      </c>
      <c r="O87" s="111" t="s">
        <v>136</v>
      </c>
      <c r="P87" s="111">
        <v>8341</v>
      </c>
      <c r="Q87" s="111" t="s">
        <v>136</v>
      </c>
      <c r="R87" s="111" t="s">
        <v>136</v>
      </c>
      <c r="S87" s="111" t="s">
        <v>134</v>
      </c>
      <c r="T87" s="111" t="s">
        <v>134</v>
      </c>
      <c r="U87" s="111" t="s">
        <v>134</v>
      </c>
      <c r="V87" s="111" t="s">
        <v>119</v>
      </c>
      <c r="W87" s="108">
        <v>45692</v>
      </c>
      <c r="X87" s="108">
        <v>45692</v>
      </c>
      <c r="Y87" s="110"/>
      <c r="Z87" s="111" t="s">
        <v>85</v>
      </c>
      <c r="AA87" s="113">
        <v>345000</v>
      </c>
      <c r="AB87" s="111">
        <v>5524</v>
      </c>
      <c r="AC87" s="113">
        <v>300000</v>
      </c>
      <c r="AD87" s="113">
        <f t="shared" si="7"/>
        <v>357000</v>
      </c>
      <c r="AE87" s="113">
        <v>0</v>
      </c>
      <c r="AF87" s="145">
        <v>45716</v>
      </c>
      <c r="AG87" s="111" t="s">
        <v>1124</v>
      </c>
      <c r="AH87" s="116">
        <v>45782</v>
      </c>
      <c r="AI87" s="111" t="s">
        <v>245</v>
      </c>
      <c r="AJ87" s="110">
        <f ca="1">U87:AJ87</f>
        <v>0</v>
      </c>
    </row>
    <row r="88" spans="1:36" ht="57" customHeight="1" x14ac:dyDescent="0.25">
      <c r="A88" s="106">
        <v>2025</v>
      </c>
      <c r="B88" s="110">
        <v>1</v>
      </c>
      <c r="C88" s="107">
        <v>22296</v>
      </c>
      <c r="D88" s="108">
        <v>45686</v>
      </c>
      <c r="E88" s="111" t="s">
        <v>404</v>
      </c>
      <c r="F88" s="111" t="s">
        <v>404</v>
      </c>
      <c r="G88" s="110" t="s">
        <v>1125</v>
      </c>
      <c r="H88" s="111">
        <v>3148869268</v>
      </c>
      <c r="I88" s="111">
        <v>3148869268</v>
      </c>
      <c r="J88" s="108">
        <v>45700</v>
      </c>
      <c r="K88" s="111" t="s">
        <v>88</v>
      </c>
      <c r="L88" s="215" t="s">
        <v>1661</v>
      </c>
      <c r="M88" s="111" t="s">
        <v>136</v>
      </c>
      <c r="N88" s="111" t="s">
        <v>136</v>
      </c>
      <c r="O88" s="111" t="s">
        <v>136</v>
      </c>
      <c r="P88" s="111" t="s">
        <v>136</v>
      </c>
      <c r="Q88" s="111" t="s">
        <v>136</v>
      </c>
      <c r="R88" s="111" t="s">
        <v>136</v>
      </c>
      <c r="S88" s="111" t="s">
        <v>136</v>
      </c>
      <c r="T88" s="111" t="s">
        <v>134</v>
      </c>
      <c r="U88" s="111" t="s">
        <v>136</v>
      </c>
      <c r="V88" s="111" t="s">
        <v>89</v>
      </c>
      <c r="W88" s="108">
        <v>45700</v>
      </c>
      <c r="X88" s="108">
        <v>45700</v>
      </c>
      <c r="Y88" s="110"/>
      <c r="Z88" s="111" t="s">
        <v>85</v>
      </c>
      <c r="AA88" s="113">
        <v>0</v>
      </c>
      <c r="AB88" s="111">
        <v>5543</v>
      </c>
      <c r="AC88" s="113">
        <v>1900000</v>
      </c>
      <c r="AD88" s="113">
        <f t="shared" si="7"/>
        <v>2261000</v>
      </c>
      <c r="AE88" s="113">
        <v>0</v>
      </c>
      <c r="AF88" s="145">
        <v>45707</v>
      </c>
      <c r="AG88" s="111" t="s">
        <v>1610</v>
      </c>
      <c r="AH88" s="116">
        <v>45782</v>
      </c>
      <c r="AI88" s="111" t="s">
        <v>245</v>
      </c>
      <c r="AJ88" s="110">
        <f ca="1">P87:AJ88</f>
        <v>0</v>
      </c>
    </row>
    <row r="89" spans="1:36" s="199" customFormat="1" ht="75" x14ac:dyDescent="0.25">
      <c r="A89" s="106">
        <v>2025</v>
      </c>
      <c r="B89" s="110">
        <v>1</v>
      </c>
      <c r="C89" s="107">
        <v>22297</v>
      </c>
      <c r="D89" s="108">
        <v>45686</v>
      </c>
      <c r="E89" s="111" t="s">
        <v>162</v>
      </c>
      <c r="F89" s="110" t="s">
        <v>341</v>
      </c>
      <c r="G89" s="110" t="s">
        <v>150</v>
      </c>
      <c r="H89" s="111">
        <v>6044483227</v>
      </c>
      <c r="I89" s="111">
        <v>6044483227</v>
      </c>
      <c r="J89" s="108">
        <v>45699</v>
      </c>
      <c r="K89" s="111" t="s">
        <v>88</v>
      </c>
      <c r="L89" s="215" t="s">
        <v>1662</v>
      </c>
      <c r="M89" s="111" t="s">
        <v>281</v>
      </c>
      <c r="N89" s="111">
        <v>5677</v>
      </c>
      <c r="O89" s="111">
        <v>5929</v>
      </c>
      <c r="P89" s="111">
        <v>8271</v>
      </c>
      <c r="Q89" s="111" t="s">
        <v>136</v>
      </c>
      <c r="R89" s="111" t="s">
        <v>136</v>
      </c>
      <c r="S89" s="111" t="s">
        <v>134</v>
      </c>
      <c r="T89" s="111" t="s">
        <v>134</v>
      </c>
      <c r="U89" s="111" t="s">
        <v>136</v>
      </c>
      <c r="V89" s="111" t="s">
        <v>89</v>
      </c>
      <c r="W89" s="108">
        <v>45700</v>
      </c>
      <c r="X89" s="108">
        <v>45700</v>
      </c>
      <c r="Y89" s="110"/>
      <c r="Z89" s="111" t="s">
        <v>85</v>
      </c>
      <c r="AA89" s="113">
        <v>0</v>
      </c>
      <c r="AB89" s="111">
        <v>5561</v>
      </c>
      <c r="AC89" s="113">
        <v>3751204</v>
      </c>
      <c r="AD89" s="113">
        <f t="shared" si="7"/>
        <v>4463932.76</v>
      </c>
      <c r="AE89" s="113">
        <v>0</v>
      </c>
      <c r="AF89" s="202">
        <v>45737</v>
      </c>
      <c r="AG89" s="125" t="s">
        <v>787</v>
      </c>
      <c r="AH89" s="116">
        <v>45782</v>
      </c>
      <c r="AI89" s="111" t="s">
        <v>245</v>
      </c>
      <c r="AJ89" s="110"/>
    </row>
    <row r="90" spans="1:36" ht="46.5" customHeight="1" x14ac:dyDescent="0.25">
      <c r="A90" s="106">
        <v>2025</v>
      </c>
      <c r="B90" s="110">
        <v>1</v>
      </c>
      <c r="C90" s="107">
        <v>22298</v>
      </c>
      <c r="D90" s="108">
        <v>45686</v>
      </c>
      <c r="E90" s="111" t="s">
        <v>361</v>
      </c>
      <c r="F90" s="110" t="s">
        <v>362</v>
      </c>
      <c r="G90" s="110" t="s">
        <v>98</v>
      </c>
      <c r="H90" s="111">
        <v>3176390723</v>
      </c>
      <c r="I90" s="111">
        <v>3176390723</v>
      </c>
      <c r="J90" s="108">
        <v>45695</v>
      </c>
      <c r="K90" s="111" t="s">
        <v>86</v>
      </c>
      <c r="L90" s="215" t="s">
        <v>1663</v>
      </c>
      <c r="M90" s="111" t="s">
        <v>363</v>
      </c>
      <c r="N90" s="111" t="s">
        <v>136</v>
      </c>
      <c r="O90" s="111" t="s">
        <v>136</v>
      </c>
      <c r="P90" s="111" t="s">
        <v>136</v>
      </c>
      <c r="Q90" s="111" t="s">
        <v>136</v>
      </c>
      <c r="R90" s="111" t="s">
        <v>136</v>
      </c>
      <c r="S90" s="111" t="s">
        <v>136</v>
      </c>
      <c r="T90" s="111" t="s">
        <v>136</v>
      </c>
      <c r="U90" s="111" t="s">
        <v>136</v>
      </c>
      <c r="V90" s="111" t="s">
        <v>119</v>
      </c>
      <c r="W90" s="108">
        <v>45710</v>
      </c>
      <c r="X90" s="108">
        <v>45709</v>
      </c>
      <c r="Y90" s="110"/>
      <c r="Z90" s="111" t="s">
        <v>85</v>
      </c>
      <c r="AA90" s="113">
        <v>476000</v>
      </c>
      <c r="AB90" s="111">
        <v>5571</v>
      </c>
      <c r="AC90" s="113">
        <v>400000</v>
      </c>
      <c r="AD90" s="113">
        <f t="shared" si="7"/>
        <v>476000</v>
      </c>
      <c r="AE90" s="113">
        <v>0</v>
      </c>
      <c r="AF90" s="145">
        <v>45716</v>
      </c>
      <c r="AG90" s="111" t="s">
        <v>1172</v>
      </c>
      <c r="AH90" s="116">
        <v>45782</v>
      </c>
      <c r="AI90" s="111" t="s">
        <v>245</v>
      </c>
      <c r="AJ90" s="110"/>
    </row>
    <row r="91" spans="1:36" s="199" customFormat="1" ht="60" x14ac:dyDescent="0.25">
      <c r="A91" s="106">
        <v>2025</v>
      </c>
      <c r="B91" s="110">
        <v>1</v>
      </c>
      <c r="C91" s="107">
        <v>22299</v>
      </c>
      <c r="D91" s="108">
        <v>45687</v>
      </c>
      <c r="E91" s="111" t="s">
        <v>339</v>
      </c>
      <c r="F91" s="110" t="s">
        <v>340</v>
      </c>
      <c r="G91" s="110" t="s">
        <v>150</v>
      </c>
      <c r="H91" s="111">
        <v>6045405100</v>
      </c>
      <c r="I91" s="111">
        <v>1281043886</v>
      </c>
      <c r="J91" s="108">
        <v>45700</v>
      </c>
      <c r="K91" s="111" t="s">
        <v>88</v>
      </c>
      <c r="L91" s="215" t="s">
        <v>1664</v>
      </c>
      <c r="M91" s="111" t="s">
        <v>136</v>
      </c>
      <c r="N91" s="111">
        <v>5672</v>
      </c>
      <c r="O91" s="111">
        <v>5933</v>
      </c>
      <c r="P91" s="111">
        <v>8202</v>
      </c>
      <c r="Q91" s="111">
        <v>5380</v>
      </c>
      <c r="R91" s="111" t="s">
        <v>136</v>
      </c>
      <c r="S91" s="111" t="s">
        <v>134</v>
      </c>
      <c r="T91" s="111" t="s">
        <v>134</v>
      </c>
      <c r="U91" s="111" t="s">
        <v>136</v>
      </c>
      <c r="V91" s="111" t="s">
        <v>89</v>
      </c>
      <c r="W91" s="108">
        <v>45700</v>
      </c>
      <c r="X91" s="108">
        <v>45700</v>
      </c>
      <c r="Y91" s="110"/>
      <c r="Z91" s="111" t="s">
        <v>85</v>
      </c>
      <c r="AA91" s="113">
        <v>0</v>
      </c>
      <c r="AB91" s="111">
        <v>5553</v>
      </c>
      <c r="AC91" s="113">
        <v>1015126</v>
      </c>
      <c r="AD91" s="113">
        <f t="shared" si="7"/>
        <v>1207999.94</v>
      </c>
      <c r="AE91" s="113">
        <v>3600000</v>
      </c>
      <c r="AF91" s="202">
        <v>45733</v>
      </c>
      <c r="AG91" s="111" t="s">
        <v>1610</v>
      </c>
      <c r="AH91" s="116">
        <v>45782</v>
      </c>
      <c r="AI91" s="111" t="s">
        <v>571</v>
      </c>
      <c r="AJ91" s="110"/>
    </row>
    <row r="92" spans="1:36" ht="45" x14ac:dyDescent="0.25">
      <c r="A92" s="106">
        <v>2025</v>
      </c>
      <c r="B92" s="110">
        <v>1</v>
      </c>
      <c r="C92" s="107">
        <v>22300</v>
      </c>
      <c r="D92" s="108">
        <v>45686</v>
      </c>
      <c r="E92" s="111" t="s">
        <v>318</v>
      </c>
      <c r="F92" s="110" t="s">
        <v>201</v>
      </c>
      <c r="G92" s="110" t="s">
        <v>98</v>
      </c>
      <c r="H92" s="111">
        <v>6043228244</v>
      </c>
      <c r="I92" s="111">
        <v>3002029160</v>
      </c>
      <c r="J92" s="108">
        <v>45693</v>
      </c>
      <c r="K92" s="111" t="s">
        <v>88</v>
      </c>
      <c r="L92" s="215" t="s">
        <v>319</v>
      </c>
      <c r="M92" s="111" t="s">
        <v>136</v>
      </c>
      <c r="N92" s="111" t="s">
        <v>136</v>
      </c>
      <c r="O92" s="111">
        <v>5931</v>
      </c>
      <c r="P92" s="111" t="s">
        <v>136</v>
      </c>
      <c r="Q92" s="111" t="s">
        <v>136</v>
      </c>
      <c r="R92" s="111" t="s">
        <v>136</v>
      </c>
      <c r="S92" s="111" t="s">
        <v>136</v>
      </c>
      <c r="T92" s="111" t="s">
        <v>134</v>
      </c>
      <c r="U92" s="111" t="s">
        <v>134</v>
      </c>
      <c r="V92" s="111" t="s">
        <v>89</v>
      </c>
      <c r="W92" s="108">
        <v>45692</v>
      </c>
      <c r="X92" s="108">
        <v>45692</v>
      </c>
      <c r="Y92" s="110"/>
      <c r="Z92" s="111" t="s">
        <v>85</v>
      </c>
      <c r="AA92" s="113">
        <v>0</v>
      </c>
      <c r="AB92" s="111">
        <v>5522</v>
      </c>
      <c r="AC92" s="113">
        <v>225000</v>
      </c>
      <c r="AD92" s="113">
        <f t="shared" si="7"/>
        <v>267750</v>
      </c>
      <c r="AE92" s="113">
        <v>0</v>
      </c>
      <c r="AF92" s="145">
        <v>45712</v>
      </c>
      <c r="AG92" s="111" t="s">
        <v>1665</v>
      </c>
      <c r="AH92" s="116">
        <v>45782</v>
      </c>
      <c r="AI92" s="111" t="s">
        <v>137</v>
      </c>
      <c r="AJ92" s="110"/>
    </row>
    <row r="93" spans="1:36" ht="45" x14ac:dyDescent="0.25">
      <c r="A93" s="106">
        <v>2025</v>
      </c>
      <c r="B93" s="110">
        <v>1</v>
      </c>
      <c r="C93" s="107">
        <v>22301</v>
      </c>
      <c r="D93" s="108">
        <v>45687</v>
      </c>
      <c r="E93" s="111" t="s">
        <v>324</v>
      </c>
      <c r="F93" s="111" t="s">
        <v>140</v>
      </c>
      <c r="G93" s="110" t="s">
        <v>98</v>
      </c>
      <c r="H93" s="111">
        <v>6042322144</v>
      </c>
      <c r="I93" s="111">
        <v>3113327679</v>
      </c>
      <c r="J93" s="108">
        <v>45696</v>
      </c>
      <c r="K93" s="111" t="s">
        <v>88</v>
      </c>
      <c r="L93" s="215" t="s">
        <v>1666</v>
      </c>
      <c r="M93" s="111" t="s">
        <v>136</v>
      </c>
      <c r="N93" s="111" t="s">
        <v>136</v>
      </c>
      <c r="O93" s="111">
        <v>5932</v>
      </c>
      <c r="P93" s="111">
        <v>8349</v>
      </c>
      <c r="Q93" s="111" t="s">
        <v>136</v>
      </c>
      <c r="R93" s="111" t="s">
        <v>134</v>
      </c>
      <c r="S93" s="111" t="s">
        <v>136</v>
      </c>
      <c r="T93" s="111" t="s">
        <v>136</v>
      </c>
      <c r="U93" s="111" t="s">
        <v>136</v>
      </c>
      <c r="V93" s="111" t="s">
        <v>89</v>
      </c>
      <c r="W93" s="108">
        <v>45696</v>
      </c>
      <c r="X93" s="116">
        <v>45699</v>
      </c>
      <c r="Y93" s="110"/>
      <c r="Z93" s="111" t="s">
        <v>85</v>
      </c>
      <c r="AA93" s="113">
        <v>0</v>
      </c>
      <c r="AB93" s="111">
        <v>5554</v>
      </c>
      <c r="AC93" s="113">
        <v>328283</v>
      </c>
      <c r="AD93" s="113">
        <f t="shared" si="7"/>
        <v>390656.76999999996</v>
      </c>
      <c r="AE93" s="113">
        <v>368169</v>
      </c>
      <c r="AF93" s="108" t="s">
        <v>442</v>
      </c>
      <c r="AG93" s="142" t="s">
        <v>1667</v>
      </c>
      <c r="AH93" s="116">
        <v>45782</v>
      </c>
      <c r="AI93" s="111" t="s">
        <v>245</v>
      </c>
      <c r="AJ93" s="110"/>
    </row>
    <row r="94" spans="1:36" ht="60" x14ac:dyDescent="0.25">
      <c r="A94" s="106">
        <v>2025</v>
      </c>
      <c r="B94" s="110">
        <v>1</v>
      </c>
      <c r="C94" s="107">
        <v>22302</v>
      </c>
      <c r="D94" s="108">
        <v>45687</v>
      </c>
      <c r="E94" s="111" t="s">
        <v>209</v>
      </c>
      <c r="F94" s="110" t="s">
        <v>210</v>
      </c>
      <c r="G94" s="110" t="s">
        <v>353</v>
      </c>
      <c r="H94" s="111">
        <v>6042701545</v>
      </c>
      <c r="I94" s="111">
        <v>3176367651</v>
      </c>
      <c r="J94" s="108">
        <v>45702</v>
      </c>
      <c r="K94" s="111" t="s">
        <v>84</v>
      </c>
      <c r="L94" s="215" t="s">
        <v>1668</v>
      </c>
      <c r="M94" s="111" t="s">
        <v>136</v>
      </c>
      <c r="N94" s="111">
        <v>5671</v>
      </c>
      <c r="O94" s="111">
        <v>5935</v>
      </c>
      <c r="P94" s="111">
        <v>8362</v>
      </c>
      <c r="Q94" s="111" t="s">
        <v>136</v>
      </c>
      <c r="R94" s="111" t="s">
        <v>134</v>
      </c>
      <c r="S94" s="111" t="s">
        <v>134</v>
      </c>
      <c r="T94" s="111" t="s">
        <v>134</v>
      </c>
      <c r="U94" s="111" t="s">
        <v>136</v>
      </c>
      <c r="V94" s="111" t="s">
        <v>89</v>
      </c>
      <c r="W94" s="108">
        <v>45700</v>
      </c>
      <c r="X94" s="108">
        <v>45703</v>
      </c>
      <c r="Y94" s="110"/>
      <c r="Z94" s="111" t="s">
        <v>85</v>
      </c>
      <c r="AA94" s="113">
        <v>0</v>
      </c>
      <c r="AB94" s="111">
        <v>5557</v>
      </c>
      <c r="AC94" s="113">
        <v>605825</v>
      </c>
      <c r="AD94" s="113">
        <f t="shared" si="7"/>
        <v>720931.75</v>
      </c>
      <c r="AE94" s="113">
        <v>360466</v>
      </c>
      <c r="AF94" s="145">
        <v>45703</v>
      </c>
      <c r="AG94" s="111" t="s">
        <v>1652</v>
      </c>
      <c r="AH94" s="116">
        <v>45782</v>
      </c>
      <c r="AI94" s="111" t="s">
        <v>245</v>
      </c>
      <c r="AJ94" s="110"/>
    </row>
    <row r="95" spans="1:36" ht="46.5" customHeight="1" x14ac:dyDescent="0.25">
      <c r="A95" s="106">
        <v>2025</v>
      </c>
      <c r="B95" s="110">
        <v>1</v>
      </c>
      <c r="C95" s="107">
        <v>22303</v>
      </c>
      <c r="D95" s="108">
        <v>45688</v>
      </c>
      <c r="E95" s="111" t="s">
        <v>338</v>
      </c>
      <c r="F95" s="110" t="s">
        <v>338</v>
      </c>
      <c r="G95" s="110" t="s">
        <v>143</v>
      </c>
      <c r="H95" s="111">
        <v>318724097</v>
      </c>
      <c r="I95" s="111">
        <v>318724097</v>
      </c>
      <c r="J95" s="108">
        <v>45700</v>
      </c>
      <c r="K95" s="111" t="s">
        <v>84</v>
      </c>
      <c r="L95" s="215" t="s">
        <v>1669</v>
      </c>
      <c r="M95" s="111" t="s">
        <v>136</v>
      </c>
      <c r="N95" s="111">
        <v>5678</v>
      </c>
      <c r="O95" s="111" t="s">
        <v>136</v>
      </c>
      <c r="P95" s="111">
        <v>8328</v>
      </c>
      <c r="Q95" s="111" t="s">
        <v>136</v>
      </c>
      <c r="R95" s="111" t="s">
        <v>136</v>
      </c>
      <c r="S95" s="111" t="s">
        <v>134</v>
      </c>
      <c r="T95" s="111" t="s">
        <v>134</v>
      </c>
      <c r="U95" s="111" t="s">
        <v>136</v>
      </c>
      <c r="V95" s="111" t="s">
        <v>87</v>
      </c>
      <c r="W95" s="108">
        <v>45696</v>
      </c>
      <c r="X95" s="108">
        <v>45708</v>
      </c>
      <c r="Y95" s="110"/>
      <c r="Z95" s="111" t="s">
        <v>85</v>
      </c>
      <c r="AA95" s="113">
        <v>0</v>
      </c>
      <c r="AB95" s="111">
        <v>5540</v>
      </c>
      <c r="AC95" s="113">
        <v>0</v>
      </c>
      <c r="AD95" s="113">
        <v>630000</v>
      </c>
      <c r="AE95" s="113">
        <v>315200</v>
      </c>
      <c r="AF95" s="145">
        <v>45702</v>
      </c>
      <c r="AG95" s="111" t="s">
        <v>1670</v>
      </c>
      <c r="AH95" s="116">
        <v>45782</v>
      </c>
      <c r="AI95" s="111" t="s">
        <v>245</v>
      </c>
      <c r="AJ95" s="110"/>
    </row>
    <row r="96" spans="1:36" s="199" customFormat="1" ht="46.5" customHeight="1" x14ac:dyDescent="0.25">
      <c r="A96" s="106">
        <v>2025</v>
      </c>
      <c r="B96" s="110">
        <v>1</v>
      </c>
      <c r="C96" s="107">
        <v>22304</v>
      </c>
      <c r="D96" s="108">
        <v>45688</v>
      </c>
      <c r="E96" s="111" t="s">
        <v>162</v>
      </c>
      <c r="F96" s="110" t="s">
        <v>325</v>
      </c>
      <c r="G96" s="110" t="s">
        <v>150</v>
      </c>
      <c r="H96" s="111">
        <v>6044483227</v>
      </c>
      <c r="I96" s="111">
        <v>6044483227</v>
      </c>
      <c r="J96" s="108">
        <v>45700</v>
      </c>
      <c r="K96" s="111" t="s">
        <v>88</v>
      </c>
      <c r="L96" s="215" t="s">
        <v>1671</v>
      </c>
      <c r="M96" s="111" t="s">
        <v>281</v>
      </c>
      <c r="N96" s="111">
        <v>5676</v>
      </c>
      <c r="O96" s="111" t="s">
        <v>136</v>
      </c>
      <c r="P96" s="111">
        <v>8351</v>
      </c>
      <c r="Q96" s="111" t="s">
        <v>136</v>
      </c>
      <c r="R96" s="111" t="s">
        <v>136</v>
      </c>
      <c r="S96" s="111" t="s">
        <v>134</v>
      </c>
      <c r="T96" s="111" t="s">
        <v>134</v>
      </c>
      <c r="U96" s="111" t="s">
        <v>136</v>
      </c>
      <c r="V96" s="111" t="s">
        <v>89</v>
      </c>
      <c r="W96" s="108">
        <v>45705</v>
      </c>
      <c r="X96" s="108">
        <v>45694</v>
      </c>
      <c r="Y96" s="110"/>
      <c r="Z96" s="111" t="s">
        <v>85</v>
      </c>
      <c r="AA96" s="113">
        <v>0</v>
      </c>
      <c r="AB96" s="111">
        <v>5552</v>
      </c>
      <c r="AC96" s="113">
        <v>870032</v>
      </c>
      <c r="AD96" s="113">
        <f t="shared" si="7"/>
        <v>1035338.08</v>
      </c>
      <c r="AE96" s="113">
        <v>998971</v>
      </c>
      <c r="AF96" s="145">
        <v>45737</v>
      </c>
      <c r="AG96" s="142" t="s">
        <v>729</v>
      </c>
      <c r="AH96" s="116">
        <v>45782</v>
      </c>
      <c r="AI96" s="111" t="s">
        <v>245</v>
      </c>
      <c r="AJ96" s="110"/>
    </row>
    <row r="97" spans="1:36" s="199" customFormat="1" ht="46.5" customHeight="1" x14ac:dyDescent="0.25">
      <c r="A97" s="106">
        <v>2025</v>
      </c>
      <c r="B97" s="110">
        <v>1</v>
      </c>
      <c r="C97" s="152">
        <v>22305</v>
      </c>
      <c r="D97" s="108">
        <v>45688</v>
      </c>
      <c r="E97" s="111" t="s">
        <v>162</v>
      </c>
      <c r="F97" s="110" t="s">
        <v>325</v>
      </c>
      <c r="G97" s="110" t="s">
        <v>150</v>
      </c>
      <c r="H97" s="111">
        <v>6044483227</v>
      </c>
      <c r="I97" s="111">
        <v>6044483227</v>
      </c>
      <c r="J97" s="108">
        <v>45698</v>
      </c>
      <c r="K97" s="111" t="s">
        <v>88</v>
      </c>
      <c r="L97" s="215" t="s">
        <v>1672</v>
      </c>
      <c r="M97" s="111" t="s">
        <v>281</v>
      </c>
      <c r="N97" s="111" t="s">
        <v>136</v>
      </c>
      <c r="O97" s="111" t="s">
        <v>136</v>
      </c>
      <c r="P97" s="111">
        <v>8353</v>
      </c>
      <c r="Q97" s="111" t="s">
        <v>136</v>
      </c>
      <c r="R97" s="111" t="s">
        <v>136</v>
      </c>
      <c r="S97" s="111" t="s">
        <v>134</v>
      </c>
      <c r="T97" s="111" t="s">
        <v>134</v>
      </c>
      <c r="U97" s="111" t="s">
        <v>136</v>
      </c>
      <c r="V97" s="111" t="s">
        <v>89</v>
      </c>
      <c r="W97" s="108">
        <v>45708</v>
      </c>
      <c r="X97" s="108">
        <v>45692</v>
      </c>
      <c r="Y97" s="110"/>
      <c r="Z97" s="111" t="s">
        <v>85</v>
      </c>
      <c r="AA97" s="113">
        <v>0</v>
      </c>
      <c r="AB97" s="111">
        <v>5588</v>
      </c>
      <c r="AC97" s="113">
        <v>93333</v>
      </c>
      <c r="AD97" s="113">
        <f>+AC97*1.19</f>
        <v>111066.26999999999</v>
      </c>
      <c r="AE97" s="113">
        <v>0</v>
      </c>
      <c r="AF97" s="145">
        <v>45744</v>
      </c>
      <c r="AG97" s="142" t="s">
        <v>730</v>
      </c>
      <c r="AH97" s="116">
        <v>45782</v>
      </c>
      <c r="AI97" s="111" t="s">
        <v>245</v>
      </c>
      <c r="AJ97" s="110"/>
    </row>
    <row r="98" spans="1:36" ht="46.5" customHeight="1" x14ac:dyDescent="0.25">
      <c r="A98" s="106">
        <v>2025</v>
      </c>
      <c r="B98" s="110">
        <v>1</v>
      </c>
      <c r="C98" s="152">
        <v>22306</v>
      </c>
      <c r="D98" s="108">
        <v>45688</v>
      </c>
      <c r="E98" s="111" t="s">
        <v>336</v>
      </c>
      <c r="F98" s="110" t="s">
        <v>337</v>
      </c>
      <c r="G98" s="110" t="s">
        <v>98</v>
      </c>
      <c r="H98" s="111">
        <v>3135137615</v>
      </c>
      <c r="I98" s="111">
        <v>3117885730</v>
      </c>
      <c r="J98" s="108">
        <v>45700</v>
      </c>
      <c r="K98" s="111" t="s">
        <v>88</v>
      </c>
      <c r="L98" s="215" t="s">
        <v>1673</v>
      </c>
      <c r="M98" s="111" t="s">
        <v>136</v>
      </c>
      <c r="N98" s="111">
        <v>5674</v>
      </c>
      <c r="O98" s="111">
        <v>5937</v>
      </c>
      <c r="P98" s="111" t="s">
        <v>136</v>
      </c>
      <c r="Q98" s="111" t="s">
        <v>136</v>
      </c>
      <c r="R98" s="111" t="s">
        <v>136</v>
      </c>
      <c r="S98" s="111" t="s">
        <v>134</v>
      </c>
      <c r="T98" s="111" t="s">
        <v>134</v>
      </c>
      <c r="U98" s="111" t="s">
        <v>136</v>
      </c>
      <c r="V98" s="111" t="s">
        <v>89</v>
      </c>
      <c r="W98" s="108">
        <v>45696</v>
      </c>
      <c r="X98" s="108">
        <v>45712</v>
      </c>
      <c r="Y98" s="110"/>
      <c r="Z98" s="111" t="s">
        <v>85</v>
      </c>
      <c r="AA98" s="113">
        <v>0</v>
      </c>
      <c r="AB98" s="111">
        <v>5588</v>
      </c>
      <c r="AC98" s="113">
        <v>93333</v>
      </c>
      <c r="AD98" s="113">
        <f>+AC98*1.19</f>
        <v>111066.26999999999</v>
      </c>
      <c r="AE98" s="113">
        <v>0</v>
      </c>
      <c r="AF98" s="202">
        <v>45744</v>
      </c>
      <c r="AG98" s="125" t="s">
        <v>1274</v>
      </c>
      <c r="AH98" s="116">
        <v>45782</v>
      </c>
      <c r="AI98" s="111" t="s">
        <v>245</v>
      </c>
      <c r="AJ98" s="110" t="s">
        <v>386</v>
      </c>
    </row>
    <row r="99" spans="1:36" ht="46.5" customHeight="1" x14ac:dyDescent="0.25">
      <c r="A99" s="106">
        <v>2025</v>
      </c>
      <c r="B99" s="110">
        <v>1</v>
      </c>
      <c r="C99" s="152">
        <v>22307</v>
      </c>
      <c r="D99" s="108">
        <v>45688</v>
      </c>
      <c r="E99" s="111" t="s">
        <v>354</v>
      </c>
      <c r="F99" s="111" t="s">
        <v>354</v>
      </c>
      <c r="G99" s="110" t="s">
        <v>355</v>
      </c>
      <c r="H99" s="111">
        <v>3147991462</v>
      </c>
      <c r="I99" s="111">
        <v>3147991462</v>
      </c>
      <c r="J99" s="108">
        <v>45700</v>
      </c>
      <c r="K99" s="111" t="s">
        <v>84</v>
      </c>
      <c r="L99" s="215" t="s">
        <v>1674</v>
      </c>
      <c r="M99" s="111" t="s">
        <v>136</v>
      </c>
      <c r="N99" s="111">
        <v>5681</v>
      </c>
      <c r="O99" s="111">
        <v>5938</v>
      </c>
      <c r="P99" s="111">
        <v>8234</v>
      </c>
      <c r="Q99" s="111">
        <v>5389</v>
      </c>
      <c r="R99" s="111" t="s">
        <v>136</v>
      </c>
      <c r="S99" s="111" t="s">
        <v>134</v>
      </c>
      <c r="T99" s="111" t="s">
        <v>134</v>
      </c>
      <c r="U99" s="111" t="s">
        <v>136</v>
      </c>
      <c r="V99" s="111" t="s">
        <v>119</v>
      </c>
      <c r="W99" s="108">
        <v>45700</v>
      </c>
      <c r="X99" s="108">
        <v>45712</v>
      </c>
      <c r="Y99" s="110"/>
      <c r="Z99" s="111" t="s">
        <v>85</v>
      </c>
      <c r="AA99" s="113">
        <v>0</v>
      </c>
      <c r="AB99" s="111">
        <v>5551</v>
      </c>
      <c r="AC99" s="113">
        <v>973608</v>
      </c>
      <c r="AD99" s="113">
        <f t="shared" si="7"/>
        <v>1158593.52</v>
      </c>
      <c r="AE99" s="113">
        <v>600000</v>
      </c>
      <c r="AF99" s="145">
        <v>45701</v>
      </c>
      <c r="AG99" s="111" t="s">
        <v>1274</v>
      </c>
      <c r="AH99" s="116">
        <v>45782</v>
      </c>
      <c r="AI99" s="111" t="s">
        <v>245</v>
      </c>
      <c r="AJ99" s="110"/>
    </row>
    <row r="100" spans="1:36" ht="46.5" customHeight="1" x14ac:dyDescent="0.25">
      <c r="A100" s="106">
        <v>2025</v>
      </c>
      <c r="B100" s="110">
        <v>1</v>
      </c>
      <c r="C100" s="152">
        <v>22308</v>
      </c>
      <c r="D100" s="108">
        <v>45688</v>
      </c>
      <c r="E100" s="111" t="s">
        <v>322</v>
      </c>
      <c r="F100" s="110" t="s">
        <v>323</v>
      </c>
      <c r="G100" s="110" t="s">
        <v>98</v>
      </c>
      <c r="H100" s="111">
        <v>3045766074</v>
      </c>
      <c r="I100" s="111">
        <v>3237027499</v>
      </c>
      <c r="J100" s="108">
        <v>45695</v>
      </c>
      <c r="K100" s="111" t="s">
        <v>88</v>
      </c>
      <c r="L100" s="215" t="s">
        <v>1675</v>
      </c>
      <c r="M100" s="111" t="s">
        <v>136</v>
      </c>
      <c r="N100" s="111" t="s">
        <v>136</v>
      </c>
      <c r="O100" s="111" t="s">
        <v>136</v>
      </c>
      <c r="P100" s="111" t="s">
        <v>136</v>
      </c>
      <c r="Q100" s="111" t="s">
        <v>136</v>
      </c>
      <c r="R100" s="111" t="s">
        <v>136</v>
      </c>
      <c r="S100" s="111" t="s">
        <v>136</v>
      </c>
      <c r="T100" s="111" t="s">
        <v>136</v>
      </c>
      <c r="U100" s="111" t="s">
        <v>136</v>
      </c>
      <c r="V100" s="111" t="s">
        <v>119</v>
      </c>
      <c r="W100" s="108">
        <v>45696</v>
      </c>
      <c r="X100" s="108">
        <v>45698</v>
      </c>
      <c r="Y100" s="110"/>
      <c r="Z100" s="111" t="s">
        <v>85</v>
      </c>
      <c r="AA100" s="113">
        <v>70000</v>
      </c>
      <c r="AB100" s="111">
        <v>5532</v>
      </c>
      <c r="AC100" s="113">
        <v>58824</v>
      </c>
      <c r="AD100" s="113">
        <f>+AC100*1.19</f>
        <v>70000.56</v>
      </c>
      <c r="AE100" s="113">
        <v>0</v>
      </c>
      <c r="AF100" s="145">
        <v>45687</v>
      </c>
      <c r="AG100" s="111" t="s">
        <v>1647</v>
      </c>
      <c r="AH100" s="116">
        <v>45782</v>
      </c>
      <c r="AI100" s="111" t="s">
        <v>245</v>
      </c>
      <c r="AJ100" s="110"/>
    </row>
    <row r="101" spans="1:36" ht="46.5" customHeight="1" x14ac:dyDescent="0.25">
      <c r="A101" s="172">
        <v>2025</v>
      </c>
      <c r="B101" s="173">
        <v>1</v>
      </c>
      <c r="C101" s="174">
        <v>22309</v>
      </c>
      <c r="D101" s="175">
        <v>45688</v>
      </c>
      <c r="E101" s="176" t="s">
        <v>376</v>
      </c>
      <c r="F101" s="173" t="s">
        <v>376</v>
      </c>
      <c r="G101" s="173" t="s">
        <v>143</v>
      </c>
      <c r="H101" s="176">
        <v>3116205961</v>
      </c>
      <c r="I101" s="176">
        <v>3116205961</v>
      </c>
      <c r="J101" s="175">
        <v>45700</v>
      </c>
      <c r="K101" s="176" t="s">
        <v>84</v>
      </c>
      <c r="L101" s="218" t="s">
        <v>1676</v>
      </c>
      <c r="M101" s="176" t="s">
        <v>136</v>
      </c>
      <c r="N101" s="176">
        <v>5675</v>
      </c>
      <c r="O101" s="176" t="s">
        <v>136</v>
      </c>
      <c r="P101" s="176" t="s">
        <v>136</v>
      </c>
      <c r="Q101" s="176" t="s">
        <v>136</v>
      </c>
      <c r="R101" s="176" t="s">
        <v>136</v>
      </c>
      <c r="S101" s="176" t="s">
        <v>136</v>
      </c>
      <c r="T101" s="176" t="s">
        <v>136</v>
      </c>
      <c r="U101" s="176" t="s">
        <v>136</v>
      </c>
      <c r="V101" s="176" t="s">
        <v>87</v>
      </c>
      <c r="W101" s="175">
        <v>45699</v>
      </c>
      <c r="X101" s="175">
        <v>45699</v>
      </c>
      <c r="Y101" s="173"/>
      <c r="Z101" s="176" t="s">
        <v>85</v>
      </c>
      <c r="AA101" s="177">
        <v>215000</v>
      </c>
      <c r="AB101" s="176">
        <v>5535</v>
      </c>
      <c r="AC101" s="177">
        <v>0</v>
      </c>
      <c r="AD101" s="177">
        <v>215000</v>
      </c>
      <c r="AE101" s="177">
        <v>0</v>
      </c>
      <c r="AF101" s="178">
        <v>45688</v>
      </c>
      <c r="AG101" s="176" t="s">
        <v>1677</v>
      </c>
      <c r="AH101" s="179">
        <v>45782</v>
      </c>
      <c r="AI101" s="176" t="s">
        <v>245</v>
      </c>
      <c r="AJ101" s="173"/>
    </row>
    <row r="102" spans="1:36" ht="46.5" customHeight="1" x14ac:dyDescent="0.25">
      <c r="D102" s="67"/>
      <c r="AA102" s="181"/>
      <c r="AC102" s="181"/>
      <c r="AD102" s="181"/>
      <c r="AE102" s="181"/>
    </row>
    <row r="103" spans="1:36" ht="46.5" customHeight="1" x14ac:dyDescent="0.25">
      <c r="A103"/>
      <c r="B103"/>
      <c r="C103"/>
      <c r="D103"/>
      <c r="E103" s="43"/>
      <c r="F103"/>
      <c r="G103"/>
      <c r="H103"/>
      <c r="I103"/>
      <c r="J103"/>
      <c r="K103"/>
      <c r="L103"/>
      <c r="M103"/>
      <c r="N103"/>
      <c r="O103"/>
      <c r="P103"/>
      <c r="Q103"/>
      <c r="R103"/>
      <c r="S103"/>
      <c r="T103"/>
      <c r="U103"/>
      <c r="V103"/>
      <c r="W103"/>
      <c r="X103"/>
      <c r="Y103"/>
      <c r="Z103"/>
      <c r="AA103"/>
      <c r="AB103"/>
      <c r="AC103"/>
      <c r="AD103"/>
      <c r="AE103"/>
      <c r="AF103"/>
      <c r="AG103"/>
      <c r="AH103"/>
      <c r="AI103"/>
      <c r="AJ103" s="65"/>
    </row>
    <row r="104" spans="1:36" s="65" customFormat="1" ht="15" x14ac:dyDescent="0.25">
      <c r="E104" s="193"/>
      <c r="L104" s="69"/>
    </row>
    <row r="105" spans="1:36" ht="15" x14ac:dyDescent="0.25">
      <c r="D105" s="67"/>
    </row>
    <row r="106" spans="1:36" s="65" customFormat="1" ht="15" x14ac:dyDescent="0.25">
      <c r="E106" s="193"/>
      <c r="L106" s="69"/>
    </row>
    <row r="107" spans="1:36" s="65" customFormat="1" ht="15" x14ac:dyDescent="0.25">
      <c r="E107" s="193"/>
      <c r="L107" s="69"/>
    </row>
    <row r="108" spans="1:36" s="65" customFormat="1" ht="15" x14ac:dyDescent="0.25">
      <c r="E108" s="193"/>
      <c r="L108" s="69"/>
    </row>
    <row r="109" spans="1:36" s="65" customFormat="1" ht="15" x14ac:dyDescent="0.25">
      <c r="E109" s="193"/>
      <c r="L109" s="69"/>
    </row>
    <row r="110" spans="1:36" s="65" customFormat="1" ht="15" x14ac:dyDescent="0.25">
      <c r="E110" s="193"/>
      <c r="L110" s="69"/>
    </row>
    <row r="111" spans="1:36" s="65" customFormat="1" ht="46.5" customHeight="1" x14ac:dyDescent="0.25">
      <c r="E111" s="193"/>
      <c r="L111" s="69"/>
    </row>
    <row r="112" spans="1:36" s="65" customFormat="1" ht="15" x14ac:dyDescent="0.25">
      <c r="E112" s="193"/>
      <c r="L112" s="69"/>
    </row>
    <row r="113" spans="4:12" s="65" customFormat="1" ht="46.5" customHeight="1" x14ac:dyDescent="0.25">
      <c r="E113" s="193"/>
      <c r="L113" s="69"/>
    </row>
    <row r="114" spans="4:12" s="65" customFormat="1" ht="15" x14ac:dyDescent="0.25">
      <c r="E114" s="193"/>
      <c r="L114" s="69"/>
    </row>
    <row r="115" spans="4:12" s="65" customFormat="1" ht="200.25" customHeight="1" x14ac:dyDescent="0.25">
      <c r="E115" s="193"/>
      <c r="L115" s="69"/>
    </row>
    <row r="116" spans="4:12" s="65" customFormat="1" ht="15" x14ac:dyDescent="0.25">
      <c r="E116" s="193"/>
      <c r="L116" s="69"/>
    </row>
    <row r="117" spans="4:12" s="65" customFormat="1" ht="15" x14ac:dyDescent="0.25">
      <c r="E117" s="193"/>
      <c r="L117" s="69"/>
    </row>
    <row r="118" spans="4:12" s="65" customFormat="1" ht="15" x14ac:dyDescent="0.25">
      <c r="E118" s="193"/>
      <c r="L118" s="69"/>
    </row>
    <row r="119" spans="4:12" ht="15" x14ac:dyDescent="0.25">
      <c r="D119" s="67"/>
    </row>
    <row r="120" spans="4:12" ht="15" x14ac:dyDescent="0.25">
      <c r="D120" s="67"/>
    </row>
    <row r="121" spans="4:12" ht="15" x14ac:dyDescent="0.25">
      <c r="D121" s="67"/>
    </row>
    <row r="122" spans="4:12" ht="15" x14ac:dyDescent="0.25">
      <c r="D122" s="67"/>
    </row>
    <row r="123" spans="4:12" ht="46.5" customHeight="1" x14ac:dyDescent="0.25">
      <c r="D123" s="67"/>
    </row>
    <row r="124" spans="4:12" ht="46.5" customHeight="1" x14ac:dyDescent="0.25">
      <c r="D124" s="67"/>
    </row>
    <row r="125" spans="4:12" ht="15" x14ac:dyDescent="0.25">
      <c r="D125" s="67"/>
    </row>
    <row r="126" spans="4:12" ht="46.5" customHeight="1" x14ac:dyDescent="0.25">
      <c r="D126" s="67"/>
    </row>
    <row r="127" spans="4:12" ht="15" x14ac:dyDescent="0.25">
      <c r="D127" s="67"/>
    </row>
    <row r="128" spans="4:12" ht="15" x14ac:dyDescent="0.25">
      <c r="D128" s="67"/>
    </row>
    <row r="129" spans="4:31" ht="46.5" customHeight="1" x14ac:dyDescent="0.25">
      <c r="D129" s="67"/>
    </row>
    <row r="130" spans="4:31" ht="46.5" customHeight="1" x14ac:dyDescent="0.25">
      <c r="D130" s="67"/>
      <c r="AA130" s="181"/>
      <c r="AC130" s="181"/>
      <c r="AD130" s="181"/>
      <c r="AE130" s="181"/>
    </row>
    <row r="131" spans="4:31" ht="46.5" customHeight="1" x14ac:dyDescent="0.25">
      <c r="D131" s="67"/>
      <c r="AA131" s="181"/>
      <c r="AC131" s="181"/>
      <c r="AD131" s="181"/>
      <c r="AE131" s="181"/>
    </row>
    <row r="132" spans="4:31" ht="46.5" customHeight="1" x14ac:dyDescent="0.25">
      <c r="D132" s="67"/>
      <c r="AA132" s="181"/>
      <c r="AC132" s="181"/>
      <c r="AD132" s="181"/>
      <c r="AE132" s="181"/>
    </row>
    <row r="133" spans="4:31" ht="46.5" customHeight="1" x14ac:dyDescent="0.25">
      <c r="D133" s="67"/>
      <c r="AA133" s="181"/>
      <c r="AC133" s="181"/>
      <c r="AD133" s="181"/>
      <c r="AE133" s="181"/>
    </row>
    <row r="134" spans="4:31" ht="46.5" customHeight="1" x14ac:dyDescent="0.25">
      <c r="D134" s="67"/>
      <c r="AA134" s="181"/>
      <c r="AC134" s="181"/>
      <c r="AD134" s="181"/>
      <c r="AE134" s="181"/>
    </row>
    <row r="135" spans="4:31" ht="46.5" customHeight="1" x14ac:dyDescent="0.25">
      <c r="D135" s="67"/>
      <c r="AA135" s="181"/>
      <c r="AC135" s="181"/>
      <c r="AD135" s="181"/>
      <c r="AE135" s="181"/>
    </row>
    <row r="136" spans="4:31" ht="46.5" customHeight="1" x14ac:dyDescent="0.25">
      <c r="D136" s="67"/>
      <c r="AA136" s="181"/>
      <c r="AC136" s="181"/>
      <c r="AD136" s="181"/>
      <c r="AE136" s="181"/>
    </row>
    <row r="137" spans="4:31" ht="46.5" customHeight="1" x14ac:dyDescent="0.25">
      <c r="D137" s="67"/>
      <c r="AA137" s="181"/>
      <c r="AC137" s="181"/>
      <c r="AD137" s="181"/>
      <c r="AE137" s="181"/>
    </row>
    <row r="138" spans="4:31" ht="46.5" customHeight="1" x14ac:dyDescent="0.25">
      <c r="D138" s="67"/>
      <c r="AA138" s="181"/>
      <c r="AC138" s="181"/>
      <c r="AD138" s="181"/>
      <c r="AE138" s="181"/>
    </row>
    <row r="139" spans="4:31" ht="46.5" customHeight="1" x14ac:dyDescent="0.25">
      <c r="D139" s="67"/>
      <c r="AA139" s="181"/>
      <c r="AC139" s="181"/>
      <c r="AD139" s="181"/>
      <c r="AE139" s="181"/>
    </row>
    <row r="140" spans="4:31" ht="46.5" customHeight="1" x14ac:dyDescent="0.25">
      <c r="D140" s="67"/>
      <c r="AA140" s="181"/>
      <c r="AC140" s="181"/>
      <c r="AD140" s="181"/>
      <c r="AE140" s="181"/>
    </row>
    <row r="141" spans="4:31" ht="46.5" customHeight="1" x14ac:dyDescent="0.25">
      <c r="D141" s="67"/>
      <c r="AA141" s="181"/>
      <c r="AC141" s="181"/>
      <c r="AD141" s="181"/>
      <c r="AE141" s="181"/>
    </row>
    <row r="142" spans="4:31" ht="46.5" customHeight="1" x14ac:dyDescent="0.25">
      <c r="D142" s="67"/>
      <c r="AA142" s="181"/>
      <c r="AC142" s="181"/>
      <c r="AD142" s="181"/>
      <c r="AE142" s="181"/>
    </row>
    <row r="143" spans="4:31" ht="46.5" customHeight="1" x14ac:dyDescent="0.25">
      <c r="D143" s="67"/>
      <c r="AA143" s="181"/>
      <c r="AC143" s="181"/>
      <c r="AD143" s="181"/>
      <c r="AE143" s="181"/>
    </row>
    <row r="144" spans="4:31" ht="46.5" customHeight="1" x14ac:dyDescent="0.25">
      <c r="D144" s="67"/>
      <c r="AA144" s="181"/>
      <c r="AC144" s="181"/>
      <c r="AD144" s="181"/>
      <c r="AE144" s="181"/>
    </row>
    <row r="145" spans="4:31" ht="46.5" customHeight="1" x14ac:dyDescent="0.25">
      <c r="D145" s="67"/>
      <c r="AA145" s="181"/>
      <c r="AC145" s="181"/>
      <c r="AD145" s="181"/>
      <c r="AE145" s="181"/>
    </row>
    <row r="146" spans="4:31" ht="46.5" customHeight="1" x14ac:dyDescent="0.25">
      <c r="D146" s="67"/>
      <c r="AA146" s="181"/>
      <c r="AC146" s="181"/>
      <c r="AD146" s="181"/>
      <c r="AE146" s="181"/>
    </row>
    <row r="147" spans="4:31" ht="46.5" customHeight="1" x14ac:dyDescent="0.25">
      <c r="D147" s="67"/>
      <c r="AA147" s="181"/>
      <c r="AC147" s="181"/>
      <c r="AD147" s="181"/>
      <c r="AE147" s="181"/>
    </row>
    <row r="148" spans="4:31" ht="46.5" customHeight="1" x14ac:dyDescent="0.25">
      <c r="D148" s="67"/>
      <c r="AA148" s="181"/>
      <c r="AC148" s="181"/>
      <c r="AD148" s="181"/>
      <c r="AE148" s="181"/>
    </row>
    <row r="149" spans="4:31" ht="46.5" customHeight="1" x14ac:dyDescent="0.25">
      <c r="D149" s="67"/>
      <c r="AA149" s="181"/>
      <c r="AC149" s="181"/>
      <c r="AD149" s="181"/>
      <c r="AE149" s="181"/>
    </row>
    <row r="150" spans="4:31" ht="46.5" customHeight="1" x14ac:dyDescent="0.25">
      <c r="D150" s="67"/>
      <c r="AA150" s="181"/>
      <c r="AC150" s="181"/>
      <c r="AD150" s="181"/>
      <c r="AE150" s="181"/>
    </row>
    <row r="151" spans="4:31" ht="46.5" customHeight="1" x14ac:dyDescent="0.25">
      <c r="D151" s="67"/>
      <c r="AA151" s="181"/>
      <c r="AC151" s="181"/>
      <c r="AD151" s="181"/>
      <c r="AE151" s="181"/>
    </row>
    <row r="152" spans="4:31" ht="46.5" customHeight="1" x14ac:dyDescent="0.25">
      <c r="D152" s="67"/>
      <c r="AA152" s="181"/>
      <c r="AC152" s="181"/>
      <c r="AD152" s="181"/>
      <c r="AE152" s="181"/>
    </row>
    <row r="153" spans="4:31" ht="46.5" customHeight="1" x14ac:dyDescent="0.25">
      <c r="D153" s="67"/>
      <c r="AA153" s="181"/>
      <c r="AC153" s="181"/>
      <c r="AD153" s="181"/>
      <c r="AE153" s="181"/>
    </row>
    <row r="154" spans="4:31" ht="46.5" customHeight="1" x14ac:dyDescent="0.25">
      <c r="D154" s="67"/>
      <c r="AA154" s="181"/>
      <c r="AC154" s="181"/>
      <c r="AD154" s="181"/>
      <c r="AE154" s="181"/>
    </row>
    <row r="155" spans="4:31" ht="46.5" customHeight="1" x14ac:dyDescent="0.25">
      <c r="D155" s="67"/>
      <c r="AA155" s="181"/>
      <c r="AC155" s="181"/>
      <c r="AD155" s="181"/>
      <c r="AE155" s="181"/>
    </row>
    <row r="156" spans="4:31" ht="46.5" customHeight="1" x14ac:dyDescent="0.25">
      <c r="D156" s="67"/>
      <c r="AA156" s="181"/>
      <c r="AC156" s="181"/>
      <c r="AD156" s="181"/>
      <c r="AE156" s="181"/>
    </row>
    <row r="157" spans="4:31" ht="46.5" customHeight="1" x14ac:dyDescent="0.25">
      <c r="D157" s="67"/>
      <c r="AA157" s="181"/>
      <c r="AC157" s="181"/>
      <c r="AD157" s="181"/>
      <c r="AE157" s="181"/>
    </row>
    <row r="158" spans="4:31" ht="46.5" customHeight="1" x14ac:dyDescent="0.25">
      <c r="D158" s="67"/>
      <c r="AA158" s="181"/>
      <c r="AC158" s="181"/>
      <c r="AD158" s="181"/>
      <c r="AE158" s="181"/>
    </row>
    <row r="159" spans="4:31" ht="46.5" customHeight="1" x14ac:dyDescent="0.25">
      <c r="D159" s="67"/>
      <c r="AA159" s="181"/>
      <c r="AC159" s="181"/>
      <c r="AD159" s="181"/>
      <c r="AE159" s="181"/>
    </row>
    <row r="160" spans="4:31" ht="46.5" customHeight="1" x14ac:dyDescent="0.25">
      <c r="D160" s="67"/>
      <c r="AA160" s="181"/>
      <c r="AC160" s="181"/>
      <c r="AD160" s="181"/>
      <c r="AE160" s="181"/>
    </row>
    <row r="161" spans="4:31" ht="46.5" customHeight="1" x14ac:dyDescent="0.25">
      <c r="D161" s="67"/>
      <c r="AA161" s="181"/>
      <c r="AC161" s="181"/>
      <c r="AD161" s="181"/>
      <c r="AE161" s="181"/>
    </row>
    <row r="162" spans="4:31" ht="46.5" customHeight="1" x14ac:dyDescent="0.25">
      <c r="D162" s="67"/>
      <c r="AA162" s="181"/>
      <c r="AC162" s="181"/>
      <c r="AD162" s="181"/>
      <c r="AE162" s="181"/>
    </row>
    <row r="163" spans="4:31" ht="46.5" customHeight="1" x14ac:dyDescent="0.25">
      <c r="D163" s="67"/>
      <c r="AA163" s="181"/>
      <c r="AC163" s="181"/>
      <c r="AD163" s="181"/>
      <c r="AE163" s="181"/>
    </row>
    <row r="164" spans="4:31" ht="46.5" customHeight="1" x14ac:dyDescent="0.25">
      <c r="D164" s="67"/>
      <c r="AA164" s="181"/>
      <c r="AC164" s="181"/>
      <c r="AD164" s="181"/>
      <c r="AE164" s="181"/>
    </row>
    <row r="165" spans="4:31" ht="46.5" customHeight="1" x14ac:dyDescent="0.25">
      <c r="D165" s="67"/>
      <c r="AA165" s="181"/>
      <c r="AC165" s="181"/>
      <c r="AD165" s="181"/>
      <c r="AE165" s="181"/>
    </row>
    <row r="166" spans="4:31" ht="46.5" customHeight="1" x14ac:dyDescent="0.25">
      <c r="D166" s="67"/>
      <c r="AA166" s="181"/>
      <c r="AC166" s="181"/>
      <c r="AD166" s="181"/>
      <c r="AE166" s="181"/>
    </row>
    <row r="167" spans="4:31" ht="46.5" customHeight="1" x14ac:dyDescent="0.25">
      <c r="D167" s="67"/>
      <c r="AA167" s="181"/>
      <c r="AC167" s="181"/>
      <c r="AD167" s="181"/>
      <c r="AE167" s="181"/>
    </row>
    <row r="168" spans="4:31" ht="46.5" customHeight="1" x14ac:dyDescent="0.25">
      <c r="D168" s="67"/>
      <c r="AA168" s="181"/>
      <c r="AC168" s="181"/>
      <c r="AD168" s="181"/>
      <c r="AE168" s="181"/>
    </row>
    <row r="169" spans="4:31" ht="46.5" customHeight="1" x14ac:dyDescent="0.25">
      <c r="D169" s="67"/>
      <c r="AA169" s="181"/>
      <c r="AC169" s="181"/>
      <c r="AD169" s="181"/>
      <c r="AE169" s="181"/>
    </row>
    <row r="170" spans="4:31" ht="46.5" customHeight="1" x14ac:dyDescent="0.25">
      <c r="D170" s="67"/>
      <c r="AA170" s="181"/>
      <c r="AC170" s="181"/>
      <c r="AD170" s="181"/>
      <c r="AE170" s="181"/>
    </row>
    <row r="171" spans="4:31" ht="46.5" customHeight="1" x14ac:dyDescent="0.25">
      <c r="D171" s="67"/>
      <c r="AA171" s="181"/>
      <c r="AC171" s="181"/>
      <c r="AD171" s="181"/>
      <c r="AE171" s="181"/>
    </row>
    <row r="172" spans="4:31" ht="46.5" customHeight="1" x14ac:dyDescent="0.25">
      <c r="D172" s="67"/>
      <c r="AA172" s="181"/>
      <c r="AC172" s="181"/>
      <c r="AD172" s="181"/>
      <c r="AE172" s="181"/>
    </row>
    <row r="173" spans="4:31" ht="46.5" customHeight="1" x14ac:dyDescent="0.25">
      <c r="D173" s="67"/>
      <c r="AA173" s="181"/>
      <c r="AC173" s="181"/>
      <c r="AD173" s="181"/>
      <c r="AE173" s="181"/>
    </row>
    <row r="174" spans="4:31" ht="46.5" customHeight="1" x14ac:dyDescent="0.25">
      <c r="D174" s="67"/>
      <c r="AA174" s="181"/>
      <c r="AC174" s="181"/>
      <c r="AD174" s="181"/>
      <c r="AE174" s="181"/>
    </row>
    <row r="175" spans="4:31" ht="46.5" customHeight="1" x14ac:dyDescent="0.25">
      <c r="D175" s="67"/>
      <c r="AA175" s="181"/>
      <c r="AC175" s="181"/>
      <c r="AD175" s="181"/>
      <c r="AE175" s="181"/>
    </row>
    <row r="176" spans="4:31" ht="46.5" customHeight="1" x14ac:dyDescent="0.25">
      <c r="D176" s="67"/>
      <c r="AA176" s="181"/>
      <c r="AC176" s="181"/>
      <c r="AD176" s="181"/>
      <c r="AE176" s="181"/>
    </row>
    <row r="177" spans="4:31" ht="46.5" customHeight="1" x14ac:dyDescent="0.25">
      <c r="D177" s="67"/>
      <c r="AA177" s="181"/>
      <c r="AC177" s="181"/>
      <c r="AD177" s="181"/>
      <c r="AE177" s="181"/>
    </row>
    <row r="178" spans="4:31" ht="46.5" customHeight="1" x14ac:dyDescent="0.25">
      <c r="D178" s="67"/>
      <c r="AA178" s="181"/>
      <c r="AC178" s="181"/>
      <c r="AD178" s="181"/>
      <c r="AE178" s="181"/>
    </row>
    <row r="179" spans="4:31" ht="46.5" customHeight="1" x14ac:dyDescent="0.25">
      <c r="D179" s="67"/>
      <c r="AA179" s="181"/>
      <c r="AC179" s="181"/>
      <c r="AD179" s="181"/>
      <c r="AE179" s="181"/>
    </row>
    <row r="180" spans="4:31" ht="46.5" customHeight="1" x14ac:dyDescent="0.25">
      <c r="D180" s="67"/>
      <c r="AA180" s="181"/>
      <c r="AC180" s="181"/>
      <c r="AD180" s="181"/>
      <c r="AE180" s="181"/>
    </row>
    <row r="181" spans="4:31" ht="46.5" customHeight="1" x14ac:dyDescent="0.25">
      <c r="D181" s="67"/>
      <c r="AA181" s="181"/>
      <c r="AC181" s="181"/>
      <c r="AD181" s="181"/>
      <c r="AE181" s="181"/>
    </row>
    <row r="182" spans="4:31" ht="46.5" customHeight="1" x14ac:dyDescent="0.25">
      <c r="D182" s="67"/>
      <c r="AA182" s="181"/>
      <c r="AC182" s="181"/>
      <c r="AD182" s="181"/>
      <c r="AE182" s="181"/>
    </row>
    <row r="183" spans="4:31" ht="46.5" customHeight="1" x14ac:dyDescent="0.25">
      <c r="D183" s="67"/>
      <c r="AA183" s="181"/>
      <c r="AC183" s="181"/>
      <c r="AD183" s="181"/>
      <c r="AE183" s="181"/>
    </row>
    <row r="184" spans="4:31" ht="46.5" customHeight="1" x14ac:dyDescent="0.25">
      <c r="D184" s="67"/>
      <c r="AA184" s="181"/>
      <c r="AC184" s="181"/>
      <c r="AD184" s="181"/>
      <c r="AE184" s="181"/>
    </row>
    <row r="185" spans="4:31" ht="46.5" customHeight="1" x14ac:dyDescent="0.25">
      <c r="D185" s="67"/>
      <c r="AA185" s="181"/>
      <c r="AC185" s="181"/>
      <c r="AD185" s="181"/>
      <c r="AE185" s="181"/>
    </row>
    <row r="186" spans="4:31" ht="46.5" customHeight="1" x14ac:dyDescent="0.25">
      <c r="D186" s="67"/>
      <c r="AA186" s="181"/>
      <c r="AC186" s="181"/>
      <c r="AD186" s="181"/>
      <c r="AE186" s="181"/>
    </row>
    <row r="187" spans="4:31" ht="46.5" customHeight="1" x14ac:dyDescent="0.25">
      <c r="D187" s="67"/>
      <c r="AA187" s="181"/>
      <c r="AC187" s="181"/>
      <c r="AD187" s="181"/>
      <c r="AE187" s="181"/>
    </row>
    <row r="188" spans="4:31" ht="46.5" customHeight="1" x14ac:dyDescent="0.25">
      <c r="D188" s="67"/>
      <c r="AA188" s="181"/>
      <c r="AC188" s="181"/>
      <c r="AD188" s="181"/>
      <c r="AE188" s="181"/>
    </row>
    <row r="189" spans="4:31" ht="46.5" customHeight="1" x14ac:dyDescent="0.25">
      <c r="D189" s="67"/>
      <c r="AA189" s="181"/>
      <c r="AC189" s="181"/>
      <c r="AD189" s="181"/>
      <c r="AE189" s="181"/>
    </row>
    <row r="190" spans="4:31" ht="46.5" customHeight="1" x14ac:dyDescent="0.25">
      <c r="D190" s="67"/>
      <c r="AA190" s="181"/>
      <c r="AC190" s="181"/>
      <c r="AD190" s="181"/>
      <c r="AE190" s="181"/>
    </row>
    <row r="191" spans="4:31" ht="46.5" customHeight="1" x14ac:dyDescent="0.25">
      <c r="D191" s="67"/>
      <c r="AA191" s="181"/>
      <c r="AC191" s="181"/>
      <c r="AD191" s="181"/>
      <c r="AE191" s="181"/>
    </row>
    <row r="192" spans="4:31" ht="46.5" customHeight="1" x14ac:dyDescent="0.25">
      <c r="D192" s="67"/>
      <c r="AA192" s="181"/>
      <c r="AC192" s="181"/>
      <c r="AD192" s="181"/>
      <c r="AE192" s="181"/>
    </row>
    <row r="193" spans="4:31" ht="46.5" customHeight="1" x14ac:dyDescent="0.25">
      <c r="D193" s="67"/>
      <c r="AA193" s="181"/>
      <c r="AC193" s="181"/>
      <c r="AD193" s="181"/>
      <c r="AE193" s="181"/>
    </row>
    <row r="194" spans="4:31" ht="46.5" customHeight="1" x14ac:dyDescent="0.25">
      <c r="D194" s="67"/>
      <c r="AA194" s="181"/>
      <c r="AC194" s="181"/>
      <c r="AD194" s="181"/>
      <c r="AE194" s="181"/>
    </row>
    <row r="195" spans="4:31" ht="46.5" customHeight="1" x14ac:dyDescent="0.25">
      <c r="D195" s="67"/>
      <c r="AA195" s="181"/>
      <c r="AC195" s="181"/>
      <c r="AD195" s="181"/>
      <c r="AE195" s="181"/>
    </row>
    <row r="196" spans="4:31" ht="46.5" customHeight="1" x14ac:dyDescent="0.25">
      <c r="D196" s="67"/>
      <c r="AA196" s="181"/>
      <c r="AC196" s="181"/>
      <c r="AD196" s="181"/>
      <c r="AE196" s="181"/>
    </row>
    <row r="197" spans="4:31" ht="46.5" customHeight="1" x14ac:dyDescent="0.25">
      <c r="D197" s="67"/>
      <c r="AA197" s="181"/>
      <c r="AC197" s="181"/>
      <c r="AD197" s="181"/>
      <c r="AE197" s="181"/>
    </row>
    <row r="198" spans="4:31" ht="46.5" customHeight="1" x14ac:dyDescent="0.25">
      <c r="D198" s="67"/>
      <c r="AA198" s="181"/>
      <c r="AC198" s="181"/>
      <c r="AD198" s="181"/>
      <c r="AE198" s="181"/>
    </row>
    <row r="199" spans="4:31" ht="46.5" customHeight="1" x14ac:dyDescent="0.25">
      <c r="D199" s="67"/>
      <c r="AA199" s="181"/>
      <c r="AC199" s="181"/>
      <c r="AD199" s="181"/>
      <c r="AE199" s="181"/>
    </row>
    <row r="200" spans="4:31" ht="46.5" customHeight="1" x14ac:dyDescent="0.25">
      <c r="D200" s="67"/>
      <c r="AA200" s="181"/>
      <c r="AC200" s="181"/>
      <c r="AD200" s="181"/>
      <c r="AE200" s="181"/>
    </row>
    <row r="201" spans="4:31" ht="46.5" customHeight="1" x14ac:dyDescent="0.25">
      <c r="D201" s="67"/>
      <c r="AA201" s="181"/>
      <c r="AC201" s="181"/>
      <c r="AD201" s="181"/>
      <c r="AE201" s="181"/>
    </row>
    <row r="202" spans="4:31" ht="46.5" customHeight="1" x14ac:dyDescent="0.25">
      <c r="D202" s="67"/>
      <c r="AA202" s="181"/>
      <c r="AC202" s="181"/>
      <c r="AD202" s="181"/>
      <c r="AE202" s="181"/>
    </row>
    <row r="203" spans="4:31" ht="46.5" customHeight="1" x14ac:dyDescent="0.25">
      <c r="D203" s="67"/>
      <c r="AA203" s="181"/>
      <c r="AC203" s="181"/>
      <c r="AD203" s="181"/>
      <c r="AE203" s="181"/>
    </row>
    <row r="204" spans="4:31" ht="46.5" customHeight="1" x14ac:dyDescent="0.25">
      <c r="D204" s="67"/>
      <c r="AA204" s="181"/>
      <c r="AC204" s="181"/>
      <c r="AD204" s="181"/>
      <c r="AE204" s="181"/>
    </row>
    <row r="205" spans="4:31" ht="46.5" customHeight="1" x14ac:dyDescent="0.25">
      <c r="D205" s="67"/>
      <c r="AA205" s="181"/>
      <c r="AC205" s="181"/>
      <c r="AD205" s="181"/>
      <c r="AE205" s="181"/>
    </row>
    <row r="206" spans="4:31" ht="46.5" customHeight="1" x14ac:dyDescent="0.25">
      <c r="D206" s="67"/>
      <c r="AA206" s="181"/>
      <c r="AC206" s="181"/>
      <c r="AD206" s="181"/>
      <c r="AE206" s="181"/>
    </row>
    <row r="207" spans="4:31" ht="46.5" customHeight="1" x14ac:dyDescent="0.25">
      <c r="D207" s="67"/>
      <c r="AA207" s="181"/>
      <c r="AC207" s="181"/>
      <c r="AD207" s="181"/>
      <c r="AE207" s="181"/>
    </row>
    <row r="208" spans="4:31" ht="46.5" customHeight="1" x14ac:dyDescent="0.25">
      <c r="D208" s="180"/>
    </row>
  </sheetData>
  <autoFilter ref="A1:AJ101" xr:uid="{00000000-0009-0000-0000-000001000000}"/>
  <dataValidations count="1">
    <dataValidation showInputMessage="1" showErrorMessage="1" sqref="Z16:Z81 Z83:Z97" xr:uid="{00000000-0002-0000-0100-000000000000}"/>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LiSTAS!$B$2:$B$7</xm:f>
          </x14:formula1>
          <xm:sqref>K88:K102 K8:K38 K40:K48 K50:K68 K130:K1048576 K2:K6 K70:K81 K83:K86</xm:sqref>
        </x14:dataValidation>
        <x14:dataValidation type="list" showInputMessage="1" showErrorMessage="1" xr:uid="{00000000-0002-0000-0100-000002000000}">
          <x14:formula1>
            <xm:f>LiSTAS!$C$2:$C$10</xm:f>
          </x14:formula1>
          <xm:sqref>Y43 Z130:Z1048576 Z98:Z102 Z2:Z6 Z8:Z15</xm:sqref>
        </x14:dataValidation>
        <x14:dataValidation type="list" allowBlank="1" showInputMessage="1" showErrorMessage="1" xr:uid="{00000000-0002-0000-0100-000003000000}">
          <x14:formula1>
            <xm:f>LiSTAS!$A$2:$A$7</xm:f>
          </x14:formula1>
          <xm:sqref>V88:V102 V8:V38 V40:V48 V50:V68 V130:V1048576 V2:V6 V70:V81 V83:V86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L102"/>
  <sheetViews>
    <sheetView topLeftCell="U1" zoomScale="70" zoomScaleNormal="70" workbookViewId="0">
      <pane ySplit="1" topLeftCell="A44" activePane="bottomLeft" state="frozen"/>
      <selection pane="bottomLeft" activeCell="AH87" sqref="AH87"/>
    </sheetView>
  </sheetViews>
  <sheetFormatPr baseColWidth="10" defaultColWidth="8.85546875" defaultRowHeight="53.25" customHeight="1" x14ac:dyDescent="0.25"/>
  <cols>
    <col min="1" max="1" width="7" customWidth="1"/>
    <col min="2" max="2" width="4.140625" customWidth="1"/>
    <col min="3" max="3" width="17.28515625" customWidth="1"/>
    <col min="4" max="4" width="17.42578125" customWidth="1"/>
    <col min="5" max="5" width="31.7109375" customWidth="1"/>
    <col min="6" max="6" width="21.28515625" customWidth="1"/>
    <col min="7" max="7" width="18.140625" customWidth="1"/>
    <col min="8" max="8" width="15.140625" customWidth="1"/>
    <col min="9" max="9" width="13.42578125" customWidth="1"/>
    <col min="10" max="10" width="16" customWidth="1"/>
    <col min="11" max="11" width="16.85546875" customWidth="1"/>
    <col min="12" max="12" width="52.42578125" customWidth="1"/>
    <col min="13" max="13" width="7" customWidth="1"/>
    <col min="14" max="14" width="7.7109375" customWidth="1"/>
    <col min="15" max="15" width="6.7109375" customWidth="1"/>
    <col min="16" max="16" width="7.42578125" customWidth="1"/>
    <col min="17" max="17" width="6.140625" customWidth="1"/>
    <col min="18" max="19" width="6.28515625" customWidth="1"/>
    <col min="20" max="20" width="7.42578125" customWidth="1"/>
    <col min="21" max="21" width="7" customWidth="1"/>
    <col min="22" max="22" width="15" customWidth="1"/>
    <col min="23" max="23" width="11.5703125" bestFit="1" customWidth="1"/>
    <col min="24" max="24" width="13.85546875" customWidth="1"/>
    <col min="25" max="25" width="15.42578125" hidden="1" customWidth="1"/>
    <col min="26" max="26" width="16.28515625" customWidth="1"/>
    <col min="27" max="27" width="14.85546875" bestFit="1" customWidth="1"/>
    <col min="28" max="28" width="5.85546875" customWidth="1"/>
    <col min="29" max="29" width="15.28515625" bestFit="1" customWidth="1"/>
    <col min="30" max="30" width="15.7109375" bestFit="1" customWidth="1"/>
    <col min="31" max="31" width="13.7109375" bestFit="1" customWidth="1"/>
    <col min="32" max="32" width="13.5703125" hidden="1" customWidth="1"/>
    <col min="33" max="33" width="42.28515625" bestFit="1" customWidth="1"/>
    <col min="34" max="34" width="15.28515625" customWidth="1"/>
    <col min="35" max="35" width="13.7109375" bestFit="1" customWidth="1"/>
    <col min="36" max="36" width="13.42578125" bestFit="1" customWidth="1"/>
    <col min="37" max="37" width="9.85546875" style="65" bestFit="1" customWidth="1"/>
    <col min="38" max="38" width="20.85546875" style="210" customWidth="1"/>
  </cols>
  <sheetData>
    <row r="1" spans="1:38" ht="52.5" x14ac:dyDescent="0.25">
      <c r="A1" s="1" t="s">
        <v>0</v>
      </c>
      <c r="B1" s="1" t="s">
        <v>1</v>
      </c>
      <c r="C1" s="1" t="s">
        <v>2</v>
      </c>
      <c r="D1" s="2" t="s">
        <v>3</v>
      </c>
      <c r="E1" s="1" t="s">
        <v>4</v>
      </c>
      <c r="F1" s="3" t="s">
        <v>5</v>
      </c>
      <c r="G1" s="3" t="s">
        <v>6</v>
      </c>
      <c r="H1" s="3" t="s">
        <v>7</v>
      </c>
      <c r="I1" s="1" t="s">
        <v>8</v>
      </c>
      <c r="J1" s="2" t="s">
        <v>9</v>
      </c>
      <c r="K1" s="4" t="s">
        <v>115</v>
      </c>
      <c r="L1" s="159" t="s">
        <v>11</v>
      </c>
      <c r="M1" s="6" t="s">
        <v>117</v>
      </c>
      <c r="N1" s="7" t="s">
        <v>13</v>
      </c>
      <c r="O1" s="8" t="s">
        <v>14</v>
      </c>
      <c r="P1" s="8" t="s">
        <v>15</v>
      </c>
      <c r="Q1" s="8" t="s">
        <v>16</v>
      </c>
      <c r="R1" s="9" t="s">
        <v>116</v>
      </c>
      <c r="S1" s="9" t="s">
        <v>330</v>
      </c>
      <c r="T1" s="9" t="s">
        <v>19</v>
      </c>
      <c r="U1" s="9" t="s">
        <v>20</v>
      </c>
      <c r="V1" s="4" t="s">
        <v>21</v>
      </c>
      <c r="W1" s="11" t="s">
        <v>22</v>
      </c>
      <c r="X1" s="2" t="s">
        <v>23</v>
      </c>
      <c r="Y1" s="12" t="s">
        <v>24</v>
      </c>
      <c r="Z1" s="13" t="s">
        <v>25</v>
      </c>
      <c r="AA1" s="14" t="s">
        <v>26</v>
      </c>
      <c r="AB1" s="6" t="s">
        <v>27</v>
      </c>
      <c r="AC1" s="15" t="s">
        <v>28</v>
      </c>
      <c r="AD1" s="15" t="s">
        <v>29</v>
      </c>
      <c r="AE1" s="15" t="s">
        <v>30</v>
      </c>
      <c r="AF1" s="16" t="s">
        <v>31</v>
      </c>
      <c r="AG1" s="86" t="s">
        <v>32</v>
      </c>
      <c r="AH1" s="86" t="s">
        <v>398</v>
      </c>
      <c r="AI1" s="87" t="s">
        <v>33</v>
      </c>
      <c r="AJ1" s="87" t="s">
        <v>34</v>
      </c>
      <c r="AK1" s="229" t="s">
        <v>126</v>
      </c>
      <c r="AL1" s="86" t="s">
        <v>701</v>
      </c>
    </row>
    <row r="2" spans="1:38" ht="53.25" customHeight="1" x14ac:dyDescent="0.25">
      <c r="A2" s="147">
        <v>2025</v>
      </c>
      <c r="B2" s="111">
        <v>2</v>
      </c>
      <c r="C2" s="148">
        <v>22310</v>
      </c>
      <c r="D2" s="116">
        <v>45689</v>
      </c>
      <c r="E2" s="111" t="s">
        <v>328</v>
      </c>
      <c r="F2" s="111" t="s">
        <v>329</v>
      </c>
      <c r="G2" s="111" t="s">
        <v>154</v>
      </c>
      <c r="H2" s="111">
        <v>3223819928</v>
      </c>
      <c r="I2" s="111">
        <v>3223819928</v>
      </c>
      <c r="J2" s="116">
        <v>45696</v>
      </c>
      <c r="K2" s="116" t="s">
        <v>88</v>
      </c>
      <c r="L2" s="112" t="s">
        <v>1159</v>
      </c>
      <c r="M2" s="111" t="s">
        <v>281</v>
      </c>
      <c r="N2" s="111" t="s">
        <v>136</v>
      </c>
      <c r="O2" s="111" t="s">
        <v>136</v>
      </c>
      <c r="P2" s="111" t="s">
        <v>136</v>
      </c>
      <c r="Q2" s="111" t="s">
        <v>136</v>
      </c>
      <c r="R2" s="111" t="s">
        <v>136</v>
      </c>
      <c r="S2" s="149" t="s">
        <v>134</v>
      </c>
      <c r="T2" s="111" t="s">
        <v>134</v>
      </c>
      <c r="U2" s="111" t="s">
        <v>136</v>
      </c>
      <c r="V2" s="110" t="s">
        <v>89</v>
      </c>
      <c r="W2" s="116">
        <v>45691</v>
      </c>
      <c r="X2" s="116">
        <v>45691</v>
      </c>
      <c r="Y2" s="126"/>
      <c r="Z2" s="126" t="s">
        <v>85</v>
      </c>
      <c r="AA2" s="124">
        <v>0</v>
      </c>
      <c r="AB2" s="111" t="s">
        <v>136</v>
      </c>
      <c r="AC2" s="114">
        <v>0</v>
      </c>
      <c r="AD2" s="114">
        <f>+AC2*1.19</f>
        <v>0</v>
      </c>
      <c r="AE2" s="114">
        <v>0</v>
      </c>
      <c r="AF2" s="150"/>
      <c r="AG2" s="142" t="s">
        <v>1328</v>
      </c>
      <c r="AH2" s="116" t="s">
        <v>136</v>
      </c>
      <c r="AI2" s="116">
        <v>45782</v>
      </c>
      <c r="AJ2" s="111" t="s">
        <v>245</v>
      </c>
      <c r="AK2" s="230"/>
      <c r="AL2" s="142"/>
    </row>
    <row r="3" spans="1:38" ht="75" x14ac:dyDescent="0.25">
      <c r="A3" s="147">
        <v>2025</v>
      </c>
      <c r="B3" s="111">
        <v>2</v>
      </c>
      <c r="C3" s="148">
        <v>22311</v>
      </c>
      <c r="D3" s="116">
        <v>45689</v>
      </c>
      <c r="E3" s="111" t="s">
        <v>368</v>
      </c>
      <c r="F3" s="111" t="s">
        <v>369</v>
      </c>
      <c r="G3" s="111" t="s">
        <v>98</v>
      </c>
      <c r="H3" s="111" t="s">
        <v>370</v>
      </c>
      <c r="I3" s="111">
        <v>3246262349</v>
      </c>
      <c r="J3" s="116">
        <v>45702</v>
      </c>
      <c r="K3" s="116" t="s">
        <v>88</v>
      </c>
      <c r="L3" s="112" t="s">
        <v>1160</v>
      </c>
      <c r="M3" s="111" t="s">
        <v>136</v>
      </c>
      <c r="N3" s="111">
        <v>5684</v>
      </c>
      <c r="O3" s="111">
        <v>5939</v>
      </c>
      <c r="P3" s="111">
        <v>8282</v>
      </c>
      <c r="Q3" s="111">
        <v>5363</v>
      </c>
      <c r="R3" s="111" t="s">
        <v>136</v>
      </c>
      <c r="S3" s="111" t="s">
        <v>134</v>
      </c>
      <c r="T3" s="111" t="s">
        <v>134</v>
      </c>
      <c r="U3" s="111" t="s">
        <v>136</v>
      </c>
      <c r="V3" s="111" t="s">
        <v>87</v>
      </c>
      <c r="W3" s="116">
        <v>45701</v>
      </c>
      <c r="X3" s="116">
        <v>45708</v>
      </c>
      <c r="Y3" s="126"/>
      <c r="Z3" s="126" t="s">
        <v>85</v>
      </c>
      <c r="AA3" s="124">
        <v>0</v>
      </c>
      <c r="AB3" s="111">
        <v>5564</v>
      </c>
      <c r="AC3" s="114">
        <v>1294266</v>
      </c>
      <c r="AD3" s="114">
        <f t="shared" ref="AD3:AD30" si="0">+AC3*1.19</f>
        <v>1540176.54</v>
      </c>
      <c r="AE3" s="114">
        <v>770089</v>
      </c>
      <c r="AF3" s="150"/>
      <c r="AG3" s="142" t="s">
        <v>1157</v>
      </c>
      <c r="AH3" s="116">
        <v>45720</v>
      </c>
      <c r="AI3" s="116">
        <v>45782</v>
      </c>
      <c r="AJ3" s="111" t="s">
        <v>245</v>
      </c>
      <c r="AK3" s="230"/>
      <c r="AL3" s="142"/>
    </row>
    <row r="4" spans="1:38" ht="90" x14ac:dyDescent="0.25">
      <c r="A4" s="147">
        <v>2025</v>
      </c>
      <c r="B4" s="111">
        <v>2</v>
      </c>
      <c r="C4" s="148">
        <v>22312</v>
      </c>
      <c r="D4" s="116">
        <v>45691</v>
      </c>
      <c r="E4" s="111" t="s">
        <v>364</v>
      </c>
      <c r="F4" s="111" t="s">
        <v>364</v>
      </c>
      <c r="G4" s="110" t="s">
        <v>154</v>
      </c>
      <c r="H4" s="110">
        <v>3014577636</v>
      </c>
      <c r="I4" s="110">
        <v>3014577636</v>
      </c>
      <c r="J4" s="108">
        <v>45706</v>
      </c>
      <c r="K4" s="116" t="s">
        <v>84</v>
      </c>
      <c r="L4" s="112" t="s">
        <v>1161</v>
      </c>
      <c r="M4" s="110" t="s">
        <v>136</v>
      </c>
      <c r="N4" s="110">
        <v>5686</v>
      </c>
      <c r="O4" s="110">
        <v>5942</v>
      </c>
      <c r="P4" s="110" t="s">
        <v>136</v>
      </c>
      <c r="Q4" s="111">
        <v>5398</v>
      </c>
      <c r="R4" s="110" t="s">
        <v>134</v>
      </c>
      <c r="S4" s="110" t="s">
        <v>134</v>
      </c>
      <c r="T4" s="110" t="s">
        <v>134</v>
      </c>
      <c r="U4" s="110" t="s">
        <v>136</v>
      </c>
      <c r="V4" s="111" t="s">
        <v>119</v>
      </c>
      <c r="W4" s="116">
        <v>45710</v>
      </c>
      <c r="X4" s="116">
        <v>45714</v>
      </c>
      <c r="Y4" s="110"/>
      <c r="Z4" s="126" t="s">
        <v>85</v>
      </c>
      <c r="AA4" s="124">
        <v>0</v>
      </c>
      <c r="AB4" s="110">
        <v>5565</v>
      </c>
      <c r="AC4" s="114">
        <v>2100840</v>
      </c>
      <c r="AD4" s="114">
        <f t="shared" si="0"/>
        <v>2499999.6</v>
      </c>
      <c r="AE4" s="114">
        <v>0</v>
      </c>
      <c r="AF4" s="110"/>
      <c r="AG4" s="142" t="s">
        <v>1158</v>
      </c>
      <c r="AH4" s="116">
        <v>45691</v>
      </c>
      <c r="AI4" s="116">
        <v>45782</v>
      </c>
      <c r="AJ4" s="111" t="s">
        <v>245</v>
      </c>
      <c r="AK4" s="230"/>
      <c r="AL4" s="142"/>
    </row>
    <row r="5" spans="1:38" ht="53.25" customHeight="1" x14ac:dyDescent="0.25">
      <c r="A5" s="147">
        <v>2025</v>
      </c>
      <c r="B5" s="111">
        <v>2</v>
      </c>
      <c r="C5" s="148">
        <v>22313</v>
      </c>
      <c r="D5" s="116">
        <v>45691</v>
      </c>
      <c r="E5" s="111" t="s">
        <v>356</v>
      </c>
      <c r="F5" s="111" t="s">
        <v>356</v>
      </c>
      <c r="G5" s="111" t="s">
        <v>154</v>
      </c>
      <c r="H5" s="111">
        <v>3163207036</v>
      </c>
      <c r="I5" s="111">
        <v>3163207036</v>
      </c>
      <c r="J5" s="116">
        <v>45699</v>
      </c>
      <c r="K5" s="116" t="s">
        <v>84</v>
      </c>
      <c r="L5" s="112" t="s">
        <v>357</v>
      </c>
      <c r="M5" s="111" t="s">
        <v>136</v>
      </c>
      <c r="N5" s="111">
        <v>5679</v>
      </c>
      <c r="O5" s="111" t="s">
        <v>136</v>
      </c>
      <c r="P5" s="111" t="s">
        <v>136</v>
      </c>
      <c r="Q5" s="111" t="s">
        <v>136</v>
      </c>
      <c r="R5" s="111" t="s">
        <v>136</v>
      </c>
      <c r="S5" s="111" t="s">
        <v>134</v>
      </c>
      <c r="T5" s="111" t="s">
        <v>134</v>
      </c>
      <c r="U5" s="111" t="s">
        <v>136</v>
      </c>
      <c r="V5" s="111" t="s">
        <v>87</v>
      </c>
      <c r="W5" s="116">
        <v>45700</v>
      </c>
      <c r="X5" s="116">
        <v>45702</v>
      </c>
      <c r="Y5" s="126"/>
      <c r="Z5" s="126" t="s">
        <v>85</v>
      </c>
      <c r="AA5" s="124">
        <v>0</v>
      </c>
      <c r="AB5" s="111" t="s">
        <v>136</v>
      </c>
      <c r="AC5" s="114">
        <v>0</v>
      </c>
      <c r="AD5" s="114">
        <f t="shared" si="0"/>
        <v>0</v>
      </c>
      <c r="AE5" s="114">
        <v>0</v>
      </c>
      <c r="AF5" s="150"/>
      <c r="AG5" s="142" t="s">
        <v>1162</v>
      </c>
      <c r="AH5" s="116" t="s">
        <v>136</v>
      </c>
      <c r="AI5" s="116">
        <v>45782</v>
      </c>
      <c r="AJ5" s="111" t="s">
        <v>245</v>
      </c>
      <c r="AK5" s="230"/>
      <c r="AL5" s="142"/>
    </row>
    <row r="6" spans="1:38" ht="61.5" customHeight="1" x14ac:dyDescent="0.25">
      <c r="A6" s="140">
        <v>2025</v>
      </c>
      <c r="B6" s="100">
        <v>2</v>
      </c>
      <c r="C6" s="161">
        <v>22314</v>
      </c>
      <c r="D6" s="105">
        <v>45691</v>
      </c>
      <c r="E6" s="100" t="s">
        <v>574</v>
      </c>
      <c r="F6" s="100" t="s">
        <v>671</v>
      </c>
      <c r="G6" s="100" t="s">
        <v>381</v>
      </c>
      <c r="H6" s="100">
        <v>3225377395</v>
      </c>
      <c r="I6" s="100">
        <v>3225377395</v>
      </c>
      <c r="J6" s="105">
        <v>45700</v>
      </c>
      <c r="K6" s="105" t="s">
        <v>99</v>
      </c>
      <c r="L6" s="101" t="s">
        <v>1163</v>
      </c>
      <c r="M6" s="100" t="s">
        <v>136</v>
      </c>
      <c r="N6" s="100">
        <v>5680</v>
      </c>
      <c r="O6" s="100" t="s">
        <v>136</v>
      </c>
      <c r="P6" s="100" t="s">
        <v>136</v>
      </c>
      <c r="Q6" s="100" t="s">
        <v>136</v>
      </c>
      <c r="R6" s="100" t="s">
        <v>136</v>
      </c>
      <c r="S6" s="100" t="s">
        <v>136</v>
      </c>
      <c r="T6" s="100" t="s">
        <v>136</v>
      </c>
      <c r="U6" s="100" t="s">
        <v>136</v>
      </c>
      <c r="V6" s="100" t="s">
        <v>87</v>
      </c>
      <c r="W6" s="105">
        <v>45700</v>
      </c>
      <c r="X6" s="105"/>
      <c r="Y6" s="120"/>
      <c r="Z6" s="120" t="s">
        <v>96</v>
      </c>
      <c r="AA6" s="122">
        <v>0</v>
      </c>
      <c r="AB6" s="100">
        <v>5546</v>
      </c>
      <c r="AC6" s="103">
        <v>273050</v>
      </c>
      <c r="AD6" s="103">
        <f t="shared" si="0"/>
        <v>324929.5</v>
      </c>
      <c r="AE6" s="103">
        <v>200000</v>
      </c>
      <c r="AF6" s="166"/>
      <c r="AG6" s="104" t="s">
        <v>672</v>
      </c>
      <c r="AH6" s="105"/>
      <c r="AI6" s="105">
        <v>45782</v>
      </c>
      <c r="AJ6" s="100" t="s">
        <v>245</v>
      </c>
      <c r="AK6" s="231"/>
      <c r="AL6" s="104"/>
    </row>
    <row r="7" spans="1:38" ht="180" x14ac:dyDescent="0.25">
      <c r="A7" s="147">
        <v>2025</v>
      </c>
      <c r="B7" s="111">
        <v>2</v>
      </c>
      <c r="C7" s="148">
        <v>22315</v>
      </c>
      <c r="D7" s="108">
        <v>45694</v>
      </c>
      <c r="E7" s="110" t="s">
        <v>379</v>
      </c>
      <c r="F7" s="110" t="s">
        <v>380</v>
      </c>
      <c r="G7" s="111" t="s">
        <v>382</v>
      </c>
      <c r="H7" s="110">
        <v>3006205851</v>
      </c>
      <c r="I7" s="110">
        <v>3006205851</v>
      </c>
      <c r="J7" s="108">
        <v>45706</v>
      </c>
      <c r="K7" s="111" t="s">
        <v>84</v>
      </c>
      <c r="L7" s="112" t="s">
        <v>1164</v>
      </c>
      <c r="M7" s="110" t="s">
        <v>281</v>
      </c>
      <c r="N7" s="111" t="s">
        <v>136</v>
      </c>
      <c r="O7" s="110">
        <v>5945</v>
      </c>
      <c r="P7" s="111">
        <v>8367</v>
      </c>
      <c r="Q7" s="110">
        <v>5385</v>
      </c>
      <c r="R7" s="110" t="s">
        <v>136</v>
      </c>
      <c r="S7" s="110" t="s">
        <v>134</v>
      </c>
      <c r="T7" s="110" t="s">
        <v>134</v>
      </c>
      <c r="U7" s="110" t="s">
        <v>136</v>
      </c>
      <c r="V7" s="111" t="s">
        <v>119</v>
      </c>
      <c r="W7" s="116">
        <v>45716</v>
      </c>
      <c r="X7" s="116">
        <v>45727</v>
      </c>
      <c r="Y7" s="110"/>
      <c r="Z7" s="111" t="s">
        <v>85</v>
      </c>
      <c r="AA7" s="124">
        <v>0</v>
      </c>
      <c r="AB7" s="110">
        <v>5602</v>
      </c>
      <c r="AC7" s="114">
        <v>6198588</v>
      </c>
      <c r="AD7" s="114">
        <f t="shared" si="0"/>
        <v>7376319.7199999997</v>
      </c>
      <c r="AE7" s="114">
        <v>3000000</v>
      </c>
      <c r="AF7" s="110"/>
      <c r="AG7" s="142" t="s">
        <v>1165</v>
      </c>
      <c r="AH7" s="116">
        <v>45723</v>
      </c>
      <c r="AI7" s="116">
        <v>45782</v>
      </c>
      <c r="AJ7" s="110" t="s">
        <v>245</v>
      </c>
      <c r="AK7" s="230" t="s">
        <v>1166</v>
      </c>
      <c r="AL7" s="142" t="s">
        <v>703</v>
      </c>
    </row>
    <row r="8" spans="1:38" ht="53.25" customHeight="1" x14ac:dyDescent="0.25">
      <c r="A8" s="147">
        <v>2025</v>
      </c>
      <c r="B8" s="111">
        <v>2</v>
      </c>
      <c r="C8" s="148">
        <v>22316</v>
      </c>
      <c r="D8" s="116">
        <v>45692</v>
      </c>
      <c r="E8" s="111" t="s">
        <v>374</v>
      </c>
      <c r="F8" s="111" t="s">
        <v>375</v>
      </c>
      <c r="G8" s="111" t="s">
        <v>98</v>
      </c>
      <c r="H8" s="111">
        <v>6044449244</v>
      </c>
      <c r="I8" s="111">
        <v>3128215022</v>
      </c>
      <c r="J8" s="116">
        <v>45701</v>
      </c>
      <c r="K8" s="116" t="s">
        <v>88</v>
      </c>
      <c r="L8" s="112" t="s">
        <v>1167</v>
      </c>
      <c r="M8" s="111" t="s">
        <v>136</v>
      </c>
      <c r="N8" s="111">
        <v>5682</v>
      </c>
      <c r="O8" s="111" t="s">
        <v>136</v>
      </c>
      <c r="P8" s="111">
        <v>8399</v>
      </c>
      <c r="Q8" s="111" t="s">
        <v>136</v>
      </c>
      <c r="R8" s="111" t="s">
        <v>136</v>
      </c>
      <c r="S8" s="111" t="s">
        <v>136</v>
      </c>
      <c r="T8" s="111" t="s">
        <v>136</v>
      </c>
      <c r="U8" s="111" t="s">
        <v>136</v>
      </c>
      <c r="V8" s="111" t="s">
        <v>119</v>
      </c>
      <c r="W8" s="116">
        <v>45701</v>
      </c>
      <c r="X8" s="116">
        <v>45701</v>
      </c>
      <c r="Y8" s="126"/>
      <c r="Z8" s="126" t="s">
        <v>85</v>
      </c>
      <c r="AA8" s="130">
        <v>438667</v>
      </c>
      <c r="AB8" s="111">
        <v>5538</v>
      </c>
      <c r="AC8" s="114">
        <v>368628</v>
      </c>
      <c r="AD8" s="114">
        <f t="shared" si="0"/>
        <v>438667.32</v>
      </c>
      <c r="AE8" s="114">
        <v>0</v>
      </c>
      <c r="AF8" s="150"/>
      <c r="AG8" s="142" t="s">
        <v>1168</v>
      </c>
      <c r="AH8" s="116">
        <v>45692</v>
      </c>
      <c r="AI8" s="116">
        <v>45782</v>
      </c>
      <c r="AJ8" s="111" t="s">
        <v>245</v>
      </c>
      <c r="AK8" s="230"/>
      <c r="AL8" s="142"/>
    </row>
    <row r="9" spans="1:38" ht="95.25" customHeight="1" x14ac:dyDescent="0.25">
      <c r="A9" s="147">
        <v>2025</v>
      </c>
      <c r="B9" s="111">
        <v>2</v>
      </c>
      <c r="C9" s="148">
        <v>22317</v>
      </c>
      <c r="D9" s="116">
        <v>45694</v>
      </c>
      <c r="E9" s="111" t="s">
        <v>416</v>
      </c>
      <c r="F9" s="111" t="s">
        <v>417</v>
      </c>
      <c r="G9" s="111" t="s">
        <v>154</v>
      </c>
      <c r="H9" s="111">
        <v>60443223781</v>
      </c>
      <c r="I9" s="111">
        <v>3112919194</v>
      </c>
      <c r="J9" s="116">
        <v>45709</v>
      </c>
      <c r="K9" s="116" t="s">
        <v>84</v>
      </c>
      <c r="L9" s="112" t="s">
        <v>1169</v>
      </c>
      <c r="M9" s="111" t="s">
        <v>136</v>
      </c>
      <c r="N9" s="111">
        <v>5697</v>
      </c>
      <c r="O9" s="111">
        <v>5953</v>
      </c>
      <c r="P9" s="111">
        <v>8381</v>
      </c>
      <c r="Q9" s="111">
        <v>5404</v>
      </c>
      <c r="R9" s="111" t="s">
        <v>134</v>
      </c>
      <c r="S9" s="111" t="s">
        <v>134</v>
      </c>
      <c r="T9" s="111" t="s">
        <v>134</v>
      </c>
      <c r="U9" s="111" t="s">
        <v>136</v>
      </c>
      <c r="V9" s="111" t="s">
        <v>119</v>
      </c>
      <c r="W9" s="116">
        <v>45715</v>
      </c>
      <c r="X9" s="116">
        <v>45721</v>
      </c>
      <c r="Y9" s="126"/>
      <c r="Z9" s="126" t="s">
        <v>85</v>
      </c>
      <c r="AA9" s="124">
        <v>0</v>
      </c>
      <c r="AB9" s="111">
        <v>5614</v>
      </c>
      <c r="AC9" s="114">
        <v>1550402</v>
      </c>
      <c r="AD9" s="114">
        <f t="shared" si="0"/>
        <v>1844978.38</v>
      </c>
      <c r="AE9" s="114">
        <v>1200000</v>
      </c>
      <c r="AF9" s="150"/>
      <c r="AG9" s="142" t="s">
        <v>1170</v>
      </c>
      <c r="AH9" s="116">
        <v>45720</v>
      </c>
      <c r="AI9" s="116">
        <v>45782</v>
      </c>
      <c r="AJ9" s="111" t="s">
        <v>245</v>
      </c>
      <c r="AK9" s="230"/>
      <c r="AL9" s="142"/>
    </row>
    <row r="10" spans="1:38" ht="53.25" customHeight="1" x14ac:dyDescent="0.25">
      <c r="A10" s="182">
        <v>2025</v>
      </c>
      <c r="B10" s="149">
        <v>2</v>
      </c>
      <c r="C10" s="183">
        <v>22318</v>
      </c>
      <c r="D10" s="184">
        <v>45694</v>
      </c>
      <c r="E10" s="149" t="s">
        <v>383</v>
      </c>
      <c r="F10" s="149" t="s">
        <v>384</v>
      </c>
      <c r="G10" s="149" t="s">
        <v>98</v>
      </c>
      <c r="H10" s="149">
        <v>3176390723</v>
      </c>
      <c r="I10" s="149">
        <v>3176390723</v>
      </c>
      <c r="J10" s="184">
        <v>45702</v>
      </c>
      <c r="K10" s="184" t="s">
        <v>86</v>
      </c>
      <c r="L10" s="185" t="s">
        <v>1171</v>
      </c>
      <c r="M10" s="149" t="s">
        <v>363</v>
      </c>
      <c r="N10" s="149" t="s">
        <v>136</v>
      </c>
      <c r="O10" s="149" t="s">
        <v>136</v>
      </c>
      <c r="P10" s="149" t="s">
        <v>136</v>
      </c>
      <c r="Q10" s="149" t="s">
        <v>136</v>
      </c>
      <c r="R10" s="149" t="s">
        <v>136</v>
      </c>
      <c r="S10" s="149" t="s">
        <v>136</v>
      </c>
      <c r="T10" s="149" t="s">
        <v>136</v>
      </c>
      <c r="U10" s="149" t="s">
        <v>136</v>
      </c>
      <c r="V10" s="149" t="s">
        <v>119</v>
      </c>
      <c r="W10" s="116">
        <v>45710</v>
      </c>
      <c r="X10" s="116">
        <v>45709</v>
      </c>
      <c r="Y10" s="186"/>
      <c r="Z10" s="186" t="s">
        <v>85</v>
      </c>
      <c r="AA10" s="187">
        <v>297500</v>
      </c>
      <c r="AB10" s="149">
        <v>5570</v>
      </c>
      <c r="AC10" s="188">
        <v>250000</v>
      </c>
      <c r="AD10" s="188">
        <f t="shared" si="0"/>
        <v>297500</v>
      </c>
      <c r="AE10" s="188">
        <v>0</v>
      </c>
      <c r="AF10" s="189"/>
      <c r="AG10" s="142" t="s">
        <v>1172</v>
      </c>
      <c r="AH10" s="116">
        <v>45692</v>
      </c>
      <c r="AI10" s="116">
        <v>45782</v>
      </c>
      <c r="AJ10" s="149" t="s">
        <v>245</v>
      </c>
      <c r="AK10" s="232"/>
      <c r="AL10" s="142"/>
    </row>
    <row r="11" spans="1:38" ht="90" x14ac:dyDescent="0.25">
      <c r="A11" s="147">
        <v>2025</v>
      </c>
      <c r="B11" s="111">
        <v>2</v>
      </c>
      <c r="C11" s="148">
        <v>22319</v>
      </c>
      <c r="D11" s="116">
        <v>45692</v>
      </c>
      <c r="E11" s="116" t="s">
        <v>390</v>
      </c>
      <c r="F11" s="111" t="s">
        <v>391</v>
      </c>
      <c r="G11" s="111" t="s">
        <v>154</v>
      </c>
      <c r="H11" s="111">
        <v>6042660115</v>
      </c>
      <c r="I11" s="111">
        <v>3167427132</v>
      </c>
      <c r="J11" s="116">
        <v>45708</v>
      </c>
      <c r="K11" s="116" t="s">
        <v>84</v>
      </c>
      <c r="L11" s="112" t="s">
        <v>392</v>
      </c>
      <c r="M11" s="111" t="s">
        <v>136</v>
      </c>
      <c r="N11" s="111">
        <v>5693</v>
      </c>
      <c r="O11" s="111">
        <v>5944</v>
      </c>
      <c r="P11" s="111">
        <v>5318</v>
      </c>
      <c r="Q11" s="111" t="s">
        <v>136</v>
      </c>
      <c r="R11" s="111" t="s">
        <v>134</v>
      </c>
      <c r="S11" s="111" t="s">
        <v>134</v>
      </c>
      <c r="T11" s="111" t="s">
        <v>134</v>
      </c>
      <c r="U11" s="111" t="s">
        <v>136</v>
      </c>
      <c r="V11" s="111" t="s">
        <v>119</v>
      </c>
      <c r="W11" s="116">
        <v>45741</v>
      </c>
      <c r="X11" s="116">
        <v>45723</v>
      </c>
      <c r="Y11" s="126"/>
      <c r="Z11" s="126" t="s">
        <v>85</v>
      </c>
      <c r="AA11" s="124">
        <v>0</v>
      </c>
      <c r="AB11" s="111">
        <v>5520</v>
      </c>
      <c r="AC11" s="114">
        <v>5610579</v>
      </c>
      <c r="AD11" s="114">
        <f t="shared" si="0"/>
        <v>6676589.0099999998</v>
      </c>
      <c r="AE11" s="114">
        <v>3000000</v>
      </c>
      <c r="AF11" s="150"/>
      <c r="AG11" s="142" t="s">
        <v>1173</v>
      </c>
      <c r="AH11" s="116">
        <v>45720</v>
      </c>
      <c r="AI11" s="116">
        <v>45782</v>
      </c>
      <c r="AJ11" s="111" t="s">
        <v>245</v>
      </c>
      <c r="AK11" s="230"/>
      <c r="AL11" s="142"/>
    </row>
    <row r="12" spans="1:38" ht="60" x14ac:dyDescent="0.25">
      <c r="A12" s="147">
        <v>2025</v>
      </c>
      <c r="B12" s="111">
        <v>2</v>
      </c>
      <c r="C12" s="148">
        <v>22320</v>
      </c>
      <c r="D12" s="116">
        <v>45692</v>
      </c>
      <c r="E12" s="111" t="s">
        <v>358</v>
      </c>
      <c r="F12" s="111" t="s">
        <v>359</v>
      </c>
      <c r="G12" s="111" t="s">
        <v>98</v>
      </c>
      <c r="H12" s="111">
        <v>6044487170</v>
      </c>
      <c r="I12" s="111">
        <v>3126425669</v>
      </c>
      <c r="J12" s="116">
        <v>45705</v>
      </c>
      <c r="K12" s="116" t="s">
        <v>86</v>
      </c>
      <c r="L12" s="112" t="s">
        <v>1174</v>
      </c>
      <c r="M12" s="111" t="s">
        <v>136</v>
      </c>
      <c r="N12" s="111" t="s">
        <v>136</v>
      </c>
      <c r="O12" s="111" t="s">
        <v>136</v>
      </c>
      <c r="P12" s="111">
        <v>8396</v>
      </c>
      <c r="Q12" s="111" t="s">
        <v>136</v>
      </c>
      <c r="R12" s="111" t="s">
        <v>136</v>
      </c>
      <c r="S12" s="111" t="s">
        <v>136</v>
      </c>
      <c r="T12" s="111" t="s">
        <v>136</v>
      </c>
      <c r="U12" s="111" t="s">
        <v>136</v>
      </c>
      <c r="V12" s="111" t="s">
        <v>87</v>
      </c>
      <c r="W12" s="116">
        <v>45700</v>
      </c>
      <c r="X12" s="116">
        <v>45700</v>
      </c>
      <c r="Y12" s="126"/>
      <c r="Z12" s="126" t="s">
        <v>85</v>
      </c>
      <c r="AA12" s="124">
        <v>0</v>
      </c>
      <c r="AB12" s="111">
        <v>5549</v>
      </c>
      <c r="AC12" s="114">
        <v>149134562</v>
      </c>
      <c r="AD12" s="114">
        <f t="shared" si="0"/>
        <v>177470128.78</v>
      </c>
      <c r="AE12" s="114">
        <v>289887</v>
      </c>
      <c r="AF12" s="150"/>
      <c r="AG12" s="142" t="s">
        <v>1175</v>
      </c>
      <c r="AH12" s="116">
        <v>45742</v>
      </c>
      <c r="AI12" s="116">
        <v>45782</v>
      </c>
      <c r="AJ12" s="111" t="s">
        <v>571</v>
      </c>
      <c r="AK12" s="230"/>
      <c r="AL12" s="142"/>
    </row>
    <row r="13" spans="1:38" ht="53.25" customHeight="1" x14ac:dyDescent="0.25">
      <c r="A13" s="147">
        <v>2025</v>
      </c>
      <c r="B13" s="111">
        <v>2</v>
      </c>
      <c r="C13" s="148">
        <v>22321</v>
      </c>
      <c r="D13" s="116">
        <v>45694</v>
      </c>
      <c r="E13" s="111" t="s">
        <v>388</v>
      </c>
      <c r="F13" s="111" t="s">
        <v>389</v>
      </c>
      <c r="G13" s="111" t="s">
        <v>98</v>
      </c>
      <c r="H13" s="111">
        <v>3228360</v>
      </c>
      <c r="I13" s="111">
        <v>3136526813</v>
      </c>
      <c r="J13" s="116">
        <v>45714</v>
      </c>
      <c r="K13" s="116" t="s">
        <v>88</v>
      </c>
      <c r="L13" s="112" t="s">
        <v>1176</v>
      </c>
      <c r="M13" s="111" t="s">
        <v>136</v>
      </c>
      <c r="N13" s="111">
        <v>5694</v>
      </c>
      <c r="O13" s="111">
        <v>5943</v>
      </c>
      <c r="P13" s="111" t="s">
        <v>136</v>
      </c>
      <c r="Q13" s="111" t="s">
        <v>136</v>
      </c>
      <c r="R13" s="111" t="s">
        <v>134</v>
      </c>
      <c r="S13" s="111" t="s">
        <v>134</v>
      </c>
      <c r="T13" s="111" t="s">
        <v>134</v>
      </c>
      <c r="U13" s="111" t="s">
        <v>136</v>
      </c>
      <c r="V13" s="111" t="s">
        <v>119</v>
      </c>
      <c r="W13" s="116">
        <v>45710</v>
      </c>
      <c r="X13" s="116">
        <v>45721</v>
      </c>
      <c r="Y13" s="126"/>
      <c r="Z13" s="126" t="s">
        <v>85</v>
      </c>
      <c r="AA13" s="124">
        <v>0</v>
      </c>
      <c r="AB13" s="111">
        <v>5583</v>
      </c>
      <c r="AC13" s="114">
        <v>2091337</v>
      </c>
      <c r="AD13" s="114">
        <f t="shared" si="0"/>
        <v>2488691.0299999998</v>
      </c>
      <c r="AE13" s="114">
        <v>1244345</v>
      </c>
      <c r="AF13" s="150"/>
      <c r="AG13" s="142" t="s">
        <v>1177</v>
      </c>
      <c r="AH13" s="116">
        <v>45712</v>
      </c>
      <c r="AI13" s="116">
        <v>45782</v>
      </c>
      <c r="AJ13" s="111" t="s">
        <v>245</v>
      </c>
      <c r="AK13" s="230"/>
      <c r="AL13" s="142"/>
    </row>
    <row r="14" spans="1:38" ht="53.25" customHeight="1" x14ac:dyDescent="0.25">
      <c r="A14" s="147">
        <v>2025</v>
      </c>
      <c r="B14" s="111">
        <v>2</v>
      </c>
      <c r="C14" s="148">
        <v>22322</v>
      </c>
      <c r="D14" s="116">
        <v>45694</v>
      </c>
      <c r="E14" s="111" t="s">
        <v>393</v>
      </c>
      <c r="F14" s="111" t="s">
        <v>394</v>
      </c>
      <c r="G14" s="111" t="s">
        <v>98</v>
      </c>
      <c r="H14" s="111">
        <v>6044482422</v>
      </c>
      <c r="I14" s="111">
        <v>3182855494</v>
      </c>
      <c r="J14" s="116">
        <v>45707</v>
      </c>
      <c r="K14" s="116" t="s">
        <v>86</v>
      </c>
      <c r="L14" s="112" t="s">
        <v>1178</v>
      </c>
      <c r="M14" s="111" t="s">
        <v>136</v>
      </c>
      <c r="N14" s="111">
        <v>5691</v>
      </c>
      <c r="O14" s="111" t="s">
        <v>136</v>
      </c>
      <c r="P14" s="111">
        <v>8404</v>
      </c>
      <c r="Q14" s="111" t="s">
        <v>136</v>
      </c>
      <c r="R14" s="111" t="s">
        <v>136</v>
      </c>
      <c r="S14" s="111" t="s">
        <v>134</v>
      </c>
      <c r="T14" s="111" t="s">
        <v>136</v>
      </c>
      <c r="U14" s="111" t="s">
        <v>136</v>
      </c>
      <c r="V14" s="111" t="s">
        <v>119</v>
      </c>
      <c r="W14" s="116">
        <v>45708</v>
      </c>
      <c r="X14" s="116">
        <v>45712</v>
      </c>
      <c r="Y14" s="126"/>
      <c r="Z14" s="126" t="s">
        <v>85</v>
      </c>
      <c r="AA14" s="114">
        <v>347754</v>
      </c>
      <c r="AB14" s="111">
        <v>5575</v>
      </c>
      <c r="AC14" s="114">
        <v>292230</v>
      </c>
      <c r="AD14" s="114">
        <f t="shared" si="0"/>
        <v>347753.7</v>
      </c>
      <c r="AE14" s="114">
        <v>0</v>
      </c>
      <c r="AF14" s="150"/>
      <c r="AG14" s="142" t="s">
        <v>1179</v>
      </c>
      <c r="AH14" s="116">
        <v>45694</v>
      </c>
      <c r="AI14" s="116">
        <v>45782</v>
      </c>
      <c r="AJ14" s="111" t="s">
        <v>245</v>
      </c>
      <c r="AK14" s="230"/>
      <c r="AL14" s="142"/>
    </row>
    <row r="15" spans="1:38" ht="53.25" customHeight="1" x14ac:dyDescent="0.25">
      <c r="A15" s="147">
        <v>2025</v>
      </c>
      <c r="B15" s="111">
        <v>2</v>
      </c>
      <c r="C15" s="148">
        <v>22323</v>
      </c>
      <c r="D15" s="167">
        <v>45694</v>
      </c>
      <c r="E15" s="106" t="s">
        <v>395</v>
      </c>
      <c r="F15" s="106" t="s">
        <v>395</v>
      </c>
      <c r="G15" s="106" t="s">
        <v>154</v>
      </c>
      <c r="H15" s="106">
        <v>3106632533</v>
      </c>
      <c r="I15" s="106">
        <v>3106632533</v>
      </c>
      <c r="J15" s="167">
        <v>45336</v>
      </c>
      <c r="K15" s="167" t="s">
        <v>84</v>
      </c>
      <c r="L15" s="168" t="s">
        <v>1180</v>
      </c>
      <c r="M15" s="106" t="s">
        <v>136</v>
      </c>
      <c r="N15" s="106">
        <v>5692</v>
      </c>
      <c r="O15" s="106" t="s">
        <v>136</v>
      </c>
      <c r="P15" s="106" t="s">
        <v>136</v>
      </c>
      <c r="Q15" s="106" t="s">
        <v>136</v>
      </c>
      <c r="R15" s="106" t="s">
        <v>136</v>
      </c>
      <c r="S15" s="106" t="s">
        <v>136</v>
      </c>
      <c r="T15" s="106" t="s">
        <v>136</v>
      </c>
      <c r="U15" s="106" t="s">
        <v>136</v>
      </c>
      <c r="V15" s="106" t="s">
        <v>119</v>
      </c>
      <c r="W15" s="116">
        <v>45708</v>
      </c>
      <c r="X15" s="116">
        <v>45714</v>
      </c>
      <c r="Y15" s="169"/>
      <c r="Z15" s="169" t="s">
        <v>85</v>
      </c>
      <c r="AA15" s="114">
        <v>200000</v>
      </c>
      <c r="AB15" s="106">
        <v>2276</v>
      </c>
      <c r="AC15" s="114">
        <v>168067</v>
      </c>
      <c r="AD15" s="114">
        <f t="shared" si="0"/>
        <v>199999.72999999998</v>
      </c>
      <c r="AE15" s="114">
        <v>0</v>
      </c>
      <c r="AF15" s="170"/>
      <c r="AG15" s="191" t="s">
        <v>1181</v>
      </c>
      <c r="AH15" s="116">
        <v>45694</v>
      </c>
      <c r="AI15" s="116">
        <v>45782</v>
      </c>
      <c r="AJ15" s="106" t="s">
        <v>245</v>
      </c>
      <c r="AK15" s="230"/>
      <c r="AL15" s="142"/>
    </row>
    <row r="16" spans="1:38" ht="53.25" customHeight="1" x14ac:dyDescent="0.25">
      <c r="A16" s="147">
        <v>2025</v>
      </c>
      <c r="B16" s="111">
        <v>2</v>
      </c>
      <c r="C16" s="148">
        <v>22324</v>
      </c>
      <c r="D16" s="167">
        <v>45694</v>
      </c>
      <c r="E16" s="106" t="s">
        <v>365</v>
      </c>
      <c r="F16" s="106" t="s">
        <v>366</v>
      </c>
      <c r="G16" s="106" t="s">
        <v>420</v>
      </c>
      <c r="H16" s="106">
        <v>3045306051</v>
      </c>
      <c r="I16" s="106">
        <v>3045306051</v>
      </c>
      <c r="J16" s="167">
        <v>45702</v>
      </c>
      <c r="K16" s="167" t="s">
        <v>95</v>
      </c>
      <c r="L16" s="168" t="s">
        <v>1182</v>
      </c>
      <c r="M16" s="106" t="s">
        <v>136</v>
      </c>
      <c r="N16" s="106">
        <v>5685</v>
      </c>
      <c r="O16" s="106" t="s">
        <v>136</v>
      </c>
      <c r="P16" s="106" t="s">
        <v>136</v>
      </c>
      <c r="Q16" s="106" t="s">
        <v>136</v>
      </c>
      <c r="R16" s="106" t="s">
        <v>136</v>
      </c>
      <c r="S16" s="106" t="s">
        <v>134</v>
      </c>
      <c r="T16" s="106" t="s">
        <v>134</v>
      </c>
      <c r="U16" s="106" t="s">
        <v>136</v>
      </c>
      <c r="V16" s="106" t="s">
        <v>89</v>
      </c>
      <c r="W16" s="116">
        <v>45705</v>
      </c>
      <c r="X16" s="116">
        <v>45705</v>
      </c>
      <c r="Y16" s="169"/>
      <c r="Z16" s="169" t="s">
        <v>85</v>
      </c>
      <c r="AA16" s="115">
        <v>0</v>
      </c>
      <c r="AB16" s="106" t="s">
        <v>136</v>
      </c>
      <c r="AC16" s="114">
        <v>0</v>
      </c>
      <c r="AD16" s="114">
        <f t="shared" si="0"/>
        <v>0</v>
      </c>
      <c r="AE16" s="114">
        <v>0</v>
      </c>
      <c r="AF16" s="170"/>
      <c r="AG16" s="171" t="s">
        <v>1183</v>
      </c>
      <c r="AH16" s="116" t="s">
        <v>136</v>
      </c>
      <c r="AI16" s="116">
        <v>45782</v>
      </c>
      <c r="AJ16" s="106" t="s">
        <v>245</v>
      </c>
      <c r="AK16" s="230" t="s">
        <v>367</v>
      </c>
      <c r="AL16" s="142"/>
    </row>
    <row r="17" spans="1:38" ht="53.25" customHeight="1" x14ac:dyDescent="0.25">
      <c r="A17" s="147">
        <v>2025</v>
      </c>
      <c r="B17" s="111">
        <v>2</v>
      </c>
      <c r="C17" s="148">
        <v>22325</v>
      </c>
      <c r="D17" s="167">
        <v>45694</v>
      </c>
      <c r="E17" s="106" t="s">
        <v>371</v>
      </c>
      <c r="F17" s="106" t="s">
        <v>372</v>
      </c>
      <c r="G17" s="106" t="s">
        <v>373</v>
      </c>
      <c r="H17" s="106">
        <v>3104452893</v>
      </c>
      <c r="I17" s="106">
        <v>3104452893</v>
      </c>
      <c r="J17" s="167">
        <v>45702</v>
      </c>
      <c r="K17" s="167" t="s">
        <v>84</v>
      </c>
      <c r="L17" s="168" t="s">
        <v>1184</v>
      </c>
      <c r="M17" s="106" t="s">
        <v>136</v>
      </c>
      <c r="N17" s="106">
        <v>5689</v>
      </c>
      <c r="O17" s="106" t="s">
        <v>136</v>
      </c>
      <c r="P17" s="106" t="s">
        <v>136</v>
      </c>
      <c r="Q17" s="106" t="s">
        <v>136</v>
      </c>
      <c r="R17" s="106" t="s">
        <v>136</v>
      </c>
      <c r="S17" s="106" t="s">
        <v>136</v>
      </c>
      <c r="T17" s="106" t="s">
        <v>136</v>
      </c>
      <c r="U17" s="106" t="s">
        <v>136</v>
      </c>
      <c r="V17" s="106" t="s">
        <v>87</v>
      </c>
      <c r="W17" s="116">
        <v>45701</v>
      </c>
      <c r="X17" s="116">
        <v>45703</v>
      </c>
      <c r="Y17" s="169"/>
      <c r="Z17" s="169" t="s">
        <v>85</v>
      </c>
      <c r="AA17" s="115">
        <v>0</v>
      </c>
      <c r="AB17" s="106">
        <v>5562</v>
      </c>
      <c r="AC17" s="114">
        <v>87395</v>
      </c>
      <c r="AD17" s="114">
        <f t="shared" si="0"/>
        <v>104000.04999999999</v>
      </c>
      <c r="AE17" s="114">
        <v>0</v>
      </c>
      <c r="AF17" s="170"/>
      <c r="AG17" s="171" t="s">
        <v>1185</v>
      </c>
      <c r="AH17" s="116">
        <v>45694</v>
      </c>
      <c r="AI17" s="116">
        <v>45782</v>
      </c>
      <c r="AJ17" s="106" t="s">
        <v>245</v>
      </c>
      <c r="AK17" s="230"/>
      <c r="AL17" s="142"/>
    </row>
    <row r="18" spans="1:38" ht="108" x14ac:dyDescent="0.25">
      <c r="A18" s="147">
        <v>2025</v>
      </c>
      <c r="B18" s="111">
        <v>2</v>
      </c>
      <c r="C18" s="148">
        <v>22326</v>
      </c>
      <c r="D18" s="167">
        <v>45695</v>
      </c>
      <c r="E18" s="106" t="s">
        <v>399</v>
      </c>
      <c r="F18" s="106" t="s">
        <v>400</v>
      </c>
      <c r="G18" s="106" t="s">
        <v>154</v>
      </c>
      <c r="H18" s="106">
        <v>3127458247</v>
      </c>
      <c r="I18" s="106">
        <v>3127458247</v>
      </c>
      <c r="J18" s="167">
        <v>45709</v>
      </c>
      <c r="K18" s="167" t="s">
        <v>84</v>
      </c>
      <c r="L18" s="168" t="s">
        <v>1186</v>
      </c>
      <c r="M18" s="106" t="s">
        <v>136</v>
      </c>
      <c r="N18" s="106" t="s">
        <v>136</v>
      </c>
      <c r="O18" s="106">
        <v>5950</v>
      </c>
      <c r="P18" s="106">
        <v>8385</v>
      </c>
      <c r="Q18" s="106">
        <v>5395</v>
      </c>
      <c r="R18" s="106" t="s">
        <v>134</v>
      </c>
      <c r="S18" s="106" t="s">
        <v>134</v>
      </c>
      <c r="T18" s="106" t="s">
        <v>134</v>
      </c>
      <c r="U18" s="106" t="s">
        <v>134</v>
      </c>
      <c r="V18" s="106" t="s">
        <v>119</v>
      </c>
      <c r="W18" s="116">
        <v>45712</v>
      </c>
      <c r="X18" s="116">
        <v>45716</v>
      </c>
      <c r="Y18" s="169"/>
      <c r="Z18" s="169" t="s">
        <v>85</v>
      </c>
      <c r="AA18" s="115">
        <v>0</v>
      </c>
      <c r="AB18" s="106">
        <v>5572</v>
      </c>
      <c r="AC18" s="114">
        <v>2481774</v>
      </c>
      <c r="AD18" s="114">
        <f t="shared" si="0"/>
        <v>2953311.06</v>
      </c>
      <c r="AE18" s="114">
        <v>1470000</v>
      </c>
      <c r="AF18" s="170"/>
      <c r="AG18" s="171" t="s">
        <v>1187</v>
      </c>
      <c r="AH18" s="116">
        <v>45709</v>
      </c>
      <c r="AI18" s="116">
        <v>45782</v>
      </c>
      <c r="AJ18" s="106" t="s">
        <v>245</v>
      </c>
      <c r="AK18" s="230"/>
      <c r="AL18" s="142"/>
    </row>
    <row r="19" spans="1:38" ht="53.25" customHeight="1" x14ac:dyDescent="0.25">
      <c r="A19" s="147">
        <v>2025</v>
      </c>
      <c r="B19" s="111">
        <v>2</v>
      </c>
      <c r="C19" s="148">
        <v>22327</v>
      </c>
      <c r="D19" s="167">
        <v>45695</v>
      </c>
      <c r="E19" s="106" t="s">
        <v>385</v>
      </c>
      <c r="F19" s="106" t="s">
        <v>385</v>
      </c>
      <c r="G19" s="106" t="s">
        <v>154</v>
      </c>
      <c r="H19" s="106">
        <v>3214905199</v>
      </c>
      <c r="I19" s="106">
        <v>3214905199</v>
      </c>
      <c r="J19" s="167">
        <v>45702</v>
      </c>
      <c r="K19" s="167" t="s">
        <v>84</v>
      </c>
      <c r="L19" s="168" t="s">
        <v>1188</v>
      </c>
      <c r="M19" s="106" t="s">
        <v>136</v>
      </c>
      <c r="N19" s="106" t="s">
        <v>136</v>
      </c>
      <c r="O19" s="106" t="s">
        <v>136</v>
      </c>
      <c r="P19" s="106" t="s">
        <v>136</v>
      </c>
      <c r="Q19" s="106" t="s">
        <v>136</v>
      </c>
      <c r="R19" s="106" t="s">
        <v>136</v>
      </c>
      <c r="S19" s="106" t="s">
        <v>136</v>
      </c>
      <c r="T19" s="106" t="s">
        <v>136</v>
      </c>
      <c r="U19" s="106" t="s">
        <v>134</v>
      </c>
      <c r="V19" s="106" t="s">
        <v>87</v>
      </c>
      <c r="W19" s="116" t="s">
        <v>136</v>
      </c>
      <c r="X19" s="116">
        <v>45710</v>
      </c>
      <c r="Y19" s="169"/>
      <c r="Z19" s="169" t="s">
        <v>85</v>
      </c>
      <c r="AA19" s="115">
        <v>120000</v>
      </c>
      <c r="AB19" s="106">
        <v>5590</v>
      </c>
      <c r="AC19" s="114">
        <v>100840</v>
      </c>
      <c r="AD19" s="114">
        <f t="shared" si="0"/>
        <v>119999.59999999999</v>
      </c>
      <c r="AE19" s="114">
        <v>0</v>
      </c>
      <c r="AF19" s="170"/>
      <c r="AG19" s="171" t="s">
        <v>1189</v>
      </c>
      <c r="AH19" s="116">
        <v>45694</v>
      </c>
      <c r="AI19" s="116">
        <v>45782</v>
      </c>
      <c r="AJ19" s="106" t="s">
        <v>245</v>
      </c>
      <c r="AK19" s="230"/>
      <c r="AL19" s="142"/>
    </row>
    <row r="20" spans="1:38" ht="53.25" customHeight="1" x14ac:dyDescent="0.25">
      <c r="A20" s="147">
        <v>2025</v>
      </c>
      <c r="B20" s="111">
        <v>2</v>
      </c>
      <c r="C20" s="148">
        <v>22328</v>
      </c>
      <c r="D20" s="167">
        <v>45695</v>
      </c>
      <c r="E20" s="106" t="s">
        <v>387</v>
      </c>
      <c r="F20" s="106" t="s">
        <v>674</v>
      </c>
      <c r="G20" s="106" t="s">
        <v>673</v>
      </c>
      <c r="H20" s="106">
        <v>3202751520</v>
      </c>
      <c r="I20" s="106">
        <v>3123920184</v>
      </c>
      <c r="J20" s="167">
        <v>45708</v>
      </c>
      <c r="K20" s="167" t="s">
        <v>99</v>
      </c>
      <c r="L20" s="168" t="s">
        <v>1190</v>
      </c>
      <c r="M20" s="106" t="s">
        <v>136</v>
      </c>
      <c r="N20" s="106">
        <v>5690</v>
      </c>
      <c r="O20" s="106">
        <v>5946</v>
      </c>
      <c r="P20" s="106" t="s">
        <v>136</v>
      </c>
      <c r="Q20" s="106">
        <v>5382</v>
      </c>
      <c r="R20" s="106" t="s">
        <v>136</v>
      </c>
      <c r="S20" s="106" t="s">
        <v>134</v>
      </c>
      <c r="T20" s="106" t="s">
        <v>134</v>
      </c>
      <c r="U20" s="106" t="s">
        <v>136</v>
      </c>
      <c r="V20" s="106" t="s">
        <v>89</v>
      </c>
      <c r="W20" s="116">
        <v>45708</v>
      </c>
      <c r="X20" s="116">
        <v>45715</v>
      </c>
      <c r="Y20" s="169"/>
      <c r="Z20" s="169" t="s">
        <v>85</v>
      </c>
      <c r="AA20" s="124">
        <v>0</v>
      </c>
      <c r="AB20" s="106">
        <v>5600</v>
      </c>
      <c r="AC20" s="114">
        <v>2061673</v>
      </c>
      <c r="AD20" s="114">
        <f t="shared" si="0"/>
        <v>2453390.87</v>
      </c>
      <c r="AE20" s="114">
        <v>2343090</v>
      </c>
      <c r="AF20" s="170"/>
      <c r="AG20" s="171" t="s">
        <v>909</v>
      </c>
      <c r="AH20" s="116">
        <v>45757</v>
      </c>
      <c r="AI20" s="116">
        <v>45782</v>
      </c>
      <c r="AJ20" s="106" t="s">
        <v>245</v>
      </c>
      <c r="AK20" s="230"/>
      <c r="AL20" s="142"/>
    </row>
    <row r="21" spans="1:38" ht="80.25" customHeight="1" x14ac:dyDescent="0.25">
      <c r="A21" s="147">
        <v>2025</v>
      </c>
      <c r="B21" s="111">
        <v>2</v>
      </c>
      <c r="C21" s="148">
        <v>22329</v>
      </c>
      <c r="D21" s="167">
        <v>45695</v>
      </c>
      <c r="E21" s="106" t="s">
        <v>418</v>
      </c>
      <c r="F21" s="106" t="s">
        <v>419</v>
      </c>
      <c r="G21" s="106" t="s">
        <v>420</v>
      </c>
      <c r="H21" s="106">
        <v>3113751371</v>
      </c>
      <c r="I21" s="106">
        <v>3113751371</v>
      </c>
      <c r="J21" s="167">
        <v>45708</v>
      </c>
      <c r="K21" s="167" t="s">
        <v>95</v>
      </c>
      <c r="L21" s="168" t="s">
        <v>1191</v>
      </c>
      <c r="M21" s="106" t="s">
        <v>136</v>
      </c>
      <c r="N21" s="106" t="s">
        <v>421</v>
      </c>
      <c r="O21" s="106">
        <v>5947</v>
      </c>
      <c r="P21" s="106">
        <v>8397</v>
      </c>
      <c r="Q21" s="106">
        <v>5393</v>
      </c>
      <c r="R21" s="106" t="s">
        <v>136</v>
      </c>
      <c r="S21" s="106" t="s">
        <v>134</v>
      </c>
      <c r="T21" s="106" t="s">
        <v>134</v>
      </c>
      <c r="U21" s="106" t="s">
        <v>136</v>
      </c>
      <c r="V21" s="106" t="s">
        <v>89</v>
      </c>
      <c r="W21" s="116">
        <v>45708</v>
      </c>
      <c r="X21" s="116">
        <v>45709</v>
      </c>
      <c r="Y21" s="169"/>
      <c r="Z21" s="169" t="s">
        <v>85</v>
      </c>
      <c r="AA21" s="115">
        <v>0</v>
      </c>
      <c r="AB21" s="106">
        <v>5569</v>
      </c>
      <c r="AC21" s="114">
        <v>9060129</v>
      </c>
      <c r="AD21" s="114">
        <f t="shared" si="0"/>
        <v>10781553.51</v>
      </c>
      <c r="AE21" s="114">
        <v>5390777</v>
      </c>
      <c r="AF21" s="170"/>
      <c r="AG21" s="171" t="s">
        <v>1192</v>
      </c>
      <c r="AH21" s="116">
        <v>45731</v>
      </c>
      <c r="AI21" s="116">
        <v>45782</v>
      </c>
      <c r="AJ21" s="106" t="s">
        <v>397</v>
      </c>
      <c r="AK21" s="230"/>
      <c r="AL21" s="142"/>
    </row>
    <row r="22" spans="1:38" ht="53.25" customHeight="1" x14ac:dyDescent="0.25">
      <c r="A22" s="147">
        <v>2025</v>
      </c>
      <c r="B22" s="111">
        <v>2</v>
      </c>
      <c r="C22" s="148">
        <v>22330</v>
      </c>
      <c r="D22" s="167">
        <v>45695</v>
      </c>
      <c r="E22" s="106" t="s">
        <v>422</v>
      </c>
      <c r="F22" s="106" t="s">
        <v>422</v>
      </c>
      <c r="G22" s="106" t="s">
        <v>333</v>
      </c>
      <c r="H22" s="106">
        <v>3117663087</v>
      </c>
      <c r="I22" s="106">
        <v>3117663087</v>
      </c>
      <c r="J22" s="167">
        <v>45710</v>
      </c>
      <c r="K22" s="167" t="s">
        <v>94</v>
      </c>
      <c r="L22" s="168" t="s">
        <v>1193</v>
      </c>
      <c r="M22" s="106" t="s">
        <v>136</v>
      </c>
      <c r="N22" s="106">
        <v>5705</v>
      </c>
      <c r="O22" s="106">
        <v>5957</v>
      </c>
      <c r="P22" s="106" t="s">
        <v>136</v>
      </c>
      <c r="Q22" s="106" t="s">
        <v>136</v>
      </c>
      <c r="R22" s="106" t="s">
        <v>134</v>
      </c>
      <c r="S22" s="106" t="s">
        <v>134</v>
      </c>
      <c r="T22" s="106" t="s">
        <v>136</v>
      </c>
      <c r="U22" s="106" t="s">
        <v>136</v>
      </c>
      <c r="V22" s="106" t="s">
        <v>119</v>
      </c>
      <c r="W22" s="116">
        <v>45715</v>
      </c>
      <c r="X22" s="116">
        <v>45721</v>
      </c>
      <c r="Y22" s="169"/>
      <c r="Z22" s="169" t="s">
        <v>85</v>
      </c>
      <c r="AA22" s="115">
        <v>0</v>
      </c>
      <c r="AB22" s="106">
        <v>5613</v>
      </c>
      <c r="AC22" s="114">
        <v>487755</v>
      </c>
      <c r="AD22" s="114">
        <f t="shared" si="0"/>
        <v>580428.44999999995</v>
      </c>
      <c r="AE22" s="114">
        <v>500000</v>
      </c>
      <c r="AF22" s="170"/>
      <c r="AG22" s="171" t="s">
        <v>1194</v>
      </c>
      <c r="AH22" s="116">
        <v>45716</v>
      </c>
      <c r="AI22" s="116">
        <v>45782</v>
      </c>
      <c r="AJ22" s="106" t="s">
        <v>245</v>
      </c>
      <c r="AK22" s="230"/>
      <c r="AL22" s="142"/>
    </row>
    <row r="23" spans="1:38" ht="53.25" customHeight="1" x14ac:dyDescent="0.25">
      <c r="A23" s="147">
        <v>2025</v>
      </c>
      <c r="B23" s="111">
        <v>2</v>
      </c>
      <c r="C23" s="148">
        <v>22331</v>
      </c>
      <c r="D23" s="167">
        <v>45696</v>
      </c>
      <c r="E23" s="106" t="s">
        <v>423</v>
      </c>
      <c r="F23" s="106" t="s">
        <v>424</v>
      </c>
      <c r="G23" s="106" t="s">
        <v>98</v>
      </c>
      <c r="H23" s="106">
        <v>3382457</v>
      </c>
      <c r="I23" s="106">
        <v>324638593</v>
      </c>
      <c r="J23" s="167">
        <v>45707</v>
      </c>
      <c r="K23" s="167" t="s">
        <v>99</v>
      </c>
      <c r="L23" s="168" t="s">
        <v>425</v>
      </c>
      <c r="M23" s="106" t="s">
        <v>136</v>
      </c>
      <c r="N23" s="106">
        <v>5695</v>
      </c>
      <c r="O23" s="106">
        <v>5952</v>
      </c>
      <c r="P23" s="106">
        <v>8408</v>
      </c>
      <c r="Q23" s="106" t="s">
        <v>136</v>
      </c>
      <c r="R23" s="106" t="s">
        <v>134</v>
      </c>
      <c r="S23" s="106" t="s">
        <v>136</v>
      </c>
      <c r="T23" s="106" t="s">
        <v>136</v>
      </c>
      <c r="U23" s="106" t="s">
        <v>136</v>
      </c>
      <c r="V23" s="106" t="s">
        <v>87</v>
      </c>
      <c r="W23" s="116">
        <v>45706</v>
      </c>
      <c r="X23" s="116">
        <v>45708</v>
      </c>
      <c r="Y23" s="169"/>
      <c r="Z23" s="169" t="s">
        <v>85</v>
      </c>
      <c r="AA23" s="115">
        <v>0</v>
      </c>
      <c r="AB23" s="106">
        <v>2260</v>
      </c>
      <c r="AC23" s="114">
        <v>299821</v>
      </c>
      <c r="AD23" s="114">
        <f t="shared" si="0"/>
        <v>356786.99</v>
      </c>
      <c r="AE23" s="114">
        <v>178394</v>
      </c>
      <c r="AF23" s="170"/>
      <c r="AG23" s="171" t="s">
        <v>1195</v>
      </c>
      <c r="AH23" s="116">
        <v>45707</v>
      </c>
      <c r="AI23" s="116">
        <v>45782</v>
      </c>
      <c r="AJ23" s="106" t="s">
        <v>245</v>
      </c>
      <c r="AK23" s="230"/>
      <c r="AL23" s="142"/>
    </row>
    <row r="24" spans="1:38" ht="53.25" customHeight="1" x14ac:dyDescent="0.25">
      <c r="A24" s="147">
        <v>2025</v>
      </c>
      <c r="B24" s="111">
        <v>2</v>
      </c>
      <c r="C24" s="148">
        <v>22332</v>
      </c>
      <c r="D24" s="167">
        <v>45698</v>
      </c>
      <c r="E24" s="106" t="s">
        <v>426</v>
      </c>
      <c r="F24" s="106" t="s">
        <v>427</v>
      </c>
      <c r="G24" s="106" t="s">
        <v>98</v>
      </c>
      <c r="H24" s="106">
        <v>60444480020</v>
      </c>
      <c r="I24" s="106">
        <v>3137911831</v>
      </c>
      <c r="J24" s="167">
        <v>45707</v>
      </c>
      <c r="K24" s="167" t="s">
        <v>86</v>
      </c>
      <c r="L24" s="168" t="s">
        <v>1196</v>
      </c>
      <c r="M24" s="106" t="s">
        <v>136</v>
      </c>
      <c r="N24" s="106">
        <v>5706</v>
      </c>
      <c r="O24" s="106" t="s">
        <v>136</v>
      </c>
      <c r="P24" s="106" t="s">
        <v>136</v>
      </c>
      <c r="Q24" s="106" t="s">
        <v>136</v>
      </c>
      <c r="R24" s="106" t="s">
        <v>136</v>
      </c>
      <c r="S24" s="106" t="s">
        <v>136</v>
      </c>
      <c r="T24" s="106" t="s">
        <v>136</v>
      </c>
      <c r="U24" s="106" t="s">
        <v>136</v>
      </c>
      <c r="V24" s="106" t="s">
        <v>119</v>
      </c>
      <c r="W24" s="116">
        <v>45708</v>
      </c>
      <c r="X24" s="116">
        <v>45712</v>
      </c>
      <c r="Y24" s="169"/>
      <c r="Z24" s="169" t="s">
        <v>85</v>
      </c>
      <c r="AA24" s="114">
        <v>68000</v>
      </c>
      <c r="AB24" s="106">
        <v>5577</v>
      </c>
      <c r="AC24" s="114">
        <v>57143</v>
      </c>
      <c r="AD24" s="114">
        <f t="shared" si="0"/>
        <v>68000.17</v>
      </c>
      <c r="AE24" s="114">
        <v>0</v>
      </c>
      <c r="AF24" s="170"/>
      <c r="AG24" s="171" t="s">
        <v>1197</v>
      </c>
      <c r="AH24" s="116">
        <v>45698</v>
      </c>
      <c r="AI24" s="116">
        <v>45782</v>
      </c>
      <c r="AJ24" s="106" t="s">
        <v>245</v>
      </c>
      <c r="AK24" s="230"/>
      <c r="AL24" s="142"/>
    </row>
    <row r="25" spans="1:38" ht="84" x14ac:dyDescent="0.25">
      <c r="A25" s="147">
        <v>2025</v>
      </c>
      <c r="B25" s="111">
        <v>2</v>
      </c>
      <c r="C25" s="148">
        <v>22333</v>
      </c>
      <c r="D25" s="167">
        <v>45696</v>
      </c>
      <c r="E25" s="106" t="s">
        <v>328</v>
      </c>
      <c r="F25" s="106" t="s">
        <v>329</v>
      </c>
      <c r="G25" s="106" t="s">
        <v>154</v>
      </c>
      <c r="H25" s="106">
        <v>3113819928</v>
      </c>
      <c r="I25" s="106">
        <v>3113819928</v>
      </c>
      <c r="J25" s="167">
        <v>45703</v>
      </c>
      <c r="K25" s="167" t="s">
        <v>88</v>
      </c>
      <c r="L25" s="168" t="s">
        <v>396</v>
      </c>
      <c r="M25" s="106" t="s">
        <v>136</v>
      </c>
      <c r="N25" s="106" t="s">
        <v>136</v>
      </c>
      <c r="O25" s="106">
        <v>5948</v>
      </c>
      <c r="P25" s="106" t="s">
        <v>136</v>
      </c>
      <c r="Q25" s="106" t="s">
        <v>136</v>
      </c>
      <c r="R25" s="106" t="s">
        <v>134</v>
      </c>
      <c r="S25" s="106" t="s">
        <v>136</v>
      </c>
      <c r="T25" s="106" t="s">
        <v>134</v>
      </c>
      <c r="U25" s="106" t="s">
        <v>136</v>
      </c>
      <c r="V25" s="106" t="s">
        <v>89</v>
      </c>
      <c r="W25" s="116">
        <v>45715</v>
      </c>
      <c r="X25" s="116">
        <v>45715</v>
      </c>
      <c r="Y25" s="169"/>
      <c r="Z25" s="169" t="s">
        <v>85</v>
      </c>
      <c r="AA25" s="275">
        <v>0</v>
      </c>
      <c r="AB25" s="106" t="s">
        <v>136</v>
      </c>
      <c r="AC25" s="114">
        <v>0</v>
      </c>
      <c r="AD25" s="114">
        <f t="shared" si="0"/>
        <v>0</v>
      </c>
      <c r="AE25" s="114">
        <v>0</v>
      </c>
      <c r="AF25" s="170"/>
      <c r="AG25" s="171" t="s">
        <v>1198</v>
      </c>
      <c r="AH25" s="116" t="s">
        <v>136</v>
      </c>
      <c r="AI25" s="116">
        <v>45782</v>
      </c>
      <c r="AJ25" s="106" t="s">
        <v>397</v>
      </c>
      <c r="AK25" s="230"/>
      <c r="AL25" s="142"/>
    </row>
    <row r="26" spans="1:38" ht="54.75" customHeight="1" x14ac:dyDescent="0.25">
      <c r="A26" s="147">
        <v>2025</v>
      </c>
      <c r="B26" s="111">
        <v>2</v>
      </c>
      <c r="C26" s="148">
        <v>22334</v>
      </c>
      <c r="D26" s="108">
        <v>45698</v>
      </c>
      <c r="E26" s="110" t="s">
        <v>428</v>
      </c>
      <c r="F26" s="110" t="s">
        <v>429</v>
      </c>
      <c r="G26" s="110" t="s">
        <v>98</v>
      </c>
      <c r="H26" s="110">
        <v>6042042900</v>
      </c>
      <c r="I26" s="110">
        <v>3105958730</v>
      </c>
      <c r="J26" s="108">
        <v>45709</v>
      </c>
      <c r="K26" s="167" t="s">
        <v>86</v>
      </c>
      <c r="L26" s="112" t="s">
        <v>1199</v>
      </c>
      <c r="M26" s="110" t="s">
        <v>136</v>
      </c>
      <c r="N26" s="110">
        <v>5696</v>
      </c>
      <c r="O26" s="110">
        <v>5949</v>
      </c>
      <c r="P26" s="110" t="s">
        <v>136</v>
      </c>
      <c r="Q26" s="110" t="s">
        <v>136</v>
      </c>
      <c r="R26" s="110" t="s">
        <v>134</v>
      </c>
      <c r="S26" s="110" t="s">
        <v>134</v>
      </c>
      <c r="T26" s="110" t="s">
        <v>136</v>
      </c>
      <c r="U26" s="110" t="s">
        <v>136</v>
      </c>
      <c r="V26" s="106" t="s">
        <v>87</v>
      </c>
      <c r="W26" s="116">
        <v>45710</v>
      </c>
      <c r="X26" s="116">
        <v>37311</v>
      </c>
      <c r="Y26" s="110"/>
      <c r="Z26" s="169" t="s">
        <v>85</v>
      </c>
      <c r="AA26" s="124">
        <v>0</v>
      </c>
      <c r="AB26" s="110">
        <v>5581</v>
      </c>
      <c r="AC26" s="114">
        <v>171099</v>
      </c>
      <c r="AD26" s="114">
        <f t="shared" si="0"/>
        <v>203607.81</v>
      </c>
      <c r="AE26" s="114">
        <v>0</v>
      </c>
      <c r="AF26" s="110"/>
      <c r="AG26" s="142" t="s">
        <v>731</v>
      </c>
      <c r="AH26" s="116">
        <v>45744</v>
      </c>
      <c r="AI26" s="116">
        <v>45782</v>
      </c>
      <c r="AJ26" s="110" t="s">
        <v>245</v>
      </c>
      <c r="AK26" s="230"/>
      <c r="AL26" s="142"/>
    </row>
    <row r="27" spans="1:38" ht="60" x14ac:dyDescent="0.25">
      <c r="A27" s="147">
        <v>2025</v>
      </c>
      <c r="B27" s="111">
        <v>2</v>
      </c>
      <c r="C27" s="148">
        <v>22335</v>
      </c>
      <c r="D27" s="167">
        <v>45698</v>
      </c>
      <c r="E27" s="106" t="s">
        <v>407</v>
      </c>
      <c r="F27" s="106" t="s">
        <v>408</v>
      </c>
      <c r="G27" s="106" t="s">
        <v>409</v>
      </c>
      <c r="H27" s="106">
        <v>3177739332</v>
      </c>
      <c r="I27" s="106">
        <v>3217643172</v>
      </c>
      <c r="J27" s="167">
        <v>45699</v>
      </c>
      <c r="K27" s="167" t="s">
        <v>95</v>
      </c>
      <c r="L27" s="168" t="s">
        <v>1200</v>
      </c>
      <c r="M27" s="106" t="s">
        <v>136</v>
      </c>
      <c r="N27" s="106" t="s">
        <v>136</v>
      </c>
      <c r="O27" s="106">
        <v>5953</v>
      </c>
      <c r="P27" s="106" t="s">
        <v>136</v>
      </c>
      <c r="Q27" s="106" t="s">
        <v>136</v>
      </c>
      <c r="R27" s="106" t="s">
        <v>136</v>
      </c>
      <c r="S27" s="106" t="s">
        <v>136</v>
      </c>
      <c r="T27" s="106" t="s">
        <v>134</v>
      </c>
      <c r="U27" s="106" t="s">
        <v>134</v>
      </c>
      <c r="V27" s="106" t="s">
        <v>119</v>
      </c>
      <c r="W27" s="116" t="s">
        <v>136</v>
      </c>
      <c r="X27" s="116">
        <v>45699</v>
      </c>
      <c r="Y27" s="169"/>
      <c r="Z27" s="169" t="s">
        <v>85</v>
      </c>
      <c r="AA27" s="275">
        <v>0</v>
      </c>
      <c r="AB27" s="106">
        <v>5548</v>
      </c>
      <c r="AC27" s="114">
        <v>411095</v>
      </c>
      <c r="AD27" s="114">
        <f t="shared" si="0"/>
        <v>489203.05</v>
      </c>
      <c r="AE27" s="114">
        <v>0</v>
      </c>
      <c r="AF27" s="170"/>
      <c r="AG27" s="171" t="s">
        <v>1201</v>
      </c>
      <c r="AH27" s="116">
        <v>45723</v>
      </c>
      <c r="AI27" s="116">
        <v>45782</v>
      </c>
      <c r="AJ27" s="106" t="s">
        <v>397</v>
      </c>
      <c r="AK27" s="230"/>
      <c r="AL27" s="142"/>
    </row>
    <row r="28" spans="1:38" ht="36" x14ac:dyDescent="0.25">
      <c r="A28" s="147">
        <v>2025</v>
      </c>
      <c r="B28" s="111">
        <v>2</v>
      </c>
      <c r="C28" s="148">
        <v>22336</v>
      </c>
      <c r="D28" s="167">
        <v>45698</v>
      </c>
      <c r="E28" s="106" t="s">
        <v>401</v>
      </c>
      <c r="F28" s="106" t="s">
        <v>402</v>
      </c>
      <c r="G28" s="106" t="s">
        <v>403</v>
      </c>
      <c r="H28" s="106">
        <v>6042321653</v>
      </c>
      <c r="I28" s="106">
        <v>3127459901</v>
      </c>
      <c r="J28" s="167">
        <v>45711</v>
      </c>
      <c r="K28" s="167" t="s">
        <v>88</v>
      </c>
      <c r="L28" s="168" t="s">
        <v>1202</v>
      </c>
      <c r="M28" s="106" t="s">
        <v>136</v>
      </c>
      <c r="N28" s="106" t="s">
        <v>136</v>
      </c>
      <c r="O28" s="106">
        <v>5955</v>
      </c>
      <c r="P28" s="106">
        <v>8289</v>
      </c>
      <c r="Q28" s="106">
        <v>5412</v>
      </c>
      <c r="R28" s="106" t="s">
        <v>136</v>
      </c>
      <c r="S28" s="106" t="s">
        <v>134</v>
      </c>
      <c r="T28" s="106" t="s">
        <v>134</v>
      </c>
      <c r="U28" s="106" t="s">
        <v>136</v>
      </c>
      <c r="V28" s="106" t="s">
        <v>119</v>
      </c>
      <c r="W28" s="116">
        <v>45712</v>
      </c>
      <c r="X28" s="116">
        <v>45728</v>
      </c>
      <c r="Y28" s="169"/>
      <c r="Z28" s="169" t="s">
        <v>85</v>
      </c>
      <c r="AA28" s="114">
        <v>2075759</v>
      </c>
      <c r="AB28" s="106">
        <v>5541</v>
      </c>
      <c r="AC28" s="114">
        <v>1781767</v>
      </c>
      <c r="AD28" s="114">
        <f t="shared" si="0"/>
        <v>2120302.73</v>
      </c>
      <c r="AE28" s="114">
        <v>0</v>
      </c>
      <c r="AF28" s="170"/>
      <c r="AG28" s="171" t="s">
        <v>1203</v>
      </c>
      <c r="AH28" s="116">
        <v>45726</v>
      </c>
      <c r="AI28" s="116">
        <v>45782</v>
      </c>
      <c r="AJ28" s="106" t="s">
        <v>397</v>
      </c>
      <c r="AK28" s="230"/>
      <c r="AL28" s="142"/>
    </row>
    <row r="29" spans="1:38" ht="53.25" customHeight="1" x14ac:dyDescent="0.25">
      <c r="A29" s="147">
        <v>2025</v>
      </c>
      <c r="B29" s="111">
        <v>2</v>
      </c>
      <c r="C29" s="148">
        <v>22337</v>
      </c>
      <c r="D29" s="167">
        <v>45699</v>
      </c>
      <c r="E29" s="106" t="s">
        <v>430</v>
      </c>
      <c r="F29" s="106" t="s">
        <v>431</v>
      </c>
      <c r="G29" s="106" t="s">
        <v>154</v>
      </c>
      <c r="H29" s="106">
        <v>3206264770</v>
      </c>
      <c r="I29" s="106">
        <v>3206264770</v>
      </c>
      <c r="J29" s="167">
        <v>45710</v>
      </c>
      <c r="K29" s="167" t="s">
        <v>84</v>
      </c>
      <c r="L29" s="168" t="s">
        <v>1204</v>
      </c>
      <c r="M29" s="106" t="s">
        <v>136</v>
      </c>
      <c r="N29" s="106">
        <v>5707</v>
      </c>
      <c r="O29" s="106" t="s">
        <v>136</v>
      </c>
      <c r="P29" s="106" t="s">
        <v>136</v>
      </c>
      <c r="Q29" s="106" t="s">
        <v>136</v>
      </c>
      <c r="R29" s="106" t="s">
        <v>136</v>
      </c>
      <c r="S29" s="106" t="s">
        <v>136</v>
      </c>
      <c r="T29" s="106" t="s">
        <v>136</v>
      </c>
      <c r="U29" s="106" t="s">
        <v>136</v>
      </c>
      <c r="V29" s="106" t="s">
        <v>119</v>
      </c>
      <c r="W29" s="116">
        <v>45708</v>
      </c>
      <c r="X29" s="116">
        <v>45730</v>
      </c>
      <c r="Y29" s="169"/>
      <c r="Z29" s="169" t="s">
        <v>85</v>
      </c>
      <c r="AA29" s="115">
        <v>0</v>
      </c>
      <c r="AB29" s="106">
        <v>5574</v>
      </c>
      <c r="AC29" s="114">
        <v>1444538</v>
      </c>
      <c r="AD29" s="114">
        <f t="shared" si="0"/>
        <v>1719000.22</v>
      </c>
      <c r="AE29" s="114">
        <v>900000</v>
      </c>
      <c r="AF29" s="170"/>
      <c r="AG29" s="171" t="s">
        <v>1205</v>
      </c>
      <c r="AH29" s="116">
        <v>45714</v>
      </c>
      <c r="AI29" s="116">
        <v>45782</v>
      </c>
      <c r="AJ29" s="106" t="s">
        <v>245</v>
      </c>
      <c r="AK29" s="230"/>
      <c r="AL29" s="142"/>
    </row>
    <row r="30" spans="1:38" ht="75" x14ac:dyDescent="0.25">
      <c r="A30" s="147">
        <v>2025</v>
      </c>
      <c r="B30" s="111">
        <v>2</v>
      </c>
      <c r="C30" s="148">
        <v>22338</v>
      </c>
      <c r="D30" s="167">
        <v>45698</v>
      </c>
      <c r="E30" s="106" t="s">
        <v>432</v>
      </c>
      <c r="F30" s="106" t="s">
        <v>433</v>
      </c>
      <c r="G30" s="106" t="s">
        <v>420</v>
      </c>
      <c r="H30" s="106">
        <v>60411890</v>
      </c>
      <c r="I30" s="106">
        <v>3104077307</v>
      </c>
      <c r="J30" s="167">
        <v>45709</v>
      </c>
      <c r="K30" s="167" t="s">
        <v>88</v>
      </c>
      <c r="L30" s="168" t="s">
        <v>1206</v>
      </c>
      <c r="M30" s="106" t="s">
        <v>136</v>
      </c>
      <c r="N30" s="106">
        <v>5712</v>
      </c>
      <c r="O30" s="106">
        <v>5956</v>
      </c>
      <c r="P30" s="106">
        <v>8427</v>
      </c>
      <c r="Q30" s="106">
        <v>5302</v>
      </c>
      <c r="R30" s="106" t="s">
        <v>136</v>
      </c>
      <c r="S30" s="106" t="s">
        <v>134</v>
      </c>
      <c r="T30" s="106" t="s">
        <v>134</v>
      </c>
      <c r="U30" s="106" t="s">
        <v>136</v>
      </c>
      <c r="V30" s="106" t="s">
        <v>119</v>
      </c>
      <c r="W30" s="116">
        <v>45708</v>
      </c>
      <c r="X30" s="116">
        <v>45712</v>
      </c>
      <c r="Y30" s="169"/>
      <c r="Z30" s="169" t="s">
        <v>85</v>
      </c>
      <c r="AA30" s="115">
        <v>0</v>
      </c>
      <c r="AB30" s="106">
        <v>5586</v>
      </c>
      <c r="AC30" s="114">
        <v>1621915</v>
      </c>
      <c r="AD30" s="114">
        <f t="shared" si="0"/>
        <v>1930078.8499999999</v>
      </c>
      <c r="AE30" s="114">
        <v>1888953</v>
      </c>
      <c r="AF30" s="170"/>
      <c r="AG30" s="171" t="s">
        <v>1207</v>
      </c>
      <c r="AH30" s="116">
        <v>45700</v>
      </c>
      <c r="AI30" s="116">
        <v>45782</v>
      </c>
      <c r="AJ30" s="106" t="s">
        <v>245</v>
      </c>
      <c r="AK30" s="230" t="s">
        <v>1208</v>
      </c>
      <c r="AL30" s="142" t="s">
        <v>702</v>
      </c>
    </row>
    <row r="31" spans="1:38" ht="53.25" customHeight="1" x14ac:dyDescent="0.25">
      <c r="A31" s="147">
        <v>2025</v>
      </c>
      <c r="B31" s="111">
        <v>2</v>
      </c>
      <c r="C31" s="148">
        <v>22339</v>
      </c>
      <c r="D31" s="167">
        <v>45699</v>
      </c>
      <c r="E31" s="106" t="s">
        <v>434</v>
      </c>
      <c r="F31" s="106" t="s">
        <v>434</v>
      </c>
      <c r="G31" s="106" t="s">
        <v>154</v>
      </c>
      <c r="H31" s="106">
        <v>3122599019</v>
      </c>
      <c r="I31" s="106">
        <v>3122599019</v>
      </c>
      <c r="J31" s="167">
        <v>45702</v>
      </c>
      <c r="K31" s="167" t="s">
        <v>84</v>
      </c>
      <c r="L31" s="168" t="s">
        <v>1209</v>
      </c>
      <c r="M31" s="106" t="s">
        <v>136</v>
      </c>
      <c r="N31" s="106">
        <v>5698</v>
      </c>
      <c r="O31" s="106" t="s">
        <v>136</v>
      </c>
      <c r="P31" s="106" t="s">
        <v>136</v>
      </c>
      <c r="Q31" s="106" t="s">
        <v>136</v>
      </c>
      <c r="R31" s="106" t="s">
        <v>136</v>
      </c>
      <c r="S31" s="106" t="s">
        <v>136</v>
      </c>
      <c r="T31" s="106" t="s">
        <v>136</v>
      </c>
      <c r="U31" s="106" t="s">
        <v>136</v>
      </c>
      <c r="V31" s="106" t="s">
        <v>87</v>
      </c>
      <c r="W31" s="116">
        <v>45708</v>
      </c>
      <c r="X31" s="116">
        <v>45710</v>
      </c>
      <c r="Y31" s="169"/>
      <c r="Z31" s="169" t="s">
        <v>85</v>
      </c>
      <c r="AA31" s="115">
        <v>0</v>
      </c>
      <c r="AB31" s="106">
        <v>5567</v>
      </c>
      <c r="AC31" s="114">
        <f>+AB31*1.19</f>
        <v>6624.73</v>
      </c>
      <c r="AD31" s="114">
        <v>173000</v>
      </c>
      <c r="AE31" s="114">
        <v>100000</v>
      </c>
      <c r="AF31" s="170"/>
      <c r="AG31" s="171" t="s">
        <v>1210</v>
      </c>
      <c r="AH31" s="116">
        <v>45710</v>
      </c>
      <c r="AI31" s="116">
        <v>45782</v>
      </c>
      <c r="AJ31" s="106" t="s">
        <v>245</v>
      </c>
      <c r="AK31" s="230"/>
      <c r="AL31" s="142"/>
    </row>
    <row r="32" spans="1:38" ht="66.75" customHeight="1" x14ac:dyDescent="0.25">
      <c r="A32" s="147">
        <v>2025</v>
      </c>
      <c r="B32" s="111">
        <v>2</v>
      </c>
      <c r="C32" s="148">
        <v>22340</v>
      </c>
      <c r="D32" s="167">
        <v>45700</v>
      </c>
      <c r="E32" s="106" t="s">
        <v>387</v>
      </c>
      <c r="F32" s="106" t="s">
        <v>674</v>
      </c>
      <c r="G32" s="106" t="s">
        <v>670</v>
      </c>
      <c r="H32" s="106">
        <v>3202751520</v>
      </c>
      <c r="I32" s="106">
        <v>3202751520</v>
      </c>
      <c r="J32" s="167">
        <v>45709</v>
      </c>
      <c r="K32" s="167" t="s">
        <v>99</v>
      </c>
      <c r="L32" s="168" t="s">
        <v>1211</v>
      </c>
      <c r="M32" s="106" t="s">
        <v>282</v>
      </c>
      <c r="N32" s="106">
        <v>5703</v>
      </c>
      <c r="O32" s="106">
        <v>5959</v>
      </c>
      <c r="P32" s="106" t="s">
        <v>136</v>
      </c>
      <c r="Q32" s="106">
        <v>5411</v>
      </c>
      <c r="R32" s="106" t="s">
        <v>136</v>
      </c>
      <c r="S32" s="106" t="s">
        <v>134</v>
      </c>
      <c r="T32" s="106" t="s">
        <v>134</v>
      </c>
      <c r="U32" s="106" t="s">
        <v>136</v>
      </c>
      <c r="V32" s="106" t="s">
        <v>89</v>
      </c>
      <c r="W32" s="116">
        <v>45708</v>
      </c>
      <c r="X32" s="116">
        <v>45714</v>
      </c>
      <c r="Y32" s="169"/>
      <c r="Z32" s="169" t="s">
        <v>85</v>
      </c>
      <c r="AA32" s="115">
        <v>0</v>
      </c>
      <c r="AB32" s="106">
        <v>5598</v>
      </c>
      <c r="AC32" s="114">
        <v>1825385</v>
      </c>
      <c r="AD32" s="114">
        <f>+AC32*1.19</f>
        <v>2172208.15</v>
      </c>
      <c r="AE32" s="114">
        <v>2074550</v>
      </c>
      <c r="AF32" s="170"/>
      <c r="AG32" s="171" t="s">
        <v>908</v>
      </c>
      <c r="AH32" s="116">
        <v>45757</v>
      </c>
      <c r="AI32" s="116">
        <v>45782</v>
      </c>
      <c r="AJ32" s="106" t="s">
        <v>245</v>
      </c>
      <c r="AK32" s="230"/>
      <c r="AL32" s="142"/>
    </row>
    <row r="33" spans="1:38" ht="72.75" customHeight="1" x14ac:dyDescent="0.25">
      <c r="A33" s="147">
        <v>2025</v>
      </c>
      <c r="B33" s="111">
        <v>2</v>
      </c>
      <c r="C33" s="148">
        <v>22341</v>
      </c>
      <c r="D33" s="167">
        <v>45700</v>
      </c>
      <c r="E33" s="106" t="s">
        <v>387</v>
      </c>
      <c r="F33" s="106" t="s">
        <v>675</v>
      </c>
      <c r="G33" s="106" t="s">
        <v>670</v>
      </c>
      <c r="H33" s="106">
        <v>3202751520</v>
      </c>
      <c r="I33" s="106">
        <v>3202751520</v>
      </c>
      <c r="J33" s="167">
        <v>45709</v>
      </c>
      <c r="K33" s="167" t="s">
        <v>99</v>
      </c>
      <c r="L33" s="168" t="s">
        <v>1212</v>
      </c>
      <c r="M33" s="106" t="s">
        <v>282</v>
      </c>
      <c r="N33" s="106">
        <v>5704</v>
      </c>
      <c r="O33" s="106">
        <v>5960</v>
      </c>
      <c r="P33" s="106" t="s">
        <v>136</v>
      </c>
      <c r="Q33" s="106">
        <v>5411</v>
      </c>
      <c r="R33" s="106" t="s">
        <v>136</v>
      </c>
      <c r="S33" s="106" t="s">
        <v>134</v>
      </c>
      <c r="T33" s="106" t="s">
        <v>134</v>
      </c>
      <c r="U33" s="106" t="s">
        <v>136</v>
      </c>
      <c r="V33" s="106" t="s">
        <v>89</v>
      </c>
      <c r="W33" s="116">
        <v>45708</v>
      </c>
      <c r="X33" s="116">
        <v>45714</v>
      </c>
      <c r="Y33" s="169"/>
      <c r="Z33" s="169" t="s">
        <v>85</v>
      </c>
      <c r="AA33" s="115">
        <v>0</v>
      </c>
      <c r="AB33" s="106">
        <v>5599</v>
      </c>
      <c r="AC33" s="114">
        <v>1532696</v>
      </c>
      <c r="AD33" s="114">
        <f>+AC33*1.19</f>
        <v>1823908.24</v>
      </c>
      <c r="AE33" s="114">
        <v>1741909</v>
      </c>
      <c r="AF33" s="170"/>
      <c r="AG33" s="171" t="s">
        <v>910</v>
      </c>
      <c r="AH33" s="116">
        <v>45757</v>
      </c>
      <c r="AI33" s="116">
        <v>45782</v>
      </c>
      <c r="AJ33" s="106" t="s">
        <v>245</v>
      </c>
      <c r="AK33" s="230"/>
      <c r="AL33" s="142"/>
    </row>
    <row r="34" spans="1:38" ht="53.25" customHeight="1" x14ac:dyDescent="0.25">
      <c r="A34" s="147">
        <v>2025</v>
      </c>
      <c r="B34" s="111">
        <v>2</v>
      </c>
      <c r="C34" s="148">
        <v>22342</v>
      </c>
      <c r="D34" s="108">
        <v>45700</v>
      </c>
      <c r="E34" s="110" t="s">
        <v>414</v>
      </c>
      <c r="F34" s="110" t="s">
        <v>415</v>
      </c>
      <c r="G34" s="110" t="s">
        <v>98</v>
      </c>
      <c r="H34" s="110">
        <v>6044609940</v>
      </c>
      <c r="I34" s="110">
        <v>6044609940</v>
      </c>
      <c r="J34" s="108">
        <v>45711</v>
      </c>
      <c r="K34" s="167" t="s">
        <v>88</v>
      </c>
      <c r="L34" s="112" t="s">
        <v>1213</v>
      </c>
      <c r="M34" s="110" t="s">
        <v>136</v>
      </c>
      <c r="N34" s="110" t="s">
        <v>136</v>
      </c>
      <c r="O34" s="110">
        <v>5969</v>
      </c>
      <c r="P34" s="110">
        <v>8411</v>
      </c>
      <c r="Q34" s="110" t="s">
        <v>136</v>
      </c>
      <c r="R34" s="110" t="s">
        <v>136</v>
      </c>
      <c r="S34" s="110" t="s">
        <v>136</v>
      </c>
      <c r="T34" s="110" t="s">
        <v>134</v>
      </c>
      <c r="U34" s="110" t="s">
        <v>136</v>
      </c>
      <c r="V34" s="106" t="s">
        <v>89</v>
      </c>
      <c r="W34" s="116">
        <v>45728</v>
      </c>
      <c r="X34" s="116">
        <v>45729</v>
      </c>
      <c r="Y34" s="110"/>
      <c r="Z34" s="169" t="s">
        <v>85</v>
      </c>
      <c r="AA34" s="114">
        <v>333199</v>
      </c>
      <c r="AB34" s="110">
        <v>5659</v>
      </c>
      <c r="AC34" s="114">
        <v>279999</v>
      </c>
      <c r="AD34" s="114">
        <f t="shared" ref="AD34:AD51" si="1">+AC34*1.19</f>
        <v>333198.81</v>
      </c>
      <c r="AE34" s="114">
        <v>0</v>
      </c>
      <c r="AF34" s="110"/>
      <c r="AG34" s="142" t="s">
        <v>1114</v>
      </c>
      <c r="AH34" s="116">
        <v>45694</v>
      </c>
      <c r="AI34" s="116">
        <v>45782</v>
      </c>
      <c r="AJ34" s="110" t="s">
        <v>245</v>
      </c>
      <c r="AK34" s="230"/>
      <c r="AL34" s="142"/>
    </row>
    <row r="35" spans="1:38" ht="53.25" customHeight="1" x14ac:dyDescent="0.25">
      <c r="A35" s="147">
        <v>2025</v>
      </c>
      <c r="B35" s="111">
        <v>2</v>
      </c>
      <c r="C35" s="148">
        <v>22343</v>
      </c>
      <c r="D35" s="108">
        <v>45699</v>
      </c>
      <c r="E35" s="110" t="s">
        <v>405</v>
      </c>
      <c r="F35" s="110" t="s">
        <v>406</v>
      </c>
      <c r="G35" s="110" t="s">
        <v>98</v>
      </c>
      <c r="H35" s="110">
        <v>6044802776</v>
      </c>
      <c r="I35" s="110">
        <v>3504272632</v>
      </c>
      <c r="J35" s="108">
        <v>45715</v>
      </c>
      <c r="K35" s="167" t="s">
        <v>88</v>
      </c>
      <c r="L35" s="112" t="s">
        <v>1214</v>
      </c>
      <c r="M35" s="110" t="s">
        <v>282</v>
      </c>
      <c r="N35" s="110" t="s">
        <v>136</v>
      </c>
      <c r="O35" s="110">
        <v>5961</v>
      </c>
      <c r="P35" s="110">
        <v>8379</v>
      </c>
      <c r="Q35" s="110">
        <v>5392</v>
      </c>
      <c r="R35" s="110" t="s">
        <v>136</v>
      </c>
      <c r="S35" s="110" t="s">
        <v>134</v>
      </c>
      <c r="T35" s="110" t="s">
        <v>134</v>
      </c>
      <c r="U35" s="110" t="s">
        <v>136</v>
      </c>
      <c r="V35" s="106" t="s">
        <v>89</v>
      </c>
      <c r="W35" s="116">
        <v>45719</v>
      </c>
      <c r="X35" s="116">
        <v>45733</v>
      </c>
      <c r="Y35" s="110"/>
      <c r="Z35" s="169" t="s">
        <v>85</v>
      </c>
      <c r="AA35" s="124">
        <v>0</v>
      </c>
      <c r="AB35" s="110">
        <v>5621</v>
      </c>
      <c r="AC35" s="114">
        <v>2894321</v>
      </c>
      <c r="AD35" s="114">
        <f t="shared" si="1"/>
        <v>3444241.9899999998</v>
      </c>
      <c r="AE35" s="114">
        <v>1834141</v>
      </c>
      <c r="AF35" s="110"/>
      <c r="AG35" s="142" t="s">
        <v>1215</v>
      </c>
      <c r="AH35" s="116">
        <v>45728</v>
      </c>
      <c r="AI35" s="116">
        <v>45782</v>
      </c>
      <c r="AJ35" s="110" t="s">
        <v>245</v>
      </c>
      <c r="AK35" s="230"/>
      <c r="AL35" s="142"/>
    </row>
    <row r="36" spans="1:38" ht="60" x14ac:dyDescent="0.25">
      <c r="A36" s="140">
        <v>2025</v>
      </c>
      <c r="B36" s="100">
        <v>2</v>
      </c>
      <c r="C36" s="161">
        <v>22344</v>
      </c>
      <c r="D36" s="97">
        <v>45703</v>
      </c>
      <c r="E36" s="99" t="s">
        <v>453</v>
      </c>
      <c r="F36" s="99" t="s">
        <v>454</v>
      </c>
      <c r="G36" s="99" t="s">
        <v>154</v>
      </c>
      <c r="H36" s="99">
        <v>3006194380</v>
      </c>
      <c r="I36" s="99">
        <v>3006194380</v>
      </c>
      <c r="J36" s="97">
        <v>45713</v>
      </c>
      <c r="K36" s="162" t="s">
        <v>88</v>
      </c>
      <c r="L36" s="101" t="s">
        <v>1216</v>
      </c>
      <c r="M36" s="99" t="s">
        <v>136</v>
      </c>
      <c r="N36" s="99" t="s">
        <v>136</v>
      </c>
      <c r="O36" s="99">
        <v>5973</v>
      </c>
      <c r="P36" s="99">
        <v>8363</v>
      </c>
      <c r="Q36" s="99">
        <v>5391</v>
      </c>
      <c r="R36" s="99" t="s">
        <v>136</v>
      </c>
      <c r="S36" s="99" t="s">
        <v>134</v>
      </c>
      <c r="T36" s="99" t="s">
        <v>134</v>
      </c>
      <c r="U36" s="99" t="s">
        <v>136</v>
      </c>
      <c r="V36" s="95" t="s">
        <v>119</v>
      </c>
      <c r="W36" s="105">
        <v>45714</v>
      </c>
      <c r="X36" s="105">
        <v>45726</v>
      </c>
      <c r="Y36" s="99"/>
      <c r="Z36" s="164" t="s">
        <v>97</v>
      </c>
      <c r="AA36" s="122">
        <v>0</v>
      </c>
      <c r="AB36" s="99">
        <v>5606</v>
      </c>
      <c r="AC36" s="103">
        <v>1550762</v>
      </c>
      <c r="AD36" s="103">
        <f t="shared" si="1"/>
        <v>1845406.78</v>
      </c>
      <c r="AE36" s="103">
        <v>900000</v>
      </c>
      <c r="AF36" s="99"/>
      <c r="AG36" s="104" t="s">
        <v>1217</v>
      </c>
      <c r="AH36" s="105"/>
      <c r="AI36" s="105">
        <v>45782</v>
      </c>
      <c r="AJ36" s="99" t="s">
        <v>245</v>
      </c>
      <c r="AK36" s="233"/>
      <c r="AL36" s="104"/>
    </row>
    <row r="37" spans="1:38" ht="53.25" customHeight="1" x14ac:dyDescent="0.25">
      <c r="A37" s="147">
        <v>2025</v>
      </c>
      <c r="B37" s="111">
        <v>2</v>
      </c>
      <c r="C37" s="148">
        <v>22345</v>
      </c>
      <c r="D37" s="108">
        <v>45698</v>
      </c>
      <c r="E37" s="110" t="s">
        <v>435</v>
      </c>
      <c r="F37" s="110" t="s">
        <v>435</v>
      </c>
      <c r="G37" s="155" t="s">
        <v>154</v>
      </c>
      <c r="H37" s="110">
        <v>3008072423</v>
      </c>
      <c r="I37" s="110">
        <v>3008072423</v>
      </c>
      <c r="J37" s="108">
        <v>45710</v>
      </c>
      <c r="K37" s="167" t="s">
        <v>84</v>
      </c>
      <c r="L37" s="112" t="s">
        <v>1218</v>
      </c>
      <c r="M37" s="110" t="s">
        <v>136</v>
      </c>
      <c r="N37" s="110">
        <v>5708</v>
      </c>
      <c r="O37" s="110">
        <v>5958</v>
      </c>
      <c r="P37" s="110" t="s">
        <v>136</v>
      </c>
      <c r="Q37" s="110">
        <v>5400</v>
      </c>
      <c r="R37" s="110" t="s">
        <v>136</v>
      </c>
      <c r="S37" s="110" t="s">
        <v>134</v>
      </c>
      <c r="T37" s="110" t="s">
        <v>134</v>
      </c>
      <c r="U37" s="110" t="s">
        <v>136</v>
      </c>
      <c r="V37" s="106" t="s">
        <v>119</v>
      </c>
      <c r="W37" s="116">
        <v>45708</v>
      </c>
      <c r="X37" s="116">
        <v>45722</v>
      </c>
      <c r="Y37" s="110"/>
      <c r="Z37" s="169" t="s">
        <v>85</v>
      </c>
      <c r="AA37" s="115">
        <v>0</v>
      </c>
      <c r="AB37" s="110">
        <v>5573</v>
      </c>
      <c r="AC37" s="114">
        <v>302521</v>
      </c>
      <c r="AD37" s="114">
        <f t="shared" si="1"/>
        <v>359999.99</v>
      </c>
      <c r="AE37" s="114">
        <v>180000</v>
      </c>
      <c r="AF37" s="110"/>
      <c r="AG37" s="142" t="s">
        <v>1219</v>
      </c>
      <c r="AH37" s="116">
        <v>45712</v>
      </c>
      <c r="AI37" s="116">
        <v>45782</v>
      </c>
      <c r="AJ37" s="110" t="s">
        <v>245</v>
      </c>
      <c r="AK37" s="230"/>
      <c r="AL37" s="142"/>
    </row>
    <row r="38" spans="1:38" ht="60" x14ac:dyDescent="0.25">
      <c r="A38" s="147">
        <v>2025</v>
      </c>
      <c r="B38" s="111">
        <v>2</v>
      </c>
      <c r="C38" s="148">
        <v>22346</v>
      </c>
      <c r="D38" s="108">
        <v>45700</v>
      </c>
      <c r="E38" s="110" t="s">
        <v>436</v>
      </c>
      <c r="F38" s="111" t="s">
        <v>436</v>
      </c>
      <c r="G38" s="110" t="s">
        <v>154</v>
      </c>
      <c r="H38" s="110">
        <v>0</v>
      </c>
      <c r="I38" s="110">
        <v>0</v>
      </c>
      <c r="J38" s="108">
        <v>45713</v>
      </c>
      <c r="K38" s="167" t="s">
        <v>84</v>
      </c>
      <c r="L38" s="112" t="s">
        <v>1220</v>
      </c>
      <c r="M38" s="110" t="s">
        <v>136</v>
      </c>
      <c r="N38" s="110">
        <v>5709</v>
      </c>
      <c r="O38" s="110">
        <v>5962</v>
      </c>
      <c r="P38" s="110">
        <v>8198</v>
      </c>
      <c r="Q38" s="110">
        <v>5402</v>
      </c>
      <c r="R38" s="110" t="s">
        <v>136</v>
      </c>
      <c r="S38" s="110" t="s">
        <v>134</v>
      </c>
      <c r="T38" s="110" t="s">
        <v>134</v>
      </c>
      <c r="U38" s="110" t="s">
        <v>136</v>
      </c>
      <c r="V38" s="106" t="s">
        <v>89</v>
      </c>
      <c r="W38" s="116">
        <v>45708</v>
      </c>
      <c r="X38" s="116">
        <v>45710</v>
      </c>
      <c r="Y38" s="110"/>
      <c r="Z38" s="169" t="s">
        <v>85</v>
      </c>
      <c r="AA38" s="124">
        <v>0</v>
      </c>
      <c r="AB38" s="110">
        <v>5585</v>
      </c>
      <c r="AC38" s="114">
        <v>1641851</v>
      </c>
      <c r="AD38" s="114">
        <f t="shared" si="1"/>
        <v>1953802.69</v>
      </c>
      <c r="AE38" s="114">
        <v>500000</v>
      </c>
      <c r="AF38" s="110"/>
      <c r="AG38" s="142" t="s">
        <v>1221</v>
      </c>
      <c r="AH38" s="116">
        <v>45710</v>
      </c>
      <c r="AI38" s="116">
        <v>45782</v>
      </c>
      <c r="AJ38" s="110" t="s">
        <v>245</v>
      </c>
      <c r="AK38" s="230"/>
      <c r="AL38" s="142"/>
    </row>
    <row r="39" spans="1:38" ht="105" x14ac:dyDescent="0.25">
      <c r="A39" s="147">
        <v>2025</v>
      </c>
      <c r="B39" s="111">
        <v>2</v>
      </c>
      <c r="C39" s="148">
        <v>22347</v>
      </c>
      <c r="D39" s="108">
        <v>45700</v>
      </c>
      <c r="E39" s="110" t="s">
        <v>437</v>
      </c>
      <c r="F39" s="111" t="s">
        <v>437</v>
      </c>
      <c r="G39" s="110" t="s">
        <v>154</v>
      </c>
      <c r="H39" s="110">
        <v>3213565078</v>
      </c>
      <c r="I39" s="110">
        <v>3213565078</v>
      </c>
      <c r="J39" s="108">
        <v>45713</v>
      </c>
      <c r="K39" s="167" t="s">
        <v>84</v>
      </c>
      <c r="L39" s="112" t="s">
        <v>1222</v>
      </c>
      <c r="M39" s="110" t="s">
        <v>136</v>
      </c>
      <c r="N39" s="110">
        <v>5710</v>
      </c>
      <c r="O39" s="110">
        <v>5963</v>
      </c>
      <c r="P39" s="110">
        <v>8426</v>
      </c>
      <c r="Q39" s="110">
        <v>5405</v>
      </c>
      <c r="R39" s="110" t="s">
        <v>136</v>
      </c>
      <c r="S39" s="110" t="s">
        <v>134</v>
      </c>
      <c r="T39" s="110" t="s">
        <v>134</v>
      </c>
      <c r="U39" s="110" t="s">
        <v>136</v>
      </c>
      <c r="V39" s="106" t="s">
        <v>119</v>
      </c>
      <c r="W39" s="116">
        <v>45708</v>
      </c>
      <c r="X39" s="116">
        <v>45716</v>
      </c>
      <c r="Y39" s="110"/>
      <c r="Z39" s="169" t="s">
        <v>85</v>
      </c>
      <c r="AA39" s="124">
        <v>0</v>
      </c>
      <c r="AB39" s="110">
        <v>5566</v>
      </c>
      <c r="AC39" s="114">
        <v>1211982</v>
      </c>
      <c r="AD39" s="114">
        <f t="shared" si="1"/>
        <v>1442258.5799999998</v>
      </c>
      <c r="AE39" s="114">
        <v>1000000</v>
      </c>
      <c r="AF39" s="110"/>
      <c r="AG39" s="142" t="s">
        <v>1187</v>
      </c>
      <c r="AH39" s="116">
        <v>45690</v>
      </c>
      <c r="AI39" s="116">
        <v>45782</v>
      </c>
      <c r="AJ39" s="110" t="s">
        <v>245</v>
      </c>
      <c r="AK39" s="230"/>
      <c r="AL39" s="142"/>
    </row>
    <row r="40" spans="1:38" ht="53.25" customHeight="1" x14ac:dyDescent="0.25">
      <c r="A40" s="147">
        <v>2025</v>
      </c>
      <c r="B40" s="111">
        <v>2</v>
      </c>
      <c r="C40" s="148">
        <v>22348</v>
      </c>
      <c r="D40" s="108">
        <v>45700</v>
      </c>
      <c r="E40" s="110" t="s">
        <v>438</v>
      </c>
      <c r="F40" s="111" t="s">
        <v>439</v>
      </c>
      <c r="G40" s="110" t="s">
        <v>98</v>
      </c>
      <c r="H40" s="110">
        <v>3006815425</v>
      </c>
      <c r="I40" s="110">
        <v>3006815425</v>
      </c>
      <c r="J40" s="108">
        <v>45712</v>
      </c>
      <c r="K40" s="167" t="s">
        <v>88</v>
      </c>
      <c r="L40" s="112" t="s">
        <v>1223</v>
      </c>
      <c r="M40" s="110" t="s">
        <v>136</v>
      </c>
      <c r="N40" s="110">
        <v>5713</v>
      </c>
      <c r="O40" s="110">
        <v>5964</v>
      </c>
      <c r="P40" s="110" t="s">
        <v>136</v>
      </c>
      <c r="Q40" s="110" t="s">
        <v>136</v>
      </c>
      <c r="R40" s="110" t="s">
        <v>134</v>
      </c>
      <c r="S40" s="110" t="s">
        <v>134</v>
      </c>
      <c r="T40" s="110" t="s">
        <v>134</v>
      </c>
      <c r="U40" s="110" t="s">
        <v>136</v>
      </c>
      <c r="V40" s="106" t="s">
        <v>119</v>
      </c>
      <c r="W40" s="116">
        <v>45710</v>
      </c>
      <c r="X40" s="116">
        <v>45716</v>
      </c>
      <c r="Y40" s="110"/>
      <c r="Z40" s="169" t="s">
        <v>85</v>
      </c>
      <c r="AA40" s="124">
        <v>0</v>
      </c>
      <c r="AB40" s="110">
        <v>5584</v>
      </c>
      <c r="AC40" s="114">
        <v>798319</v>
      </c>
      <c r="AD40" s="114">
        <f t="shared" si="1"/>
        <v>949999.61</v>
      </c>
      <c r="AE40" s="114">
        <v>475000</v>
      </c>
      <c r="AF40" s="110"/>
      <c r="AG40" s="142" t="s">
        <v>1187</v>
      </c>
      <c r="AH40" s="116">
        <v>45712</v>
      </c>
      <c r="AI40" s="116">
        <v>45782</v>
      </c>
      <c r="AJ40" s="110" t="s">
        <v>245</v>
      </c>
      <c r="AK40" s="230"/>
      <c r="AL40" s="142"/>
    </row>
    <row r="41" spans="1:38" ht="53.25" customHeight="1" x14ac:dyDescent="0.25">
      <c r="A41" s="147">
        <v>2025</v>
      </c>
      <c r="B41" s="111">
        <v>2</v>
      </c>
      <c r="C41" s="148">
        <v>22349</v>
      </c>
      <c r="D41" s="108">
        <v>45700</v>
      </c>
      <c r="E41" s="110" t="s">
        <v>446</v>
      </c>
      <c r="F41" s="111" t="s">
        <v>446</v>
      </c>
      <c r="G41" s="110" t="s">
        <v>154</v>
      </c>
      <c r="H41" s="110">
        <v>3017387556</v>
      </c>
      <c r="I41" s="110">
        <v>3017387556</v>
      </c>
      <c r="J41" s="108">
        <v>45712</v>
      </c>
      <c r="K41" s="167" t="s">
        <v>84</v>
      </c>
      <c r="L41" s="112" t="s">
        <v>1224</v>
      </c>
      <c r="M41" s="110" t="s">
        <v>136</v>
      </c>
      <c r="N41" s="110">
        <v>5715</v>
      </c>
      <c r="O41" s="110">
        <v>5967</v>
      </c>
      <c r="P41" s="110" t="s">
        <v>136</v>
      </c>
      <c r="Q41" s="110">
        <v>5415</v>
      </c>
      <c r="R41" s="110" t="s">
        <v>136</v>
      </c>
      <c r="S41" s="110" t="s">
        <v>134</v>
      </c>
      <c r="T41" s="110" t="s">
        <v>134</v>
      </c>
      <c r="U41" s="110" t="s">
        <v>136</v>
      </c>
      <c r="V41" s="106" t="s">
        <v>119</v>
      </c>
      <c r="W41" s="116">
        <v>45721</v>
      </c>
      <c r="X41" s="116">
        <v>45723</v>
      </c>
      <c r="Y41" s="110"/>
      <c r="Z41" s="169" t="s">
        <v>85</v>
      </c>
      <c r="AA41" s="124">
        <v>0</v>
      </c>
      <c r="AB41" s="110">
        <v>5596</v>
      </c>
      <c r="AC41" s="114">
        <v>285714</v>
      </c>
      <c r="AD41" s="114">
        <f t="shared" si="1"/>
        <v>339999.66</v>
      </c>
      <c r="AE41" s="114">
        <v>170000</v>
      </c>
      <c r="AF41" s="110"/>
      <c r="AG41" s="142" t="s">
        <v>1225</v>
      </c>
      <c r="AH41" s="116">
        <v>45720</v>
      </c>
      <c r="AI41" s="116">
        <v>45782</v>
      </c>
      <c r="AJ41" s="110" t="s">
        <v>245</v>
      </c>
      <c r="AK41" s="230"/>
      <c r="AL41" s="142"/>
    </row>
    <row r="42" spans="1:38" ht="53.25" customHeight="1" x14ac:dyDescent="0.25">
      <c r="A42" s="147">
        <v>2025</v>
      </c>
      <c r="B42" s="111">
        <v>2</v>
      </c>
      <c r="C42" s="148">
        <v>22350</v>
      </c>
      <c r="D42" s="108">
        <v>45700</v>
      </c>
      <c r="E42" s="110" t="s">
        <v>440</v>
      </c>
      <c r="F42" s="110" t="s">
        <v>441</v>
      </c>
      <c r="G42" s="110" t="s">
        <v>154</v>
      </c>
      <c r="H42" s="110">
        <v>3042017285</v>
      </c>
      <c r="I42" s="110">
        <v>3042017285</v>
      </c>
      <c r="J42" s="108">
        <v>45710</v>
      </c>
      <c r="K42" s="167" t="s">
        <v>84</v>
      </c>
      <c r="L42" s="112" t="s">
        <v>1226</v>
      </c>
      <c r="M42" s="110" t="s">
        <v>136</v>
      </c>
      <c r="N42" s="110">
        <v>5711</v>
      </c>
      <c r="O42" s="110" t="s">
        <v>136</v>
      </c>
      <c r="P42" s="110" t="s">
        <v>136</v>
      </c>
      <c r="Q42" s="110" t="s">
        <v>136</v>
      </c>
      <c r="R42" s="110" t="s">
        <v>136</v>
      </c>
      <c r="S42" s="110" t="s">
        <v>136</v>
      </c>
      <c r="T42" s="110" t="s">
        <v>136</v>
      </c>
      <c r="U42" s="110" t="s">
        <v>136</v>
      </c>
      <c r="V42" s="106" t="s">
        <v>87</v>
      </c>
      <c r="W42" s="116">
        <v>45712</v>
      </c>
      <c r="X42" s="116">
        <v>45713</v>
      </c>
      <c r="Y42" s="110"/>
      <c r="Z42" s="169" t="s">
        <v>85</v>
      </c>
      <c r="AA42" s="114">
        <v>75000</v>
      </c>
      <c r="AB42" s="110">
        <v>5591</v>
      </c>
      <c r="AC42" s="114">
        <v>63025</v>
      </c>
      <c r="AD42" s="114">
        <f t="shared" si="1"/>
        <v>74999.75</v>
      </c>
      <c r="AE42" s="114">
        <v>0</v>
      </c>
      <c r="AF42" s="110"/>
      <c r="AG42" s="142" t="s">
        <v>1227</v>
      </c>
      <c r="AH42" s="116">
        <v>45708</v>
      </c>
      <c r="AI42" s="116">
        <v>45782</v>
      </c>
      <c r="AJ42" s="110" t="s">
        <v>245</v>
      </c>
      <c r="AK42" s="230"/>
      <c r="AL42" s="142"/>
    </row>
    <row r="43" spans="1:38" ht="53.25" customHeight="1" x14ac:dyDescent="0.25">
      <c r="A43" s="147">
        <v>2025</v>
      </c>
      <c r="B43" s="111">
        <v>2</v>
      </c>
      <c r="C43" s="148">
        <v>22351</v>
      </c>
      <c r="D43" s="108">
        <v>45700</v>
      </c>
      <c r="E43" s="111" t="s">
        <v>447</v>
      </c>
      <c r="F43" s="111" t="s">
        <v>447</v>
      </c>
      <c r="G43" s="111" t="s">
        <v>154</v>
      </c>
      <c r="H43" s="111">
        <v>3146848620</v>
      </c>
      <c r="I43" s="111">
        <v>3146848620</v>
      </c>
      <c r="J43" s="108">
        <v>45712</v>
      </c>
      <c r="K43" s="111" t="s">
        <v>84</v>
      </c>
      <c r="L43" s="112" t="s">
        <v>1228</v>
      </c>
      <c r="M43" s="110" t="s">
        <v>136</v>
      </c>
      <c r="N43" s="110">
        <v>5717</v>
      </c>
      <c r="O43" s="110">
        <v>5966</v>
      </c>
      <c r="P43" s="110" t="s">
        <v>136</v>
      </c>
      <c r="Q43" s="110" t="s">
        <v>136</v>
      </c>
      <c r="R43" s="110" t="s">
        <v>134</v>
      </c>
      <c r="S43" s="110" t="s">
        <v>134</v>
      </c>
      <c r="T43" s="110" t="s">
        <v>134</v>
      </c>
      <c r="U43" s="110" t="s">
        <v>136</v>
      </c>
      <c r="V43" s="106" t="s">
        <v>93</v>
      </c>
      <c r="W43" s="116">
        <v>45714</v>
      </c>
      <c r="X43" s="116">
        <v>45695</v>
      </c>
      <c r="Y43" s="110"/>
      <c r="Z43" s="169" t="s">
        <v>85</v>
      </c>
      <c r="AA43" s="124">
        <v>0</v>
      </c>
      <c r="AB43" s="110">
        <v>5610</v>
      </c>
      <c r="AC43" s="114">
        <v>525630</v>
      </c>
      <c r="AD43" s="114">
        <f t="shared" si="1"/>
        <v>625499.69999999995</v>
      </c>
      <c r="AE43" s="114">
        <v>313000</v>
      </c>
      <c r="AF43" s="110"/>
      <c r="AG43" s="142" t="s">
        <v>1225</v>
      </c>
      <c r="AH43" s="116">
        <v>45719</v>
      </c>
      <c r="AI43" s="116">
        <v>45782</v>
      </c>
      <c r="AJ43" s="110" t="s">
        <v>245</v>
      </c>
      <c r="AK43" s="230"/>
      <c r="AL43" s="142"/>
    </row>
    <row r="44" spans="1:38" ht="53.25" customHeight="1" x14ac:dyDescent="0.25">
      <c r="A44" s="147">
        <v>2025</v>
      </c>
      <c r="B44" s="111">
        <v>2</v>
      </c>
      <c r="C44" s="148">
        <v>22352</v>
      </c>
      <c r="D44" s="108">
        <v>45700</v>
      </c>
      <c r="E44" s="110" t="s">
        <v>443</v>
      </c>
      <c r="F44" s="111" t="s">
        <v>345</v>
      </c>
      <c r="G44" s="110" t="s">
        <v>98</v>
      </c>
      <c r="H44" s="110">
        <v>6043222651</v>
      </c>
      <c r="I44" s="110">
        <v>3105724232</v>
      </c>
      <c r="J44" s="108">
        <v>45700</v>
      </c>
      <c r="K44" s="167" t="s">
        <v>88</v>
      </c>
      <c r="L44" s="112" t="s">
        <v>1229</v>
      </c>
      <c r="M44" s="110" t="s">
        <v>136</v>
      </c>
      <c r="N44" s="110" t="s">
        <v>136</v>
      </c>
      <c r="O44" s="110">
        <v>5965</v>
      </c>
      <c r="P44" s="110">
        <v>8447</v>
      </c>
      <c r="Q44" s="110" t="s">
        <v>136</v>
      </c>
      <c r="R44" s="110" t="s">
        <v>136</v>
      </c>
      <c r="S44" s="110" t="s">
        <v>136</v>
      </c>
      <c r="T44" s="110" t="s">
        <v>134</v>
      </c>
      <c r="U44" s="110" t="s">
        <v>134</v>
      </c>
      <c r="V44" s="106" t="s">
        <v>87</v>
      </c>
      <c r="W44" s="116" t="s">
        <v>136</v>
      </c>
      <c r="X44" s="116">
        <v>45703</v>
      </c>
      <c r="Y44" s="110"/>
      <c r="Z44" s="169" t="s">
        <v>85</v>
      </c>
      <c r="AA44" s="124">
        <v>0</v>
      </c>
      <c r="AB44" s="110">
        <v>5547</v>
      </c>
      <c r="AC44" s="114">
        <v>513430</v>
      </c>
      <c r="AD44" s="114">
        <f t="shared" si="1"/>
        <v>610981.69999999995</v>
      </c>
      <c r="AE44" s="114">
        <v>575812</v>
      </c>
      <c r="AF44" s="110"/>
      <c r="AG44" s="142" t="s">
        <v>1230</v>
      </c>
      <c r="AH44" s="116">
        <v>45700</v>
      </c>
      <c r="AI44" s="116">
        <v>45782</v>
      </c>
      <c r="AJ44" s="110" t="s">
        <v>245</v>
      </c>
      <c r="AK44" s="230"/>
      <c r="AL44" s="142"/>
    </row>
    <row r="45" spans="1:38" ht="53.25" customHeight="1" x14ac:dyDescent="0.25">
      <c r="A45" s="147">
        <v>2025</v>
      </c>
      <c r="B45" s="111">
        <v>2</v>
      </c>
      <c r="C45" s="148">
        <v>22353</v>
      </c>
      <c r="D45" s="108">
        <v>45700</v>
      </c>
      <c r="E45" s="111" t="s">
        <v>430</v>
      </c>
      <c r="F45" s="111" t="s">
        <v>430</v>
      </c>
      <c r="G45" s="110" t="s">
        <v>154</v>
      </c>
      <c r="H45" s="110">
        <v>3206264770</v>
      </c>
      <c r="I45" s="110">
        <v>3206264770</v>
      </c>
      <c r="J45" s="108">
        <v>45710</v>
      </c>
      <c r="K45" s="201" t="s">
        <v>84</v>
      </c>
      <c r="L45" s="112" t="s">
        <v>1231</v>
      </c>
      <c r="M45" s="110" t="s">
        <v>136</v>
      </c>
      <c r="N45" s="110">
        <v>5716</v>
      </c>
      <c r="O45" s="110" t="s">
        <v>136</v>
      </c>
      <c r="P45" s="110" t="s">
        <v>136</v>
      </c>
      <c r="Q45" s="110" t="s">
        <v>136</v>
      </c>
      <c r="R45" s="110" t="s">
        <v>136</v>
      </c>
      <c r="S45" s="110" t="s">
        <v>136</v>
      </c>
      <c r="T45" s="110" t="s">
        <v>136</v>
      </c>
      <c r="U45" s="110" t="s">
        <v>136</v>
      </c>
      <c r="V45" s="106" t="s">
        <v>119</v>
      </c>
      <c r="W45" s="116">
        <v>45713</v>
      </c>
      <c r="X45" s="116" t="s">
        <v>136</v>
      </c>
      <c r="Y45" s="110"/>
      <c r="Z45" s="169" t="s">
        <v>85</v>
      </c>
      <c r="AA45" s="114">
        <v>850000</v>
      </c>
      <c r="AB45" s="110">
        <v>5597</v>
      </c>
      <c r="AC45" s="114">
        <v>714286</v>
      </c>
      <c r="AD45" s="114">
        <f t="shared" si="1"/>
        <v>850000.34</v>
      </c>
      <c r="AE45" s="114">
        <v>0</v>
      </c>
      <c r="AF45" s="110"/>
      <c r="AG45" s="142" t="s">
        <v>1205</v>
      </c>
      <c r="AH45" s="116">
        <v>45710</v>
      </c>
      <c r="AI45" s="116">
        <v>45782</v>
      </c>
      <c r="AJ45" s="110" t="s">
        <v>245</v>
      </c>
      <c r="AK45" s="230"/>
      <c r="AL45" s="142"/>
    </row>
    <row r="46" spans="1:38" ht="53.25" customHeight="1" x14ac:dyDescent="0.25">
      <c r="A46" s="147">
        <v>2025</v>
      </c>
      <c r="B46" s="111">
        <v>2</v>
      </c>
      <c r="C46" s="148">
        <v>22354</v>
      </c>
      <c r="D46" s="108">
        <v>45700</v>
      </c>
      <c r="E46" s="110" t="s">
        <v>444</v>
      </c>
      <c r="F46" s="111" t="s">
        <v>262</v>
      </c>
      <c r="G46" s="110" t="s">
        <v>445</v>
      </c>
      <c r="H46" s="110">
        <v>3140491</v>
      </c>
      <c r="I46" s="110">
        <v>3108452977</v>
      </c>
      <c r="J46" s="108">
        <v>45706</v>
      </c>
      <c r="K46" s="110" t="s">
        <v>88</v>
      </c>
      <c r="L46" s="112" t="s">
        <v>1232</v>
      </c>
      <c r="M46" s="110" t="s">
        <v>136</v>
      </c>
      <c r="N46" s="110" t="s">
        <v>136</v>
      </c>
      <c r="O46" s="110">
        <v>5968</v>
      </c>
      <c r="P46" s="110">
        <v>8455</v>
      </c>
      <c r="Q46" s="110" t="s">
        <v>136</v>
      </c>
      <c r="R46" s="110" t="s">
        <v>136</v>
      </c>
      <c r="S46" s="110" t="s">
        <v>134</v>
      </c>
      <c r="T46" s="110" t="s">
        <v>134</v>
      </c>
      <c r="U46" s="110" t="s">
        <v>136</v>
      </c>
      <c r="V46" s="106" t="s">
        <v>119</v>
      </c>
      <c r="W46" s="116">
        <v>45713</v>
      </c>
      <c r="X46" s="116">
        <v>45721</v>
      </c>
      <c r="Y46" s="110"/>
      <c r="Z46" s="169" t="s">
        <v>85</v>
      </c>
      <c r="AA46" s="124">
        <v>0</v>
      </c>
      <c r="AB46" s="110">
        <v>5545</v>
      </c>
      <c r="AC46" s="114">
        <v>955792</v>
      </c>
      <c r="AD46" s="114">
        <f t="shared" si="1"/>
        <v>1137392.48</v>
      </c>
      <c r="AE46" s="114">
        <v>0</v>
      </c>
      <c r="AF46" s="110"/>
      <c r="AG46" s="142" t="s">
        <v>1233</v>
      </c>
      <c r="AH46" s="116">
        <v>45708</v>
      </c>
      <c r="AI46" s="116">
        <v>45782</v>
      </c>
      <c r="AJ46" s="110" t="s">
        <v>245</v>
      </c>
      <c r="AK46" s="230"/>
      <c r="AL46" s="142"/>
    </row>
    <row r="47" spans="1:38" ht="53.25" customHeight="1" x14ac:dyDescent="0.25">
      <c r="A47" s="147">
        <v>2025</v>
      </c>
      <c r="B47" s="111">
        <v>2</v>
      </c>
      <c r="C47" s="148">
        <v>22355</v>
      </c>
      <c r="D47" s="108">
        <v>45703</v>
      </c>
      <c r="E47" s="110" t="s">
        <v>463</v>
      </c>
      <c r="F47" s="111" t="s">
        <v>464</v>
      </c>
      <c r="G47" s="110" t="s">
        <v>154</v>
      </c>
      <c r="H47" s="110">
        <v>3174129936</v>
      </c>
      <c r="I47" s="110">
        <v>3174129936</v>
      </c>
      <c r="J47" s="108">
        <v>45713</v>
      </c>
      <c r="K47" s="110" t="s">
        <v>84</v>
      </c>
      <c r="L47" s="112" t="s">
        <v>1234</v>
      </c>
      <c r="M47" s="110" t="s">
        <v>363</v>
      </c>
      <c r="N47" s="110">
        <v>5720</v>
      </c>
      <c r="O47" s="110" t="s">
        <v>136</v>
      </c>
      <c r="P47" s="110" t="s">
        <v>136</v>
      </c>
      <c r="Q47" s="110" t="s">
        <v>136</v>
      </c>
      <c r="R47" s="110" t="s">
        <v>136</v>
      </c>
      <c r="S47" s="110" t="s">
        <v>136</v>
      </c>
      <c r="T47" s="110" t="s">
        <v>136</v>
      </c>
      <c r="U47" s="110" t="s">
        <v>136</v>
      </c>
      <c r="V47" s="106" t="s">
        <v>87</v>
      </c>
      <c r="W47" s="116">
        <v>45722</v>
      </c>
      <c r="X47" s="116">
        <v>45723</v>
      </c>
      <c r="Y47" s="110"/>
      <c r="Z47" s="169" t="s">
        <v>85</v>
      </c>
      <c r="AA47" s="124">
        <v>0</v>
      </c>
      <c r="AB47" s="110">
        <v>5616</v>
      </c>
      <c r="AC47" s="114">
        <v>781512</v>
      </c>
      <c r="AD47" s="114">
        <f t="shared" si="1"/>
        <v>929999.27999999991</v>
      </c>
      <c r="AE47" s="114">
        <v>800000</v>
      </c>
      <c r="AF47" s="110"/>
      <c r="AG47" s="142" t="s">
        <v>1235</v>
      </c>
      <c r="AH47" s="116">
        <v>45722</v>
      </c>
      <c r="AI47" s="116">
        <v>45782</v>
      </c>
      <c r="AJ47" s="110" t="s">
        <v>245</v>
      </c>
      <c r="AK47" s="230"/>
      <c r="AL47" s="142"/>
    </row>
    <row r="48" spans="1:38" ht="60" x14ac:dyDescent="0.25">
      <c r="A48" s="147">
        <v>2025</v>
      </c>
      <c r="B48" s="111">
        <v>2</v>
      </c>
      <c r="C48" s="148">
        <v>22356</v>
      </c>
      <c r="D48" s="108">
        <v>45701</v>
      </c>
      <c r="E48" s="110" t="s">
        <v>448</v>
      </c>
      <c r="F48" s="111" t="s">
        <v>449</v>
      </c>
      <c r="G48" s="110" t="s">
        <v>450</v>
      </c>
      <c r="H48" s="110">
        <v>3003164898</v>
      </c>
      <c r="I48" s="110">
        <v>346841542</v>
      </c>
      <c r="J48" s="108">
        <v>45713</v>
      </c>
      <c r="K48" s="110" t="s">
        <v>84</v>
      </c>
      <c r="L48" s="112" t="s">
        <v>1236</v>
      </c>
      <c r="M48" s="110" t="s">
        <v>136</v>
      </c>
      <c r="N48" s="110">
        <v>5718</v>
      </c>
      <c r="O48" s="110">
        <v>5971</v>
      </c>
      <c r="P48" s="110" t="s">
        <v>136</v>
      </c>
      <c r="Q48" s="110">
        <v>5421</v>
      </c>
      <c r="R48" s="110" t="s">
        <v>136</v>
      </c>
      <c r="S48" s="110" t="s">
        <v>134</v>
      </c>
      <c r="T48" s="110" t="s">
        <v>134</v>
      </c>
      <c r="U48" s="110" t="s">
        <v>136</v>
      </c>
      <c r="V48" s="106" t="s">
        <v>87</v>
      </c>
      <c r="W48" s="116">
        <v>45713</v>
      </c>
      <c r="X48" s="116">
        <v>45723</v>
      </c>
      <c r="Y48" s="110"/>
      <c r="Z48" s="169" t="s">
        <v>85</v>
      </c>
      <c r="AA48" s="124">
        <v>0</v>
      </c>
      <c r="AB48" s="110">
        <v>5593</v>
      </c>
      <c r="AC48" s="114">
        <v>621848</v>
      </c>
      <c r="AD48" s="114">
        <f t="shared" si="1"/>
        <v>739999.12</v>
      </c>
      <c r="AE48" s="114">
        <v>440000</v>
      </c>
      <c r="AF48" s="110"/>
      <c r="AG48" s="142" t="s">
        <v>1237</v>
      </c>
      <c r="AH48" s="116">
        <v>45714</v>
      </c>
      <c r="AI48" s="116">
        <v>45782</v>
      </c>
      <c r="AJ48" s="110" t="s">
        <v>245</v>
      </c>
      <c r="AK48" s="230"/>
      <c r="AL48" s="142"/>
    </row>
    <row r="49" spans="1:38" ht="51" customHeight="1" x14ac:dyDescent="0.25">
      <c r="A49" s="147">
        <v>2025</v>
      </c>
      <c r="B49" s="111">
        <v>2</v>
      </c>
      <c r="C49" s="148">
        <v>22357</v>
      </c>
      <c r="D49" s="108">
        <v>45703</v>
      </c>
      <c r="E49" s="110" t="s">
        <v>502</v>
      </c>
      <c r="F49" s="111" t="s">
        <v>503</v>
      </c>
      <c r="G49" s="110" t="s">
        <v>403</v>
      </c>
      <c r="H49" s="110">
        <v>6044449351</v>
      </c>
      <c r="I49" s="110">
        <v>3197853017</v>
      </c>
      <c r="J49" s="108">
        <v>45710</v>
      </c>
      <c r="K49" s="110" t="s">
        <v>88</v>
      </c>
      <c r="L49" s="112" t="s">
        <v>1238</v>
      </c>
      <c r="M49" s="110" t="s">
        <v>136</v>
      </c>
      <c r="N49" s="110" t="s">
        <v>136</v>
      </c>
      <c r="O49" s="110" t="s">
        <v>136</v>
      </c>
      <c r="P49" s="110">
        <v>8451</v>
      </c>
      <c r="Q49" s="110" t="s">
        <v>136</v>
      </c>
      <c r="R49" s="110" t="s">
        <v>136</v>
      </c>
      <c r="S49" s="110" t="s">
        <v>134</v>
      </c>
      <c r="T49" s="110" t="s">
        <v>134</v>
      </c>
      <c r="U49" s="110" t="s">
        <v>134</v>
      </c>
      <c r="V49" s="106" t="s">
        <v>119</v>
      </c>
      <c r="W49" s="116" t="s">
        <v>136</v>
      </c>
      <c r="X49" s="116">
        <v>45715</v>
      </c>
      <c r="Y49" s="110"/>
      <c r="Z49" s="169" t="s">
        <v>85</v>
      </c>
      <c r="AA49" s="124">
        <v>0</v>
      </c>
      <c r="AB49" s="110">
        <v>5611</v>
      </c>
      <c r="AC49" s="114">
        <v>546218</v>
      </c>
      <c r="AD49" s="114">
        <f t="shared" si="1"/>
        <v>649999.41999999993</v>
      </c>
      <c r="AE49" s="114">
        <v>624000</v>
      </c>
      <c r="AF49" s="110"/>
      <c r="AG49" s="142" t="s">
        <v>1239</v>
      </c>
      <c r="AH49" s="116">
        <v>45701</v>
      </c>
      <c r="AI49" s="116">
        <v>45782</v>
      </c>
      <c r="AJ49" s="110" t="s">
        <v>245</v>
      </c>
      <c r="AK49" s="230"/>
      <c r="AL49" s="142"/>
    </row>
    <row r="50" spans="1:38" ht="75" x14ac:dyDescent="0.25">
      <c r="A50" s="147">
        <v>2025</v>
      </c>
      <c r="B50" s="111">
        <v>2</v>
      </c>
      <c r="C50" s="148">
        <v>22358</v>
      </c>
      <c r="D50" s="108">
        <v>45706</v>
      </c>
      <c r="E50" s="110" t="s">
        <v>468</v>
      </c>
      <c r="F50" s="111" t="s">
        <v>469</v>
      </c>
      <c r="G50" s="110" t="s">
        <v>154</v>
      </c>
      <c r="H50" s="110">
        <v>3045587986</v>
      </c>
      <c r="I50" s="110">
        <v>3103905787</v>
      </c>
      <c r="J50" s="108">
        <v>45717</v>
      </c>
      <c r="K50" s="110" t="s">
        <v>88</v>
      </c>
      <c r="L50" s="112" t="s">
        <v>1240</v>
      </c>
      <c r="M50" s="110" t="s">
        <v>136</v>
      </c>
      <c r="N50" s="110">
        <v>5735</v>
      </c>
      <c r="O50" s="110">
        <v>5974</v>
      </c>
      <c r="P50" s="110">
        <v>8459</v>
      </c>
      <c r="Q50" s="110">
        <v>5416</v>
      </c>
      <c r="R50" s="110" t="s">
        <v>136</v>
      </c>
      <c r="S50" s="110" t="s">
        <v>134</v>
      </c>
      <c r="T50" s="110" t="s">
        <v>134</v>
      </c>
      <c r="U50" s="110" t="s">
        <v>136</v>
      </c>
      <c r="V50" s="106" t="s">
        <v>119</v>
      </c>
      <c r="W50" s="116">
        <v>45716</v>
      </c>
      <c r="X50" s="116">
        <v>45732</v>
      </c>
      <c r="Y50" s="110"/>
      <c r="Z50" s="169" t="s">
        <v>85</v>
      </c>
      <c r="AA50" s="124">
        <v>0</v>
      </c>
      <c r="AB50" s="110">
        <v>5615</v>
      </c>
      <c r="AC50" s="114">
        <v>3398566</v>
      </c>
      <c r="AD50" s="114">
        <f t="shared" si="1"/>
        <v>4044293.54</v>
      </c>
      <c r="AE50" s="114">
        <v>2000001</v>
      </c>
      <c r="AF50" s="110"/>
      <c r="AG50" s="142" t="s">
        <v>1241</v>
      </c>
      <c r="AH50" s="116">
        <v>45721</v>
      </c>
      <c r="AI50" s="116">
        <v>45782</v>
      </c>
      <c r="AJ50" s="110" t="s">
        <v>245</v>
      </c>
      <c r="AK50" s="230" t="s">
        <v>704</v>
      </c>
      <c r="AL50" s="142" t="s">
        <v>705</v>
      </c>
    </row>
    <row r="51" spans="1:38" ht="53.25" customHeight="1" x14ac:dyDescent="0.25">
      <c r="A51" s="147">
        <v>2025</v>
      </c>
      <c r="B51" s="111">
        <v>2</v>
      </c>
      <c r="C51" s="148">
        <v>22359</v>
      </c>
      <c r="D51" s="108">
        <v>45702</v>
      </c>
      <c r="E51" s="110" t="s">
        <v>451</v>
      </c>
      <c r="F51" s="111" t="s">
        <v>452</v>
      </c>
      <c r="G51" s="110" t="s">
        <v>98</v>
      </c>
      <c r="H51" s="110">
        <v>3012244</v>
      </c>
      <c r="I51" s="110">
        <v>3113723513</v>
      </c>
      <c r="J51" s="108">
        <v>45715</v>
      </c>
      <c r="K51" s="110" t="s">
        <v>86</v>
      </c>
      <c r="L51" s="112" t="s">
        <v>1242</v>
      </c>
      <c r="M51" s="110" t="s">
        <v>136</v>
      </c>
      <c r="N51" s="110">
        <v>5714</v>
      </c>
      <c r="O51" s="110">
        <v>5973</v>
      </c>
      <c r="P51" s="110">
        <v>8394</v>
      </c>
      <c r="Q51" s="110" t="s">
        <v>136</v>
      </c>
      <c r="R51" s="110" t="s">
        <v>134</v>
      </c>
      <c r="S51" s="110" t="s">
        <v>134</v>
      </c>
      <c r="T51" s="110" t="s">
        <v>136</v>
      </c>
      <c r="U51" s="110" t="s">
        <v>136</v>
      </c>
      <c r="V51" s="106" t="s">
        <v>87</v>
      </c>
      <c r="W51" s="116">
        <v>45714</v>
      </c>
      <c r="X51" s="116">
        <v>45721</v>
      </c>
      <c r="Y51" s="110"/>
      <c r="Z51" s="169" t="s">
        <v>85</v>
      </c>
      <c r="AA51" s="124">
        <v>0</v>
      </c>
      <c r="AB51" s="110">
        <v>5627</v>
      </c>
      <c r="AC51" s="114">
        <v>4119724</v>
      </c>
      <c r="AD51" s="114">
        <f t="shared" si="1"/>
        <v>4902471.5599999996</v>
      </c>
      <c r="AE51" s="114">
        <v>47899478</v>
      </c>
      <c r="AF51" s="110"/>
      <c r="AG51" s="142" t="s">
        <v>1243</v>
      </c>
      <c r="AH51" s="116">
        <v>45701</v>
      </c>
      <c r="AI51" s="116">
        <v>45782</v>
      </c>
      <c r="AJ51" s="145" t="s">
        <v>245</v>
      </c>
      <c r="AK51" s="230"/>
      <c r="AL51" s="142"/>
    </row>
    <row r="52" spans="1:38" ht="53.25" customHeight="1" x14ac:dyDescent="0.25">
      <c r="A52" s="147">
        <v>2025</v>
      </c>
      <c r="B52" s="111">
        <v>2</v>
      </c>
      <c r="C52" s="148">
        <v>22360</v>
      </c>
      <c r="D52" s="108">
        <v>45702</v>
      </c>
      <c r="E52" s="110" t="s">
        <v>455</v>
      </c>
      <c r="F52" s="111" t="s">
        <v>455</v>
      </c>
      <c r="G52" s="110" t="s">
        <v>154</v>
      </c>
      <c r="H52" s="110">
        <v>3127209511</v>
      </c>
      <c r="I52" s="110">
        <v>3127209511</v>
      </c>
      <c r="J52" s="108">
        <v>45721</v>
      </c>
      <c r="K52" s="110" t="s">
        <v>84</v>
      </c>
      <c r="L52" s="112" t="s">
        <v>1244</v>
      </c>
      <c r="M52" s="110" t="s">
        <v>281</v>
      </c>
      <c r="N52" s="110" t="s">
        <v>136</v>
      </c>
      <c r="O52" s="110" t="s">
        <v>136</v>
      </c>
      <c r="P52" s="110" t="s">
        <v>136</v>
      </c>
      <c r="Q52" s="110" t="s">
        <v>136</v>
      </c>
      <c r="R52" s="110" t="s">
        <v>136</v>
      </c>
      <c r="S52" s="110" t="s">
        <v>136</v>
      </c>
      <c r="T52" s="110" t="s">
        <v>136</v>
      </c>
      <c r="U52" s="110" t="s">
        <v>136</v>
      </c>
      <c r="V52" s="106" t="s">
        <v>89</v>
      </c>
      <c r="W52" s="116">
        <v>45713</v>
      </c>
      <c r="X52" s="116">
        <v>45742</v>
      </c>
      <c r="Y52" s="110"/>
      <c r="Z52" s="169" t="s">
        <v>85</v>
      </c>
      <c r="AA52" s="124">
        <v>0</v>
      </c>
      <c r="AB52" s="110">
        <v>5545</v>
      </c>
      <c r="AC52" s="114">
        <v>0</v>
      </c>
      <c r="AD52" s="114">
        <v>180000</v>
      </c>
      <c r="AE52" s="114">
        <v>100000</v>
      </c>
      <c r="AF52" s="110"/>
      <c r="AG52" s="142" t="s">
        <v>1245</v>
      </c>
      <c r="AH52" s="116">
        <v>45708</v>
      </c>
      <c r="AI52" s="116">
        <v>45782</v>
      </c>
      <c r="AJ52" s="110" t="s">
        <v>245</v>
      </c>
      <c r="AK52" s="230"/>
      <c r="AL52" s="142"/>
    </row>
    <row r="53" spans="1:38" ht="53.25" customHeight="1" x14ac:dyDescent="0.25">
      <c r="A53" s="147">
        <v>2025</v>
      </c>
      <c r="B53" s="111">
        <v>2</v>
      </c>
      <c r="C53" s="148">
        <v>22361</v>
      </c>
      <c r="D53" s="108">
        <v>45702</v>
      </c>
      <c r="E53" s="111" t="s">
        <v>457</v>
      </c>
      <c r="F53" s="111" t="s">
        <v>457</v>
      </c>
      <c r="G53" s="110" t="s">
        <v>154</v>
      </c>
      <c r="H53" s="110">
        <v>3008418182</v>
      </c>
      <c r="I53" s="110">
        <v>3008418182</v>
      </c>
      <c r="J53" s="108">
        <v>45716</v>
      </c>
      <c r="K53" s="110" t="s">
        <v>84</v>
      </c>
      <c r="L53" s="112" t="s">
        <v>1246</v>
      </c>
      <c r="M53" s="110" t="s">
        <v>136</v>
      </c>
      <c r="N53" s="110">
        <v>5721</v>
      </c>
      <c r="O53" s="110" t="s">
        <v>136</v>
      </c>
      <c r="P53" s="110">
        <v>8478</v>
      </c>
      <c r="Q53" s="110">
        <v>5424</v>
      </c>
      <c r="R53" s="110" t="s">
        <v>136</v>
      </c>
      <c r="S53" s="110" t="s">
        <v>134</v>
      </c>
      <c r="T53" s="110" t="s">
        <v>134</v>
      </c>
      <c r="U53" s="110" t="s">
        <v>136</v>
      </c>
      <c r="V53" s="106" t="s">
        <v>87</v>
      </c>
      <c r="W53" s="116">
        <v>45713</v>
      </c>
      <c r="X53" s="116">
        <v>45721</v>
      </c>
      <c r="Y53" s="110"/>
      <c r="Z53" s="169" t="s">
        <v>85</v>
      </c>
      <c r="AA53" s="124">
        <v>0</v>
      </c>
      <c r="AB53" s="110">
        <v>5608</v>
      </c>
      <c r="AC53" s="114">
        <v>0</v>
      </c>
      <c r="AD53" s="114">
        <v>384800</v>
      </c>
      <c r="AE53" s="114">
        <v>200000</v>
      </c>
      <c r="AF53" s="110"/>
      <c r="AG53" s="142" t="s">
        <v>1247</v>
      </c>
      <c r="AH53" s="116">
        <v>45715</v>
      </c>
      <c r="AI53" s="116">
        <v>45782</v>
      </c>
      <c r="AJ53" s="110" t="s">
        <v>245</v>
      </c>
      <c r="AK53" s="230"/>
      <c r="AL53" s="142"/>
    </row>
    <row r="54" spans="1:38" ht="60" x14ac:dyDescent="0.25">
      <c r="A54" s="147">
        <v>2025</v>
      </c>
      <c r="B54" s="111">
        <v>2</v>
      </c>
      <c r="C54" s="148">
        <v>22362</v>
      </c>
      <c r="D54" s="108">
        <v>45703</v>
      </c>
      <c r="E54" s="110" t="s">
        <v>480</v>
      </c>
      <c r="F54" s="111" t="s">
        <v>366</v>
      </c>
      <c r="G54" s="110" t="s">
        <v>99</v>
      </c>
      <c r="H54" s="110">
        <v>3045306051</v>
      </c>
      <c r="I54" s="110">
        <v>3045306051</v>
      </c>
      <c r="J54" s="108">
        <v>45713</v>
      </c>
      <c r="K54" s="110" t="s">
        <v>99</v>
      </c>
      <c r="L54" s="112" t="s">
        <v>1248</v>
      </c>
      <c r="M54" s="110" t="s">
        <v>136</v>
      </c>
      <c r="N54" s="110" t="s">
        <v>136</v>
      </c>
      <c r="O54" s="110" t="s">
        <v>136</v>
      </c>
      <c r="P54" s="110">
        <v>7789</v>
      </c>
      <c r="Q54" s="110">
        <v>5216</v>
      </c>
      <c r="R54" s="110" t="s">
        <v>136</v>
      </c>
      <c r="S54" s="110" t="s">
        <v>136</v>
      </c>
      <c r="T54" s="110" t="s">
        <v>134</v>
      </c>
      <c r="U54" s="110" t="s">
        <v>134</v>
      </c>
      <c r="V54" s="106" t="s">
        <v>89</v>
      </c>
      <c r="W54" s="116" t="s">
        <v>136</v>
      </c>
      <c r="X54" s="116">
        <v>45715</v>
      </c>
      <c r="Y54" s="110"/>
      <c r="Z54" s="169" t="s">
        <v>85</v>
      </c>
      <c r="AA54" s="124">
        <v>0</v>
      </c>
      <c r="AB54" s="110">
        <v>5506</v>
      </c>
      <c r="AC54" s="114">
        <v>685000</v>
      </c>
      <c r="AD54" s="114">
        <f>+AC54*1.19</f>
        <v>815150</v>
      </c>
      <c r="AE54" s="114">
        <v>288575</v>
      </c>
      <c r="AF54" s="110"/>
      <c r="AG54" s="142" t="s">
        <v>1249</v>
      </c>
      <c r="AH54" s="116">
        <v>45707</v>
      </c>
      <c r="AI54" s="116">
        <v>45782</v>
      </c>
      <c r="AJ54" s="110" t="s">
        <v>397</v>
      </c>
      <c r="AK54" s="230"/>
      <c r="AL54" s="142"/>
    </row>
    <row r="55" spans="1:38" ht="53.25" customHeight="1" x14ac:dyDescent="0.25">
      <c r="A55" s="147">
        <v>2025</v>
      </c>
      <c r="B55" s="111">
        <v>2</v>
      </c>
      <c r="C55" s="148">
        <v>22363</v>
      </c>
      <c r="D55" s="108">
        <v>45703</v>
      </c>
      <c r="E55" s="110" t="s">
        <v>358</v>
      </c>
      <c r="F55" s="111" t="s">
        <v>359</v>
      </c>
      <c r="G55" s="110" t="s">
        <v>98</v>
      </c>
      <c r="H55" s="110">
        <v>6044487170</v>
      </c>
      <c r="I55" s="110">
        <v>3216425669</v>
      </c>
      <c r="J55" s="108">
        <v>45715</v>
      </c>
      <c r="K55" s="110" t="s">
        <v>86</v>
      </c>
      <c r="L55" s="112" t="s">
        <v>1250</v>
      </c>
      <c r="M55" s="110" t="s">
        <v>136</v>
      </c>
      <c r="N55" s="110">
        <v>5722</v>
      </c>
      <c r="O55" s="110" t="s">
        <v>136</v>
      </c>
      <c r="P55" s="110">
        <v>8475</v>
      </c>
      <c r="Q55" s="110" t="s">
        <v>136</v>
      </c>
      <c r="R55" s="110" t="s">
        <v>136</v>
      </c>
      <c r="S55" s="110" t="s">
        <v>136</v>
      </c>
      <c r="T55" s="110" t="s">
        <v>136</v>
      </c>
      <c r="U55" s="110" t="s">
        <v>136</v>
      </c>
      <c r="V55" s="106" t="s">
        <v>87</v>
      </c>
      <c r="W55" s="116">
        <v>45708</v>
      </c>
      <c r="X55" s="116" t="s">
        <v>136</v>
      </c>
      <c r="Y55" s="110"/>
      <c r="Z55" s="169" t="s">
        <v>85</v>
      </c>
      <c r="AA55" s="124">
        <v>0</v>
      </c>
      <c r="AB55" s="110">
        <v>5568</v>
      </c>
      <c r="AC55" s="114">
        <v>239048</v>
      </c>
      <c r="AD55" s="114">
        <f>+AC55*1.19</f>
        <v>284467.12</v>
      </c>
      <c r="AE55" s="114">
        <v>0</v>
      </c>
      <c r="AF55" s="110"/>
      <c r="AG55" s="142" t="s">
        <v>1172</v>
      </c>
      <c r="AH55" s="116">
        <v>45747</v>
      </c>
      <c r="AI55" s="116">
        <v>45782</v>
      </c>
      <c r="AJ55" s="110" t="s">
        <v>245</v>
      </c>
      <c r="AK55" s="230"/>
      <c r="AL55" s="142"/>
    </row>
    <row r="56" spans="1:38" ht="53.25" customHeight="1" x14ac:dyDescent="0.25">
      <c r="A56" s="147">
        <v>2025</v>
      </c>
      <c r="B56" s="111">
        <v>2</v>
      </c>
      <c r="C56" s="148">
        <v>22364</v>
      </c>
      <c r="D56" s="108">
        <v>45705</v>
      </c>
      <c r="E56" s="111" t="s">
        <v>458</v>
      </c>
      <c r="F56" s="111" t="s">
        <v>458</v>
      </c>
      <c r="G56" s="110" t="s">
        <v>154</v>
      </c>
      <c r="H56" s="110">
        <v>3185344179</v>
      </c>
      <c r="I56" s="110">
        <v>3185344179</v>
      </c>
      <c r="J56" s="108">
        <v>45716</v>
      </c>
      <c r="K56" s="110" t="s">
        <v>84</v>
      </c>
      <c r="L56" s="112" t="s">
        <v>1251</v>
      </c>
      <c r="M56" s="110" t="s">
        <v>136</v>
      </c>
      <c r="N56" s="110">
        <v>5730</v>
      </c>
      <c r="O56" s="110">
        <v>5982</v>
      </c>
      <c r="P56" s="110" t="s">
        <v>136</v>
      </c>
      <c r="Q56" s="110">
        <v>5426</v>
      </c>
      <c r="R56" s="110" t="s">
        <v>136</v>
      </c>
      <c r="S56" s="110" t="s">
        <v>134</v>
      </c>
      <c r="T56" s="110" t="s">
        <v>134</v>
      </c>
      <c r="U56" s="110" t="s">
        <v>136</v>
      </c>
      <c r="V56" s="106" t="s">
        <v>119</v>
      </c>
      <c r="W56" s="116">
        <v>45715</v>
      </c>
      <c r="X56" s="116">
        <v>45720</v>
      </c>
      <c r="Y56" s="110"/>
      <c r="Z56" s="169" t="s">
        <v>85</v>
      </c>
      <c r="AA56" s="124">
        <v>0</v>
      </c>
      <c r="AB56" s="110">
        <v>5603</v>
      </c>
      <c r="AC56" s="114">
        <v>0</v>
      </c>
      <c r="AD56" s="114">
        <v>366248</v>
      </c>
      <c r="AE56" s="114">
        <v>200000</v>
      </c>
      <c r="AF56" s="110"/>
      <c r="AG56" s="142" t="s">
        <v>1252</v>
      </c>
      <c r="AH56" s="116">
        <v>45715</v>
      </c>
      <c r="AI56" s="116">
        <v>45782</v>
      </c>
      <c r="AJ56" s="110" t="s">
        <v>245</v>
      </c>
      <c r="AK56" s="230"/>
      <c r="AL56" s="142"/>
    </row>
    <row r="57" spans="1:38" ht="53.25" customHeight="1" x14ac:dyDescent="0.25">
      <c r="A57" s="147">
        <v>2025</v>
      </c>
      <c r="B57" s="111">
        <v>2</v>
      </c>
      <c r="C57" s="148">
        <v>22365</v>
      </c>
      <c r="D57" s="108">
        <v>42052</v>
      </c>
      <c r="E57" s="110" t="s">
        <v>456</v>
      </c>
      <c r="F57" s="111" t="s">
        <v>343</v>
      </c>
      <c r="G57" s="110" t="s">
        <v>98</v>
      </c>
      <c r="H57" s="110">
        <v>3134922929</v>
      </c>
      <c r="I57" s="110">
        <v>3134922929</v>
      </c>
      <c r="J57" s="108">
        <v>45709</v>
      </c>
      <c r="K57" s="110" t="s">
        <v>88</v>
      </c>
      <c r="L57" s="112" t="s">
        <v>1253</v>
      </c>
      <c r="M57" s="110" t="s">
        <v>282</v>
      </c>
      <c r="N57" s="110" t="s">
        <v>136</v>
      </c>
      <c r="O57" s="110" t="s">
        <v>136</v>
      </c>
      <c r="P57" s="110" t="s">
        <v>136</v>
      </c>
      <c r="Q57" s="110" t="s">
        <v>136</v>
      </c>
      <c r="R57" s="110" t="s">
        <v>136</v>
      </c>
      <c r="S57" s="110" t="s">
        <v>134</v>
      </c>
      <c r="T57" s="110" t="s">
        <v>134</v>
      </c>
      <c r="U57" s="110" t="s">
        <v>136</v>
      </c>
      <c r="V57" s="106" t="s">
        <v>119</v>
      </c>
      <c r="W57" s="116">
        <v>45708</v>
      </c>
      <c r="X57" s="116">
        <v>45710</v>
      </c>
      <c r="Y57" s="110"/>
      <c r="Z57" s="169" t="s">
        <v>85</v>
      </c>
      <c r="AA57" s="124">
        <v>0</v>
      </c>
      <c r="AB57" s="110" t="s">
        <v>136</v>
      </c>
      <c r="AC57" s="114">
        <v>0</v>
      </c>
      <c r="AD57" s="114">
        <f t="shared" ref="AD57:AD71" si="2">+AC57*1.19</f>
        <v>0</v>
      </c>
      <c r="AE57" s="114">
        <v>0</v>
      </c>
      <c r="AF57" s="110"/>
      <c r="AG57" s="142" t="s">
        <v>1254</v>
      </c>
      <c r="AH57" s="116" t="s">
        <v>136</v>
      </c>
      <c r="AI57" s="116">
        <v>45782</v>
      </c>
      <c r="AJ57" s="110" t="s">
        <v>245</v>
      </c>
      <c r="AK57" s="230">
        <v>9</v>
      </c>
      <c r="AL57" s="142"/>
    </row>
    <row r="58" spans="1:38" ht="53.25" customHeight="1" x14ac:dyDescent="0.25">
      <c r="A58" s="147">
        <v>2025</v>
      </c>
      <c r="B58" s="111">
        <v>2</v>
      </c>
      <c r="C58" s="148">
        <v>22366</v>
      </c>
      <c r="D58" s="108">
        <v>45705</v>
      </c>
      <c r="E58" s="110" t="s">
        <v>1255</v>
      </c>
      <c r="F58" s="111" t="s">
        <v>459</v>
      </c>
      <c r="G58" s="110" t="s">
        <v>460</v>
      </c>
      <c r="H58" s="110">
        <v>6044484823</v>
      </c>
      <c r="I58" s="110">
        <v>3117616144</v>
      </c>
      <c r="J58" s="108">
        <v>45713</v>
      </c>
      <c r="K58" s="110" t="s">
        <v>88</v>
      </c>
      <c r="L58" s="112" t="s">
        <v>1256</v>
      </c>
      <c r="M58" s="110" t="s">
        <v>136</v>
      </c>
      <c r="N58" s="110">
        <v>5719</v>
      </c>
      <c r="O58" s="110">
        <v>5976</v>
      </c>
      <c r="P58" s="110" t="s">
        <v>136</v>
      </c>
      <c r="Q58" s="110">
        <v>5420</v>
      </c>
      <c r="R58" s="110" t="s">
        <v>134</v>
      </c>
      <c r="S58" s="110" t="s">
        <v>134</v>
      </c>
      <c r="T58" s="110" t="s">
        <v>134</v>
      </c>
      <c r="U58" s="110" t="s">
        <v>136</v>
      </c>
      <c r="V58" s="106" t="s">
        <v>119</v>
      </c>
      <c r="W58" s="116">
        <v>45715</v>
      </c>
      <c r="X58" s="116">
        <v>45716</v>
      </c>
      <c r="Y58" s="110"/>
      <c r="Z58" s="169" t="s">
        <v>85</v>
      </c>
      <c r="AA58" s="124">
        <v>0</v>
      </c>
      <c r="AB58" s="110" t="s">
        <v>136</v>
      </c>
      <c r="AC58" s="114">
        <v>0</v>
      </c>
      <c r="AD58" s="114">
        <f t="shared" si="2"/>
        <v>0</v>
      </c>
      <c r="AE58" s="114">
        <v>0</v>
      </c>
      <c r="AF58" s="110"/>
      <c r="AG58" s="142" t="s">
        <v>1257</v>
      </c>
      <c r="AH58" s="116" t="s">
        <v>136</v>
      </c>
      <c r="AI58" s="116">
        <v>45782</v>
      </c>
      <c r="AJ58" s="110" t="s">
        <v>245</v>
      </c>
      <c r="AK58" s="230" t="s">
        <v>1259</v>
      </c>
      <c r="AL58" s="142"/>
    </row>
    <row r="59" spans="1:38" ht="53.25" customHeight="1" x14ac:dyDescent="0.25">
      <c r="A59" s="147">
        <v>2025</v>
      </c>
      <c r="B59" s="111">
        <v>2</v>
      </c>
      <c r="C59" s="148">
        <v>22367</v>
      </c>
      <c r="D59" s="108">
        <v>45705</v>
      </c>
      <c r="E59" s="110" t="s">
        <v>470</v>
      </c>
      <c r="F59" s="110" t="s">
        <v>470</v>
      </c>
      <c r="G59" s="110" t="s">
        <v>154</v>
      </c>
      <c r="H59" s="110">
        <v>3104481865</v>
      </c>
      <c r="I59" s="110">
        <v>3104481865</v>
      </c>
      <c r="J59" s="108">
        <v>45691</v>
      </c>
      <c r="K59" s="110" t="s">
        <v>84</v>
      </c>
      <c r="L59" s="112" t="s">
        <v>1258</v>
      </c>
      <c r="M59" s="110" t="s">
        <v>136</v>
      </c>
      <c r="N59" s="110">
        <v>5732</v>
      </c>
      <c r="O59" s="110" t="s">
        <v>136</v>
      </c>
      <c r="P59" s="110">
        <v>8488</v>
      </c>
      <c r="Q59" s="110">
        <v>5428</v>
      </c>
      <c r="R59" s="110" t="s">
        <v>136</v>
      </c>
      <c r="S59" s="110" t="s">
        <v>134</v>
      </c>
      <c r="T59" s="110" t="s">
        <v>134</v>
      </c>
      <c r="U59" s="110" t="s">
        <v>136</v>
      </c>
      <c r="V59" s="106" t="s">
        <v>119</v>
      </c>
      <c r="W59" s="116">
        <v>45715</v>
      </c>
      <c r="X59" s="116">
        <v>45723</v>
      </c>
      <c r="Y59" s="110"/>
      <c r="Z59" s="169" t="s">
        <v>85</v>
      </c>
      <c r="AA59" s="124">
        <v>0</v>
      </c>
      <c r="AB59" s="110">
        <v>5605</v>
      </c>
      <c r="AC59" s="114">
        <v>599225</v>
      </c>
      <c r="AD59" s="114">
        <f t="shared" si="2"/>
        <v>713077.75</v>
      </c>
      <c r="AE59" s="114">
        <v>217812</v>
      </c>
      <c r="AF59" s="110"/>
      <c r="AG59" s="142" t="s">
        <v>1237</v>
      </c>
      <c r="AH59" s="116">
        <v>45715</v>
      </c>
      <c r="AI59" s="116">
        <v>45782</v>
      </c>
      <c r="AJ59" s="110" t="s">
        <v>245</v>
      </c>
      <c r="AK59" s="230"/>
      <c r="AL59" s="142"/>
    </row>
    <row r="60" spans="1:38" ht="60" x14ac:dyDescent="0.25">
      <c r="A60" s="147">
        <v>2025</v>
      </c>
      <c r="B60" s="111">
        <v>2</v>
      </c>
      <c r="C60" s="148">
        <v>22368</v>
      </c>
      <c r="D60" s="108">
        <v>45705</v>
      </c>
      <c r="E60" s="110" t="s">
        <v>461</v>
      </c>
      <c r="F60" s="111" t="s">
        <v>462</v>
      </c>
      <c r="G60" s="110" t="s">
        <v>154</v>
      </c>
      <c r="H60" s="110">
        <v>3192029612</v>
      </c>
      <c r="I60" s="110">
        <v>3192029612</v>
      </c>
      <c r="J60" s="108">
        <v>45716</v>
      </c>
      <c r="K60" s="110" t="s">
        <v>84</v>
      </c>
      <c r="L60" s="112" t="s">
        <v>1260</v>
      </c>
      <c r="M60" s="110" t="s">
        <v>136</v>
      </c>
      <c r="N60" s="110">
        <v>5723</v>
      </c>
      <c r="O60" s="110">
        <v>5975</v>
      </c>
      <c r="P60" s="110" t="s">
        <v>136</v>
      </c>
      <c r="Q60" s="110" t="s">
        <v>136</v>
      </c>
      <c r="R60" s="110" t="s">
        <v>136</v>
      </c>
      <c r="S60" s="110" t="s">
        <v>136</v>
      </c>
      <c r="T60" s="110" t="s">
        <v>136</v>
      </c>
      <c r="U60" s="110" t="s">
        <v>136</v>
      </c>
      <c r="V60" s="106" t="s">
        <v>87</v>
      </c>
      <c r="W60" s="116">
        <v>45713</v>
      </c>
      <c r="X60" s="116">
        <v>45714</v>
      </c>
      <c r="Y60" s="110"/>
      <c r="Z60" s="169" t="s">
        <v>85</v>
      </c>
      <c r="AA60" s="124">
        <v>0</v>
      </c>
      <c r="AB60" s="110">
        <v>5595</v>
      </c>
      <c r="AC60" s="114">
        <v>1092437</v>
      </c>
      <c r="AD60" s="114">
        <f t="shared" si="2"/>
        <v>1300000.03</v>
      </c>
      <c r="AE60" s="114">
        <v>650000</v>
      </c>
      <c r="AF60" s="110"/>
      <c r="AG60" s="142" t="s">
        <v>1181</v>
      </c>
      <c r="AH60" s="116">
        <v>45714</v>
      </c>
      <c r="AI60" s="116">
        <v>45782</v>
      </c>
      <c r="AJ60" s="110" t="s">
        <v>245</v>
      </c>
      <c r="AK60" s="230"/>
      <c r="AL60" s="142"/>
    </row>
    <row r="61" spans="1:38" ht="60" x14ac:dyDescent="0.25">
      <c r="A61" s="147">
        <v>2025</v>
      </c>
      <c r="B61" s="111">
        <v>2</v>
      </c>
      <c r="C61" s="148">
        <v>22369</v>
      </c>
      <c r="D61" s="108">
        <v>45705</v>
      </c>
      <c r="E61" s="110" t="s">
        <v>652</v>
      </c>
      <c r="F61" s="111" t="s">
        <v>465</v>
      </c>
      <c r="G61" s="110" t="s">
        <v>460</v>
      </c>
      <c r="H61" s="110">
        <v>604406508</v>
      </c>
      <c r="I61" s="110">
        <v>604406508</v>
      </c>
      <c r="J61" s="108">
        <v>45716</v>
      </c>
      <c r="K61" s="110" t="s">
        <v>88</v>
      </c>
      <c r="L61" s="112" t="s">
        <v>1261</v>
      </c>
      <c r="M61" s="110" t="s">
        <v>136</v>
      </c>
      <c r="N61" s="110">
        <v>5724</v>
      </c>
      <c r="O61" s="110">
        <v>5977</v>
      </c>
      <c r="P61" s="110">
        <v>8452</v>
      </c>
      <c r="Q61" s="110">
        <v>5413</v>
      </c>
      <c r="R61" s="110" t="s">
        <v>134</v>
      </c>
      <c r="S61" s="110" t="s">
        <v>134</v>
      </c>
      <c r="T61" s="110" t="s">
        <v>134</v>
      </c>
      <c r="U61" s="110" t="s">
        <v>136</v>
      </c>
      <c r="V61" s="106" t="s">
        <v>89</v>
      </c>
      <c r="W61" s="116">
        <v>45719</v>
      </c>
      <c r="X61" s="116">
        <v>45719</v>
      </c>
      <c r="Y61" s="110"/>
      <c r="Z61" s="169" t="s">
        <v>85</v>
      </c>
      <c r="AA61" s="130">
        <v>4114949</v>
      </c>
      <c r="AB61" s="237">
        <v>45719</v>
      </c>
      <c r="AC61" s="114">
        <v>3457940</v>
      </c>
      <c r="AD61" s="114">
        <f t="shared" si="2"/>
        <v>4114948.5999999996</v>
      </c>
      <c r="AE61" s="114">
        <v>0</v>
      </c>
      <c r="AF61" s="110"/>
      <c r="AG61" s="142" t="s">
        <v>728</v>
      </c>
      <c r="AH61" s="116">
        <v>45702</v>
      </c>
      <c r="AI61" s="116">
        <v>45782</v>
      </c>
      <c r="AJ61" s="110" t="s">
        <v>245</v>
      </c>
      <c r="AK61" s="230"/>
      <c r="AL61" s="142"/>
    </row>
    <row r="62" spans="1:38" ht="53.25" customHeight="1" x14ac:dyDescent="0.25">
      <c r="A62" s="147">
        <v>2025</v>
      </c>
      <c r="B62" s="111">
        <v>2</v>
      </c>
      <c r="C62" s="148">
        <v>22370</v>
      </c>
      <c r="D62" s="108">
        <v>45705</v>
      </c>
      <c r="E62" s="111" t="s">
        <v>471</v>
      </c>
      <c r="F62" s="111" t="s">
        <v>471</v>
      </c>
      <c r="G62" s="110" t="s">
        <v>154</v>
      </c>
      <c r="H62" s="110">
        <v>3005052545</v>
      </c>
      <c r="I62" s="110">
        <v>3005052545</v>
      </c>
      <c r="J62" s="108">
        <v>45714</v>
      </c>
      <c r="K62" s="110" t="s">
        <v>84</v>
      </c>
      <c r="L62" s="112" t="s">
        <v>1262</v>
      </c>
      <c r="M62" s="110" t="s">
        <v>136</v>
      </c>
      <c r="N62" s="110">
        <v>5729</v>
      </c>
      <c r="O62" s="110" t="s">
        <v>136</v>
      </c>
      <c r="P62" s="110" t="s">
        <v>136</v>
      </c>
      <c r="Q62" s="110" t="s">
        <v>136</v>
      </c>
      <c r="R62" s="110" t="s">
        <v>136</v>
      </c>
      <c r="S62" s="110" t="s">
        <v>136</v>
      </c>
      <c r="T62" s="110" t="s">
        <v>136</v>
      </c>
      <c r="U62" s="110" t="s">
        <v>136</v>
      </c>
      <c r="V62" s="106" t="s">
        <v>119</v>
      </c>
      <c r="W62" s="116">
        <v>45715</v>
      </c>
      <c r="X62" s="116">
        <v>45715</v>
      </c>
      <c r="Y62" s="110"/>
      <c r="Z62" s="169" t="s">
        <v>85</v>
      </c>
      <c r="AA62" s="130">
        <v>210000</v>
      </c>
      <c r="AB62" s="110">
        <v>5061</v>
      </c>
      <c r="AC62" s="114">
        <v>176471</v>
      </c>
      <c r="AD62" s="114">
        <f t="shared" si="2"/>
        <v>210000.49</v>
      </c>
      <c r="AE62" s="114">
        <v>0</v>
      </c>
      <c r="AF62" s="110"/>
      <c r="AG62" s="142" t="s">
        <v>1263</v>
      </c>
      <c r="AH62" s="116">
        <v>45705</v>
      </c>
      <c r="AI62" s="116">
        <v>45782</v>
      </c>
      <c r="AJ62" s="110" t="s">
        <v>245</v>
      </c>
      <c r="AK62" s="230"/>
      <c r="AL62" s="142"/>
    </row>
    <row r="63" spans="1:38" ht="60" x14ac:dyDescent="0.25">
      <c r="A63" s="147">
        <v>2025</v>
      </c>
      <c r="B63" s="111">
        <v>2</v>
      </c>
      <c r="C63" s="148">
        <v>22371</v>
      </c>
      <c r="D63" s="108">
        <v>45705</v>
      </c>
      <c r="E63" s="110" t="s">
        <v>480</v>
      </c>
      <c r="F63" s="111" t="s">
        <v>366</v>
      </c>
      <c r="G63" s="110" t="s">
        <v>99</v>
      </c>
      <c r="H63" s="110">
        <v>3045306051</v>
      </c>
      <c r="I63" s="110">
        <v>3045306051</v>
      </c>
      <c r="J63" s="108">
        <v>45720</v>
      </c>
      <c r="K63" s="110" t="s">
        <v>99</v>
      </c>
      <c r="L63" s="112" t="s">
        <v>1264</v>
      </c>
      <c r="M63" s="110" t="s">
        <v>136</v>
      </c>
      <c r="N63" s="110" t="s">
        <v>136</v>
      </c>
      <c r="O63" s="110">
        <v>5978</v>
      </c>
      <c r="P63" s="110">
        <v>8364</v>
      </c>
      <c r="Q63" s="110">
        <v>5387</v>
      </c>
      <c r="R63" s="110" t="s">
        <v>136</v>
      </c>
      <c r="S63" s="110" t="s">
        <v>134</v>
      </c>
      <c r="T63" s="110" t="s">
        <v>134</v>
      </c>
      <c r="U63" s="110" t="s">
        <v>134</v>
      </c>
      <c r="V63" s="106" t="s">
        <v>89</v>
      </c>
      <c r="W63" s="116">
        <v>45713</v>
      </c>
      <c r="X63" s="116">
        <v>45719</v>
      </c>
      <c r="Y63" s="110"/>
      <c r="Z63" s="169" t="s">
        <v>85</v>
      </c>
      <c r="AA63" s="124">
        <v>0</v>
      </c>
      <c r="AB63" s="110">
        <v>5559</v>
      </c>
      <c r="AC63" s="114">
        <v>706303</v>
      </c>
      <c r="AD63" s="114">
        <f t="shared" si="2"/>
        <v>840500.57</v>
      </c>
      <c r="AE63" s="114">
        <v>812248</v>
      </c>
      <c r="AF63" s="110"/>
      <c r="AG63" s="142" t="s">
        <v>1265</v>
      </c>
      <c r="AH63" s="116">
        <v>45707</v>
      </c>
      <c r="AI63" s="116">
        <v>45782</v>
      </c>
      <c r="AJ63" s="110" t="s">
        <v>245</v>
      </c>
      <c r="AK63" s="230">
        <f ca="1">Q63:AK63</f>
        <v>0</v>
      </c>
      <c r="AL63" s="142"/>
    </row>
    <row r="64" spans="1:38" ht="60" x14ac:dyDescent="0.25">
      <c r="A64" s="147">
        <v>2025</v>
      </c>
      <c r="B64" s="111">
        <v>2</v>
      </c>
      <c r="C64" s="148">
        <v>22372</v>
      </c>
      <c r="D64" s="108">
        <v>45705</v>
      </c>
      <c r="E64" s="110" t="s">
        <v>472</v>
      </c>
      <c r="F64" s="111" t="s">
        <v>472</v>
      </c>
      <c r="G64" s="110" t="s">
        <v>154</v>
      </c>
      <c r="H64" s="110">
        <v>3167825020</v>
      </c>
      <c r="I64" s="111">
        <v>3167825020</v>
      </c>
      <c r="J64" s="108">
        <v>45715</v>
      </c>
      <c r="K64" s="110" t="s">
        <v>84</v>
      </c>
      <c r="L64" s="112" t="s">
        <v>1266</v>
      </c>
      <c r="M64" s="110" t="s">
        <v>136</v>
      </c>
      <c r="N64" s="110">
        <v>5727</v>
      </c>
      <c r="O64" s="110">
        <v>5979</v>
      </c>
      <c r="P64" s="110" t="s">
        <v>136</v>
      </c>
      <c r="Q64" s="110" t="s">
        <v>136</v>
      </c>
      <c r="R64" s="110" t="s">
        <v>134</v>
      </c>
      <c r="S64" s="110" t="s">
        <v>136</v>
      </c>
      <c r="T64" s="110" t="s">
        <v>136</v>
      </c>
      <c r="U64" s="110" t="s">
        <v>136</v>
      </c>
      <c r="V64" s="106" t="s">
        <v>119</v>
      </c>
      <c r="W64" s="116">
        <v>45714</v>
      </c>
      <c r="X64" s="116">
        <v>45720</v>
      </c>
      <c r="Y64" s="110"/>
      <c r="Z64" s="169" t="s">
        <v>85</v>
      </c>
      <c r="AA64" s="130">
        <v>291000</v>
      </c>
      <c r="AB64" s="110">
        <v>5619</v>
      </c>
      <c r="AC64" s="114">
        <v>244538</v>
      </c>
      <c r="AD64" s="114">
        <f t="shared" si="2"/>
        <v>291000.21999999997</v>
      </c>
      <c r="AE64" s="114">
        <v>0</v>
      </c>
      <c r="AF64" s="110"/>
      <c r="AG64" s="142" t="s">
        <v>1267</v>
      </c>
      <c r="AH64" s="116">
        <v>45705</v>
      </c>
      <c r="AI64" s="116">
        <v>45782</v>
      </c>
      <c r="AJ64" s="110" t="s">
        <v>245</v>
      </c>
      <c r="AK64" s="230"/>
      <c r="AL64" s="142"/>
    </row>
    <row r="65" spans="1:38" ht="53.25" customHeight="1" x14ac:dyDescent="0.25">
      <c r="A65" s="147">
        <v>2025</v>
      </c>
      <c r="B65" s="111">
        <v>2</v>
      </c>
      <c r="C65" s="148">
        <v>22373</v>
      </c>
      <c r="D65" s="108">
        <v>45705</v>
      </c>
      <c r="E65" s="110" t="s">
        <v>472</v>
      </c>
      <c r="F65" s="111" t="s">
        <v>472</v>
      </c>
      <c r="G65" s="110" t="s">
        <v>154</v>
      </c>
      <c r="H65" s="110">
        <v>3167825020</v>
      </c>
      <c r="I65" s="111">
        <v>3167825020</v>
      </c>
      <c r="J65" s="108">
        <v>45714</v>
      </c>
      <c r="K65" s="110" t="s">
        <v>84</v>
      </c>
      <c r="L65" s="112" t="s">
        <v>1268</v>
      </c>
      <c r="M65" s="110" t="s">
        <v>136</v>
      </c>
      <c r="N65" s="110">
        <v>5728</v>
      </c>
      <c r="O65" s="110" t="s">
        <v>136</v>
      </c>
      <c r="P65" s="110" t="s">
        <v>136</v>
      </c>
      <c r="Q65" s="110" t="s">
        <v>136</v>
      </c>
      <c r="R65" s="110" t="s">
        <v>136</v>
      </c>
      <c r="S65" s="110" t="s">
        <v>136</v>
      </c>
      <c r="T65" s="110" t="s">
        <v>136</v>
      </c>
      <c r="U65" s="110" t="s">
        <v>136</v>
      </c>
      <c r="V65" s="106" t="s">
        <v>119</v>
      </c>
      <c r="W65" s="116">
        <v>45715</v>
      </c>
      <c r="X65" s="116">
        <v>45719</v>
      </c>
      <c r="Y65" s="110"/>
      <c r="Z65" s="169" t="s">
        <v>85</v>
      </c>
      <c r="AA65" s="114">
        <v>140000</v>
      </c>
      <c r="AB65" s="110">
        <v>5606</v>
      </c>
      <c r="AC65" s="114">
        <v>117647</v>
      </c>
      <c r="AD65" s="114">
        <f t="shared" si="2"/>
        <v>139999.93</v>
      </c>
      <c r="AE65" s="114">
        <v>0</v>
      </c>
      <c r="AF65" s="110"/>
      <c r="AG65" s="142" t="s">
        <v>1269</v>
      </c>
      <c r="AH65" s="116">
        <v>45705</v>
      </c>
      <c r="AI65" s="116">
        <v>45782</v>
      </c>
      <c r="AJ65" s="110" t="s">
        <v>245</v>
      </c>
      <c r="AK65" s="230"/>
      <c r="AL65" s="142"/>
    </row>
    <row r="66" spans="1:38" ht="53.25" customHeight="1" x14ac:dyDescent="0.25">
      <c r="A66" s="147">
        <v>2025</v>
      </c>
      <c r="B66" s="111">
        <v>2</v>
      </c>
      <c r="C66" s="148">
        <v>22374</v>
      </c>
      <c r="D66" s="108">
        <v>45705</v>
      </c>
      <c r="E66" s="110" t="s">
        <v>473</v>
      </c>
      <c r="F66" s="110" t="s">
        <v>473</v>
      </c>
      <c r="G66" s="110" t="s">
        <v>154</v>
      </c>
      <c r="H66" s="110">
        <v>3005709113</v>
      </c>
      <c r="I66" s="110">
        <v>3005709113</v>
      </c>
      <c r="J66" s="108">
        <v>45717</v>
      </c>
      <c r="K66" s="110" t="s">
        <v>84</v>
      </c>
      <c r="L66" s="112" t="s">
        <v>1270</v>
      </c>
      <c r="M66" s="110" t="s">
        <v>136</v>
      </c>
      <c r="N66" s="110">
        <v>5731</v>
      </c>
      <c r="O66" s="110">
        <v>5983</v>
      </c>
      <c r="P66" s="110" t="s">
        <v>136</v>
      </c>
      <c r="Q66" s="110">
        <v>5427</v>
      </c>
      <c r="R66" s="110" t="s">
        <v>136</v>
      </c>
      <c r="S66" s="110" t="s">
        <v>134</v>
      </c>
      <c r="T66" s="110" t="s">
        <v>134</v>
      </c>
      <c r="U66" s="110" t="s">
        <v>136</v>
      </c>
      <c r="V66" s="106" t="s">
        <v>119</v>
      </c>
      <c r="W66" s="116">
        <v>45715</v>
      </c>
      <c r="X66" s="116">
        <v>45722</v>
      </c>
      <c r="Y66" s="110"/>
      <c r="Z66" s="169" t="s">
        <v>85</v>
      </c>
      <c r="AA66" s="124">
        <v>0</v>
      </c>
      <c r="AB66" s="110">
        <v>56004</v>
      </c>
      <c r="AC66" s="114">
        <v>327731</v>
      </c>
      <c r="AD66" s="114">
        <f t="shared" si="2"/>
        <v>389999.88999999996</v>
      </c>
      <c r="AE66" s="114">
        <v>200000</v>
      </c>
      <c r="AF66" s="110"/>
      <c r="AG66" s="142" t="s">
        <v>1219</v>
      </c>
      <c r="AH66" s="116">
        <v>45716</v>
      </c>
      <c r="AI66" s="116">
        <v>45782</v>
      </c>
      <c r="AJ66" s="110" t="s">
        <v>245</v>
      </c>
      <c r="AK66" s="230"/>
      <c r="AL66" s="142"/>
    </row>
    <row r="67" spans="1:38" ht="120" x14ac:dyDescent="0.25">
      <c r="A67" s="147">
        <v>2025</v>
      </c>
      <c r="B67" s="111">
        <v>2</v>
      </c>
      <c r="C67" s="148">
        <v>22375</v>
      </c>
      <c r="D67" s="108">
        <v>45706</v>
      </c>
      <c r="E67" s="110" t="s">
        <v>474</v>
      </c>
      <c r="F67" s="110" t="s">
        <v>474</v>
      </c>
      <c r="G67" s="110" t="s">
        <v>154</v>
      </c>
      <c r="H67" s="110">
        <v>3006168406</v>
      </c>
      <c r="I67" s="110">
        <v>3006168406</v>
      </c>
      <c r="J67" s="108">
        <v>45716</v>
      </c>
      <c r="K67" s="110" t="s">
        <v>84</v>
      </c>
      <c r="L67" s="112" t="s">
        <v>1271</v>
      </c>
      <c r="M67" s="110" t="s">
        <v>136</v>
      </c>
      <c r="N67" s="110">
        <v>5726</v>
      </c>
      <c r="O67" s="110">
        <v>5980</v>
      </c>
      <c r="P67" s="110">
        <v>8436</v>
      </c>
      <c r="Q67" s="110">
        <v>5419</v>
      </c>
      <c r="R67" s="110" t="s">
        <v>134</v>
      </c>
      <c r="S67" s="110" t="s">
        <v>134</v>
      </c>
      <c r="T67" s="110" t="s">
        <v>134</v>
      </c>
      <c r="U67" s="110" t="s">
        <v>134</v>
      </c>
      <c r="V67" s="106" t="s">
        <v>87</v>
      </c>
      <c r="W67" s="116">
        <v>45715</v>
      </c>
      <c r="X67" s="116">
        <v>45720</v>
      </c>
      <c r="Y67" s="110"/>
      <c r="Z67" s="169" t="s">
        <v>85</v>
      </c>
      <c r="AA67" s="124">
        <v>0</v>
      </c>
      <c r="AB67" s="110">
        <v>5589</v>
      </c>
      <c r="AC67" s="114">
        <v>1336134</v>
      </c>
      <c r="AD67" s="114">
        <f t="shared" si="2"/>
        <v>1589999.46</v>
      </c>
      <c r="AE67" s="114">
        <v>748527</v>
      </c>
      <c r="AF67" s="110"/>
      <c r="AG67" s="142" t="s">
        <v>1272</v>
      </c>
      <c r="AH67" s="116">
        <v>45716</v>
      </c>
      <c r="AI67" s="116">
        <v>45782</v>
      </c>
      <c r="AJ67" s="110" t="s">
        <v>245</v>
      </c>
      <c r="AK67" s="230"/>
      <c r="AL67" s="142"/>
    </row>
    <row r="68" spans="1:38" ht="53.25" customHeight="1" x14ac:dyDescent="0.25">
      <c r="A68" s="147">
        <v>2025</v>
      </c>
      <c r="B68" s="111">
        <v>2</v>
      </c>
      <c r="C68" s="148">
        <v>22376</v>
      </c>
      <c r="D68" s="108">
        <v>45706</v>
      </c>
      <c r="E68" s="110" t="s">
        <v>466</v>
      </c>
      <c r="F68" s="111" t="s">
        <v>467</v>
      </c>
      <c r="G68" s="110" t="s">
        <v>445</v>
      </c>
      <c r="H68" s="110">
        <v>3107481073</v>
      </c>
      <c r="I68" s="110">
        <v>3148497333</v>
      </c>
      <c r="J68" s="108">
        <v>45715</v>
      </c>
      <c r="K68" s="110" t="s">
        <v>88</v>
      </c>
      <c r="L68" s="112" t="s">
        <v>1273</v>
      </c>
      <c r="M68" s="110" t="s">
        <v>136</v>
      </c>
      <c r="N68" s="110" t="s">
        <v>136</v>
      </c>
      <c r="O68" s="110">
        <v>5981</v>
      </c>
      <c r="P68" s="110">
        <v>8473</v>
      </c>
      <c r="Q68" s="110" t="s">
        <v>136</v>
      </c>
      <c r="R68" s="110" t="s">
        <v>136</v>
      </c>
      <c r="S68" s="110" t="s">
        <v>134</v>
      </c>
      <c r="T68" s="110" t="s">
        <v>134</v>
      </c>
      <c r="U68" s="110" t="s">
        <v>136</v>
      </c>
      <c r="V68" s="106" t="s">
        <v>87</v>
      </c>
      <c r="W68" s="116">
        <v>45710</v>
      </c>
      <c r="X68" s="116">
        <v>45712</v>
      </c>
      <c r="Y68" s="110"/>
      <c r="Z68" s="169" t="s">
        <v>85</v>
      </c>
      <c r="AA68" s="124">
        <v>0</v>
      </c>
      <c r="AB68" s="110">
        <v>5582</v>
      </c>
      <c r="AC68" s="114">
        <v>1004201</v>
      </c>
      <c r="AD68" s="114">
        <f t="shared" si="2"/>
        <v>1194999.19</v>
      </c>
      <c r="AE68" s="114">
        <v>597500</v>
      </c>
      <c r="AF68" s="110"/>
      <c r="AG68" s="142" t="s">
        <v>1274</v>
      </c>
      <c r="AH68" s="116">
        <v>45710</v>
      </c>
      <c r="AI68" s="116">
        <v>45782</v>
      </c>
      <c r="AJ68" s="110" t="s">
        <v>245</v>
      </c>
      <c r="AK68" s="230"/>
      <c r="AL68" s="142"/>
    </row>
    <row r="69" spans="1:38" ht="53.25" customHeight="1" x14ac:dyDescent="0.25">
      <c r="A69" s="147">
        <v>2025</v>
      </c>
      <c r="B69" s="111">
        <v>2</v>
      </c>
      <c r="C69" s="148">
        <v>22377</v>
      </c>
      <c r="D69" s="108">
        <v>45706</v>
      </c>
      <c r="E69" s="110" t="s">
        <v>475</v>
      </c>
      <c r="F69" s="111" t="s">
        <v>476</v>
      </c>
      <c r="G69" s="110" t="s">
        <v>98</v>
      </c>
      <c r="H69" s="110">
        <v>6044482782</v>
      </c>
      <c r="I69" s="110">
        <v>3006889390</v>
      </c>
      <c r="J69" s="108">
        <v>45716</v>
      </c>
      <c r="K69" s="110" t="s">
        <v>86</v>
      </c>
      <c r="L69" s="112" t="s">
        <v>1275</v>
      </c>
      <c r="M69" s="110" t="s">
        <v>136</v>
      </c>
      <c r="N69" s="110">
        <v>5725</v>
      </c>
      <c r="O69" s="110" t="s">
        <v>136</v>
      </c>
      <c r="P69" s="110" t="s">
        <v>136</v>
      </c>
      <c r="Q69" s="110" t="s">
        <v>136</v>
      </c>
      <c r="R69" s="110" t="s">
        <v>136</v>
      </c>
      <c r="S69" s="110" t="s">
        <v>136</v>
      </c>
      <c r="T69" s="110" t="s">
        <v>136</v>
      </c>
      <c r="U69" s="110" t="s">
        <v>136</v>
      </c>
      <c r="V69" s="106" t="s">
        <v>87</v>
      </c>
      <c r="W69" s="116">
        <v>45715</v>
      </c>
      <c r="X69" s="116">
        <v>45716</v>
      </c>
      <c r="Y69" s="110"/>
      <c r="Z69" s="169" t="s">
        <v>85</v>
      </c>
      <c r="AA69" s="114">
        <v>75000</v>
      </c>
      <c r="AB69" s="110">
        <v>5607</v>
      </c>
      <c r="AC69" s="114">
        <v>63025</v>
      </c>
      <c r="AD69" s="114">
        <f t="shared" si="2"/>
        <v>74999.75</v>
      </c>
      <c r="AE69" s="114">
        <v>0</v>
      </c>
      <c r="AF69" s="110"/>
      <c r="AG69" s="142" t="s">
        <v>1276</v>
      </c>
      <c r="AH69" s="116">
        <v>45706</v>
      </c>
      <c r="AI69" s="116">
        <v>45782</v>
      </c>
      <c r="AJ69" s="110" t="s">
        <v>245</v>
      </c>
      <c r="AK69" s="230"/>
      <c r="AL69" s="142"/>
    </row>
    <row r="70" spans="1:38" ht="60" x14ac:dyDescent="0.25">
      <c r="A70" s="147">
        <v>2025</v>
      </c>
      <c r="B70" s="111">
        <v>2</v>
      </c>
      <c r="C70" s="148">
        <v>22378</v>
      </c>
      <c r="D70" s="108">
        <v>45707</v>
      </c>
      <c r="E70" s="110" t="s">
        <v>477</v>
      </c>
      <c r="F70" s="111" t="s">
        <v>478</v>
      </c>
      <c r="G70" s="110" t="s">
        <v>445</v>
      </c>
      <c r="H70" s="110">
        <v>316707123</v>
      </c>
      <c r="I70" s="110">
        <v>3043536470</v>
      </c>
      <c r="J70" s="108">
        <v>45714</v>
      </c>
      <c r="K70" s="110" t="s">
        <v>86</v>
      </c>
      <c r="L70" s="112" t="s">
        <v>1278</v>
      </c>
      <c r="M70" s="110" t="s">
        <v>281</v>
      </c>
      <c r="N70" s="110">
        <v>5733</v>
      </c>
      <c r="O70" s="110" t="s">
        <v>136</v>
      </c>
      <c r="P70" s="110" t="s">
        <v>136</v>
      </c>
      <c r="Q70" s="110" t="s">
        <v>136</v>
      </c>
      <c r="R70" s="110" t="s">
        <v>136</v>
      </c>
      <c r="S70" s="110" t="s">
        <v>134</v>
      </c>
      <c r="T70" s="110" t="s">
        <v>134</v>
      </c>
      <c r="U70" s="110" t="s">
        <v>136</v>
      </c>
      <c r="V70" s="106" t="s">
        <v>119</v>
      </c>
      <c r="W70" s="116">
        <v>45716</v>
      </c>
      <c r="X70" s="116">
        <v>45724</v>
      </c>
      <c r="Y70" s="110"/>
      <c r="Z70" s="169" t="s">
        <v>85</v>
      </c>
      <c r="AA70" s="124">
        <v>0</v>
      </c>
      <c r="AB70" s="110" t="s">
        <v>136</v>
      </c>
      <c r="AC70" s="114">
        <v>0</v>
      </c>
      <c r="AD70" s="114">
        <f t="shared" si="2"/>
        <v>0</v>
      </c>
      <c r="AE70" s="114">
        <v>0</v>
      </c>
      <c r="AF70" s="110"/>
      <c r="AG70" s="142" t="s">
        <v>1277</v>
      </c>
      <c r="AH70" s="116" t="s">
        <v>136</v>
      </c>
      <c r="AI70" s="116">
        <v>45782</v>
      </c>
      <c r="AJ70" s="110" t="s">
        <v>245</v>
      </c>
      <c r="AK70" s="230"/>
      <c r="AL70" s="142"/>
    </row>
    <row r="71" spans="1:38" ht="53.25" customHeight="1" x14ac:dyDescent="0.25">
      <c r="A71" s="147">
        <v>2025</v>
      </c>
      <c r="B71" s="111">
        <v>2</v>
      </c>
      <c r="C71" s="148">
        <v>22379</v>
      </c>
      <c r="D71" s="108">
        <v>45707</v>
      </c>
      <c r="E71" s="110" t="s">
        <v>483</v>
      </c>
      <c r="F71" s="111" t="s">
        <v>483</v>
      </c>
      <c r="G71" s="110" t="s">
        <v>154</v>
      </c>
      <c r="H71" s="110">
        <v>3207957038</v>
      </c>
      <c r="I71" s="110">
        <v>3207957038</v>
      </c>
      <c r="J71" s="108">
        <v>45710</v>
      </c>
      <c r="K71" s="110" t="s">
        <v>84</v>
      </c>
      <c r="L71" s="112" t="s">
        <v>1279</v>
      </c>
      <c r="M71" s="110" t="s">
        <v>136</v>
      </c>
      <c r="N71" s="110" t="s">
        <v>136</v>
      </c>
      <c r="O71" s="110">
        <v>5984</v>
      </c>
      <c r="P71" s="110" t="s">
        <v>136</v>
      </c>
      <c r="Q71" s="110" t="s">
        <v>136</v>
      </c>
      <c r="R71" s="110" t="s">
        <v>136</v>
      </c>
      <c r="S71" s="110" t="s">
        <v>136</v>
      </c>
      <c r="T71" s="110" t="s">
        <v>134</v>
      </c>
      <c r="U71" s="110" t="s">
        <v>134</v>
      </c>
      <c r="V71" s="106" t="s">
        <v>119</v>
      </c>
      <c r="W71" s="116" t="s">
        <v>136</v>
      </c>
      <c r="X71" s="116">
        <v>45710</v>
      </c>
      <c r="Y71" s="138"/>
      <c r="Z71" s="169" t="s">
        <v>85</v>
      </c>
      <c r="AA71" s="114">
        <v>170000</v>
      </c>
      <c r="AB71" s="138">
        <v>5589</v>
      </c>
      <c r="AC71" s="114">
        <v>142857</v>
      </c>
      <c r="AD71" s="114">
        <f t="shared" si="2"/>
        <v>169999.83</v>
      </c>
      <c r="AE71" s="114">
        <v>0</v>
      </c>
      <c r="AF71" s="138"/>
      <c r="AG71" s="142" t="s">
        <v>1280</v>
      </c>
      <c r="AH71" s="116">
        <v>45707</v>
      </c>
      <c r="AI71" s="116">
        <v>45782</v>
      </c>
      <c r="AJ71" s="110" t="s">
        <v>245</v>
      </c>
      <c r="AK71" s="230"/>
      <c r="AL71" s="142"/>
    </row>
    <row r="72" spans="1:38" ht="53.25" customHeight="1" x14ac:dyDescent="0.25">
      <c r="A72" s="147">
        <v>2025</v>
      </c>
      <c r="B72" s="111">
        <v>2</v>
      </c>
      <c r="C72" s="148">
        <v>22380</v>
      </c>
      <c r="D72" s="108">
        <v>45707</v>
      </c>
      <c r="E72" s="110" t="s">
        <v>564</v>
      </c>
      <c r="F72" s="111" t="s">
        <v>479</v>
      </c>
      <c r="G72" s="110" t="s">
        <v>154</v>
      </c>
      <c r="H72" s="110">
        <v>604488067</v>
      </c>
      <c r="I72" s="110">
        <v>3107603009</v>
      </c>
      <c r="J72" s="108">
        <v>45721</v>
      </c>
      <c r="K72" s="110" t="s">
        <v>84</v>
      </c>
      <c r="L72" s="112" t="s">
        <v>1281</v>
      </c>
      <c r="M72" s="110" t="s">
        <v>136</v>
      </c>
      <c r="N72" s="110">
        <v>5734</v>
      </c>
      <c r="O72" s="110" t="s">
        <v>136</v>
      </c>
      <c r="P72" s="110">
        <v>8499</v>
      </c>
      <c r="Q72" s="110" t="s">
        <v>136</v>
      </c>
      <c r="R72" s="110" t="s">
        <v>134</v>
      </c>
      <c r="S72" s="110" t="s">
        <v>134</v>
      </c>
      <c r="T72" s="110" t="s">
        <v>136</v>
      </c>
      <c r="U72" s="110" t="s">
        <v>136</v>
      </c>
      <c r="V72" s="106" t="s">
        <v>87</v>
      </c>
      <c r="W72" s="116">
        <v>45724</v>
      </c>
      <c r="X72" s="116">
        <v>45728</v>
      </c>
      <c r="Y72" s="110"/>
      <c r="Z72" s="169" t="s">
        <v>85</v>
      </c>
      <c r="AA72" s="124">
        <v>0</v>
      </c>
      <c r="AB72" s="110">
        <v>5636</v>
      </c>
      <c r="AC72" s="114">
        <v>0</v>
      </c>
      <c r="AD72" s="114">
        <v>1300000</v>
      </c>
      <c r="AE72" s="114">
        <v>650200</v>
      </c>
      <c r="AF72" s="110"/>
      <c r="AG72" s="142" t="s">
        <v>1282</v>
      </c>
      <c r="AH72" s="116">
        <v>45726</v>
      </c>
      <c r="AI72" s="116">
        <v>45782</v>
      </c>
      <c r="AJ72" s="110" t="s">
        <v>245</v>
      </c>
      <c r="AK72" s="230"/>
      <c r="AL72" s="142"/>
    </row>
    <row r="73" spans="1:38" ht="60" x14ac:dyDescent="0.25">
      <c r="A73" s="147">
        <v>2025</v>
      </c>
      <c r="B73" s="111">
        <v>2</v>
      </c>
      <c r="C73" s="148">
        <v>22381</v>
      </c>
      <c r="D73" s="108">
        <v>45708</v>
      </c>
      <c r="E73" s="111" t="s">
        <v>497</v>
      </c>
      <c r="F73" s="111" t="s">
        <v>497</v>
      </c>
      <c r="G73" s="110" t="s">
        <v>154</v>
      </c>
      <c r="H73" s="110">
        <v>3136395595</v>
      </c>
      <c r="I73" s="110">
        <v>3136395595</v>
      </c>
      <c r="J73" s="108">
        <v>45724</v>
      </c>
      <c r="K73" s="110" t="s">
        <v>84</v>
      </c>
      <c r="L73" s="112" t="s">
        <v>1284</v>
      </c>
      <c r="M73" s="110" t="s">
        <v>136</v>
      </c>
      <c r="N73" s="110">
        <v>5740</v>
      </c>
      <c r="O73" s="110">
        <v>5982</v>
      </c>
      <c r="P73" s="110" t="s">
        <v>136</v>
      </c>
      <c r="Q73" s="110">
        <v>5438</v>
      </c>
      <c r="R73" s="110" t="s">
        <v>136</v>
      </c>
      <c r="S73" s="110" t="s">
        <v>134</v>
      </c>
      <c r="T73" s="110" t="s">
        <v>134</v>
      </c>
      <c r="U73" s="110" t="s">
        <v>136</v>
      </c>
      <c r="V73" s="106" t="s">
        <v>119</v>
      </c>
      <c r="W73" s="116">
        <v>45722</v>
      </c>
      <c r="X73" s="116">
        <v>45728</v>
      </c>
      <c r="Y73" s="110"/>
      <c r="Z73" s="169" t="s">
        <v>85</v>
      </c>
      <c r="AA73" s="124">
        <v>0</v>
      </c>
      <c r="AB73" s="110">
        <v>5632</v>
      </c>
      <c r="AC73" s="114">
        <v>529412</v>
      </c>
      <c r="AD73" s="114">
        <v>630000</v>
      </c>
      <c r="AE73" s="114">
        <v>300000</v>
      </c>
      <c r="AF73" s="110"/>
      <c r="AG73" s="142" t="s">
        <v>1285</v>
      </c>
      <c r="AH73" s="116">
        <v>45726</v>
      </c>
      <c r="AI73" s="116">
        <v>45782</v>
      </c>
      <c r="AJ73" s="110" t="s">
        <v>397</v>
      </c>
      <c r="AK73" s="230"/>
      <c r="AL73" s="142"/>
    </row>
    <row r="74" spans="1:38" ht="60" x14ac:dyDescent="0.25">
      <c r="A74" s="147">
        <v>2025</v>
      </c>
      <c r="B74" s="111">
        <v>2</v>
      </c>
      <c r="C74" s="148">
        <v>22382</v>
      </c>
      <c r="D74" s="108">
        <v>45713</v>
      </c>
      <c r="E74" s="111" t="s">
        <v>506</v>
      </c>
      <c r="F74" s="111" t="s">
        <v>506</v>
      </c>
      <c r="G74" s="110" t="s">
        <v>420</v>
      </c>
      <c r="H74" s="110">
        <v>3202122360</v>
      </c>
      <c r="I74" s="110">
        <v>3042428344</v>
      </c>
      <c r="J74" s="108">
        <v>45696</v>
      </c>
      <c r="K74" s="110" t="s">
        <v>88</v>
      </c>
      <c r="L74" s="112" t="s">
        <v>1286</v>
      </c>
      <c r="M74" s="110" t="s">
        <v>136</v>
      </c>
      <c r="N74" s="110">
        <v>5745</v>
      </c>
      <c r="O74" s="110">
        <v>5997</v>
      </c>
      <c r="P74" s="110">
        <v>8494</v>
      </c>
      <c r="Q74" s="110" t="s">
        <v>136</v>
      </c>
      <c r="R74" s="110" t="s">
        <v>136</v>
      </c>
      <c r="S74" s="110" t="s">
        <v>134</v>
      </c>
      <c r="T74" s="110" t="s">
        <v>134</v>
      </c>
      <c r="U74" s="110" t="s">
        <v>136</v>
      </c>
      <c r="V74" s="106" t="s">
        <v>119</v>
      </c>
      <c r="W74" s="116">
        <v>45722</v>
      </c>
      <c r="X74" s="116">
        <v>45726</v>
      </c>
      <c r="Y74" s="110"/>
      <c r="Z74" s="169" t="s">
        <v>85</v>
      </c>
      <c r="AA74" s="124">
        <v>0</v>
      </c>
      <c r="AB74" s="110">
        <v>5635</v>
      </c>
      <c r="AC74" s="114">
        <v>693217</v>
      </c>
      <c r="AD74" s="114">
        <f t="shared" ref="AD74:AD97" si="3">+AC74*1.19</f>
        <v>824928.23</v>
      </c>
      <c r="AE74" s="114">
        <v>412500</v>
      </c>
      <c r="AF74" s="110"/>
      <c r="AG74" s="142" t="s">
        <v>1287</v>
      </c>
      <c r="AH74" s="116">
        <v>45725</v>
      </c>
      <c r="AI74" s="116">
        <v>45782</v>
      </c>
      <c r="AJ74" s="110" t="s">
        <v>245</v>
      </c>
      <c r="AK74" s="230"/>
      <c r="AL74" s="142"/>
    </row>
    <row r="75" spans="1:38" ht="120" x14ac:dyDescent="0.25">
      <c r="A75" s="147">
        <v>2025</v>
      </c>
      <c r="B75" s="111">
        <v>2</v>
      </c>
      <c r="C75" s="148">
        <v>22383</v>
      </c>
      <c r="D75" s="108">
        <v>45709</v>
      </c>
      <c r="E75" s="110" t="s">
        <v>485</v>
      </c>
      <c r="F75" s="111" t="s">
        <v>485</v>
      </c>
      <c r="G75" s="110" t="s">
        <v>98</v>
      </c>
      <c r="H75" s="110">
        <v>6044449112</v>
      </c>
      <c r="I75" s="110">
        <v>6044449112</v>
      </c>
      <c r="J75" s="108">
        <v>45722</v>
      </c>
      <c r="K75" s="110" t="s">
        <v>88</v>
      </c>
      <c r="L75" s="112" t="s">
        <v>1288</v>
      </c>
      <c r="M75" s="110" t="s">
        <v>136</v>
      </c>
      <c r="N75" s="110">
        <v>5736</v>
      </c>
      <c r="O75" s="110">
        <v>5986</v>
      </c>
      <c r="P75" s="111" t="s">
        <v>487</v>
      </c>
      <c r="Q75" s="111" t="s">
        <v>486</v>
      </c>
      <c r="R75" s="110" t="s">
        <v>136</v>
      </c>
      <c r="S75" s="110" t="s">
        <v>134</v>
      </c>
      <c r="T75" s="110" t="s">
        <v>134</v>
      </c>
      <c r="U75" s="110" t="s">
        <v>134</v>
      </c>
      <c r="V75" s="106" t="s">
        <v>89</v>
      </c>
      <c r="W75" s="116">
        <v>45719</v>
      </c>
      <c r="X75" s="116">
        <v>45735</v>
      </c>
      <c r="Y75" s="110"/>
      <c r="Z75" s="169" t="s">
        <v>85</v>
      </c>
      <c r="AA75" s="114">
        <v>119958</v>
      </c>
      <c r="AB75" s="110">
        <v>5578</v>
      </c>
      <c r="AC75" s="114">
        <v>1739094</v>
      </c>
      <c r="AD75" s="114">
        <f t="shared" si="3"/>
        <v>2069521.8599999999</v>
      </c>
      <c r="AE75" s="114">
        <v>0</v>
      </c>
      <c r="AF75" s="110"/>
      <c r="AG75" s="142" t="s">
        <v>1115</v>
      </c>
      <c r="AH75" s="116">
        <v>45709</v>
      </c>
      <c r="AI75" s="116">
        <v>45782</v>
      </c>
      <c r="AJ75" s="110" t="s">
        <v>245</v>
      </c>
      <c r="AK75" s="230"/>
      <c r="AL75" s="142"/>
    </row>
    <row r="76" spans="1:38" ht="75" x14ac:dyDescent="0.25">
      <c r="A76" s="147">
        <v>2025</v>
      </c>
      <c r="B76" s="111">
        <v>2</v>
      </c>
      <c r="C76" s="148">
        <v>22384</v>
      </c>
      <c r="D76" s="108">
        <v>45709</v>
      </c>
      <c r="E76" s="111" t="s">
        <v>484</v>
      </c>
      <c r="F76" s="111" t="s">
        <v>484</v>
      </c>
      <c r="G76" s="110" t="s">
        <v>154</v>
      </c>
      <c r="H76" s="110">
        <v>3136313569</v>
      </c>
      <c r="I76" s="110">
        <v>3136313569</v>
      </c>
      <c r="J76" s="108">
        <v>45717</v>
      </c>
      <c r="K76" s="110" t="s">
        <v>84</v>
      </c>
      <c r="L76" s="112" t="s">
        <v>1289</v>
      </c>
      <c r="M76" s="110" t="s">
        <v>136</v>
      </c>
      <c r="N76" s="110" t="s">
        <v>136</v>
      </c>
      <c r="O76" s="110">
        <v>5990</v>
      </c>
      <c r="P76" s="110" t="s">
        <v>136</v>
      </c>
      <c r="Q76" s="110" t="s">
        <v>136</v>
      </c>
      <c r="R76" s="110" t="s">
        <v>136</v>
      </c>
      <c r="S76" s="110" t="s">
        <v>136</v>
      </c>
      <c r="T76" s="110" t="s">
        <v>134</v>
      </c>
      <c r="U76" s="110" t="s">
        <v>134</v>
      </c>
      <c r="V76" s="106" t="s">
        <v>119</v>
      </c>
      <c r="W76" s="116">
        <v>45741</v>
      </c>
      <c r="X76" s="116">
        <v>45772</v>
      </c>
      <c r="Y76" s="110"/>
      <c r="Z76" s="169" t="s">
        <v>85</v>
      </c>
      <c r="AA76" s="130">
        <v>270000</v>
      </c>
      <c r="AB76" s="110">
        <v>5651</v>
      </c>
      <c r="AC76" s="114">
        <v>226890</v>
      </c>
      <c r="AD76" s="114">
        <f t="shared" si="3"/>
        <v>269999.09999999998</v>
      </c>
      <c r="AE76" s="114">
        <v>0</v>
      </c>
      <c r="AF76" s="110"/>
      <c r="AG76" s="142" t="s">
        <v>1290</v>
      </c>
      <c r="AH76" s="116">
        <v>45737</v>
      </c>
      <c r="AI76" s="116">
        <v>45782</v>
      </c>
      <c r="AJ76" s="110" t="s">
        <v>571</v>
      </c>
      <c r="AK76" s="230"/>
      <c r="AL76" s="142"/>
    </row>
    <row r="77" spans="1:38" ht="60" x14ac:dyDescent="0.25">
      <c r="A77" s="147">
        <v>2025</v>
      </c>
      <c r="B77" s="111">
        <v>2</v>
      </c>
      <c r="C77" s="148">
        <v>22385</v>
      </c>
      <c r="D77" s="108">
        <v>45710</v>
      </c>
      <c r="E77" s="110" t="s">
        <v>488</v>
      </c>
      <c r="F77" s="111" t="s">
        <v>488</v>
      </c>
      <c r="G77" s="110" t="s">
        <v>154</v>
      </c>
      <c r="H77" s="110">
        <v>3217214402</v>
      </c>
      <c r="I77" s="110">
        <v>3217214402</v>
      </c>
      <c r="J77" s="108">
        <v>45723</v>
      </c>
      <c r="K77" s="110" t="s">
        <v>84</v>
      </c>
      <c r="L77" s="112" t="s">
        <v>1291</v>
      </c>
      <c r="M77" s="110" t="s">
        <v>136</v>
      </c>
      <c r="N77" s="110">
        <v>5739</v>
      </c>
      <c r="O77" s="110">
        <v>5987</v>
      </c>
      <c r="P77" s="110">
        <v>8491</v>
      </c>
      <c r="Q77" s="110">
        <v>5425</v>
      </c>
      <c r="R77" s="110" t="s">
        <v>136</v>
      </c>
      <c r="S77" s="110" t="s">
        <v>134</v>
      </c>
      <c r="T77" s="110" t="s">
        <v>134</v>
      </c>
      <c r="U77" s="110" t="s">
        <v>136</v>
      </c>
      <c r="V77" s="106" t="s">
        <v>119</v>
      </c>
      <c r="W77" s="116">
        <v>45719</v>
      </c>
      <c r="X77" s="116">
        <v>45724</v>
      </c>
      <c r="Y77" s="110"/>
      <c r="Z77" s="169" t="s">
        <v>85</v>
      </c>
      <c r="AA77" s="124">
        <v>0</v>
      </c>
      <c r="AB77" s="110">
        <v>5623</v>
      </c>
      <c r="AC77" s="114">
        <v>2521008</v>
      </c>
      <c r="AD77" s="114">
        <f t="shared" si="3"/>
        <v>2999999.52</v>
      </c>
      <c r="AE77" s="114">
        <v>1520000</v>
      </c>
      <c r="AF77" s="110"/>
      <c r="AG77" s="142" t="s">
        <v>1025</v>
      </c>
      <c r="AH77" s="116">
        <v>45716</v>
      </c>
      <c r="AI77" s="116">
        <v>45782</v>
      </c>
      <c r="AJ77" s="110" t="s">
        <v>245</v>
      </c>
      <c r="AK77" s="230"/>
      <c r="AL77" s="142"/>
    </row>
    <row r="78" spans="1:38" ht="53.25" customHeight="1" x14ac:dyDescent="0.25">
      <c r="A78" s="147">
        <v>2025</v>
      </c>
      <c r="B78" s="111">
        <v>2</v>
      </c>
      <c r="C78" s="148">
        <v>22386</v>
      </c>
      <c r="D78" s="108">
        <v>45710</v>
      </c>
      <c r="E78" s="110" t="s">
        <v>489</v>
      </c>
      <c r="F78" s="111" t="s">
        <v>490</v>
      </c>
      <c r="G78" s="110" t="s">
        <v>98</v>
      </c>
      <c r="H78" s="110">
        <v>3024577991</v>
      </c>
      <c r="I78" s="110">
        <v>3043545943</v>
      </c>
      <c r="J78" s="108">
        <v>45695</v>
      </c>
      <c r="K78" s="110" t="s">
        <v>84</v>
      </c>
      <c r="L78" s="112" t="s">
        <v>1293</v>
      </c>
      <c r="M78" s="110" t="s">
        <v>136</v>
      </c>
      <c r="N78" s="110">
        <v>5738</v>
      </c>
      <c r="O78" s="110">
        <v>5989</v>
      </c>
      <c r="P78" s="110">
        <v>8448</v>
      </c>
      <c r="Q78" s="110" t="s">
        <v>136</v>
      </c>
      <c r="R78" s="110" t="s">
        <v>134</v>
      </c>
      <c r="S78" s="110" t="s">
        <v>134</v>
      </c>
      <c r="T78" s="110" t="s">
        <v>134</v>
      </c>
      <c r="U78" s="110" t="s">
        <v>136</v>
      </c>
      <c r="V78" s="106" t="s">
        <v>119</v>
      </c>
      <c r="W78" s="116">
        <v>45723</v>
      </c>
      <c r="X78" s="116">
        <v>45724</v>
      </c>
      <c r="Y78" s="110"/>
      <c r="Z78" s="169" t="s">
        <v>85</v>
      </c>
      <c r="AA78" s="124">
        <v>0</v>
      </c>
      <c r="AB78" s="110">
        <v>5630</v>
      </c>
      <c r="AC78" s="114">
        <v>861332</v>
      </c>
      <c r="AD78" s="114">
        <f t="shared" si="3"/>
        <v>1024985.08</v>
      </c>
      <c r="AE78" s="114">
        <v>512492</v>
      </c>
      <c r="AF78" s="110"/>
      <c r="AG78" s="142" t="s">
        <v>1292</v>
      </c>
      <c r="AH78" s="116">
        <v>45723</v>
      </c>
      <c r="AI78" s="116">
        <v>45782</v>
      </c>
      <c r="AJ78" s="110" t="s">
        <v>245</v>
      </c>
      <c r="AK78" s="230"/>
      <c r="AL78" s="142"/>
    </row>
    <row r="79" spans="1:38" ht="53.25" customHeight="1" x14ac:dyDescent="0.25">
      <c r="A79" s="147">
        <v>2025</v>
      </c>
      <c r="B79" s="111">
        <v>2</v>
      </c>
      <c r="C79" s="148">
        <v>22387</v>
      </c>
      <c r="D79" s="108">
        <v>45712</v>
      </c>
      <c r="E79" s="110" t="s">
        <v>491</v>
      </c>
      <c r="F79" s="111" t="s">
        <v>492</v>
      </c>
      <c r="G79" s="110" t="s">
        <v>154</v>
      </c>
      <c r="H79" s="110">
        <v>6042857446</v>
      </c>
      <c r="I79" s="110">
        <v>300617446</v>
      </c>
      <c r="J79" s="108">
        <v>45723</v>
      </c>
      <c r="K79" s="110" t="s">
        <v>88</v>
      </c>
      <c r="L79" s="112" t="s">
        <v>1294</v>
      </c>
      <c r="M79" s="110" t="s">
        <v>136</v>
      </c>
      <c r="N79" s="110">
        <v>5737</v>
      </c>
      <c r="O79" s="110">
        <v>5988</v>
      </c>
      <c r="P79" s="110">
        <v>8524</v>
      </c>
      <c r="Q79" s="110">
        <v>5435</v>
      </c>
      <c r="R79" s="110" t="s">
        <v>134</v>
      </c>
      <c r="S79" s="110" t="s">
        <v>134</v>
      </c>
      <c r="T79" s="110" t="s">
        <v>134</v>
      </c>
      <c r="U79" s="110" t="s">
        <v>136</v>
      </c>
      <c r="V79" s="106" t="s">
        <v>87</v>
      </c>
      <c r="W79" s="116">
        <v>45722</v>
      </c>
      <c r="X79" s="116">
        <v>45723</v>
      </c>
      <c r="Y79" s="110"/>
      <c r="Z79" s="169" t="s">
        <v>85</v>
      </c>
      <c r="AA79" s="124">
        <v>0</v>
      </c>
      <c r="AB79" s="110">
        <v>5631</v>
      </c>
      <c r="AC79" s="114">
        <v>964543</v>
      </c>
      <c r="AD79" s="114">
        <f t="shared" si="3"/>
        <v>1147806.17</v>
      </c>
      <c r="AE79" s="114">
        <v>593000</v>
      </c>
      <c r="AF79" s="110"/>
      <c r="AG79" s="142" t="s">
        <v>1225</v>
      </c>
      <c r="AH79" s="116">
        <v>45723</v>
      </c>
      <c r="AI79" s="116">
        <v>45782</v>
      </c>
      <c r="AJ79" s="110" t="s">
        <v>245</v>
      </c>
      <c r="AK79" s="230"/>
      <c r="AL79" s="142"/>
    </row>
    <row r="80" spans="1:38" ht="53.25" customHeight="1" x14ac:dyDescent="0.25">
      <c r="A80" s="147">
        <v>2025</v>
      </c>
      <c r="B80" s="111">
        <v>2</v>
      </c>
      <c r="C80" s="148">
        <v>22388</v>
      </c>
      <c r="D80" s="108">
        <v>45712</v>
      </c>
      <c r="E80" s="110" t="s">
        <v>480</v>
      </c>
      <c r="F80" s="111" t="s">
        <v>366</v>
      </c>
      <c r="G80" s="110" t="s">
        <v>496</v>
      </c>
      <c r="H80" s="110">
        <v>3045306051</v>
      </c>
      <c r="I80" s="110">
        <v>3045306051</v>
      </c>
      <c r="J80" s="108">
        <v>45716</v>
      </c>
      <c r="K80" s="110" t="s">
        <v>95</v>
      </c>
      <c r="L80" s="112" t="s">
        <v>1295</v>
      </c>
      <c r="M80" s="110" t="s">
        <v>136</v>
      </c>
      <c r="N80" s="110" t="s">
        <v>136</v>
      </c>
      <c r="O80" s="110" t="s">
        <v>136</v>
      </c>
      <c r="P80" s="110">
        <v>8507</v>
      </c>
      <c r="Q80" s="110" t="s">
        <v>136</v>
      </c>
      <c r="R80" s="110" t="s">
        <v>136</v>
      </c>
      <c r="S80" s="110" t="s">
        <v>136</v>
      </c>
      <c r="T80" s="110" t="s">
        <v>136</v>
      </c>
      <c r="U80" s="110" t="s">
        <v>134</v>
      </c>
      <c r="V80" s="106" t="s">
        <v>89</v>
      </c>
      <c r="W80" s="116">
        <v>45735</v>
      </c>
      <c r="X80" s="116">
        <v>45749</v>
      </c>
      <c r="Y80" s="110"/>
      <c r="Z80" s="169" t="s">
        <v>85</v>
      </c>
      <c r="AA80" s="130">
        <v>95200</v>
      </c>
      <c r="AB80" s="110">
        <v>5587</v>
      </c>
      <c r="AC80" s="114">
        <v>80000</v>
      </c>
      <c r="AD80" s="114">
        <f t="shared" si="3"/>
        <v>95200</v>
      </c>
      <c r="AE80" s="114">
        <v>0</v>
      </c>
      <c r="AF80" s="110"/>
      <c r="AG80" s="142" t="s">
        <v>1296</v>
      </c>
      <c r="AH80" s="116">
        <v>45764</v>
      </c>
      <c r="AI80" s="116">
        <v>45782</v>
      </c>
      <c r="AJ80" s="110" t="s">
        <v>245</v>
      </c>
      <c r="AK80" s="230"/>
      <c r="AL80" s="142"/>
    </row>
    <row r="81" spans="1:38" ht="60" x14ac:dyDescent="0.25">
      <c r="A81" s="147">
        <v>2025</v>
      </c>
      <c r="B81" s="111">
        <v>2</v>
      </c>
      <c r="C81" s="148">
        <v>22389</v>
      </c>
      <c r="D81" s="108">
        <v>38407</v>
      </c>
      <c r="E81" s="111" t="s">
        <v>500</v>
      </c>
      <c r="F81" s="111" t="s">
        <v>500</v>
      </c>
      <c r="G81" s="110" t="s">
        <v>98</v>
      </c>
      <c r="H81" s="110">
        <v>6044238382</v>
      </c>
      <c r="I81" s="110">
        <v>6044238382</v>
      </c>
      <c r="J81" s="108">
        <v>45716</v>
      </c>
      <c r="K81" s="110" t="s">
        <v>88</v>
      </c>
      <c r="L81" s="112" t="s">
        <v>1297</v>
      </c>
      <c r="M81" s="110" t="s">
        <v>136</v>
      </c>
      <c r="N81" s="110" t="s">
        <v>136</v>
      </c>
      <c r="O81" s="110">
        <v>5993</v>
      </c>
      <c r="P81" s="110">
        <v>8523</v>
      </c>
      <c r="Q81" s="110">
        <v>5431</v>
      </c>
      <c r="R81" s="110" t="s">
        <v>136</v>
      </c>
      <c r="S81" s="110" t="s">
        <v>136</v>
      </c>
      <c r="T81" s="110" t="s">
        <v>134</v>
      </c>
      <c r="U81" s="110" t="s">
        <v>134</v>
      </c>
      <c r="V81" s="106" t="s">
        <v>89</v>
      </c>
      <c r="W81" s="116">
        <v>45713</v>
      </c>
      <c r="X81" s="116">
        <v>45723</v>
      </c>
      <c r="Y81" s="110"/>
      <c r="Z81" s="169" t="s">
        <v>85</v>
      </c>
      <c r="AA81" s="124">
        <v>0</v>
      </c>
      <c r="AB81" s="110">
        <v>5592</v>
      </c>
      <c r="AC81" s="114">
        <v>375288</v>
      </c>
      <c r="AD81" s="114">
        <f t="shared" si="3"/>
        <v>446592.72</v>
      </c>
      <c r="AE81" s="114">
        <v>0</v>
      </c>
      <c r="AF81" s="110"/>
      <c r="AG81" s="142" t="s">
        <v>1298</v>
      </c>
      <c r="AH81" s="116">
        <v>45715</v>
      </c>
      <c r="AI81" s="116">
        <v>45782</v>
      </c>
      <c r="AJ81" s="110" t="s">
        <v>245</v>
      </c>
      <c r="AK81" s="230"/>
      <c r="AL81" s="142"/>
    </row>
    <row r="82" spans="1:38" ht="60" x14ac:dyDescent="0.25">
      <c r="A82" s="147">
        <v>2025</v>
      </c>
      <c r="B82" s="111">
        <v>2</v>
      </c>
      <c r="C82" s="148">
        <v>22390</v>
      </c>
      <c r="D82" s="108">
        <v>45713</v>
      </c>
      <c r="E82" s="110" t="s">
        <v>498</v>
      </c>
      <c r="F82" s="111" t="s">
        <v>499</v>
      </c>
      <c r="G82" s="110" t="s">
        <v>460</v>
      </c>
      <c r="H82" s="110">
        <v>3128151027</v>
      </c>
      <c r="I82" s="110">
        <v>323373913</v>
      </c>
      <c r="J82" s="108">
        <v>45725</v>
      </c>
      <c r="K82" s="110" t="s">
        <v>88</v>
      </c>
      <c r="L82" s="112" t="s">
        <v>1299</v>
      </c>
      <c r="M82" s="110" t="s">
        <v>136</v>
      </c>
      <c r="N82" s="110">
        <v>5741</v>
      </c>
      <c r="O82" s="110">
        <v>5494</v>
      </c>
      <c r="P82" s="110">
        <v>8516</v>
      </c>
      <c r="Q82" s="110">
        <v>5429</v>
      </c>
      <c r="R82" s="110" t="s">
        <v>136</v>
      </c>
      <c r="S82" s="110" t="s">
        <v>134</v>
      </c>
      <c r="T82" s="110" t="s">
        <v>134</v>
      </c>
      <c r="U82" s="110" t="s">
        <v>136</v>
      </c>
      <c r="V82" s="106" t="s">
        <v>119</v>
      </c>
      <c r="W82" s="116">
        <v>45722</v>
      </c>
      <c r="X82" s="116">
        <v>45727</v>
      </c>
      <c r="Y82" s="110"/>
      <c r="Z82" s="169" t="s">
        <v>85</v>
      </c>
      <c r="AA82" s="124">
        <v>0</v>
      </c>
      <c r="AB82" s="110">
        <v>5633</v>
      </c>
      <c r="AC82" s="114">
        <v>3389269</v>
      </c>
      <c r="AD82" s="114">
        <f t="shared" si="3"/>
        <v>4033230.11</v>
      </c>
      <c r="AE82" s="114">
        <v>2016615</v>
      </c>
      <c r="AF82" s="110"/>
      <c r="AG82" s="142" t="s">
        <v>1300</v>
      </c>
      <c r="AH82" s="116">
        <v>45724</v>
      </c>
      <c r="AI82" s="116">
        <v>45782</v>
      </c>
      <c r="AJ82" s="110" t="s">
        <v>245</v>
      </c>
      <c r="AK82" s="230"/>
      <c r="AL82" s="142"/>
    </row>
    <row r="83" spans="1:38" ht="75" x14ac:dyDescent="0.25">
      <c r="A83" s="147">
        <v>2025</v>
      </c>
      <c r="B83" s="111">
        <v>2</v>
      </c>
      <c r="C83" s="148">
        <v>22391</v>
      </c>
      <c r="D83" s="108">
        <v>45713</v>
      </c>
      <c r="E83" s="110" t="s">
        <v>507</v>
      </c>
      <c r="F83" s="111" t="s">
        <v>508</v>
      </c>
      <c r="G83" s="110" t="s">
        <v>460</v>
      </c>
      <c r="H83" s="110">
        <v>6044449191</v>
      </c>
      <c r="I83" s="110">
        <v>3187078582</v>
      </c>
      <c r="J83" s="108">
        <v>45724</v>
      </c>
      <c r="K83" s="110" t="s">
        <v>88</v>
      </c>
      <c r="L83" s="112" t="s">
        <v>1301</v>
      </c>
      <c r="M83" s="110" t="s">
        <v>136</v>
      </c>
      <c r="N83" s="110">
        <v>5742</v>
      </c>
      <c r="O83" s="110">
        <v>5995</v>
      </c>
      <c r="P83" s="110">
        <v>8508</v>
      </c>
      <c r="Q83" s="110" t="s">
        <v>136</v>
      </c>
      <c r="R83" s="110" t="s">
        <v>134</v>
      </c>
      <c r="S83" s="110" t="s">
        <v>134</v>
      </c>
      <c r="T83" s="110" t="s">
        <v>134</v>
      </c>
      <c r="U83" s="110" t="s">
        <v>136</v>
      </c>
      <c r="V83" s="106" t="s">
        <v>87</v>
      </c>
      <c r="W83" s="116">
        <v>45728</v>
      </c>
      <c r="X83" s="116">
        <v>45737</v>
      </c>
      <c r="Y83" s="110"/>
      <c r="Z83" s="169" t="s">
        <v>85</v>
      </c>
      <c r="AA83" s="124">
        <v>0</v>
      </c>
      <c r="AB83" s="110">
        <v>5650</v>
      </c>
      <c r="AC83" s="114">
        <v>457339</v>
      </c>
      <c r="AD83" s="114">
        <f t="shared" si="3"/>
        <v>544233.41</v>
      </c>
      <c r="AE83" s="114">
        <v>272000</v>
      </c>
      <c r="AF83" s="110"/>
      <c r="AG83" s="142" t="s">
        <v>1302</v>
      </c>
      <c r="AH83" s="116">
        <v>45713</v>
      </c>
      <c r="AI83" s="116">
        <v>45782</v>
      </c>
      <c r="AJ83" s="110" t="s">
        <v>571</v>
      </c>
      <c r="AK83" s="230"/>
      <c r="AL83" s="142"/>
    </row>
    <row r="84" spans="1:38" ht="60" x14ac:dyDescent="0.25">
      <c r="A84" s="147">
        <v>2025</v>
      </c>
      <c r="B84" s="111">
        <v>2</v>
      </c>
      <c r="C84" s="148">
        <v>22392</v>
      </c>
      <c r="D84" s="108">
        <v>45713</v>
      </c>
      <c r="E84" s="110" t="s">
        <v>510</v>
      </c>
      <c r="F84" s="111" t="s">
        <v>511</v>
      </c>
      <c r="G84" s="110" t="s">
        <v>154</v>
      </c>
      <c r="H84" s="110">
        <v>6045604050</v>
      </c>
      <c r="I84" s="110">
        <v>3137372413</v>
      </c>
      <c r="J84" s="108">
        <v>45698</v>
      </c>
      <c r="K84" s="110" t="s">
        <v>88</v>
      </c>
      <c r="L84" s="112" t="s">
        <v>824</v>
      </c>
      <c r="M84" s="110" t="s">
        <v>136</v>
      </c>
      <c r="N84" s="110">
        <v>5748</v>
      </c>
      <c r="O84" s="110" t="s">
        <v>136</v>
      </c>
      <c r="P84" s="110">
        <v>6896</v>
      </c>
      <c r="Q84" s="110">
        <v>5378</v>
      </c>
      <c r="R84" s="110" t="s">
        <v>136</v>
      </c>
      <c r="S84" s="110" t="s">
        <v>134</v>
      </c>
      <c r="T84" s="110" t="s">
        <v>134</v>
      </c>
      <c r="U84" s="110" t="s">
        <v>136</v>
      </c>
      <c r="V84" s="106" t="s">
        <v>87</v>
      </c>
      <c r="W84" s="116">
        <v>45724</v>
      </c>
      <c r="X84" s="116">
        <v>45726</v>
      </c>
      <c r="Y84" s="110"/>
      <c r="Z84" s="169" t="s">
        <v>85</v>
      </c>
      <c r="AA84" s="124">
        <v>0</v>
      </c>
      <c r="AB84" s="110" t="s">
        <v>136</v>
      </c>
      <c r="AC84" s="114">
        <v>0</v>
      </c>
      <c r="AD84" s="114">
        <f t="shared" si="3"/>
        <v>0</v>
      </c>
      <c r="AE84" s="114">
        <v>0</v>
      </c>
      <c r="AF84" s="110"/>
      <c r="AG84" s="142" t="s">
        <v>1303</v>
      </c>
      <c r="AH84" s="116" t="s">
        <v>136</v>
      </c>
      <c r="AI84" s="116">
        <v>45782</v>
      </c>
      <c r="AJ84" s="110" t="s">
        <v>245</v>
      </c>
      <c r="AK84" s="230"/>
      <c r="AL84" s="142"/>
    </row>
    <row r="85" spans="1:38" ht="60" x14ac:dyDescent="0.25">
      <c r="A85" s="147">
        <v>2025</v>
      </c>
      <c r="B85" s="111">
        <v>2</v>
      </c>
      <c r="C85" s="148">
        <v>22393</v>
      </c>
      <c r="D85" s="108">
        <v>45715</v>
      </c>
      <c r="E85" s="111" t="s">
        <v>542</v>
      </c>
      <c r="F85" s="111" t="s">
        <v>543</v>
      </c>
      <c r="G85" s="110" t="s">
        <v>154</v>
      </c>
      <c r="H85" s="110">
        <v>3015966115</v>
      </c>
      <c r="I85" s="110">
        <v>337447773</v>
      </c>
      <c r="J85" s="108">
        <v>45727</v>
      </c>
      <c r="K85" s="110" t="s">
        <v>84</v>
      </c>
      <c r="L85" s="112" t="s">
        <v>1304</v>
      </c>
      <c r="M85" s="110" t="s">
        <v>136</v>
      </c>
      <c r="N85" s="110">
        <v>5752</v>
      </c>
      <c r="O85" s="110">
        <v>6006</v>
      </c>
      <c r="P85" s="110" t="s">
        <v>136</v>
      </c>
      <c r="Q85" s="110">
        <v>5444</v>
      </c>
      <c r="R85" s="110" t="s">
        <v>134</v>
      </c>
      <c r="S85" s="110" t="s">
        <v>134</v>
      </c>
      <c r="T85" s="110" t="s">
        <v>134</v>
      </c>
      <c r="U85" s="110" t="s">
        <v>136</v>
      </c>
      <c r="V85" s="106" t="s">
        <v>119</v>
      </c>
      <c r="W85" s="116">
        <v>45724</v>
      </c>
      <c r="X85" s="116">
        <v>45731</v>
      </c>
      <c r="Y85" s="110"/>
      <c r="Z85" s="169" t="s">
        <v>85</v>
      </c>
      <c r="AA85" s="124">
        <v>0</v>
      </c>
      <c r="AB85" s="110">
        <v>5637</v>
      </c>
      <c r="AC85" s="114">
        <v>2436797</v>
      </c>
      <c r="AD85" s="114">
        <f t="shared" si="3"/>
        <v>2899788.4299999997</v>
      </c>
      <c r="AE85" s="114">
        <v>145000</v>
      </c>
      <c r="AF85" s="110"/>
      <c r="AG85" s="142" t="s">
        <v>1116</v>
      </c>
      <c r="AH85" s="116">
        <v>45729</v>
      </c>
      <c r="AI85" s="116">
        <v>45782</v>
      </c>
      <c r="AJ85" s="110" t="s">
        <v>245</v>
      </c>
      <c r="AK85" s="230"/>
      <c r="AL85" s="142"/>
    </row>
    <row r="86" spans="1:38" ht="60" x14ac:dyDescent="0.25">
      <c r="A86" s="147">
        <v>2025</v>
      </c>
      <c r="B86" s="111">
        <v>2</v>
      </c>
      <c r="C86" s="148">
        <v>22394</v>
      </c>
      <c r="D86" s="108">
        <v>45713</v>
      </c>
      <c r="E86" s="110" t="s">
        <v>501</v>
      </c>
      <c r="F86" s="110" t="s">
        <v>501</v>
      </c>
      <c r="G86" s="110" t="s">
        <v>420</v>
      </c>
      <c r="H86" s="110">
        <v>3007795440</v>
      </c>
      <c r="I86" s="110">
        <v>3007795440</v>
      </c>
      <c r="J86" s="108">
        <v>45724</v>
      </c>
      <c r="K86" s="110" t="s">
        <v>95</v>
      </c>
      <c r="L86" s="112" t="s">
        <v>1305</v>
      </c>
      <c r="M86" s="110" t="s">
        <v>281</v>
      </c>
      <c r="N86" s="110" t="s">
        <v>136</v>
      </c>
      <c r="O86" s="110">
        <v>5956</v>
      </c>
      <c r="P86" s="110">
        <v>8506</v>
      </c>
      <c r="Q86" s="110" t="s">
        <v>136</v>
      </c>
      <c r="R86" s="110" t="s">
        <v>136</v>
      </c>
      <c r="S86" s="110" t="s">
        <v>134</v>
      </c>
      <c r="T86" s="110" t="s">
        <v>134</v>
      </c>
      <c r="U86" s="110" t="s">
        <v>136</v>
      </c>
      <c r="V86" s="106" t="s">
        <v>89</v>
      </c>
      <c r="W86" s="116">
        <v>45722</v>
      </c>
      <c r="X86" s="116">
        <v>45726</v>
      </c>
      <c r="Y86" s="110"/>
      <c r="Z86" s="169" t="s">
        <v>85</v>
      </c>
      <c r="AA86" s="124">
        <v>0</v>
      </c>
      <c r="AB86" s="110">
        <v>5634</v>
      </c>
      <c r="AC86" s="114">
        <v>526079</v>
      </c>
      <c r="AD86" s="114">
        <f t="shared" si="3"/>
        <v>626034.01</v>
      </c>
      <c r="AE86" s="114">
        <v>313012</v>
      </c>
      <c r="AF86" s="110"/>
      <c r="AG86" s="142" t="s">
        <v>1117</v>
      </c>
      <c r="AH86" s="116">
        <v>45732</v>
      </c>
      <c r="AI86" s="116">
        <v>45782</v>
      </c>
      <c r="AJ86" s="110" t="s">
        <v>245</v>
      </c>
      <c r="AK86" s="230"/>
      <c r="AL86" s="142"/>
    </row>
    <row r="87" spans="1:38" ht="75" x14ac:dyDescent="0.25">
      <c r="A87" s="140">
        <v>2025</v>
      </c>
      <c r="B87" s="100">
        <v>2</v>
      </c>
      <c r="C87" s="161">
        <v>22395</v>
      </c>
      <c r="D87" s="97">
        <v>45713</v>
      </c>
      <c r="E87" s="99" t="s">
        <v>328</v>
      </c>
      <c r="F87" s="100" t="s">
        <v>329</v>
      </c>
      <c r="G87" s="99" t="s">
        <v>154</v>
      </c>
      <c r="H87" s="99">
        <v>311389928</v>
      </c>
      <c r="I87" s="99">
        <v>311389928</v>
      </c>
      <c r="J87" s="97">
        <v>45731</v>
      </c>
      <c r="K87" s="99" t="s">
        <v>88</v>
      </c>
      <c r="L87" s="101" t="s">
        <v>1306</v>
      </c>
      <c r="M87" s="99" t="s">
        <v>136</v>
      </c>
      <c r="N87" s="99">
        <v>5761</v>
      </c>
      <c r="O87" s="99">
        <v>6004</v>
      </c>
      <c r="P87" s="100" t="s">
        <v>539</v>
      </c>
      <c r="Q87" s="99">
        <v>5448</v>
      </c>
      <c r="R87" s="99" t="s">
        <v>134</v>
      </c>
      <c r="S87" s="99" t="s">
        <v>134</v>
      </c>
      <c r="T87" s="99" t="s">
        <v>134</v>
      </c>
      <c r="U87" s="99" t="s">
        <v>136</v>
      </c>
      <c r="V87" s="95" t="s">
        <v>89</v>
      </c>
      <c r="W87" s="105">
        <v>45743</v>
      </c>
      <c r="X87" s="105">
        <v>45820</v>
      </c>
      <c r="Y87" s="99"/>
      <c r="Z87" s="164" t="s">
        <v>90</v>
      </c>
      <c r="AA87" s="122">
        <v>0</v>
      </c>
      <c r="AB87" s="99">
        <v>5766</v>
      </c>
      <c r="AC87" s="103">
        <v>14912382</v>
      </c>
      <c r="AD87" s="103">
        <f t="shared" si="3"/>
        <v>17745734.579999998</v>
      </c>
      <c r="AE87" s="103">
        <v>7000000</v>
      </c>
      <c r="AF87" s="99"/>
      <c r="AG87" s="104" t="s">
        <v>2110</v>
      </c>
      <c r="AH87" s="105">
        <v>45812</v>
      </c>
      <c r="AI87" s="105">
        <v>45814</v>
      </c>
      <c r="AJ87" s="99" t="s">
        <v>1705</v>
      </c>
      <c r="AK87" s="233"/>
      <c r="AL87" s="104"/>
    </row>
    <row r="88" spans="1:38" ht="60" x14ac:dyDescent="0.25">
      <c r="A88" s="147">
        <v>2025</v>
      </c>
      <c r="B88" s="111">
        <v>2</v>
      </c>
      <c r="C88" s="148">
        <v>22396</v>
      </c>
      <c r="D88" s="108">
        <v>45714</v>
      </c>
      <c r="E88" s="110" t="s">
        <v>652</v>
      </c>
      <c r="F88" s="111" t="s">
        <v>509</v>
      </c>
      <c r="G88" s="110" t="s">
        <v>460</v>
      </c>
      <c r="H88" s="110">
        <v>604406508</v>
      </c>
      <c r="I88" s="110">
        <v>604406508</v>
      </c>
      <c r="J88" s="108">
        <v>45724</v>
      </c>
      <c r="K88" s="110" t="s">
        <v>88</v>
      </c>
      <c r="L88" s="112" t="s">
        <v>1307</v>
      </c>
      <c r="M88" s="110" t="s">
        <v>136</v>
      </c>
      <c r="N88" s="110">
        <v>5477</v>
      </c>
      <c r="O88" s="110">
        <v>5998</v>
      </c>
      <c r="P88" s="110">
        <v>8548</v>
      </c>
      <c r="Q88" s="110">
        <v>5442</v>
      </c>
      <c r="R88" s="110" t="s">
        <v>134</v>
      </c>
      <c r="S88" s="110" t="s">
        <v>134</v>
      </c>
      <c r="T88" s="110" t="s">
        <v>134</v>
      </c>
      <c r="U88" s="110" t="s">
        <v>136</v>
      </c>
      <c r="V88" s="106" t="s">
        <v>89</v>
      </c>
      <c r="W88" s="116">
        <v>45722</v>
      </c>
      <c r="X88" s="116">
        <v>45719</v>
      </c>
      <c r="Y88" s="110"/>
      <c r="Z88" s="169" t="s">
        <v>85</v>
      </c>
      <c r="AA88" s="124">
        <v>0</v>
      </c>
      <c r="AB88" s="110">
        <v>5638</v>
      </c>
      <c r="AC88" s="114">
        <v>838878</v>
      </c>
      <c r="AD88" s="114">
        <f t="shared" si="3"/>
        <v>998264.82</v>
      </c>
      <c r="AE88" s="114">
        <v>998265</v>
      </c>
      <c r="AF88" s="110"/>
      <c r="AG88" s="142" t="s">
        <v>1308</v>
      </c>
      <c r="AH88" s="116">
        <v>45736</v>
      </c>
      <c r="AI88" s="116">
        <v>45782</v>
      </c>
      <c r="AJ88" s="110" t="s">
        <v>571</v>
      </c>
      <c r="AK88" s="230"/>
      <c r="AL88" s="142"/>
    </row>
    <row r="89" spans="1:38" ht="60" x14ac:dyDescent="0.25">
      <c r="A89" s="147">
        <v>2025</v>
      </c>
      <c r="B89" s="111">
        <v>2</v>
      </c>
      <c r="C89" s="148">
        <v>22397</v>
      </c>
      <c r="D89" s="108">
        <v>45714</v>
      </c>
      <c r="E89" s="110" t="s">
        <v>387</v>
      </c>
      <c r="F89" s="110" t="s">
        <v>99</v>
      </c>
      <c r="G89" s="110" t="s">
        <v>99</v>
      </c>
      <c r="H89" s="110">
        <v>3202751520</v>
      </c>
      <c r="I89" s="110">
        <v>3202751520</v>
      </c>
      <c r="J89" s="108">
        <v>45726</v>
      </c>
      <c r="K89" s="110" t="s">
        <v>99</v>
      </c>
      <c r="L89" s="112" t="s">
        <v>1309</v>
      </c>
      <c r="M89" s="110" t="s">
        <v>136</v>
      </c>
      <c r="N89" s="110">
        <v>5743</v>
      </c>
      <c r="O89" s="110" t="s">
        <v>136</v>
      </c>
      <c r="P89" s="110" t="s">
        <v>136</v>
      </c>
      <c r="Q89" s="110" t="s">
        <v>136</v>
      </c>
      <c r="R89" s="110" t="s">
        <v>136</v>
      </c>
      <c r="S89" s="110" t="s">
        <v>134</v>
      </c>
      <c r="T89" s="110" t="s">
        <v>134</v>
      </c>
      <c r="U89" s="110" t="s">
        <v>136</v>
      </c>
      <c r="V89" s="106" t="s">
        <v>89</v>
      </c>
      <c r="W89" s="116">
        <v>45722</v>
      </c>
      <c r="X89" s="116">
        <v>45730</v>
      </c>
      <c r="Y89" s="110"/>
      <c r="Z89" s="169" t="s">
        <v>85</v>
      </c>
      <c r="AA89" s="124">
        <v>0</v>
      </c>
      <c r="AB89" s="110" t="s">
        <v>136</v>
      </c>
      <c r="AC89" s="114">
        <v>0</v>
      </c>
      <c r="AD89" s="114">
        <f t="shared" si="3"/>
        <v>0</v>
      </c>
      <c r="AE89" s="114">
        <v>0</v>
      </c>
      <c r="AF89" s="110"/>
      <c r="AG89" s="142" t="s">
        <v>1310</v>
      </c>
      <c r="AH89" s="116" t="s">
        <v>136</v>
      </c>
      <c r="AI89" s="116">
        <v>45782</v>
      </c>
      <c r="AJ89" s="110" t="s">
        <v>245</v>
      </c>
      <c r="AK89" s="230"/>
      <c r="AL89" s="142"/>
    </row>
    <row r="90" spans="1:38" ht="120" x14ac:dyDescent="0.25">
      <c r="A90" s="147">
        <v>2025</v>
      </c>
      <c r="B90" s="111">
        <v>2</v>
      </c>
      <c r="C90" s="148">
        <v>22398</v>
      </c>
      <c r="D90" s="108">
        <v>45715</v>
      </c>
      <c r="E90" s="110" t="s">
        <v>572</v>
      </c>
      <c r="F90" s="111" t="s">
        <v>573</v>
      </c>
      <c r="G90" s="110" t="s">
        <v>98</v>
      </c>
      <c r="H90" s="110">
        <v>3052632446</v>
      </c>
      <c r="I90" s="110">
        <v>6044448899</v>
      </c>
      <c r="J90" s="108">
        <v>45738</v>
      </c>
      <c r="K90" s="110" t="s">
        <v>88</v>
      </c>
      <c r="L90" s="112" t="s">
        <v>1311</v>
      </c>
      <c r="M90" s="110" t="s">
        <v>136</v>
      </c>
      <c r="N90" s="110">
        <v>5782</v>
      </c>
      <c r="O90" s="110">
        <v>6035</v>
      </c>
      <c r="P90" s="110">
        <v>8485</v>
      </c>
      <c r="Q90" s="110">
        <v>5422</v>
      </c>
      <c r="R90" s="110" t="s">
        <v>136</v>
      </c>
      <c r="S90" s="110" t="s">
        <v>134</v>
      </c>
      <c r="T90" s="110" t="s">
        <v>134</v>
      </c>
      <c r="U90" s="110" t="s">
        <v>136</v>
      </c>
      <c r="V90" s="106" t="s">
        <v>119</v>
      </c>
      <c r="W90" s="116">
        <v>45738</v>
      </c>
      <c r="X90" s="116">
        <v>45738</v>
      </c>
      <c r="Y90" s="110"/>
      <c r="Z90" s="169" t="s">
        <v>85</v>
      </c>
      <c r="AA90" s="124">
        <v>0</v>
      </c>
      <c r="AB90" s="110">
        <v>5669</v>
      </c>
      <c r="AC90" s="114">
        <v>11418634</v>
      </c>
      <c r="AD90" s="114">
        <f t="shared" si="3"/>
        <v>13588174.459999999</v>
      </c>
      <c r="AE90" s="114">
        <v>6795000</v>
      </c>
      <c r="AF90" s="110"/>
      <c r="AG90" s="142" t="s">
        <v>850</v>
      </c>
      <c r="AH90" s="116">
        <v>45737</v>
      </c>
      <c r="AI90" s="116">
        <v>45782</v>
      </c>
      <c r="AJ90" s="110" t="s">
        <v>245</v>
      </c>
      <c r="AK90" s="230"/>
      <c r="AL90" s="142"/>
    </row>
    <row r="91" spans="1:38" ht="53.25" customHeight="1" x14ac:dyDescent="0.25">
      <c r="A91" s="147">
        <v>2025</v>
      </c>
      <c r="B91" s="111">
        <v>2</v>
      </c>
      <c r="C91" s="148">
        <v>22399</v>
      </c>
      <c r="D91" s="108">
        <v>45716</v>
      </c>
      <c r="E91" s="110" t="s">
        <v>513</v>
      </c>
      <c r="F91" s="111" t="s">
        <v>514</v>
      </c>
      <c r="G91" s="110" t="s">
        <v>98</v>
      </c>
      <c r="H91" s="110">
        <v>31836143422</v>
      </c>
      <c r="I91" s="110">
        <v>3225896024</v>
      </c>
      <c r="J91" s="108">
        <v>45727</v>
      </c>
      <c r="K91" s="110" t="s">
        <v>88</v>
      </c>
      <c r="L91" s="112" t="s">
        <v>1312</v>
      </c>
      <c r="M91" s="110" t="s">
        <v>136</v>
      </c>
      <c r="N91" s="110" t="s">
        <v>136</v>
      </c>
      <c r="O91" s="110" t="s">
        <v>136</v>
      </c>
      <c r="P91" s="110" t="s">
        <v>136</v>
      </c>
      <c r="Q91" s="110" t="s">
        <v>136</v>
      </c>
      <c r="R91" s="110" t="s">
        <v>136</v>
      </c>
      <c r="S91" s="110" t="s">
        <v>134</v>
      </c>
      <c r="T91" s="110" t="s">
        <v>136</v>
      </c>
      <c r="U91" s="110" t="s">
        <v>136</v>
      </c>
      <c r="V91" s="106" t="s">
        <v>119</v>
      </c>
      <c r="W91" s="116">
        <v>45724</v>
      </c>
      <c r="X91" s="116">
        <v>45728</v>
      </c>
      <c r="Y91" s="110"/>
      <c r="Z91" s="169" t="s">
        <v>85</v>
      </c>
      <c r="AA91" s="124">
        <v>0</v>
      </c>
      <c r="AB91" s="110">
        <v>5639</v>
      </c>
      <c r="AC91" s="114">
        <v>319328</v>
      </c>
      <c r="AD91" s="114">
        <f t="shared" si="3"/>
        <v>380000.32</v>
      </c>
      <c r="AE91" s="114">
        <v>200000</v>
      </c>
      <c r="AF91" s="110"/>
      <c r="AG91" s="142" t="s">
        <v>1313</v>
      </c>
      <c r="AH91" s="116">
        <v>45727</v>
      </c>
      <c r="AI91" s="116">
        <v>45782</v>
      </c>
      <c r="AJ91" s="110" t="s">
        <v>245</v>
      </c>
      <c r="AK91" s="230"/>
      <c r="AL91" s="142"/>
    </row>
    <row r="92" spans="1:38" ht="53.25" customHeight="1" x14ac:dyDescent="0.25">
      <c r="A92" s="147">
        <v>2025</v>
      </c>
      <c r="B92" s="111">
        <v>2</v>
      </c>
      <c r="C92" s="148">
        <v>22400</v>
      </c>
      <c r="D92" s="108">
        <v>45716</v>
      </c>
      <c r="E92" s="110" t="s">
        <v>555</v>
      </c>
      <c r="F92" s="111" t="s">
        <v>556</v>
      </c>
      <c r="G92" s="110" t="s">
        <v>557</v>
      </c>
      <c r="H92" s="110">
        <v>3178085495</v>
      </c>
      <c r="I92" s="110">
        <v>3178085495</v>
      </c>
      <c r="J92" s="108">
        <v>45731</v>
      </c>
      <c r="K92" s="110" t="s">
        <v>84</v>
      </c>
      <c r="L92" s="112" t="s">
        <v>1314</v>
      </c>
      <c r="M92" s="110" t="s">
        <v>136</v>
      </c>
      <c r="N92" s="110">
        <v>5768</v>
      </c>
      <c r="O92" s="110">
        <v>6014</v>
      </c>
      <c r="P92" s="110" t="s">
        <v>136</v>
      </c>
      <c r="Q92" s="110">
        <v>5453</v>
      </c>
      <c r="R92" s="110" t="s">
        <v>136</v>
      </c>
      <c r="S92" s="110" t="s">
        <v>134</v>
      </c>
      <c r="T92" s="110" t="s">
        <v>134</v>
      </c>
      <c r="U92" s="110" t="s">
        <v>136</v>
      </c>
      <c r="V92" s="106" t="s">
        <v>119</v>
      </c>
      <c r="W92" s="116">
        <v>45731</v>
      </c>
      <c r="X92" s="116">
        <v>45734</v>
      </c>
      <c r="Y92" s="110"/>
      <c r="Z92" s="169" t="s">
        <v>85</v>
      </c>
      <c r="AA92" s="124">
        <v>0</v>
      </c>
      <c r="AB92" s="110">
        <v>5661</v>
      </c>
      <c r="AC92" s="114">
        <v>294118</v>
      </c>
      <c r="AD92" s="114">
        <f t="shared" si="3"/>
        <v>350000.42</v>
      </c>
      <c r="AE92" s="114">
        <v>175000</v>
      </c>
      <c r="AF92" s="110"/>
      <c r="AG92" s="142" t="s">
        <v>1315</v>
      </c>
      <c r="AH92" s="116">
        <v>45734</v>
      </c>
      <c r="AI92" s="116">
        <v>45782</v>
      </c>
      <c r="AJ92" s="110" t="s">
        <v>245</v>
      </c>
      <c r="AK92" s="230"/>
      <c r="AL92" s="142"/>
    </row>
    <row r="93" spans="1:38" ht="90" x14ac:dyDescent="0.25">
      <c r="A93" s="261">
        <v>2025</v>
      </c>
      <c r="B93" s="253">
        <v>2</v>
      </c>
      <c r="C93" s="262" t="s">
        <v>747</v>
      </c>
      <c r="D93" s="263">
        <v>45747</v>
      </c>
      <c r="E93" s="252" t="s">
        <v>712</v>
      </c>
      <c r="F93" s="252" t="s">
        <v>712</v>
      </c>
      <c r="G93" s="252" t="s">
        <v>154</v>
      </c>
      <c r="H93" s="252">
        <v>3103706402</v>
      </c>
      <c r="I93" s="252">
        <v>6045902430</v>
      </c>
      <c r="J93" s="263">
        <v>45758</v>
      </c>
      <c r="K93" s="252" t="s">
        <v>88</v>
      </c>
      <c r="L93" s="264" t="s">
        <v>1316</v>
      </c>
      <c r="M93" s="252" t="s">
        <v>136</v>
      </c>
      <c r="N93" s="252">
        <v>5828</v>
      </c>
      <c r="O93" s="252">
        <v>6007</v>
      </c>
      <c r="P93" s="252">
        <v>8338</v>
      </c>
      <c r="Q93" s="252" t="s">
        <v>136</v>
      </c>
      <c r="R93" s="252" t="s">
        <v>136</v>
      </c>
      <c r="S93" s="252" t="s">
        <v>134</v>
      </c>
      <c r="T93" s="252" t="s">
        <v>134</v>
      </c>
      <c r="U93" s="252" t="s">
        <v>136</v>
      </c>
      <c r="V93" s="265" t="s">
        <v>119</v>
      </c>
      <c r="W93" s="326" t="s">
        <v>136</v>
      </c>
      <c r="X93" s="326" t="s">
        <v>136</v>
      </c>
      <c r="Y93" s="252"/>
      <c r="Z93" s="266" t="s">
        <v>85</v>
      </c>
      <c r="AA93" s="254">
        <v>0</v>
      </c>
      <c r="AB93" s="252" t="s">
        <v>136</v>
      </c>
      <c r="AC93" s="255">
        <v>3906489</v>
      </c>
      <c r="AD93" s="255">
        <f t="shared" si="3"/>
        <v>4648721.91</v>
      </c>
      <c r="AE93" s="255">
        <f>1800000+2200000</f>
        <v>4000000</v>
      </c>
      <c r="AF93" s="252"/>
      <c r="AG93" s="257" t="s">
        <v>825</v>
      </c>
      <c r="AH93" s="326" t="s">
        <v>136</v>
      </c>
      <c r="AI93" s="326">
        <v>45782</v>
      </c>
      <c r="AJ93" s="252" t="s">
        <v>571</v>
      </c>
      <c r="AK93" s="267"/>
      <c r="AL93" s="257"/>
    </row>
    <row r="94" spans="1:38" s="199" customFormat="1" ht="53.25" customHeight="1" x14ac:dyDescent="0.25">
      <c r="A94" s="147">
        <v>2025</v>
      </c>
      <c r="B94" s="111">
        <v>2</v>
      </c>
      <c r="C94" s="148">
        <v>22402</v>
      </c>
      <c r="D94" s="108">
        <v>45714</v>
      </c>
      <c r="E94" s="110" t="s">
        <v>504</v>
      </c>
      <c r="F94" s="111" t="s">
        <v>505</v>
      </c>
      <c r="G94" s="110" t="s">
        <v>460</v>
      </c>
      <c r="H94" s="110">
        <v>6043315258</v>
      </c>
      <c r="I94" s="110">
        <v>3022804574</v>
      </c>
      <c r="J94" s="108">
        <v>45716</v>
      </c>
      <c r="K94" s="110" t="s">
        <v>88</v>
      </c>
      <c r="L94" s="112" t="s">
        <v>1317</v>
      </c>
      <c r="M94" s="110" t="s">
        <v>136</v>
      </c>
      <c r="N94" s="110" t="s">
        <v>136</v>
      </c>
      <c r="O94" s="110">
        <v>5999</v>
      </c>
      <c r="P94" s="110">
        <v>8502</v>
      </c>
      <c r="Q94" s="110">
        <v>5445</v>
      </c>
      <c r="R94" s="110" t="s">
        <v>134</v>
      </c>
      <c r="S94" s="110" t="s">
        <v>136</v>
      </c>
      <c r="T94" s="110" t="s">
        <v>136</v>
      </c>
      <c r="U94" s="110" t="s">
        <v>136</v>
      </c>
      <c r="V94" s="106" t="s">
        <v>87</v>
      </c>
      <c r="W94" s="116">
        <v>45692</v>
      </c>
      <c r="X94" s="116">
        <v>45720</v>
      </c>
      <c r="Y94" s="110"/>
      <c r="Z94" s="169" t="s">
        <v>85</v>
      </c>
      <c r="AA94" s="124">
        <v>0</v>
      </c>
      <c r="AB94" s="110">
        <v>5624</v>
      </c>
      <c r="AC94" s="114">
        <v>731250</v>
      </c>
      <c r="AD94" s="114">
        <f t="shared" si="3"/>
        <v>870187.5</v>
      </c>
      <c r="AE94" s="114">
        <v>0</v>
      </c>
      <c r="AF94" s="110"/>
      <c r="AG94" s="142" t="s">
        <v>1318</v>
      </c>
      <c r="AH94" s="116">
        <v>45786</v>
      </c>
      <c r="AI94" s="116">
        <v>45789</v>
      </c>
      <c r="AJ94" s="110" t="s">
        <v>245</v>
      </c>
      <c r="AK94" s="230"/>
      <c r="AL94" s="142"/>
    </row>
    <row r="95" spans="1:38" ht="53.25" customHeight="1" x14ac:dyDescent="0.25">
      <c r="A95" s="147">
        <v>2025</v>
      </c>
      <c r="B95" s="111">
        <v>2</v>
      </c>
      <c r="C95" s="148">
        <v>22403</v>
      </c>
      <c r="D95" s="108">
        <v>45715</v>
      </c>
      <c r="E95" s="110" t="s">
        <v>491</v>
      </c>
      <c r="F95" s="110" t="s">
        <v>491</v>
      </c>
      <c r="G95" s="110" t="s">
        <v>98</v>
      </c>
      <c r="H95" s="110">
        <v>6042857446</v>
      </c>
      <c r="I95" s="110">
        <v>6042857446</v>
      </c>
      <c r="J95" s="108">
        <v>45727</v>
      </c>
      <c r="K95" s="110" t="s">
        <v>88</v>
      </c>
      <c r="L95" s="112" t="s">
        <v>1319</v>
      </c>
      <c r="M95" s="110" t="s">
        <v>136</v>
      </c>
      <c r="N95" s="110">
        <v>5746</v>
      </c>
      <c r="O95" s="110">
        <v>6000</v>
      </c>
      <c r="P95" s="110">
        <v>8539</v>
      </c>
      <c r="Q95" s="110">
        <v>5439</v>
      </c>
      <c r="R95" s="110" t="s">
        <v>136</v>
      </c>
      <c r="S95" s="110" t="s">
        <v>134</v>
      </c>
      <c r="T95" s="110" t="s">
        <v>134</v>
      </c>
      <c r="U95" s="110" t="s">
        <v>136</v>
      </c>
      <c r="V95" s="106" t="s">
        <v>87</v>
      </c>
      <c r="W95" s="116">
        <v>45729</v>
      </c>
      <c r="X95" s="116">
        <v>45735</v>
      </c>
      <c r="Y95" s="110"/>
      <c r="Z95" s="169" t="s">
        <v>85</v>
      </c>
      <c r="AA95" s="124">
        <v>0</v>
      </c>
      <c r="AB95" s="110">
        <v>5664</v>
      </c>
      <c r="AC95" s="114">
        <v>1552365</v>
      </c>
      <c r="AD95" s="114">
        <f t="shared" si="3"/>
        <v>1847314.3499999999</v>
      </c>
      <c r="AE95" s="114">
        <v>1006000</v>
      </c>
      <c r="AF95" s="110"/>
      <c r="AG95" s="142" t="s">
        <v>1118</v>
      </c>
      <c r="AH95" s="116">
        <v>45734</v>
      </c>
      <c r="AI95" s="116">
        <v>45782</v>
      </c>
      <c r="AJ95" s="110" t="s">
        <v>245</v>
      </c>
      <c r="AK95" s="230"/>
      <c r="AL95" s="142"/>
    </row>
    <row r="96" spans="1:38" ht="53.25" customHeight="1" x14ac:dyDescent="0.25">
      <c r="A96" s="182">
        <v>2025</v>
      </c>
      <c r="B96" s="149">
        <v>2</v>
      </c>
      <c r="C96" s="183">
        <v>22404</v>
      </c>
      <c r="D96" s="294">
        <v>45715</v>
      </c>
      <c r="E96" s="292" t="s">
        <v>512</v>
      </c>
      <c r="F96" s="292" t="s">
        <v>512</v>
      </c>
      <c r="G96" s="292" t="s">
        <v>154</v>
      </c>
      <c r="H96" s="292">
        <v>3104243958</v>
      </c>
      <c r="I96" s="292">
        <v>3104243958</v>
      </c>
      <c r="J96" s="294">
        <v>45724</v>
      </c>
      <c r="K96" s="292" t="s">
        <v>84</v>
      </c>
      <c r="L96" s="185" t="s">
        <v>1320</v>
      </c>
      <c r="M96" s="110" t="s">
        <v>136</v>
      </c>
      <c r="N96" s="292">
        <v>5747</v>
      </c>
      <c r="O96" s="110" t="s">
        <v>136</v>
      </c>
      <c r="P96" s="110" t="s">
        <v>136</v>
      </c>
      <c r="Q96" s="110" t="s">
        <v>136</v>
      </c>
      <c r="R96" s="110" t="s">
        <v>136</v>
      </c>
      <c r="S96" s="110" t="s">
        <v>136</v>
      </c>
      <c r="T96" s="110" t="s">
        <v>136</v>
      </c>
      <c r="U96" s="110" t="s">
        <v>136</v>
      </c>
      <c r="V96" s="299" t="s">
        <v>87</v>
      </c>
      <c r="W96" s="116">
        <v>45724</v>
      </c>
      <c r="X96" s="116">
        <v>45729</v>
      </c>
      <c r="Y96" s="292"/>
      <c r="Z96" s="300" t="s">
        <v>85</v>
      </c>
      <c r="AA96" s="188">
        <v>440000</v>
      </c>
      <c r="AB96" s="292">
        <v>5641</v>
      </c>
      <c r="AC96" s="188">
        <v>369748</v>
      </c>
      <c r="AD96" s="188">
        <f t="shared" si="3"/>
        <v>440000.12</v>
      </c>
      <c r="AE96" s="188">
        <v>0</v>
      </c>
      <c r="AF96" s="292"/>
      <c r="AG96" s="142" t="s">
        <v>1119</v>
      </c>
      <c r="AH96" s="116">
        <v>45705</v>
      </c>
      <c r="AI96" s="116">
        <v>45782</v>
      </c>
      <c r="AJ96" s="292" t="s">
        <v>245</v>
      </c>
      <c r="AK96" s="232"/>
      <c r="AL96" s="142"/>
    </row>
    <row r="97" spans="1:38" ht="53.25" customHeight="1" x14ac:dyDescent="0.25">
      <c r="A97" s="147">
        <v>2025</v>
      </c>
      <c r="B97" s="111">
        <v>2</v>
      </c>
      <c r="C97" s="148">
        <v>22405</v>
      </c>
      <c r="D97" s="108">
        <v>45716</v>
      </c>
      <c r="E97" s="110" t="s">
        <v>515</v>
      </c>
      <c r="F97" s="111" t="s">
        <v>366</v>
      </c>
      <c r="G97" s="110" t="s">
        <v>420</v>
      </c>
      <c r="H97" s="110">
        <v>304530651</v>
      </c>
      <c r="I97" s="110">
        <v>304530651</v>
      </c>
      <c r="J97" s="108">
        <v>45730</v>
      </c>
      <c r="K97" s="110" t="s">
        <v>95</v>
      </c>
      <c r="L97" s="112" t="s">
        <v>1321</v>
      </c>
      <c r="M97" s="110" t="s">
        <v>136</v>
      </c>
      <c r="N97" s="110" t="s">
        <v>136</v>
      </c>
      <c r="O97" s="110" t="s">
        <v>136</v>
      </c>
      <c r="P97" s="110">
        <v>8520</v>
      </c>
      <c r="Q97" s="110">
        <v>5430</v>
      </c>
      <c r="R97" s="110" t="s">
        <v>136</v>
      </c>
      <c r="S97" s="110" t="s">
        <v>136</v>
      </c>
      <c r="T97" s="110" t="s">
        <v>136</v>
      </c>
      <c r="U97" s="110" t="s">
        <v>134</v>
      </c>
      <c r="V97" s="106" t="s">
        <v>89</v>
      </c>
      <c r="W97" s="116">
        <v>45735</v>
      </c>
      <c r="X97" s="116">
        <v>45735</v>
      </c>
      <c r="Y97" s="110"/>
      <c r="Z97" s="169" t="s">
        <v>85</v>
      </c>
      <c r="AA97" s="124">
        <v>278906</v>
      </c>
      <c r="AB97" s="110">
        <v>5617</v>
      </c>
      <c r="AC97" s="114">
        <v>234375</v>
      </c>
      <c r="AD97" s="114">
        <f t="shared" si="3"/>
        <v>278906.25</v>
      </c>
      <c r="AE97" s="114">
        <v>0</v>
      </c>
      <c r="AF97" s="110"/>
      <c r="AG97" s="142" t="s">
        <v>845</v>
      </c>
      <c r="AH97" s="116">
        <v>45733</v>
      </c>
      <c r="AI97" s="116">
        <v>45782</v>
      </c>
      <c r="AJ97" s="110" t="s">
        <v>245</v>
      </c>
      <c r="AK97" s="230"/>
      <c r="AL97" s="142"/>
    </row>
    <row r="98" spans="1:38" ht="53.25" customHeight="1" x14ac:dyDescent="0.25">
      <c r="A98" s="147">
        <v>2025</v>
      </c>
      <c r="B98" s="111">
        <v>2</v>
      </c>
      <c r="C98" s="148">
        <v>22406</v>
      </c>
      <c r="D98" s="108">
        <v>45716</v>
      </c>
      <c r="E98" s="111" t="s">
        <v>516</v>
      </c>
      <c r="F98" s="111" t="s">
        <v>516</v>
      </c>
      <c r="G98" s="110" t="s">
        <v>154</v>
      </c>
      <c r="H98" s="110">
        <v>3007872409</v>
      </c>
      <c r="I98" s="110">
        <v>3007872409</v>
      </c>
      <c r="J98" s="108">
        <v>45727</v>
      </c>
      <c r="K98" s="110" t="s">
        <v>84</v>
      </c>
      <c r="L98" s="112" t="s">
        <v>1322</v>
      </c>
      <c r="M98" s="110" t="s">
        <v>136</v>
      </c>
      <c r="N98" s="110">
        <v>5751</v>
      </c>
      <c r="O98" s="110">
        <v>6001</v>
      </c>
      <c r="P98" s="110" t="s">
        <v>136</v>
      </c>
      <c r="Q98" s="110" t="s">
        <v>136</v>
      </c>
      <c r="R98" s="110" t="s">
        <v>136</v>
      </c>
      <c r="S98" s="110" t="s">
        <v>134</v>
      </c>
      <c r="T98" s="110" t="s">
        <v>134</v>
      </c>
      <c r="U98" s="110" t="s">
        <v>136</v>
      </c>
      <c r="V98" s="106" t="s">
        <v>89</v>
      </c>
      <c r="W98" s="116">
        <v>45724</v>
      </c>
      <c r="X98" s="116">
        <v>45729</v>
      </c>
      <c r="Y98" s="110"/>
      <c r="Z98" s="169" t="s">
        <v>85</v>
      </c>
      <c r="AA98" s="114">
        <v>295000</v>
      </c>
      <c r="AB98" s="110">
        <v>5642</v>
      </c>
      <c r="AC98" s="114">
        <v>0</v>
      </c>
      <c r="AD98" s="114">
        <v>295000</v>
      </c>
      <c r="AE98" s="114">
        <v>0</v>
      </c>
      <c r="AF98" s="110"/>
      <c r="AG98" s="142" t="s">
        <v>1120</v>
      </c>
      <c r="AH98" s="116">
        <v>45716</v>
      </c>
      <c r="AI98" s="116">
        <v>45782</v>
      </c>
      <c r="AJ98" s="110" t="s">
        <v>245</v>
      </c>
      <c r="AK98" s="230"/>
      <c r="AL98" s="142"/>
    </row>
    <row r="99" spans="1:38" ht="53.25" customHeight="1" x14ac:dyDescent="0.25">
      <c r="A99" s="147">
        <v>2025</v>
      </c>
      <c r="B99" s="111">
        <v>2</v>
      </c>
      <c r="C99" s="148">
        <v>22407</v>
      </c>
      <c r="D99" s="108">
        <v>45716</v>
      </c>
      <c r="E99" s="110" t="s">
        <v>531</v>
      </c>
      <c r="F99" s="111" t="s">
        <v>325</v>
      </c>
      <c r="G99" s="110" t="s">
        <v>563</v>
      </c>
      <c r="H99" s="110">
        <v>6044483227</v>
      </c>
      <c r="I99" s="110">
        <v>6044483227</v>
      </c>
      <c r="J99" s="108">
        <v>45717</v>
      </c>
      <c r="K99" s="110" t="s">
        <v>88</v>
      </c>
      <c r="L99" s="112" t="s">
        <v>1323</v>
      </c>
      <c r="M99" s="110" t="s">
        <v>136</v>
      </c>
      <c r="N99" s="110" t="s">
        <v>136</v>
      </c>
      <c r="O99" s="110">
        <v>6003</v>
      </c>
      <c r="P99" s="110">
        <v>8568</v>
      </c>
      <c r="Q99" s="110" t="s">
        <v>136</v>
      </c>
      <c r="R99" s="110" t="s">
        <v>136</v>
      </c>
      <c r="S99" s="110" t="s">
        <v>136</v>
      </c>
      <c r="T99" s="110" t="s">
        <v>134</v>
      </c>
      <c r="U99" s="110" t="s">
        <v>136</v>
      </c>
      <c r="V99" s="106" t="s">
        <v>89</v>
      </c>
      <c r="W99" s="116" t="s">
        <v>136</v>
      </c>
      <c r="X99" s="116">
        <v>45717</v>
      </c>
      <c r="Y99" s="110"/>
      <c r="Z99" s="169" t="s">
        <v>85</v>
      </c>
      <c r="AA99" s="124">
        <v>0</v>
      </c>
      <c r="AB99" s="110">
        <v>5625</v>
      </c>
      <c r="AC99" s="114">
        <v>939855</v>
      </c>
      <c r="AD99" s="114">
        <f>+AC99*1.19</f>
        <v>1118427.45</v>
      </c>
      <c r="AE99" s="114">
        <v>1017741</v>
      </c>
      <c r="AF99" s="110"/>
      <c r="AG99" s="142" t="s">
        <v>1324</v>
      </c>
      <c r="AH99" s="116">
        <v>45751</v>
      </c>
      <c r="AI99" s="116">
        <v>45782</v>
      </c>
      <c r="AJ99" s="110" t="s">
        <v>245</v>
      </c>
      <c r="AK99" s="230"/>
      <c r="AL99" s="142"/>
    </row>
    <row r="100" spans="1:38" ht="45" x14ac:dyDescent="0.25">
      <c r="A100" s="147">
        <v>2025</v>
      </c>
      <c r="B100" s="111">
        <v>3</v>
      </c>
      <c r="C100" s="148">
        <v>22408</v>
      </c>
      <c r="D100" s="108">
        <v>45715</v>
      </c>
      <c r="E100" s="110" t="s">
        <v>461</v>
      </c>
      <c r="F100" s="111" t="s">
        <v>517</v>
      </c>
      <c r="G100" s="110" t="s">
        <v>154</v>
      </c>
      <c r="H100" s="110">
        <v>3192029612</v>
      </c>
      <c r="I100" s="110">
        <v>3192029612</v>
      </c>
      <c r="J100" s="108">
        <v>45727</v>
      </c>
      <c r="K100" s="110" t="s">
        <v>84</v>
      </c>
      <c r="L100" s="112" t="s">
        <v>1325</v>
      </c>
      <c r="M100" s="110" t="s">
        <v>136</v>
      </c>
      <c r="N100" s="110">
        <v>5749</v>
      </c>
      <c r="O100" s="110" t="s">
        <v>136</v>
      </c>
      <c r="P100" s="110" t="s">
        <v>136</v>
      </c>
      <c r="Q100" s="110" t="s">
        <v>136</v>
      </c>
      <c r="R100" s="110" t="s">
        <v>136</v>
      </c>
      <c r="S100" s="110" t="s">
        <v>136</v>
      </c>
      <c r="T100" s="110" t="s">
        <v>136</v>
      </c>
      <c r="U100" s="110" t="s">
        <v>136</v>
      </c>
      <c r="V100" s="106" t="s">
        <v>87</v>
      </c>
      <c r="W100" s="116">
        <v>45724</v>
      </c>
      <c r="X100" s="116">
        <v>45733</v>
      </c>
      <c r="Y100" s="110"/>
      <c r="Z100" s="169" t="s">
        <v>85</v>
      </c>
      <c r="AA100" s="114">
        <v>215000</v>
      </c>
      <c r="AB100" s="110">
        <v>5643</v>
      </c>
      <c r="AC100" s="114">
        <v>180672</v>
      </c>
      <c r="AD100" s="114">
        <f>+AC100*1.19</f>
        <v>214999.67999999999</v>
      </c>
      <c r="AE100" s="114">
        <v>0</v>
      </c>
      <c r="AF100" s="110"/>
      <c r="AG100" s="142" t="s">
        <v>1326</v>
      </c>
      <c r="AH100" s="116">
        <v>45716</v>
      </c>
      <c r="AI100" s="116">
        <v>45782</v>
      </c>
      <c r="AJ100" s="110" t="s">
        <v>245</v>
      </c>
      <c r="AK100" s="230"/>
      <c r="AL100" s="142"/>
    </row>
    <row r="101" spans="1:38" ht="45" x14ac:dyDescent="0.25">
      <c r="A101" s="147">
        <v>2025</v>
      </c>
      <c r="B101" s="111">
        <v>3</v>
      </c>
      <c r="C101" s="148">
        <v>22409</v>
      </c>
      <c r="D101" s="116">
        <v>45714</v>
      </c>
      <c r="E101" s="111" t="s">
        <v>526</v>
      </c>
      <c r="F101" s="111" t="s">
        <v>527</v>
      </c>
      <c r="G101" s="111" t="s">
        <v>98</v>
      </c>
      <c r="H101" s="111">
        <v>3104910099</v>
      </c>
      <c r="I101" s="111">
        <v>3147098099</v>
      </c>
      <c r="J101" s="116">
        <v>45728</v>
      </c>
      <c r="K101" s="116" t="s">
        <v>88</v>
      </c>
      <c r="L101" s="112" t="s">
        <v>1327</v>
      </c>
      <c r="M101" s="110" t="s">
        <v>136</v>
      </c>
      <c r="N101" s="111">
        <v>5756</v>
      </c>
      <c r="O101" s="110" t="s">
        <v>136</v>
      </c>
      <c r="P101" s="111">
        <v>8526</v>
      </c>
      <c r="Q101" s="111">
        <v>5440</v>
      </c>
      <c r="R101" s="110" t="s">
        <v>136</v>
      </c>
      <c r="S101" s="111" t="s">
        <v>134</v>
      </c>
      <c r="T101" s="111" t="s">
        <v>134</v>
      </c>
      <c r="U101" s="110" t="s">
        <v>136</v>
      </c>
      <c r="V101" s="111" t="s">
        <v>119</v>
      </c>
      <c r="W101" s="116">
        <v>45727</v>
      </c>
      <c r="X101" s="116">
        <v>45729</v>
      </c>
      <c r="Y101" s="126"/>
      <c r="Z101" s="126" t="s">
        <v>85</v>
      </c>
      <c r="AA101" s="114">
        <v>342547</v>
      </c>
      <c r="AB101" s="111">
        <v>5645</v>
      </c>
      <c r="AC101" s="114">
        <v>287855</v>
      </c>
      <c r="AD101" s="114">
        <f>+AC101*1.19</f>
        <v>342547.45</v>
      </c>
      <c r="AE101" s="114">
        <v>0</v>
      </c>
      <c r="AF101" s="150"/>
      <c r="AG101" s="142" t="s">
        <v>1120</v>
      </c>
      <c r="AH101" s="116">
        <v>45716</v>
      </c>
      <c r="AI101" s="116">
        <v>45782</v>
      </c>
      <c r="AJ101" s="111" t="s">
        <v>245</v>
      </c>
      <c r="AK101" s="230"/>
      <c r="AL101" s="142"/>
    </row>
    <row r="102" spans="1:38" ht="53.25" customHeight="1" x14ac:dyDescent="0.25">
      <c r="A102" s="192"/>
      <c r="B102" s="193"/>
      <c r="C102" s="197"/>
      <c r="D102" s="67"/>
      <c r="E102" s="65"/>
      <c r="F102" s="193"/>
      <c r="G102" s="65"/>
      <c r="H102" s="65"/>
      <c r="I102" s="65"/>
      <c r="J102" s="67"/>
      <c r="K102" s="65"/>
      <c r="L102" s="45"/>
      <c r="M102" s="65"/>
      <c r="N102" s="65"/>
      <c r="O102" s="65"/>
      <c r="P102" s="65"/>
      <c r="Q102" s="65"/>
      <c r="R102" s="65"/>
      <c r="S102" s="65"/>
      <c r="T102" s="65"/>
      <c r="U102" s="65"/>
      <c r="V102" s="59"/>
      <c r="W102" s="65"/>
      <c r="X102" s="65"/>
      <c r="Y102" s="65"/>
      <c r="Z102" s="194"/>
      <c r="AA102" s="65"/>
      <c r="AB102" s="65"/>
      <c r="AC102" s="195"/>
      <c r="AD102" s="195"/>
      <c r="AE102" s="195"/>
      <c r="AF102" s="65"/>
      <c r="AG102" s="196"/>
      <c r="AH102" s="65"/>
      <c r="AI102" s="67"/>
      <c r="AJ102" s="65"/>
    </row>
  </sheetData>
  <autoFilter ref="A1:AK103" xr:uid="{00000000-0009-0000-0000-000002000000}"/>
  <sortState xmlns:xlrd2="http://schemas.microsoft.com/office/spreadsheetml/2017/richdata2" ref="A2:AK51">
    <sortCondition ref="C33:C51"/>
  </sortState>
  <phoneticPr fontId="20" type="noConversion"/>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200-000000000000}">
          <x14:formula1>
            <xm:f>LiSTAS!$C$2:$C$11</xm:f>
          </x14:formula1>
          <xm:sqref>Z2:Z6 Z8:Z102</xm:sqref>
        </x14:dataValidation>
        <x14:dataValidation type="list" showInputMessage="1" showErrorMessage="1" xr:uid="{00000000-0002-0000-0200-000001000000}">
          <x14:formula1>
            <xm:f>LiSTAS!$C$2:$C$11</xm:f>
          </x14:formula1>
          <xm:sqref>Z7</xm:sqref>
        </x14:dataValidation>
        <x14:dataValidation type="list" allowBlank="1" showInputMessage="1" showErrorMessage="1" xr:uid="{00000000-0002-0000-0200-000002000000}">
          <x14:formula1>
            <xm:f>LiSTAS!$A$2:$A$12</xm:f>
          </x14:formula1>
          <xm:sqref>V5:V6 V3 V8:V102</xm:sqref>
        </x14:dataValidation>
        <x14:dataValidation type="list" allowBlank="1" showInputMessage="1" showErrorMessage="1" xr:uid="{00000000-0002-0000-0200-000003000000}">
          <x14:formula1>
            <xm:f>LiSTAS!$A$2:$A$14</xm:f>
          </x14:formula1>
          <xm:sqref>V4 V7</xm:sqref>
        </x14:dataValidation>
        <x14:dataValidation type="list" allowBlank="1" showInputMessage="1" showErrorMessage="1" xr:uid="{00000000-0002-0000-0200-000004000000}">
          <x14:formula1>
            <xm:f>LiSTAS!$A$2:$A$7</xm:f>
          </x14:formula1>
          <xm:sqref>V2</xm:sqref>
        </x14:dataValidation>
        <x14:dataValidation type="list" allowBlank="1" showInputMessage="1" showErrorMessage="1" xr:uid="{00000000-0002-0000-0200-000005000000}">
          <x14:formula1>
            <xm:f>LiSTAS!$B$2:$B$7</xm:f>
          </x14:formula1>
          <xm:sqref>K2:K42 K44:K70 K104:K1048576 K72:K102 G54 F89:G89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K139"/>
  <sheetViews>
    <sheetView zoomScale="90" zoomScaleNormal="90" workbookViewId="0">
      <pane xSplit="3" ySplit="1" topLeftCell="X26" activePane="bottomRight" state="frozen"/>
      <selection pane="topRight" activeCell="D1" sqref="D1"/>
      <selection pane="bottomLeft" activeCell="A2" sqref="A2"/>
      <selection pane="bottomRight" activeCell="AK30" sqref="AK30"/>
    </sheetView>
  </sheetViews>
  <sheetFormatPr baseColWidth="10" defaultColWidth="8.85546875" defaultRowHeight="34.5" customHeight="1" x14ac:dyDescent="0.25"/>
  <cols>
    <col min="1" max="1" width="5.42578125" customWidth="1"/>
    <col min="2" max="2" width="2.42578125" customWidth="1"/>
    <col min="3" max="3" width="7.28515625" customWidth="1"/>
    <col min="4" max="4" width="13" style="65" customWidth="1"/>
    <col min="5" max="5" width="27.28515625" style="43" customWidth="1"/>
    <col min="6" max="6" width="26.7109375" style="43" customWidth="1"/>
    <col min="7" max="7" width="18.85546875" customWidth="1"/>
    <col min="8" max="8" width="15.140625" customWidth="1"/>
    <col min="9" max="9" width="14.140625" customWidth="1"/>
    <col min="10" max="10" width="14.85546875" customWidth="1"/>
    <col min="11" max="11" width="16" customWidth="1"/>
    <col min="12" max="12" width="52.42578125" style="345" customWidth="1"/>
    <col min="13" max="13" width="5.140625" customWidth="1"/>
    <col min="14" max="14" width="5.5703125" customWidth="1"/>
    <col min="15" max="15" width="6.85546875" customWidth="1"/>
    <col min="16" max="16" width="6.140625" customWidth="1"/>
    <col min="17" max="17" width="5.7109375" customWidth="1"/>
    <col min="18" max="18" width="3.7109375" customWidth="1"/>
    <col min="19" max="19" width="3.85546875" customWidth="1"/>
    <col min="20" max="20" width="4" customWidth="1"/>
    <col min="21" max="21" width="3.42578125" customWidth="1"/>
    <col min="22" max="22" width="13.7109375" customWidth="1"/>
    <col min="23" max="23" width="11.5703125" bestFit="1" customWidth="1"/>
    <col min="24" max="24" width="11.42578125" bestFit="1" customWidth="1"/>
    <col min="25" max="25" width="15.42578125" hidden="1" customWidth="1"/>
    <col min="26" max="26" width="16.28515625" customWidth="1"/>
    <col min="27" max="27" width="12.5703125" customWidth="1"/>
    <col min="28" max="28" width="5.85546875" customWidth="1"/>
    <col min="29" max="29" width="14.140625" customWidth="1"/>
    <col min="30" max="30" width="12.42578125" customWidth="1"/>
    <col min="31" max="31" width="11.85546875" customWidth="1"/>
    <col min="32" max="32" width="14" hidden="1" customWidth="1"/>
    <col min="33" max="33" width="46.7109375" style="343" customWidth="1"/>
    <col min="34" max="34" width="15.28515625" style="298" customWidth="1"/>
    <col min="35" max="35" width="13.7109375" bestFit="1" customWidth="1"/>
    <col min="36" max="36" width="13.42578125" bestFit="1" customWidth="1"/>
    <col min="37" max="37" width="9.85546875" bestFit="1" customWidth="1"/>
  </cols>
  <sheetData>
    <row r="1" spans="1:37" ht="34.5" customHeight="1" x14ac:dyDescent="0.25">
      <c r="A1" s="1" t="s">
        <v>0</v>
      </c>
      <c r="B1" s="1" t="s">
        <v>1</v>
      </c>
      <c r="C1" s="1" t="s">
        <v>2</v>
      </c>
      <c r="D1" s="2" t="s">
        <v>3</v>
      </c>
      <c r="E1" s="1" t="s">
        <v>4</v>
      </c>
      <c r="F1" s="3" t="s">
        <v>5</v>
      </c>
      <c r="G1" s="3" t="s">
        <v>6</v>
      </c>
      <c r="H1" s="3" t="s">
        <v>7</v>
      </c>
      <c r="I1" s="1" t="s">
        <v>8</v>
      </c>
      <c r="J1" s="2" t="s">
        <v>9</v>
      </c>
      <c r="K1" s="4" t="s">
        <v>115</v>
      </c>
      <c r="L1" s="159" t="s">
        <v>11</v>
      </c>
      <c r="M1" s="6" t="s">
        <v>655</v>
      </c>
      <c r="N1" s="7" t="s">
        <v>13</v>
      </c>
      <c r="O1" s="8" t="s">
        <v>14</v>
      </c>
      <c r="P1" s="8" t="s">
        <v>15</v>
      </c>
      <c r="Q1" s="8" t="s">
        <v>16</v>
      </c>
      <c r="R1" s="9" t="s">
        <v>116</v>
      </c>
      <c r="S1" s="9" t="s">
        <v>330</v>
      </c>
      <c r="T1" s="9" t="s">
        <v>19</v>
      </c>
      <c r="U1" s="9" t="s">
        <v>20</v>
      </c>
      <c r="V1" s="4" t="s">
        <v>21</v>
      </c>
      <c r="W1" s="11" t="s">
        <v>22</v>
      </c>
      <c r="X1" s="2" t="s">
        <v>23</v>
      </c>
      <c r="Y1" s="12" t="s">
        <v>24</v>
      </c>
      <c r="Z1" s="13" t="s">
        <v>25</v>
      </c>
      <c r="AA1" s="14" t="s">
        <v>26</v>
      </c>
      <c r="AB1" s="6" t="s">
        <v>27</v>
      </c>
      <c r="AC1" s="15" t="s">
        <v>28</v>
      </c>
      <c r="AD1" s="15" t="s">
        <v>29</v>
      </c>
      <c r="AE1" s="15" t="s">
        <v>30</v>
      </c>
      <c r="AF1" s="16" t="s">
        <v>31</v>
      </c>
      <c r="AG1" s="86" t="s">
        <v>32</v>
      </c>
      <c r="AH1" s="297" t="s">
        <v>398</v>
      </c>
      <c r="AI1" s="87" t="s">
        <v>33</v>
      </c>
      <c r="AJ1" s="87" t="s">
        <v>34</v>
      </c>
      <c r="AK1" s="88" t="s">
        <v>126</v>
      </c>
    </row>
    <row r="2" spans="1:37" ht="34.5" customHeight="1" x14ac:dyDescent="0.25">
      <c r="A2" s="147">
        <v>2025</v>
      </c>
      <c r="B2" s="111">
        <v>3</v>
      </c>
      <c r="C2" s="148">
        <v>22410</v>
      </c>
      <c r="D2" s="116">
        <v>45717</v>
      </c>
      <c r="E2" s="111" t="s">
        <v>540</v>
      </c>
      <c r="F2" s="111" t="s">
        <v>540</v>
      </c>
      <c r="G2" s="110" t="s">
        <v>154</v>
      </c>
      <c r="H2" s="110">
        <v>3115912055</v>
      </c>
      <c r="I2" s="110">
        <v>3115912055</v>
      </c>
      <c r="J2" s="108">
        <v>45728</v>
      </c>
      <c r="K2" s="116" t="s">
        <v>84</v>
      </c>
      <c r="L2" s="112" t="s">
        <v>1329</v>
      </c>
      <c r="M2" s="110" t="s">
        <v>136</v>
      </c>
      <c r="N2" s="110">
        <v>5759</v>
      </c>
      <c r="O2" s="110" t="s">
        <v>136</v>
      </c>
      <c r="P2" s="110" t="s">
        <v>136</v>
      </c>
      <c r="Q2" s="111" t="s">
        <v>136</v>
      </c>
      <c r="R2" s="110" t="s">
        <v>136</v>
      </c>
      <c r="S2" s="110" t="s">
        <v>136</v>
      </c>
      <c r="T2" s="110" t="s">
        <v>136</v>
      </c>
      <c r="U2" s="110" t="s">
        <v>136</v>
      </c>
      <c r="V2" s="111" t="s">
        <v>119</v>
      </c>
      <c r="W2" s="108">
        <v>45728</v>
      </c>
      <c r="X2" s="116">
        <v>45728</v>
      </c>
      <c r="Y2" s="110"/>
      <c r="Z2" s="126" t="s">
        <v>85</v>
      </c>
      <c r="AA2" s="211">
        <v>253900</v>
      </c>
      <c r="AB2" s="110">
        <v>5644</v>
      </c>
      <c r="AC2" s="114">
        <v>213361</v>
      </c>
      <c r="AD2" s="212">
        <f>+AC2*1.19</f>
        <v>253899.59</v>
      </c>
      <c r="AE2" s="114">
        <v>0</v>
      </c>
      <c r="AF2" s="110"/>
      <c r="AG2" s="142" t="s">
        <v>1330</v>
      </c>
      <c r="AH2" s="108">
        <v>45717</v>
      </c>
      <c r="AI2" s="108">
        <v>45782</v>
      </c>
      <c r="AJ2" s="111" t="s">
        <v>245</v>
      </c>
      <c r="AK2" s="128"/>
    </row>
    <row r="3" spans="1:37" ht="90" x14ac:dyDescent="0.25">
      <c r="A3" s="221">
        <v>2025</v>
      </c>
      <c r="B3" s="154">
        <v>3</v>
      </c>
      <c r="C3" s="222">
        <v>22411</v>
      </c>
      <c r="D3" s="144">
        <v>45717</v>
      </c>
      <c r="E3" s="154" t="s">
        <v>518</v>
      </c>
      <c r="F3" s="154" t="s">
        <v>519</v>
      </c>
      <c r="G3" s="153" t="s">
        <v>98</v>
      </c>
      <c r="H3" s="153">
        <v>6044441676</v>
      </c>
      <c r="I3" s="153">
        <v>3016042515</v>
      </c>
      <c r="J3" s="108">
        <v>45723</v>
      </c>
      <c r="K3" s="153" t="s">
        <v>88</v>
      </c>
      <c r="L3" s="223" t="s">
        <v>1331</v>
      </c>
      <c r="M3" s="153" t="s">
        <v>136</v>
      </c>
      <c r="N3" s="153" t="s">
        <v>136</v>
      </c>
      <c r="O3" s="153" t="s">
        <v>136</v>
      </c>
      <c r="P3" s="153">
        <v>8252</v>
      </c>
      <c r="Q3" s="153">
        <v>5359</v>
      </c>
      <c r="R3" s="153" t="s">
        <v>136</v>
      </c>
      <c r="S3" s="153" t="s">
        <v>136</v>
      </c>
      <c r="T3" s="153" t="s">
        <v>136</v>
      </c>
      <c r="U3" s="153" t="s">
        <v>134</v>
      </c>
      <c r="V3" s="224" t="s">
        <v>119</v>
      </c>
      <c r="W3" s="108">
        <v>45736</v>
      </c>
      <c r="X3" s="116">
        <v>45735</v>
      </c>
      <c r="Y3" s="153"/>
      <c r="Z3" s="126" t="s">
        <v>85</v>
      </c>
      <c r="AA3" s="130">
        <v>471500</v>
      </c>
      <c r="AB3" s="226">
        <v>5681</v>
      </c>
      <c r="AC3" s="212">
        <v>410000</v>
      </c>
      <c r="AD3" s="212">
        <f>+AC3*1.19</f>
        <v>487900</v>
      </c>
      <c r="AE3" s="212">
        <v>0</v>
      </c>
      <c r="AF3" s="153"/>
      <c r="AG3" s="225" t="s">
        <v>1332</v>
      </c>
      <c r="AH3" s="108">
        <v>45719</v>
      </c>
      <c r="AI3" s="108">
        <v>45782</v>
      </c>
      <c r="AJ3" s="108" t="s">
        <v>571</v>
      </c>
      <c r="AK3" s="153"/>
    </row>
    <row r="4" spans="1:37" ht="42.75" customHeight="1" x14ac:dyDescent="0.25">
      <c r="A4" s="147">
        <v>2025</v>
      </c>
      <c r="B4" s="111">
        <v>3</v>
      </c>
      <c r="C4" s="148">
        <v>22412</v>
      </c>
      <c r="D4" s="108">
        <v>45717</v>
      </c>
      <c r="E4" s="111" t="s">
        <v>520</v>
      </c>
      <c r="F4" s="111" t="s">
        <v>402</v>
      </c>
      <c r="G4" s="110" t="s">
        <v>403</v>
      </c>
      <c r="H4" s="110">
        <v>604231653</v>
      </c>
      <c r="I4" s="110">
        <v>3127459901</v>
      </c>
      <c r="J4" s="108">
        <v>45723</v>
      </c>
      <c r="K4" s="110" t="s">
        <v>88</v>
      </c>
      <c r="L4" s="112" t="s">
        <v>1333</v>
      </c>
      <c r="M4" s="110" t="s">
        <v>136</v>
      </c>
      <c r="N4" s="110" t="s">
        <v>136</v>
      </c>
      <c r="O4" s="110">
        <v>6008</v>
      </c>
      <c r="P4" s="110">
        <v>8443</v>
      </c>
      <c r="Q4" s="110">
        <v>5412</v>
      </c>
      <c r="R4" s="110" t="s">
        <v>136</v>
      </c>
      <c r="S4" s="110" t="s">
        <v>134</v>
      </c>
      <c r="T4" s="110" t="s">
        <v>134</v>
      </c>
      <c r="U4" s="110" t="s">
        <v>134</v>
      </c>
      <c r="V4" s="106" t="s">
        <v>119</v>
      </c>
      <c r="W4" s="108">
        <v>45724</v>
      </c>
      <c r="X4" s="116">
        <v>45729</v>
      </c>
      <c r="Y4" s="110"/>
      <c r="Z4" s="126" t="s">
        <v>85</v>
      </c>
      <c r="AA4" s="124">
        <v>0</v>
      </c>
      <c r="AB4" s="251">
        <v>5657</v>
      </c>
      <c r="AC4" s="114">
        <v>280000</v>
      </c>
      <c r="AD4" s="114">
        <f>+AC4*1.19</f>
        <v>333200</v>
      </c>
      <c r="AE4" s="114">
        <v>323700</v>
      </c>
      <c r="AF4" s="110"/>
      <c r="AG4" s="142" t="s">
        <v>659</v>
      </c>
      <c r="AH4" s="108">
        <v>45754</v>
      </c>
      <c r="AI4" s="108">
        <v>45782</v>
      </c>
      <c r="AJ4" s="110" t="s">
        <v>571</v>
      </c>
      <c r="AK4" s="110"/>
    </row>
    <row r="5" spans="1:37" ht="45" x14ac:dyDescent="0.25">
      <c r="A5" s="147">
        <v>2025</v>
      </c>
      <c r="B5" s="111">
        <v>3</v>
      </c>
      <c r="C5" s="148">
        <v>22413</v>
      </c>
      <c r="D5" s="108">
        <v>45717</v>
      </c>
      <c r="E5" s="111" t="s">
        <v>528</v>
      </c>
      <c r="F5" s="111" t="s">
        <v>529</v>
      </c>
      <c r="G5" s="111" t="s">
        <v>98</v>
      </c>
      <c r="H5" s="110">
        <v>6044483269</v>
      </c>
      <c r="I5" s="110">
        <v>3135344568</v>
      </c>
      <c r="J5" s="108">
        <v>45730</v>
      </c>
      <c r="K5" s="111" t="s">
        <v>88</v>
      </c>
      <c r="L5" s="112" t="s">
        <v>1334</v>
      </c>
      <c r="M5" s="110" t="s">
        <v>136</v>
      </c>
      <c r="N5" s="111">
        <v>5758</v>
      </c>
      <c r="O5" s="110">
        <v>6009</v>
      </c>
      <c r="P5" s="111">
        <v>8483</v>
      </c>
      <c r="Q5" s="110" t="s">
        <v>136</v>
      </c>
      <c r="R5" s="110" t="s">
        <v>134</v>
      </c>
      <c r="S5" s="110" t="s">
        <v>134</v>
      </c>
      <c r="T5" s="110" t="s">
        <v>134</v>
      </c>
      <c r="U5" s="110" t="s">
        <v>136</v>
      </c>
      <c r="V5" s="111" t="s">
        <v>119</v>
      </c>
      <c r="W5" s="108">
        <v>45727</v>
      </c>
      <c r="X5" s="116">
        <v>45733</v>
      </c>
      <c r="Y5" s="110"/>
      <c r="Z5" s="126" t="s">
        <v>85</v>
      </c>
      <c r="AA5" s="130">
        <v>972097</v>
      </c>
      <c r="AB5" s="110">
        <v>5646</v>
      </c>
      <c r="AC5" s="114">
        <v>816888</v>
      </c>
      <c r="AD5" s="114">
        <f t="shared" ref="AD5:AD9" si="0">+AC5*1.19</f>
        <v>972096.72</v>
      </c>
      <c r="AE5" s="114">
        <v>0</v>
      </c>
      <c r="AF5" s="110"/>
      <c r="AG5" s="142" t="s">
        <v>656</v>
      </c>
      <c r="AH5" s="108">
        <v>45716</v>
      </c>
      <c r="AI5" s="108">
        <v>45782</v>
      </c>
      <c r="AJ5" s="110" t="s">
        <v>245</v>
      </c>
      <c r="AK5" s="128"/>
    </row>
    <row r="6" spans="1:37" ht="45" x14ac:dyDescent="0.25">
      <c r="A6" s="147">
        <v>2025</v>
      </c>
      <c r="B6" s="111">
        <v>3</v>
      </c>
      <c r="C6" s="148">
        <v>22414</v>
      </c>
      <c r="D6" s="116">
        <v>45717</v>
      </c>
      <c r="E6" s="111" t="s">
        <v>530</v>
      </c>
      <c r="F6" s="111" t="s">
        <v>408</v>
      </c>
      <c r="G6" s="111" t="s">
        <v>409</v>
      </c>
      <c r="H6" s="126">
        <v>604321763172</v>
      </c>
      <c r="I6" s="111">
        <v>31777739332</v>
      </c>
      <c r="J6" s="108">
        <v>45729</v>
      </c>
      <c r="K6" s="116" t="s">
        <v>95</v>
      </c>
      <c r="L6" s="112" t="s">
        <v>1335</v>
      </c>
      <c r="M6" s="111" t="s">
        <v>136</v>
      </c>
      <c r="N6" s="111">
        <v>5757</v>
      </c>
      <c r="O6" s="111" t="s">
        <v>136</v>
      </c>
      <c r="P6" s="111">
        <v>8545</v>
      </c>
      <c r="Q6" s="111" t="s">
        <v>136</v>
      </c>
      <c r="R6" s="111" t="s">
        <v>136</v>
      </c>
      <c r="S6" s="111" t="s">
        <v>134</v>
      </c>
      <c r="T6" s="111" t="s">
        <v>134</v>
      </c>
      <c r="U6" s="111" t="s">
        <v>136</v>
      </c>
      <c r="V6" s="111" t="s">
        <v>119</v>
      </c>
      <c r="W6" s="108">
        <v>45727</v>
      </c>
      <c r="X6" s="116">
        <v>45730</v>
      </c>
      <c r="Y6" s="126"/>
      <c r="Z6" s="126" t="s">
        <v>85</v>
      </c>
      <c r="AA6" s="124">
        <v>0</v>
      </c>
      <c r="AB6" s="111">
        <v>5642</v>
      </c>
      <c r="AC6" s="114">
        <v>330619</v>
      </c>
      <c r="AD6" s="114">
        <f t="shared" si="0"/>
        <v>393436.61</v>
      </c>
      <c r="AE6" s="114">
        <v>200000</v>
      </c>
      <c r="AF6" s="150"/>
      <c r="AG6" s="142" t="s">
        <v>1338</v>
      </c>
      <c r="AH6" s="108">
        <v>45775</v>
      </c>
      <c r="AI6" s="108">
        <v>45782</v>
      </c>
      <c r="AJ6" s="111" t="s">
        <v>571</v>
      </c>
      <c r="AK6" s="128"/>
    </row>
    <row r="7" spans="1:37" ht="60" x14ac:dyDescent="0.25">
      <c r="A7" s="147">
        <v>2025</v>
      </c>
      <c r="B7" s="111">
        <v>3</v>
      </c>
      <c r="C7" s="148">
        <v>22415</v>
      </c>
      <c r="D7" s="116">
        <v>45717</v>
      </c>
      <c r="E7" s="111" t="s">
        <v>524</v>
      </c>
      <c r="F7" s="111" t="s">
        <v>525</v>
      </c>
      <c r="G7" s="111" t="s">
        <v>445</v>
      </c>
      <c r="H7" s="111">
        <v>3165707123</v>
      </c>
      <c r="I7" s="111">
        <v>3043536470</v>
      </c>
      <c r="J7" s="108">
        <v>45724</v>
      </c>
      <c r="K7" s="116" t="s">
        <v>88</v>
      </c>
      <c r="L7" s="112" t="s">
        <v>1336</v>
      </c>
      <c r="M7" s="111" t="s">
        <v>136</v>
      </c>
      <c r="N7" s="111" t="s">
        <v>136</v>
      </c>
      <c r="O7" s="111">
        <v>6010</v>
      </c>
      <c r="P7" s="111">
        <v>8081</v>
      </c>
      <c r="Q7" s="111" t="s">
        <v>136</v>
      </c>
      <c r="R7" s="111" t="s">
        <v>136</v>
      </c>
      <c r="S7" s="111" t="s">
        <v>134</v>
      </c>
      <c r="T7" s="111" t="s">
        <v>134</v>
      </c>
      <c r="U7" s="111" t="s">
        <v>134</v>
      </c>
      <c r="V7" s="111" t="s">
        <v>119</v>
      </c>
      <c r="W7" s="108">
        <v>45735</v>
      </c>
      <c r="X7" s="116">
        <v>45734</v>
      </c>
      <c r="Y7" s="126"/>
      <c r="Z7" s="126" t="s">
        <v>85</v>
      </c>
      <c r="AA7" s="124">
        <v>0</v>
      </c>
      <c r="AB7" s="111">
        <v>5580</v>
      </c>
      <c r="AC7" s="114">
        <v>15990990</v>
      </c>
      <c r="AD7" s="114">
        <f t="shared" si="0"/>
        <v>19029278.099999998</v>
      </c>
      <c r="AE7" s="114">
        <v>0</v>
      </c>
      <c r="AF7" s="150"/>
      <c r="AG7" s="142" t="s">
        <v>657</v>
      </c>
      <c r="AH7" s="108" t="s">
        <v>749</v>
      </c>
      <c r="AI7" s="108">
        <v>45782</v>
      </c>
      <c r="AJ7" s="111" t="s">
        <v>245</v>
      </c>
      <c r="AK7" s="128"/>
    </row>
    <row r="8" spans="1:37" ht="34.5" customHeight="1" x14ac:dyDescent="0.25">
      <c r="A8" s="327">
        <v>2025</v>
      </c>
      <c r="B8" s="253">
        <v>3</v>
      </c>
      <c r="C8" s="262">
        <v>22416</v>
      </c>
      <c r="D8" s="326">
        <v>45717</v>
      </c>
      <c r="E8" s="328" t="s">
        <v>567</v>
      </c>
      <c r="F8" s="328" t="s">
        <v>136</v>
      </c>
      <c r="G8" s="328" t="s">
        <v>136</v>
      </c>
      <c r="H8" s="328" t="s">
        <v>136</v>
      </c>
      <c r="I8" s="328" t="s">
        <v>136</v>
      </c>
      <c r="J8" s="328" t="s">
        <v>136</v>
      </c>
      <c r="K8" s="328" t="s">
        <v>136</v>
      </c>
      <c r="L8" s="329" t="s">
        <v>136</v>
      </c>
      <c r="M8" s="328" t="s">
        <v>136</v>
      </c>
      <c r="N8" s="328" t="s">
        <v>136</v>
      </c>
      <c r="O8" s="328" t="s">
        <v>136</v>
      </c>
      <c r="P8" s="328" t="s">
        <v>136</v>
      </c>
      <c r="Q8" s="328" t="s">
        <v>136</v>
      </c>
      <c r="R8" s="328" t="s">
        <v>136</v>
      </c>
      <c r="S8" s="328" t="s">
        <v>136</v>
      </c>
      <c r="T8" s="328" t="s">
        <v>136</v>
      </c>
      <c r="U8" s="328" t="s">
        <v>136</v>
      </c>
      <c r="V8" s="328" t="s">
        <v>136</v>
      </c>
      <c r="W8" s="328" t="s">
        <v>136</v>
      </c>
      <c r="X8" s="328" t="s">
        <v>136</v>
      </c>
      <c r="Y8" s="330"/>
      <c r="Z8" s="328" t="s">
        <v>136</v>
      </c>
      <c r="AA8" s="337">
        <v>0</v>
      </c>
      <c r="AB8" s="337" t="s">
        <v>136</v>
      </c>
      <c r="AC8" s="337">
        <v>0</v>
      </c>
      <c r="AD8" s="337">
        <v>0</v>
      </c>
      <c r="AE8" s="337">
        <v>0</v>
      </c>
      <c r="AF8" s="331"/>
      <c r="AG8" s="257" t="s">
        <v>136</v>
      </c>
      <c r="AH8" s="328" t="s">
        <v>136</v>
      </c>
      <c r="AI8" s="328" t="s">
        <v>136</v>
      </c>
      <c r="AJ8" s="328" t="s">
        <v>136</v>
      </c>
      <c r="AK8" s="328" t="s">
        <v>136</v>
      </c>
    </row>
    <row r="9" spans="1:37" ht="45" x14ac:dyDescent="0.25">
      <c r="A9" s="147">
        <v>2025</v>
      </c>
      <c r="B9" s="111">
        <v>3</v>
      </c>
      <c r="C9" s="148">
        <v>22417</v>
      </c>
      <c r="D9" s="116">
        <v>45717</v>
      </c>
      <c r="E9" s="116" t="s">
        <v>660</v>
      </c>
      <c r="F9" s="116" t="s">
        <v>549</v>
      </c>
      <c r="G9" s="206" t="s">
        <v>154</v>
      </c>
      <c r="H9" s="111">
        <v>3107372146</v>
      </c>
      <c r="I9" s="111">
        <v>3107372146</v>
      </c>
      <c r="J9" s="108">
        <v>45731</v>
      </c>
      <c r="K9" s="116" t="s">
        <v>88</v>
      </c>
      <c r="L9" s="112" t="s">
        <v>1344</v>
      </c>
      <c r="M9" s="111" t="s">
        <v>136</v>
      </c>
      <c r="N9" s="111">
        <v>5762</v>
      </c>
      <c r="O9" s="111">
        <v>6015</v>
      </c>
      <c r="P9" s="111" t="s">
        <v>136</v>
      </c>
      <c r="Q9" s="111" t="s">
        <v>136</v>
      </c>
      <c r="R9" s="111" t="s">
        <v>134</v>
      </c>
      <c r="S9" s="111" t="s">
        <v>134</v>
      </c>
      <c r="T9" s="111" t="s">
        <v>134</v>
      </c>
      <c r="U9" s="111" t="s">
        <v>136</v>
      </c>
      <c r="V9" s="111" t="s">
        <v>119</v>
      </c>
      <c r="W9" s="108">
        <v>45732</v>
      </c>
      <c r="X9" s="116">
        <v>45736</v>
      </c>
      <c r="Y9" s="126"/>
      <c r="Z9" s="126" t="s">
        <v>85</v>
      </c>
      <c r="AA9" s="124">
        <v>0</v>
      </c>
      <c r="AB9" s="111">
        <v>5671</v>
      </c>
      <c r="AC9" s="114">
        <v>462185</v>
      </c>
      <c r="AD9" s="114">
        <f t="shared" si="0"/>
        <v>550000.15</v>
      </c>
      <c r="AE9" s="114">
        <v>235000</v>
      </c>
      <c r="AF9" s="150"/>
      <c r="AG9" s="142" t="s">
        <v>1339</v>
      </c>
      <c r="AH9" s="108">
        <v>45735</v>
      </c>
      <c r="AI9" s="108">
        <v>45782</v>
      </c>
      <c r="AJ9" s="111" t="s">
        <v>571</v>
      </c>
      <c r="AK9" s="128"/>
    </row>
    <row r="10" spans="1:37" ht="53.25" customHeight="1" x14ac:dyDescent="0.25">
      <c r="A10" s="147">
        <v>2025</v>
      </c>
      <c r="B10" s="111">
        <v>3</v>
      </c>
      <c r="C10" s="148">
        <v>22418</v>
      </c>
      <c r="D10" s="108">
        <v>45719</v>
      </c>
      <c r="E10" s="111" t="s">
        <v>521</v>
      </c>
      <c r="F10" s="111" t="s">
        <v>522</v>
      </c>
      <c r="G10" s="111" t="s">
        <v>523</v>
      </c>
      <c r="H10" s="110">
        <v>6043112060</v>
      </c>
      <c r="I10" s="110">
        <v>3122452929</v>
      </c>
      <c r="J10" s="108">
        <v>45728</v>
      </c>
      <c r="K10" s="110" t="s">
        <v>88</v>
      </c>
      <c r="L10" s="112" t="s">
        <v>1337</v>
      </c>
      <c r="M10" s="110" t="s">
        <v>136</v>
      </c>
      <c r="N10" s="110">
        <v>5754</v>
      </c>
      <c r="O10" s="110" t="s">
        <v>136</v>
      </c>
      <c r="P10" s="110" t="s">
        <v>136</v>
      </c>
      <c r="Q10" s="110" t="s">
        <v>136</v>
      </c>
      <c r="R10" s="110" t="s">
        <v>136</v>
      </c>
      <c r="S10" s="110" t="s">
        <v>134</v>
      </c>
      <c r="T10" s="110" t="s">
        <v>134</v>
      </c>
      <c r="U10" s="110" t="s">
        <v>136</v>
      </c>
      <c r="V10" s="106" t="s">
        <v>87</v>
      </c>
      <c r="W10" s="108">
        <v>45724</v>
      </c>
      <c r="X10" s="116">
        <v>45727</v>
      </c>
      <c r="Y10" s="110"/>
      <c r="Z10" s="169" t="s">
        <v>85</v>
      </c>
      <c r="AA10" s="130">
        <v>175000</v>
      </c>
      <c r="AB10" s="110">
        <v>5644</v>
      </c>
      <c r="AC10" s="114">
        <v>147058</v>
      </c>
      <c r="AD10" s="114">
        <f>+AC10*1.19</f>
        <v>174999.02</v>
      </c>
      <c r="AE10" s="114">
        <v>175000</v>
      </c>
      <c r="AF10" s="110"/>
      <c r="AG10" s="142" t="s">
        <v>1340</v>
      </c>
      <c r="AH10" s="108">
        <v>45744</v>
      </c>
      <c r="AI10" s="108">
        <v>45782</v>
      </c>
      <c r="AJ10" s="110" t="s">
        <v>571</v>
      </c>
      <c r="AK10" s="110"/>
    </row>
    <row r="11" spans="1:37" ht="90" x14ac:dyDescent="0.25">
      <c r="A11" s="147">
        <v>2025</v>
      </c>
      <c r="B11" s="111">
        <v>3</v>
      </c>
      <c r="C11" s="148">
        <v>22419</v>
      </c>
      <c r="D11" s="116">
        <v>45719</v>
      </c>
      <c r="E11" s="111" t="s">
        <v>677</v>
      </c>
      <c r="F11" s="111" t="s">
        <v>562</v>
      </c>
      <c r="G11" s="111" t="s">
        <v>545</v>
      </c>
      <c r="H11" s="111">
        <v>6044483227</v>
      </c>
      <c r="I11" s="111">
        <v>6044483227</v>
      </c>
      <c r="J11" s="108">
        <v>45719</v>
      </c>
      <c r="K11" s="116" t="s">
        <v>88</v>
      </c>
      <c r="L11" s="112" t="s">
        <v>1341</v>
      </c>
      <c r="M11" s="111" t="s">
        <v>136</v>
      </c>
      <c r="N11" s="111" t="s">
        <v>136</v>
      </c>
      <c r="O11" s="111" t="s">
        <v>136</v>
      </c>
      <c r="P11" s="111">
        <v>8536</v>
      </c>
      <c r="Q11" s="111" t="s">
        <v>136</v>
      </c>
      <c r="R11" s="111" t="s">
        <v>136</v>
      </c>
      <c r="S11" s="111" t="s">
        <v>136</v>
      </c>
      <c r="T11" s="111" t="s">
        <v>134</v>
      </c>
      <c r="U11" s="111" t="s">
        <v>134</v>
      </c>
      <c r="V11" s="111" t="s">
        <v>89</v>
      </c>
      <c r="W11" s="108" t="s">
        <v>136</v>
      </c>
      <c r="X11" s="116">
        <v>45719</v>
      </c>
      <c r="Y11" s="126"/>
      <c r="Z11" s="126" t="s">
        <v>85</v>
      </c>
      <c r="AA11" s="124">
        <v>0</v>
      </c>
      <c r="AB11" s="111">
        <v>5626</v>
      </c>
      <c r="AC11" s="114">
        <v>1026000</v>
      </c>
      <c r="AD11" s="114">
        <f t="shared" ref="AD11:AD69" si="1">+AC11*1.19</f>
        <v>1220940</v>
      </c>
      <c r="AE11" s="114">
        <v>0</v>
      </c>
      <c r="AF11" s="150"/>
      <c r="AG11" s="142" t="s">
        <v>1342</v>
      </c>
      <c r="AH11" s="108">
        <v>45763</v>
      </c>
      <c r="AI11" s="108">
        <v>45782</v>
      </c>
      <c r="AJ11" s="111" t="s">
        <v>571</v>
      </c>
      <c r="AK11" s="128"/>
    </row>
    <row r="12" spans="1:37" ht="45" x14ac:dyDescent="0.25">
      <c r="A12" s="140">
        <v>2025</v>
      </c>
      <c r="B12" s="100">
        <v>3</v>
      </c>
      <c r="C12" s="161">
        <v>22420</v>
      </c>
      <c r="D12" s="105">
        <v>45719</v>
      </c>
      <c r="E12" s="100" t="s">
        <v>541</v>
      </c>
      <c r="F12" s="100" t="s">
        <v>541</v>
      </c>
      <c r="G12" s="100" t="s">
        <v>592</v>
      </c>
      <c r="H12" s="100">
        <v>3105312560</v>
      </c>
      <c r="I12" s="100">
        <v>3105312560</v>
      </c>
      <c r="J12" s="97">
        <v>45728</v>
      </c>
      <c r="K12" s="105" t="s">
        <v>94</v>
      </c>
      <c r="L12" s="101" t="s">
        <v>1343</v>
      </c>
      <c r="M12" s="100" t="s">
        <v>136</v>
      </c>
      <c r="N12" s="100">
        <v>5760</v>
      </c>
      <c r="O12" s="100">
        <v>6011</v>
      </c>
      <c r="P12" s="100" t="s">
        <v>136</v>
      </c>
      <c r="Q12" s="100" t="s">
        <v>136</v>
      </c>
      <c r="R12" s="100" t="s">
        <v>136</v>
      </c>
      <c r="S12" s="100" t="s">
        <v>136</v>
      </c>
      <c r="T12" s="100" t="s">
        <v>136</v>
      </c>
      <c r="U12" s="100" t="s">
        <v>136</v>
      </c>
      <c r="V12" s="100" t="s">
        <v>119</v>
      </c>
      <c r="W12" s="97">
        <v>45728</v>
      </c>
      <c r="X12" s="105">
        <v>45793</v>
      </c>
      <c r="Y12" s="120"/>
      <c r="Z12" s="120" t="s">
        <v>85</v>
      </c>
      <c r="AA12" s="117">
        <v>400000</v>
      </c>
      <c r="AB12" s="100">
        <v>5660</v>
      </c>
      <c r="AC12" s="103">
        <v>336135</v>
      </c>
      <c r="AD12" s="103">
        <f t="shared" si="1"/>
        <v>400000.64999999997</v>
      </c>
      <c r="AE12" s="103">
        <v>200000</v>
      </c>
      <c r="AF12" s="166"/>
      <c r="AG12" s="104"/>
      <c r="AH12" s="97">
        <v>45791</v>
      </c>
      <c r="AI12" s="97">
        <v>45807</v>
      </c>
      <c r="AJ12" s="100" t="s">
        <v>1705</v>
      </c>
      <c r="AK12" s="131"/>
    </row>
    <row r="13" spans="1:37" ht="36" x14ac:dyDescent="0.25">
      <c r="A13" s="147">
        <v>2025</v>
      </c>
      <c r="B13" s="111">
        <v>3</v>
      </c>
      <c r="C13" s="148">
        <v>22421</v>
      </c>
      <c r="D13" s="167">
        <v>45719</v>
      </c>
      <c r="E13" s="106" t="s">
        <v>532</v>
      </c>
      <c r="F13" s="106" t="s">
        <v>532</v>
      </c>
      <c r="G13" s="106" t="s">
        <v>154</v>
      </c>
      <c r="H13" s="106">
        <v>6044736422</v>
      </c>
      <c r="I13" s="106">
        <v>3104246048</v>
      </c>
      <c r="J13" s="108">
        <v>45731</v>
      </c>
      <c r="K13" s="167" t="s">
        <v>84</v>
      </c>
      <c r="L13" s="168" t="s">
        <v>1345</v>
      </c>
      <c r="M13" s="106" t="s">
        <v>136</v>
      </c>
      <c r="N13" s="106">
        <v>5755</v>
      </c>
      <c r="O13" s="106">
        <v>6016</v>
      </c>
      <c r="P13" s="106">
        <v>8541</v>
      </c>
      <c r="Q13" s="106">
        <v>5457</v>
      </c>
      <c r="R13" s="106" t="s">
        <v>134</v>
      </c>
      <c r="S13" s="106" t="s">
        <v>134</v>
      </c>
      <c r="T13" s="106" t="s">
        <v>134</v>
      </c>
      <c r="U13" s="106" t="s">
        <v>134</v>
      </c>
      <c r="V13" s="106" t="s">
        <v>89</v>
      </c>
      <c r="W13" s="108">
        <v>45727</v>
      </c>
      <c r="X13" s="116">
        <v>45730</v>
      </c>
      <c r="Y13" s="169"/>
      <c r="Z13" s="169" t="s">
        <v>85</v>
      </c>
      <c r="AA13" s="124">
        <v>0</v>
      </c>
      <c r="AB13" s="106">
        <v>5648</v>
      </c>
      <c r="AC13" s="114">
        <v>1565893</v>
      </c>
      <c r="AD13" s="114">
        <f t="shared" si="1"/>
        <v>1863412.67</v>
      </c>
      <c r="AE13" s="114">
        <v>941207</v>
      </c>
      <c r="AF13" s="170"/>
      <c r="AG13" s="191" t="s">
        <v>1346</v>
      </c>
      <c r="AH13" s="108">
        <v>45728</v>
      </c>
      <c r="AI13" s="108">
        <v>45782</v>
      </c>
      <c r="AJ13" s="106" t="s">
        <v>571</v>
      </c>
      <c r="AK13" s="128"/>
    </row>
    <row r="14" spans="1:37" ht="34.5" customHeight="1" x14ac:dyDescent="0.25">
      <c r="A14" s="147">
        <v>2025</v>
      </c>
      <c r="B14" s="111">
        <v>3</v>
      </c>
      <c r="C14" s="148">
        <v>22422</v>
      </c>
      <c r="D14" s="167">
        <v>45720</v>
      </c>
      <c r="E14" s="106" t="s">
        <v>546</v>
      </c>
      <c r="F14" s="106" t="s">
        <v>547</v>
      </c>
      <c r="G14" s="106" t="s">
        <v>548</v>
      </c>
      <c r="H14" s="106">
        <v>60435053000</v>
      </c>
      <c r="I14" s="106">
        <v>3246262349</v>
      </c>
      <c r="J14" s="108">
        <v>45728</v>
      </c>
      <c r="K14" s="167" t="s">
        <v>88</v>
      </c>
      <c r="L14" s="168" t="s">
        <v>1347</v>
      </c>
      <c r="M14" s="106" t="s">
        <v>281</v>
      </c>
      <c r="N14" s="106" t="s">
        <v>136</v>
      </c>
      <c r="O14" s="106">
        <v>6020</v>
      </c>
      <c r="P14" s="106">
        <v>8451</v>
      </c>
      <c r="Q14" s="106">
        <v>5401</v>
      </c>
      <c r="R14" s="106" t="s">
        <v>134</v>
      </c>
      <c r="S14" s="106" t="s">
        <v>134</v>
      </c>
      <c r="T14" s="106" t="s">
        <v>134</v>
      </c>
      <c r="U14" s="106" t="s">
        <v>134</v>
      </c>
      <c r="V14" s="106" t="s">
        <v>87</v>
      </c>
      <c r="W14" s="108">
        <v>45729</v>
      </c>
      <c r="X14" s="116">
        <v>45731</v>
      </c>
      <c r="Y14" s="169"/>
      <c r="Z14" s="169" t="s">
        <v>85</v>
      </c>
      <c r="AA14" s="124">
        <v>0</v>
      </c>
      <c r="AB14" s="106">
        <v>5655</v>
      </c>
      <c r="AC14" s="114">
        <v>340923</v>
      </c>
      <c r="AD14" s="114">
        <f t="shared" si="1"/>
        <v>405698.37</v>
      </c>
      <c r="AE14" s="114">
        <v>202849</v>
      </c>
      <c r="AF14" s="170"/>
      <c r="AG14" s="171" t="s">
        <v>1348</v>
      </c>
      <c r="AH14" s="108">
        <v>45761</v>
      </c>
      <c r="AI14" s="108">
        <v>45782</v>
      </c>
      <c r="AJ14" s="106" t="s">
        <v>571</v>
      </c>
      <c r="AK14" s="128"/>
    </row>
    <row r="15" spans="1:37" ht="34.5" customHeight="1" x14ac:dyDescent="0.25">
      <c r="A15" s="147">
        <v>2025</v>
      </c>
      <c r="B15" s="111">
        <v>3</v>
      </c>
      <c r="C15" s="148">
        <v>22423</v>
      </c>
      <c r="D15" s="167">
        <v>45720</v>
      </c>
      <c r="E15" s="106" t="s">
        <v>848</v>
      </c>
      <c r="F15" s="106" t="s">
        <v>691</v>
      </c>
      <c r="G15" s="106" t="s">
        <v>570</v>
      </c>
      <c r="H15" s="106">
        <v>6044483227</v>
      </c>
      <c r="I15" s="106">
        <v>6044483227</v>
      </c>
      <c r="J15" s="108">
        <v>45720</v>
      </c>
      <c r="K15" s="167" t="s">
        <v>88</v>
      </c>
      <c r="L15" s="168" t="s">
        <v>1349</v>
      </c>
      <c r="M15" s="106" t="s">
        <v>136</v>
      </c>
      <c r="N15" s="106" t="s">
        <v>136</v>
      </c>
      <c r="O15" s="106" t="s">
        <v>136</v>
      </c>
      <c r="P15" s="106">
        <v>5889</v>
      </c>
      <c r="Q15" s="106" t="s">
        <v>136</v>
      </c>
      <c r="R15" s="106" t="s">
        <v>136</v>
      </c>
      <c r="S15" s="106" t="s">
        <v>136</v>
      </c>
      <c r="T15" s="106" t="s">
        <v>136</v>
      </c>
      <c r="U15" s="106" t="s">
        <v>136</v>
      </c>
      <c r="V15" s="106" t="s">
        <v>89</v>
      </c>
      <c r="W15" s="108" t="s">
        <v>136</v>
      </c>
      <c r="X15" s="116">
        <v>45717</v>
      </c>
      <c r="Y15" s="169"/>
      <c r="Z15" s="169" t="s">
        <v>85</v>
      </c>
      <c r="AA15" s="130">
        <v>447440</v>
      </c>
      <c r="AB15" s="106">
        <v>5623</v>
      </c>
      <c r="AC15" s="114">
        <v>376000</v>
      </c>
      <c r="AD15" s="114">
        <f t="shared" si="1"/>
        <v>447440</v>
      </c>
      <c r="AE15" s="114">
        <v>0</v>
      </c>
      <c r="AF15" s="170"/>
      <c r="AG15" s="171" t="s">
        <v>849</v>
      </c>
      <c r="AH15" s="108">
        <v>45720</v>
      </c>
      <c r="AI15" s="108">
        <v>45782</v>
      </c>
      <c r="AJ15" s="106" t="s">
        <v>571</v>
      </c>
      <c r="AK15" s="128"/>
    </row>
    <row r="16" spans="1:37" ht="36" x14ac:dyDescent="0.25">
      <c r="A16" s="147">
        <v>2025</v>
      </c>
      <c r="B16" s="111">
        <v>3</v>
      </c>
      <c r="C16" s="148">
        <v>22424</v>
      </c>
      <c r="D16" s="167">
        <v>45720</v>
      </c>
      <c r="E16" s="106" t="s">
        <v>558</v>
      </c>
      <c r="F16" s="106" t="s">
        <v>558</v>
      </c>
      <c r="G16" s="106" t="s">
        <v>154</v>
      </c>
      <c r="H16" s="106">
        <v>3126459826</v>
      </c>
      <c r="I16" s="106">
        <v>3126459826</v>
      </c>
      <c r="J16" s="108">
        <v>45728</v>
      </c>
      <c r="K16" s="167" t="s">
        <v>84</v>
      </c>
      <c r="L16" s="168" t="s">
        <v>1350</v>
      </c>
      <c r="M16" s="106" t="s">
        <v>136</v>
      </c>
      <c r="N16" s="106">
        <v>5767</v>
      </c>
      <c r="O16" s="106">
        <v>6021</v>
      </c>
      <c r="P16" s="106" t="s">
        <v>136</v>
      </c>
      <c r="Q16" s="106">
        <v>5468</v>
      </c>
      <c r="R16" s="106" t="s">
        <v>136</v>
      </c>
      <c r="S16" s="106" t="s">
        <v>134</v>
      </c>
      <c r="T16" s="106" t="s">
        <v>134</v>
      </c>
      <c r="U16" s="106" t="s">
        <v>134</v>
      </c>
      <c r="V16" s="106" t="s">
        <v>119</v>
      </c>
      <c r="W16" s="108">
        <v>45728</v>
      </c>
      <c r="X16" s="116">
        <v>45728</v>
      </c>
      <c r="Y16" s="169"/>
      <c r="Z16" s="169" t="s">
        <v>85</v>
      </c>
      <c r="AA16" s="130">
        <v>500000</v>
      </c>
      <c r="AB16" s="106">
        <v>5658</v>
      </c>
      <c r="AC16" s="114">
        <v>420168</v>
      </c>
      <c r="AD16" s="114">
        <f t="shared" si="1"/>
        <v>499999.92</v>
      </c>
      <c r="AE16" s="114">
        <v>500000</v>
      </c>
      <c r="AF16" s="170"/>
      <c r="AG16" s="171" t="s">
        <v>1351</v>
      </c>
      <c r="AH16" s="108">
        <v>45719</v>
      </c>
      <c r="AI16" s="108">
        <v>45782</v>
      </c>
      <c r="AJ16" s="106" t="s">
        <v>571</v>
      </c>
      <c r="AK16" s="128"/>
    </row>
    <row r="17" spans="1:37" ht="48" x14ac:dyDescent="0.25">
      <c r="A17" s="147">
        <v>2025</v>
      </c>
      <c r="B17" s="111">
        <v>3</v>
      </c>
      <c r="C17" s="148">
        <v>22425</v>
      </c>
      <c r="D17" s="167">
        <v>45720</v>
      </c>
      <c r="E17" s="106" t="s">
        <v>550</v>
      </c>
      <c r="F17" s="106" t="s">
        <v>550</v>
      </c>
      <c r="G17" s="106" t="s">
        <v>154</v>
      </c>
      <c r="H17" s="106">
        <v>31361900</v>
      </c>
      <c r="I17" s="106">
        <v>31361900</v>
      </c>
      <c r="J17" s="108">
        <v>45731</v>
      </c>
      <c r="K17" s="167" t="s">
        <v>84</v>
      </c>
      <c r="L17" s="168" t="s">
        <v>551</v>
      </c>
      <c r="M17" s="106" t="s">
        <v>136</v>
      </c>
      <c r="N17" s="106">
        <v>5764</v>
      </c>
      <c r="O17" s="106">
        <v>6016</v>
      </c>
      <c r="P17" s="106">
        <v>3575</v>
      </c>
      <c r="Q17" s="106">
        <v>5455</v>
      </c>
      <c r="R17" s="106" t="s">
        <v>136</v>
      </c>
      <c r="S17" s="106" t="s">
        <v>134</v>
      </c>
      <c r="T17" s="106" t="s">
        <v>134</v>
      </c>
      <c r="U17" s="106" t="s">
        <v>136</v>
      </c>
      <c r="V17" s="106" t="s">
        <v>119</v>
      </c>
      <c r="W17" s="108">
        <v>45736</v>
      </c>
      <c r="X17" s="116">
        <v>45741</v>
      </c>
      <c r="Y17" s="169"/>
      <c r="Z17" s="169" t="s">
        <v>85</v>
      </c>
      <c r="AA17" s="124">
        <v>0</v>
      </c>
      <c r="AB17" s="106">
        <v>5672</v>
      </c>
      <c r="AC17" s="114">
        <v>695617</v>
      </c>
      <c r="AD17" s="114">
        <f t="shared" si="1"/>
        <v>827784.23</v>
      </c>
      <c r="AE17" s="114">
        <v>800000</v>
      </c>
      <c r="AF17" s="170"/>
      <c r="AG17" s="171" t="s">
        <v>1111</v>
      </c>
      <c r="AH17" s="108">
        <v>45741</v>
      </c>
      <c r="AI17" s="108">
        <v>45782</v>
      </c>
      <c r="AJ17" s="106" t="s">
        <v>571</v>
      </c>
      <c r="AK17" s="128"/>
    </row>
    <row r="18" spans="1:37" ht="36" x14ac:dyDescent="0.25">
      <c r="A18" s="147">
        <v>2025</v>
      </c>
      <c r="B18" s="111">
        <v>3</v>
      </c>
      <c r="C18" s="148">
        <v>22426</v>
      </c>
      <c r="D18" s="167">
        <v>45726</v>
      </c>
      <c r="E18" s="106" t="s">
        <v>629</v>
      </c>
      <c r="F18" s="106" t="s">
        <v>630</v>
      </c>
      <c r="G18" s="106" t="s">
        <v>98</v>
      </c>
      <c r="H18" s="106">
        <v>3128104130</v>
      </c>
      <c r="I18" s="106">
        <v>6044442280</v>
      </c>
      <c r="J18" s="108">
        <v>45747</v>
      </c>
      <c r="K18" s="167" t="s">
        <v>88</v>
      </c>
      <c r="L18" s="168" t="s">
        <v>1352</v>
      </c>
      <c r="M18" s="106" t="s">
        <v>136</v>
      </c>
      <c r="N18" s="106">
        <v>5795</v>
      </c>
      <c r="O18" s="106">
        <v>6044</v>
      </c>
      <c r="P18" s="106">
        <v>8587</v>
      </c>
      <c r="Q18" s="106">
        <v>5437</v>
      </c>
      <c r="R18" s="106" t="s">
        <v>136</v>
      </c>
      <c r="S18" s="106" t="s">
        <v>134</v>
      </c>
      <c r="T18" s="106" t="s">
        <v>134</v>
      </c>
      <c r="U18" s="106" t="s">
        <v>134</v>
      </c>
      <c r="V18" s="106" t="s">
        <v>119</v>
      </c>
      <c r="W18" s="108">
        <v>45743</v>
      </c>
      <c r="X18" s="116">
        <v>45762</v>
      </c>
      <c r="Y18" s="169"/>
      <c r="Z18" s="169" t="s">
        <v>85</v>
      </c>
      <c r="AA18" s="124">
        <v>0</v>
      </c>
      <c r="AB18" s="106">
        <v>5696</v>
      </c>
      <c r="AC18" s="114">
        <v>3242559</v>
      </c>
      <c r="AD18" s="114">
        <f t="shared" si="1"/>
        <v>3858645.21</v>
      </c>
      <c r="AE18" s="114">
        <v>1890000</v>
      </c>
      <c r="AF18" s="170"/>
      <c r="AG18" s="171" t="s">
        <v>915</v>
      </c>
      <c r="AH18" s="108">
        <v>45748</v>
      </c>
      <c r="AI18" s="108">
        <v>45782</v>
      </c>
      <c r="AJ18" s="106" t="s">
        <v>571</v>
      </c>
      <c r="AK18" s="128"/>
    </row>
    <row r="19" spans="1:37" ht="36" x14ac:dyDescent="0.25">
      <c r="A19" s="147">
        <v>2025</v>
      </c>
      <c r="B19" s="111">
        <v>3</v>
      </c>
      <c r="C19" s="148">
        <v>22427</v>
      </c>
      <c r="D19" s="167">
        <v>45722</v>
      </c>
      <c r="E19" s="106" t="s">
        <v>559</v>
      </c>
      <c r="F19" s="106" t="s">
        <v>559</v>
      </c>
      <c r="G19" s="106" t="s">
        <v>154</v>
      </c>
      <c r="H19" s="106">
        <v>3144339960</v>
      </c>
      <c r="I19" s="106">
        <v>3144339960</v>
      </c>
      <c r="J19" s="108">
        <v>45731</v>
      </c>
      <c r="K19" s="167" t="s">
        <v>84</v>
      </c>
      <c r="L19" s="168" t="s">
        <v>1353</v>
      </c>
      <c r="M19" s="106" t="s">
        <v>136</v>
      </c>
      <c r="N19" s="106">
        <v>5763</v>
      </c>
      <c r="O19" s="106" t="s">
        <v>136</v>
      </c>
      <c r="P19" s="106" t="s">
        <v>136</v>
      </c>
      <c r="Q19" s="106" t="s">
        <v>136</v>
      </c>
      <c r="R19" s="106" t="s">
        <v>136</v>
      </c>
      <c r="S19" s="106" t="s">
        <v>136</v>
      </c>
      <c r="T19" s="106" t="s">
        <v>136</v>
      </c>
      <c r="U19" s="106" t="s">
        <v>136</v>
      </c>
      <c r="V19" s="106" t="s">
        <v>87</v>
      </c>
      <c r="W19" s="108">
        <v>45731</v>
      </c>
      <c r="X19" s="116">
        <v>45736</v>
      </c>
      <c r="Y19" s="169"/>
      <c r="Z19" s="169" t="s">
        <v>85</v>
      </c>
      <c r="AA19" s="190">
        <v>80000</v>
      </c>
      <c r="AB19" s="106">
        <v>5964</v>
      </c>
      <c r="AC19" s="114">
        <v>67227</v>
      </c>
      <c r="AD19" s="114">
        <f t="shared" si="1"/>
        <v>80000.12999999999</v>
      </c>
      <c r="AE19" s="114">
        <v>0</v>
      </c>
      <c r="AF19" s="170"/>
      <c r="AG19" s="171" t="s">
        <v>1112</v>
      </c>
      <c r="AH19" s="108">
        <v>45722</v>
      </c>
      <c r="AI19" s="108">
        <v>45782</v>
      </c>
      <c r="AJ19" s="106" t="s">
        <v>571</v>
      </c>
      <c r="AK19" s="128"/>
    </row>
    <row r="20" spans="1:37" ht="108" x14ac:dyDescent="0.25">
      <c r="A20" s="147">
        <v>2025</v>
      </c>
      <c r="B20" s="111">
        <v>3</v>
      </c>
      <c r="C20" s="148">
        <v>22428</v>
      </c>
      <c r="D20" s="167">
        <v>45723</v>
      </c>
      <c r="E20" s="111" t="s">
        <v>677</v>
      </c>
      <c r="F20" s="111" t="s">
        <v>691</v>
      </c>
      <c r="G20" s="106" t="s">
        <v>98</v>
      </c>
      <c r="H20" s="106">
        <v>6044483227</v>
      </c>
      <c r="I20" s="106">
        <v>6044483227</v>
      </c>
      <c r="J20" s="108">
        <v>45737</v>
      </c>
      <c r="K20" s="167" t="s">
        <v>88</v>
      </c>
      <c r="L20" s="168" t="s">
        <v>1354</v>
      </c>
      <c r="M20" s="106" t="s">
        <v>136</v>
      </c>
      <c r="N20" s="106">
        <v>5769</v>
      </c>
      <c r="O20" s="106">
        <v>6022</v>
      </c>
      <c r="P20" s="106">
        <v>8540</v>
      </c>
      <c r="Q20" s="106" t="s">
        <v>136</v>
      </c>
      <c r="R20" s="106" t="s">
        <v>134</v>
      </c>
      <c r="S20" s="106" t="s">
        <v>134</v>
      </c>
      <c r="T20" s="106" t="s">
        <v>134</v>
      </c>
      <c r="U20" s="106" t="s">
        <v>134</v>
      </c>
      <c r="V20" s="106" t="s">
        <v>89</v>
      </c>
      <c r="W20" s="108">
        <v>45735</v>
      </c>
      <c r="X20" s="116">
        <v>45741</v>
      </c>
      <c r="Y20" s="169"/>
      <c r="Z20" s="169" t="s">
        <v>85</v>
      </c>
      <c r="AA20" s="124">
        <v>0</v>
      </c>
      <c r="AB20" s="106">
        <v>5680</v>
      </c>
      <c r="AC20" s="114">
        <v>5365590</v>
      </c>
      <c r="AD20" s="114">
        <f t="shared" si="1"/>
        <v>6385052.0999999996</v>
      </c>
      <c r="AE20" s="114">
        <v>0</v>
      </c>
      <c r="AF20" s="170"/>
      <c r="AG20" s="171" t="s">
        <v>1355</v>
      </c>
      <c r="AH20" s="108">
        <v>45775</v>
      </c>
      <c r="AI20" s="108">
        <v>45782</v>
      </c>
      <c r="AJ20" s="106" t="s">
        <v>571</v>
      </c>
      <c r="AK20" s="128"/>
    </row>
    <row r="21" spans="1:37" ht="72" x14ac:dyDescent="0.25">
      <c r="A21" s="147">
        <v>2025</v>
      </c>
      <c r="B21" s="111">
        <v>3</v>
      </c>
      <c r="C21" s="148">
        <v>22429</v>
      </c>
      <c r="D21" s="167">
        <v>45722</v>
      </c>
      <c r="E21" s="106" t="s">
        <v>387</v>
      </c>
      <c r="F21" s="106" t="s">
        <v>661</v>
      </c>
      <c r="G21" s="106" t="s">
        <v>604</v>
      </c>
      <c r="H21" s="106">
        <v>3012576749</v>
      </c>
      <c r="I21" s="106">
        <v>3022818218</v>
      </c>
      <c r="J21" s="108">
        <v>45737</v>
      </c>
      <c r="K21" s="167" t="s">
        <v>99</v>
      </c>
      <c r="L21" s="168" t="s">
        <v>1356</v>
      </c>
      <c r="M21" s="106" t="s">
        <v>136</v>
      </c>
      <c r="N21" s="106">
        <v>5770</v>
      </c>
      <c r="O21" s="106">
        <v>6023</v>
      </c>
      <c r="P21" s="106" t="s">
        <v>136</v>
      </c>
      <c r="Q21" s="106">
        <v>5464</v>
      </c>
      <c r="R21" s="106" t="s">
        <v>136</v>
      </c>
      <c r="S21" s="106" t="s">
        <v>134</v>
      </c>
      <c r="T21" s="106" t="s">
        <v>134</v>
      </c>
      <c r="U21" s="106" t="s">
        <v>134</v>
      </c>
      <c r="V21" s="106" t="s">
        <v>89</v>
      </c>
      <c r="W21" s="108">
        <v>45731</v>
      </c>
      <c r="X21" s="116">
        <v>45734</v>
      </c>
      <c r="Y21" s="169"/>
      <c r="Z21" s="169" t="s">
        <v>85</v>
      </c>
      <c r="AA21" s="124">
        <v>0</v>
      </c>
      <c r="AB21" s="106" t="s">
        <v>605</v>
      </c>
      <c r="AC21" s="114">
        <v>0</v>
      </c>
      <c r="AD21" s="114">
        <v>3630813</v>
      </c>
      <c r="AE21" s="114">
        <v>0</v>
      </c>
      <c r="AF21" s="170"/>
      <c r="AG21" s="171" t="s">
        <v>1357</v>
      </c>
      <c r="AH21" s="108">
        <v>45772</v>
      </c>
      <c r="AI21" s="108">
        <v>45782</v>
      </c>
      <c r="AJ21" s="106" t="s">
        <v>571</v>
      </c>
      <c r="AK21" s="128"/>
    </row>
    <row r="22" spans="1:37" ht="48" x14ac:dyDescent="0.25">
      <c r="A22" s="147">
        <v>2025</v>
      </c>
      <c r="B22" s="111">
        <v>3</v>
      </c>
      <c r="C22" s="148">
        <v>22430</v>
      </c>
      <c r="D22" s="167">
        <v>45723</v>
      </c>
      <c r="E22" s="106" t="s">
        <v>637</v>
      </c>
      <c r="F22" s="106" t="s">
        <v>637</v>
      </c>
      <c r="G22" s="106" t="s">
        <v>154</v>
      </c>
      <c r="H22" s="106" t="s">
        <v>638</v>
      </c>
      <c r="I22" s="106" t="s">
        <v>638</v>
      </c>
      <c r="J22" s="108">
        <v>45731</v>
      </c>
      <c r="K22" s="167" t="s">
        <v>84</v>
      </c>
      <c r="L22" s="168" t="s">
        <v>1358</v>
      </c>
      <c r="M22" s="106" t="s">
        <v>639</v>
      </c>
      <c r="N22" s="106">
        <v>5772</v>
      </c>
      <c r="O22" s="106" t="s">
        <v>136</v>
      </c>
      <c r="P22" s="106" t="s">
        <v>136</v>
      </c>
      <c r="Q22" s="106" t="s">
        <v>136</v>
      </c>
      <c r="R22" s="106" t="s">
        <v>136</v>
      </c>
      <c r="S22" s="106" t="s">
        <v>136</v>
      </c>
      <c r="T22" s="106" t="s">
        <v>136</v>
      </c>
      <c r="U22" s="106" t="s">
        <v>136</v>
      </c>
      <c r="V22" s="106" t="s">
        <v>89</v>
      </c>
      <c r="W22" s="108">
        <v>45734</v>
      </c>
      <c r="X22" s="116">
        <v>45736</v>
      </c>
      <c r="Y22" s="169"/>
      <c r="Z22" s="169" t="s">
        <v>85</v>
      </c>
      <c r="AA22" s="114">
        <v>100000</v>
      </c>
      <c r="AB22" s="106">
        <v>5667</v>
      </c>
      <c r="AC22" s="114">
        <v>84034</v>
      </c>
      <c r="AD22" s="114">
        <f t="shared" ref="AD22:AD30" si="2">+AC22*1.19</f>
        <v>100000.45999999999</v>
      </c>
      <c r="AE22" s="114">
        <v>0</v>
      </c>
      <c r="AF22" s="170"/>
      <c r="AG22" s="171" t="s">
        <v>1112</v>
      </c>
      <c r="AH22" s="108">
        <v>45729</v>
      </c>
      <c r="AI22" s="108">
        <v>45782</v>
      </c>
      <c r="AJ22" s="106" t="s">
        <v>571</v>
      </c>
      <c r="AK22" s="128"/>
    </row>
    <row r="23" spans="1:37" ht="36" x14ac:dyDescent="0.25">
      <c r="A23" s="147">
        <v>2025</v>
      </c>
      <c r="B23" s="111">
        <v>3</v>
      </c>
      <c r="C23" s="148">
        <v>22431</v>
      </c>
      <c r="D23" s="167">
        <v>45724</v>
      </c>
      <c r="E23" s="106" t="s">
        <v>640</v>
      </c>
      <c r="F23" s="106" t="s">
        <v>640</v>
      </c>
      <c r="G23" s="106" t="s">
        <v>154</v>
      </c>
      <c r="H23" s="106">
        <v>3148117985</v>
      </c>
      <c r="I23" s="106">
        <v>3148117985</v>
      </c>
      <c r="J23" s="108">
        <v>45737</v>
      </c>
      <c r="K23" s="167" t="s">
        <v>84</v>
      </c>
      <c r="L23" s="168" t="s">
        <v>1359</v>
      </c>
      <c r="M23" s="106" t="s">
        <v>136</v>
      </c>
      <c r="N23" s="106">
        <v>5776</v>
      </c>
      <c r="O23" s="106" t="s">
        <v>136</v>
      </c>
      <c r="P23" s="106" t="s">
        <v>136</v>
      </c>
      <c r="Q23" s="106">
        <v>5473</v>
      </c>
      <c r="R23" s="106" t="s">
        <v>134</v>
      </c>
      <c r="S23" s="106" t="s">
        <v>134</v>
      </c>
      <c r="T23" s="106" t="s">
        <v>134</v>
      </c>
      <c r="U23" s="106" t="s">
        <v>136</v>
      </c>
      <c r="V23" s="106" t="s">
        <v>119</v>
      </c>
      <c r="W23" s="108">
        <v>45750</v>
      </c>
      <c r="X23" s="116">
        <v>45758</v>
      </c>
      <c r="Y23" s="169"/>
      <c r="Z23" s="169" t="s">
        <v>85</v>
      </c>
      <c r="AA23" s="275">
        <v>0</v>
      </c>
      <c r="AB23" s="106">
        <v>5710</v>
      </c>
      <c r="AC23" s="114">
        <v>453782</v>
      </c>
      <c r="AD23" s="114">
        <f t="shared" si="2"/>
        <v>540000.57999999996</v>
      </c>
      <c r="AE23" s="114">
        <v>270000</v>
      </c>
      <c r="AF23" s="170"/>
      <c r="AG23" s="171" t="s">
        <v>1360</v>
      </c>
      <c r="AH23" s="108">
        <v>45752</v>
      </c>
      <c r="AI23" s="108">
        <v>45782</v>
      </c>
      <c r="AJ23" s="106" t="s">
        <v>571</v>
      </c>
      <c r="AK23" s="128"/>
    </row>
    <row r="24" spans="1:37" ht="34.5" customHeight="1" x14ac:dyDescent="0.25">
      <c r="A24" s="147">
        <v>2025</v>
      </c>
      <c r="B24" s="111">
        <v>3</v>
      </c>
      <c r="C24" s="148">
        <v>22432</v>
      </c>
      <c r="D24" s="108">
        <v>45724</v>
      </c>
      <c r="E24" s="111" t="s">
        <v>520</v>
      </c>
      <c r="F24" s="111" t="s">
        <v>402</v>
      </c>
      <c r="G24" s="110" t="s">
        <v>98</v>
      </c>
      <c r="H24" s="110">
        <v>3127459901</v>
      </c>
      <c r="I24" s="110">
        <v>3127459901</v>
      </c>
      <c r="J24" s="108">
        <v>45730</v>
      </c>
      <c r="K24" s="167" t="s">
        <v>88</v>
      </c>
      <c r="L24" s="112" t="s">
        <v>1361</v>
      </c>
      <c r="M24" s="106" t="s">
        <v>136</v>
      </c>
      <c r="N24" s="106" t="s">
        <v>136</v>
      </c>
      <c r="O24" s="106" t="s">
        <v>136</v>
      </c>
      <c r="P24" s="110">
        <v>8522</v>
      </c>
      <c r="Q24" s="106" t="s">
        <v>136</v>
      </c>
      <c r="R24" s="106" t="s">
        <v>136</v>
      </c>
      <c r="S24" s="106" t="s">
        <v>136</v>
      </c>
      <c r="T24" s="110" t="s">
        <v>134</v>
      </c>
      <c r="U24" s="110" t="s">
        <v>134</v>
      </c>
      <c r="V24" s="106" t="s">
        <v>119</v>
      </c>
      <c r="W24" s="108" t="s">
        <v>136</v>
      </c>
      <c r="X24" s="116">
        <v>45729</v>
      </c>
      <c r="Y24" s="110"/>
      <c r="Z24" s="169" t="s">
        <v>85</v>
      </c>
      <c r="AA24" s="124">
        <v>0</v>
      </c>
      <c r="AB24" s="110">
        <v>5656</v>
      </c>
      <c r="AC24" s="114">
        <v>693600</v>
      </c>
      <c r="AD24" s="114">
        <f t="shared" si="2"/>
        <v>825384</v>
      </c>
      <c r="AE24" s="114">
        <v>0</v>
      </c>
      <c r="AF24" s="110"/>
      <c r="AG24" s="142" t="s">
        <v>1109</v>
      </c>
      <c r="AH24" s="108">
        <v>45775</v>
      </c>
      <c r="AI24" s="108">
        <v>45782</v>
      </c>
      <c r="AJ24" s="110" t="s">
        <v>571</v>
      </c>
      <c r="AK24" s="110"/>
    </row>
    <row r="25" spans="1:37" ht="36" x14ac:dyDescent="0.25">
      <c r="A25" s="147">
        <v>2025</v>
      </c>
      <c r="B25" s="111">
        <v>3</v>
      </c>
      <c r="C25" s="148">
        <v>22433</v>
      </c>
      <c r="D25" s="167" t="s">
        <v>641</v>
      </c>
      <c r="E25" s="106" t="s">
        <v>593</v>
      </c>
      <c r="F25" s="106" t="s">
        <v>642</v>
      </c>
      <c r="G25" s="106" t="s">
        <v>98</v>
      </c>
      <c r="H25" s="106">
        <v>3174129936</v>
      </c>
      <c r="I25" s="106">
        <v>5114698</v>
      </c>
      <c r="J25" s="108">
        <v>45737</v>
      </c>
      <c r="K25" s="167" t="s">
        <v>88</v>
      </c>
      <c r="L25" s="168" t="s">
        <v>1362</v>
      </c>
      <c r="M25" s="106" t="s">
        <v>136</v>
      </c>
      <c r="N25" s="106">
        <v>5771</v>
      </c>
      <c r="O25" s="106" t="s">
        <v>136</v>
      </c>
      <c r="P25" s="106" t="s">
        <v>136</v>
      </c>
      <c r="Q25" s="106" t="s">
        <v>136</v>
      </c>
      <c r="R25" s="106" t="s">
        <v>136</v>
      </c>
      <c r="S25" s="106" t="s">
        <v>136</v>
      </c>
      <c r="T25" s="106" t="s">
        <v>136</v>
      </c>
      <c r="U25" s="106" t="s">
        <v>136</v>
      </c>
      <c r="V25" s="106" t="s">
        <v>87</v>
      </c>
      <c r="W25" s="108">
        <v>45734</v>
      </c>
      <c r="X25" s="116">
        <v>45736</v>
      </c>
      <c r="Y25" s="169"/>
      <c r="Z25" s="169" t="s">
        <v>85</v>
      </c>
      <c r="AA25" s="227">
        <v>0</v>
      </c>
      <c r="AB25" s="106">
        <v>5666</v>
      </c>
      <c r="AC25" s="114">
        <v>563025</v>
      </c>
      <c r="AD25" s="114">
        <v>670000</v>
      </c>
      <c r="AE25" s="209">
        <v>400000</v>
      </c>
      <c r="AF25" s="170"/>
      <c r="AG25" s="171" t="s">
        <v>1112</v>
      </c>
      <c r="AH25" s="108">
        <v>45735</v>
      </c>
      <c r="AI25" s="108">
        <v>45782</v>
      </c>
      <c r="AJ25" s="106" t="s">
        <v>571</v>
      </c>
      <c r="AK25" s="128"/>
    </row>
    <row r="26" spans="1:37" ht="72" x14ac:dyDescent="0.25">
      <c r="A26" s="147">
        <v>2025</v>
      </c>
      <c r="B26" s="111">
        <v>3</v>
      </c>
      <c r="C26" s="148">
        <v>22434</v>
      </c>
      <c r="D26" s="167">
        <v>45726</v>
      </c>
      <c r="E26" s="106" t="s">
        <v>624</v>
      </c>
      <c r="F26" s="106" t="s">
        <v>625</v>
      </c>
      <c r="G26" s="106" t="s">
        <v>98</v>
      </c>
      <c r="H26" s="106">
        <v>3124948519</v>
      </c>
      <c r="I26" s="106">
        <v>3124948519</v>
      </c>
      <c r="J26" s="108">
        <v>45744</v>
      </c>
      <c r="K26" s="167" t="s">
        <v>84</v>
      </c>
      <c r="L26" s="168" t="s">
        <v>1363</v>
      </c>
      <c r="M26" s="106" t="s">
        <v>136</v>
      </c>
      <c r="N26" s="106" t="s">
        <v>626</v>
      </c>
      <c r="O26" s="106">
        <v>6036</v>
      </c>
      <c r="P26" s="106">
        <v>8617</v>
      </c>
      <c r="Q26" s="106">
        <v>5270</v>
      </c>
      <c r="R26" s="106" t="s">
        <v>136</v>
      </c>
      <c r="S26" s="106" t="s">
        <v>134</v>
      </c>
      <c r="T26" s="106" t="s">
        <v>134</v>
      </c>
      <c r="U26" s="106" t="s">
        <v>134</v>
      </c>
      <c r="V26" s="106" t="s">
        <v>119</v>
      </c>
      <c r="W26" s="108">
        <v>45747</v>
      </c>
      <c r="X26" s="116">
        <v>45758</v>
      </c>
      <c r="Y26" s="169"/>
      <c r="Z26" s="169" t="s">
        <v>85</v>
      </c>
      <c r="AA26" s="115">
        <v>0</v>
      </c>
      <c r="AB26" s="106">
        <v>5711</v>
      </c>
      <c r="AC26" s="114">
        <v>9805139</v>
      </c>
      <c r="AD26" s="114">
        <f t="shared" si="2"/>
        <v>11668115.41</v>
      </c>
      <c r="AE26" s="114">
        <v>5834058</v>
      </c>
      <c r="AF26" s="170"/>
      <c r="AG26" s="171" t="s">
        <v>1561</v>
      </c>
      <c r="AH26" s="108">
        <v>45786</v>
      </c>
      <c r="AI26" s="108">
        <v>45782</v>
      </c>
      <c r="AJ26" s="106" t="s">
        <v>571</v>
      </c>
      <c r="AK26" s="128"/>
    </row>
    <row r="27" spans="1:37" ht="60" x14ac:dyDescent="0.25">
      <c r="A27" s="147">
        <v>2025</v>
      </c>
      <c r="B27" s="111">
        <v>3</v>
      </c>
      <c r="C27" s="148">
        <v>22435</v>
      </c>
      <c r="D27" s="167">
        <v>45727</v>
      </c>
      <c r="E27" s="106" t="s">
        <v>387</v>
      </c>
      <c r="F27" s="106" t="s">
        <v>387</v>
      </c>
      <c r="G27" s="106" t="s">
        <v>98</v>
      </c>
      <c r="H27" s="106">
        <v>3022818218</v>
      </c>
      <c r="I27" s="106">
        <v>3022818218</v>
      </c>
      <c r="J27" s="108">
        <v>45738</v>
      </c>
      <c r="K27" s="167" t="s">
        <v>99</v>
      </c>
      <c r="L27" s="168" t="s">
        <v>1364</v>
      </c>
      <c r="M27" s="106" t="s">
        <v>136</v>
      </c>
      <c r="N27" s="106">
        <v>5773</v>
      </c>
      <c r="O27" s="106">
        <v>6027</v>
      </c>
      <c r="P27" s="106">
        <v>8591</v>
      </c>
      <c r="Q27" s="106">
        <v>5464</v>
      </c>
      <c r="R27" s="106" t="s">
        <v>136</v>
      </c>
      <c r="S27" s="106" t="s">
        <v>134</v>
      </c>
      <c r="T27" s="106" t="s">
        <v>134</v>
      </c>
      <c r="U27" s="106" t="s">
        <v>136</v>
      </c>
      <c r="V27" s="106" t="s">
        <v>89</v>
      </c>
      <c r="W27" s="108">
        <v>45734</v>
      </c>
      <c r="X27" s="116">
        <v>45769</v>
      </c>
      <c r="Y27" s="169"/>
      <c r="Z27" s="169" t="s">
        <v>85</v>
      </c>
      <c r="AA27" s="115">
        <v>0</v>
      </c>
      <c r="AB27" s="106">
        <v>5677</v>
      </c>
      <c r="AC27" s="114">
        <v>937124</v>
      </c>
      <c r="AD27" s="114">
        <f t="shared" si="2"/>
        <v>1115177.56</v>
      </c>
      <c r="AE27" s="114">
        <v>0</v>
      </c>
      <c r="AF27" s="170"/>
      <c r="AG27" s="171" t="s">
        <v>1365</v>
      </c>
      <c r="AH27" s="108">
        <v>45772</v>
      </c>
      <c r="AI27" s="108">
        <v>45782</v>
      </c>
      <c r="AJ27" s="106" t="s">
        <v>571</v>
      </c>
      <c r="AK27" s="128"/>
    </row>
    <row r="28" spans="1:37" ht="84" x14ac:dyDescent="0.25">
      <c r="A28" s="147">
        <v>2025</v>
      </c>
      <c r="B28" s="111">
        <v>3</v>
      </c>
      <c r="C28" s="148">
        <v>22436</v>
      </c>
      <c r="D28" s="167">
        <v>45727</v>
      </c>
      <c r="E28" s="106" t="s">
        <v>643</v>
      </c>
      <c r="F28" s="106" t="s">
        <v>643</v>
      </c>
      <c r="G28" s="106" t="s">
        <v>98</v>
      </c>
      <c r="H28" s="106">
        <v>23221444</v>
      </c>
      <c r="I28" s="106">
        <v>23221444</v>
      </c>
      <c r="J28" s="108">
        <v>45735</v>
      </c>
      <c r="K28" s="167" t="s">
        <v>88</v>
      </c>
      <c r="L28" s="168" t="s">
        <v>1366</v>
      </c>
      <c r="M28" s="106" t="s">
        <v>281</v>
      </c>
      <c r="N28" s="106" t="s">
        <v>136</v>
      </c>
      <c r="O28" s="106">
        <v>6026</v>
      </c>
      <c r="P28" s="106">
        <v>8592</v>
      </c>
      <c r="Q28" s="106">
        <v>5447</v>
      </c>
      <c r="R28" s="106" t="s">
        <v>134</v>
      </c>
      <c r="S28" s="106" t="s">
        <v>134</v>
      </c>
      <c r="T28" s="106" t="s">
        <v>134</v>
      </c>
      <c r="U28" s="106" t="s">
        <v>134</v>
      </c>
      <c r="V28" s="106" t="s">
        <v>89</v>
      </c>
      <c r="W28" s="108">
        <v>45729</v>
      </c>
      <c r="X28" s="116">
        <v>45734</v>
      </c>
      <c r="Y28" s="169"/>
      <c r="Z28" s="169" t="s">
        <v>85</v>
      </c>
      <c r="AA28" s="115">
        <v>0</v>
      </c>
      <c r="AB28" s="106">
        <v>5663</v>
      </c>
      <c r="AC28" s="114">
        <v>1002862</v>
      </c>
      <c r="AD28" s="114">
        <f t="shared" si="2"/>
        <v>1193405.78</v>
      </c>
      <c r="AE28" s="114">
        <v>1124704</v>
      </c>
      <c r="AF28" s="170"/>
      <c r="AG28" s="171" t="s">
        <v>1367</v>
      </c>
      <c r="AH28" s="108">
        <v>45732</v>
      </c>
      <c r="AI28" s="108">
        <v>45782</v>
      </c>
      <c r="AJ28" s="106" t="s">
        <v>571</v>
      </c>
      <c r="AK28" s="128"/>
    </row>
    <row r="29" spans="1:37" ht="34.5" customHeight="1" x14ac:dyDescent="0.25">
      <c r="A29" s="147">
        <v>2025</v>
      </c>
      <c r="B29" s="111">
        <v>3</v>
      </c>
      <c r="C29" s="148">
        <v>22437</v>
      </c>
      <c r="D29" s="167">
        <v>45727</v>
      </c>
      <c r="E29" s="106" t="s">
        <v>644</v>
      </c>
      <c r="F29" s="106" t="s">
        <v>644</v>
      </c>
      <c r="G29" s="106" t="s">
        <v>154</v>
      </c>
      <c r="H29" s="106">
        <v>3147001841</v>
      </c>
      <c r="I29" s="106">
        <v>3147001841</v>
      </c>
      <c r="J29" s="108">
        <v>45799</v>
      </c>
      <c r="K29" s="167" t="s">
        <v>84</v>
      </c>
      <c r="L29" s="168" t="s">
        <v>1368</v>
      </c>
      <c r="M29" s="106" t="s">
        <v>136</v>
      </c>
      <c r="N29" s="106">
        <v>5790</v>
      </c>
      <c r="O29" s="106" t="s">
        <v>136</v>
      </c>
      <c r="P29" s="106" t="s">
        <v>136</v>
      </c>
      <c r="Q29" s="106" t="s">
        <v>136</v>
      </c>
      <c r="R29" s="106" t="s">
        <v>136</v>
      </c>
      <c r="S29" s="106" t="s">
        <v>136</v>
      </c>
      <c r="T29" s="106" t="s">
        <v>136</v>
      </c>
      <c r="U29" s="106" t="s">
        <v>136</v>
      </c>
      <c r="V29" s="106" t="s">
        <v>119</v>
      </c>
      <c r="W29" s="108">
        <v>45773</v>
      </c>
      <c r="X29" s="116">
        <v>45737</v>
      </c>
      <c r="Y29" s="169"/>
      <c r="Z29" s="169" t="s">
        <v>85</v>
      </c>
      <c r="AA29" s="238">
        <v>70000</v>
      </c>
      <c r="AB29" s="106">
        <v>5685</v>
      </c>
      <c r="AC29" s="114">
        <v>58824</v>
      </c>
      <c r="AD29" s="114">
        <f t="shared" si="2"/>
        <v>70000.56</v>
      </c>
      <c r="AE29" s="114">
        <v>0</v>
      </c>
      <c r="AF29" s="170"/>
      <c r="AG29" s="171" t="s">
        <v>1369</v>
      </c>
      <c r="AH29" s="108">
        <v>45727</v>
      </c>
      <c r="AI29" s="108">
        <v>45782</v>
      </c>
      <c r="AJ29" s="106" t="s">
        <v>571</v>
      </c>
      <c r="AK29" s="128"/>
    </row>
    <row r="30" spans="1:37" ht="34.5" customHeight="1" x14ac:dyDescent="0.25">
      <c r="A30" s="140">
        <v>2025</v>
      </c>
      <c r="B30" s="100">
        <v>3</v>
      </c>
      <c r="C30" s="161">
        <v>22438</v>
      </c>
      <c r="D30" s="162">
        <v>45727</v>
      </c>
      <c r="E30" s="95" t="s">
        <v>645</v>
      </c>
      <c r="F30" s="95" t="s">
        <v>645</v>
      </c>
      <c r="G30" s="95" t="s">
        <v>154</v>
      </c>
      <c r="H30" s="95">
        <v>3226333230</v>
      </c>
      <c r="I30" s="95">
        <v>3226333230</v>
      </c>
      <c r="J30" s="97">
        <v>45737</v>
      </c>
      <c r="K30" s="162" t="s">
        <v>84</v>
      </c>
      <c r="L30" s="163" t="s">
        <v>732</v>
      </c>
      <c r="M30" s="95" t="s">
        <v>136</v>
      </c>
      <c r="N30" s="95">
        <v>5777</v>
      </c>
      <c r="O30" s="95" t="s">
        <v>136</v>
      </c>
      <c r="P30" s="95" t="s">
        <v>136</v>
      </c>
      <c r="Q30" s="95" t="s">
        <v>136</v>
      </c>
      <c r="R30" s="95" t="s">
        <v>134</v>
      </c>
      <c r="S30" s="95" t="s">
        <v>134</v>
      </c>
      <c r="T30" s="95" t="s">
        <v>136</v>
      </c>
      <c r="U30" s="95" t="s">
        <v>136</v>
      </c>
      <c r="V30" s="95" t="s">
        <v>119</v>
      </c>
      <c r="W30" s="97">
        <v>45750</v>
      </c>
      <c r="X30" s="105">
        <v>45841</v>
      </c>
      <c r="Y30" s="164"/>
      <c r="Z30" s="164" t="s">
        <v>85</v>
      </c>
      <c r="AA30" s="118">
        <v>0</v>
      </c>
      <c r="AB30" s="95">
        <v>5709</v>
      </c>
      <c r="AC30" s="103">
        <v>416807</v>
      </c>
      <c r="AD30" s="103">
        <f t="shared" si="2"/>
        <v>496000.32999999996</v>
      </c>
      <c r="AE30" s="103">
        <v>248000</v>
      </c>
      <c r="AF30" s="165"/>
      <c r="AG30" s="339" t="s">
        <v>2099</v>
      </c>
      <c r="AH30" s="97">
        <v>45841</v>
      </c>
      <c r="AI30" s="97">
        <v>45845</v>
      </c>
      <c r="AJ30" s="95" t="s">
        <v>1705</v>
      </c>
      <c r="AK30" s="131"/>
    </row>
    <row r="31" spans="1:37" ht="48" x14ac:dyDescent="0.25">
      <c r="A31" s="147">
        <v>2025</v>
      </c>
      <c r="B31" s="111">
        <v>3</v>
      </c>
      <c r="C31" s="148">
        <v>22439</v>
      </c>
      <c r="D31" s="167">
        <v>45727</v>
      </c>
      <c r="E31" s="106" t="s">
        <v>393</v>
      </c>
      <c r="F31" s="106" t="s">
        <v>696</v>
      </c>
      <c r="G31" s="106" t="s">
        <v>460</v>
      </c>
      <c r="H31" s="106">
        <v>6044482422</v>
      </c>
      <c r="I31" s="106">
        <v>3182855494</v>
      </c>
      <c r="J31" s="108">
        <v>45735</v>
      </c>
      <c r="K31" s="167" t="s">
        <v>88</v>
      </c>
      <c r="L31" s="168" t="s">
        <v>1370</v>
      </c>
      <c r="M31" s="106" t="s">
        <v>568</v>
      </c>
      <c r="N31" s="106" t="s">
        <v>136</v>
      </c>
      <c r="O31" s="106">
        <v>6029</v>
      </c>
      <c r="P31" s="106">
        <v>8624</v>
      </c>
      <c r="Q31" s="106">
        <v>5469</v>
      </c>
      <c r="R31" s="106" t="s">
        <v>136</v>
      </c>
      <c r="S31" s="106" t="s">
        <v>134</v>
      </c>
      <c r="T31" s="106" t="s">
        <v>134</v>
      </c>
      <c r="U31" s="106" t="s">
        <v>134</v>
      </c>
      <c r="V31" s="106" t="s">
        <v>119</v>
      </c>
      <c r="W31" s="108">
        <v>45732</v>
      </c>
      <c r="X31" s="116">
        <v>45736</v>
      </c>
      <c r="Y31" s="169"/>
      <c r="Z31" s="169" t="s">
        <v>85</v>
      </c>
      <c r="AA31" s="190">
        <v>730895</v>
      </c>
      <c r="AB31" s="106">
        <v>5676</v>
      </c>
      <c r="AC31" s="114">
        <v>656215</v>
      </c>
      <c r="AD31" s="114">
        <f t="shared" si="1"/>
        <v>780895.85</v>
      </c>
      <c r="AE31" s="114">
        <v>780896</v>
      </c>
      <c r="AF31" s="170"/>
      <c r="AG31" s="171" t="s">
        <v>1371</v>
      </c>
      <c r="AH31" s="108">
        <v>45723</v>
      </c>
      <c r="AI31" s="108">
        <v>45782</v>
      </c>
      <c r="AJ31" s="106" t="s">
        <v>397</v>
      </c>
      <c r="AK31" s="128"/>
    </row>
    <row r="32" spans="1:37" ht="45" x14ac:dyDescent="0.25">
      <c r="A32" s="147">
        <v>2025</v>
      </c>
      <c r="B32" s="111">
        <v>3</v>
      </c>
      <c r="C32" s="148">
        <v>22440</v>
      </c>
      <c r="D32" s="108">
        <v>45727</v>
      </c>
      <c r="E32" s="111" t="s">
        <v>322</v>
      </c>
      <c r="F32" s="111" t="s">
        <v>569</v>
      </c>
      <c r="G32" s="110" t="s">
        <v>460</v>
      </c>
      <c r="H32" s="110">
        <v>3244771375</v>
      </c>
      <c r="I32" s="110">
        <v>3244771375</v>
      </c>
      <c r="J32" s="108">
        <v>45736</v>
      </c>
      <c r="K32" s="167" t="s">
        <v>88</v>
      </c>
      <c r="L32" s="112" t="s">
        <v>1372</v>
      </c>
      <c r="M32" s="110" t="s">
        <v>281</v>
      </c>
      <c r="N32" s="110" t="s">
        <v>136</v>
      </c>
      <c r="O32" s="110">
        <v>6030</v>
      </c>
      <c r="P32" s="110">
        <v>8438</v>
      </c>
      <c r="Q32" s="110" t="s">
        <v>136</v>
      </c>
      <c r="R32" s="110" t="s">
        <v>134</v>
      </c>
      <c r="S32" s="110" t="s">
        <v>134</v>
      </c>
      <c r="T32" s="110" t="s">
        <v>136</v>
      </c>
      <c r="U32" s="110" t="s">
        <v>136</v>
      </c>
      <c r="V32" s="106" t="s">
        <v>119</v>
      </c>
      <c r="W32" s="108">
        <v>45734</v>
      </c>
      <c r="X32" s="116">
        <v>45769</v>
      </c>
      <c r="Y32" s="110"/>
      <c r="Z32" s="169" t="s">
        <v>85</v>
      </c>
      <c r="AA32" s="114">
        <v>126000</v>
      </c>
      <c r="AB32" s="110">
        <v>5675</v>
      </c>
      <c r="AC32" s="114">
        <v>105882</v>
      </c>
      <c r="AD32" s="114">
        <f t="shared" si="1"/>
        <v>125999.57999999999</v>
      </c>
      <c r="AE32" s="114">
        <v>0</v>
      </c>
      <c r="AF32" s="110"/>
      <c r="AG32" s="142" t="s">
        <v>1373</v>
      </c>
      <c r="AH32" s="108">
        <v>45723</v>
      </c>
      <c r="AI32" s="108">
        <v>45782</v>
      </c>
      <c r="AJ32" s="110" t="s">
        <v>245</v>
      </c>
      <c r="AK32" s="110"/>
    </row>
    <row r="33" spans="1:37" ht="75" x14ac:dyDescent="0.25">
      <c r="A33" s="147">
        <v>2025</v>
      </c>
      <c r="B33" s="111">
        <v>3</v>
      </c>
      <c r="C33" s="148">
        <v>22441</v>
      </c>
      <c r="D33" s="108">
        <v>45727</v>
      </c>
      <c r="E33" s="111" t="s">
        <v>646</v>
      </c>
      <c r="F33" s="111" t="s">
        <v>662</v>
      </c>
      <c r="G33" s="110" t="s">
        <v>663</v>
      </c>
      <c r="H33" s="110">
        <v>3155490669</v>
      </c>
      <c r="I33" s="110">
        <v>3155490669</v>
      </c>
      <c r="J33" s="108">
        <v>45738</v>
      </c>
      <c r="K33" s="167" t="s">
        <v>88</v>
      </c>
      <c r="L33" s="112" t="s">
        <v>1374</v>
      </c>
      <c r="M33" s="110" t="s">
        <v>136</v>
      </c>
      <c r="N33" s="110">
        <v>5778</v>
      </c>
      <c r="O33" s="110">
        <v>6031</v>
      </c>
      <c r="P33" s="110">
        <v>8599</v>
      </c>
      <c r="Q33" s="110">
        <v>5474</v>
      </c>
      <c r="R33" s="110" t="s">
        <v>134</v>
      </c>
      <c r="S33" s="110" t="s">
        <v>134</v>
      </c>
      <c r="T33" s="110" t="s">
        <v>134</v>
      </c>
      <c r="U33" s="110" t="s">
        <v>136</v>
      </c>
      <c r="V33" s="106" t="s">
        <v>119</v>
      </c>
      <c r="W33" s="108">
        <v>45747</v>
      </c>
      <c r="X33" s="116">
        <v>45748</v>
      </c>
      <c r="Y33" s="110"/>
      <c r="Z33" s="169" t="s">
        <v>85</v>
      </c>
      <c r="AA33" s="124">
        <v>0</v>
      </c>
      <c r="AB33" s="110">
        <v>5697</v>
      </c>
      <c r="AC33" s="114">
        <v>1757619</v>
      </c>
      <c r="AD33" s="114">
        <f t="shared" si="1"/>
        <v>2091566.6099999999</v>
      </c>
      <c r="AE33" s="114">
        <v>1045783</v>
      </c>
      <c r="AF33" s="110"/>
      <c r="AG33" s="142" t="s">
        <v>847</v>
      </c>
      <c r="AH33" s="108">
        <v>45745</v>
      </c>
      <c r="AI33" s="108">
        <v>45782</v>
      </c>
      <c r="AJ33" s="110" t="s">
        <v>571</v>
      </c>
      <c r="AK33" s="110"/>
    </row>
    <row r="34" spans="1:37" ht="34.5" customHeight="1" x14ac:dyDescent="0.25">
      <c r="A34" s="147">
        <v>2025</v>
      </c>
      <c r="B34" s="111">
        <v>3</v>
      </c>
      <c r="C34" s="148">
        <v>22442</v>
      </c>
      <c r="D34" s="108">
        <v>45727</v>
      </c>
      <c r="E34" s="111" t="s">
        <v>617</v>
      </c>
      <c r="F34" s="111" t="s">
        <v>618</v>
      </c>
      <c r="G34" s="110" t="s">
        <v>592</v>
      </c>
      <c r="H34" s="110">
        <v>3136276131</v>
      </c>
      <c r="I34" s="110">
        <v>3146208803</v>
      </c>
      <c r="J34" s="108">
        <v>45737</v>
      </c>
      <c r="K34" s="167" t="s">
        <v>88</v>
      </c>
      <c r="L34" s="112" t="s">
        <v>1375</v>
      </c>
      <c r="M34" s="110" t="s">
        <v>136</v>
      </c>
      <c r="N34" s="110">
        <v>5779</v>
      </c>
      <c r="O34" s="110" t="s">
        <v>136</v>
      </c>
      <c r="P34" s="110">
        <v>8601</v>
      </c>
      <c r="Q34" s="110" t="s">
        <v>136</v>
      </c>
      <c r="R34" s="110" t="s">
        <v>136</v>
      </c>
      <c r="S34" s="110" t="s">
        <v>134</v>
      </c>
      <c r="T34" s="110" t="s">
        <v>134</v>
      </c>
      <c r="U34" s="110" t="s">
        <v>134</v>
      </c>
      <c r="V34" s="106" t="s">
        <v>119</v>
      </c>
      <c r="W34" s="108">
        <v>45738</v>
      </c>
      <c r="X34" s="116">
        <v>45738</v>
      </c>
      <c r="Y34" s="110"/>
      <c r="Z34" s="169" t="s">
        <v>85</v>
      </c>
      <c r="AA34" s="130">
        <v>7391850</v>
      </c>
      <c r="AB34" s="110">
        <v>5682</v>
      </c>
      <c r="AC34" s="114">
        <v>6344897</v>
      </c>
      <c r="AD34" s="114">
        <f t="shared" si="1"/>
        <v>7550427.4299999997</v>
      </c>
      <c r="AE34" s="114">
        <v>0</v>
      </c>
      <c r="AF34" s="110"/>
      <c r="AG34" s="142" t="s">
        <v>1373</v>
      </c>
      <c r="AH34" s="108">
        <v>45728</v>
      </c>
      <c r="AI34" s="108">
        <v>45782</v>
      </c>
      <c r="AJ34" s="110" t="s">
        <v>571</v>
      </c>
      <c r="AK34" s="110"/>
    </row>
    <row r="35" spans="1:37" ht="105" x14ac:dyDescent="0.25">
      <c r="A35" s="140">
        <v>2025</v>
      </c>
      <c r="B35" s="100">
        <v>3</v>
      </c>
      <c r="C35" s="161">
        <v>22443</v>
      </c>
      <c r="D35" s="97">
        <v>45728</v>
      </c>
      <c r="E35" s="100" t="s">
        <v>634</v>
      </c>
      <c r="F35" s="100" t="s">
        <v>635</v>
      </c>
      <c r="G35" s="207" t="s">
        <v>148</v>
      </c>
      <c r="H35" s="99">
        <v>3002900115</v>
      </c>
      <c r="I35" s="99">
        <v>3013652706</v>
      </c>
      <c r="J35" s="97">
        <v>45744</v>
      </c>
      <c r="K35" s="162" t="s">
        <v>88</v>
      </c>
      <c r="L35" s="101" t="s">
        <v>664</v>
      </c>
      <c r="M35" s="99" t="s">
        <v>136</v>
      </c>
      <c r="N35" s="100" t="s">
        <v>1376</v>
      </c>
      <c r="O35" s="99" t="s">
        <v>636</v>
      </c>
      <c r="P35" s="99">
        <v>8550</v>
      </c>
      <c r="Q35" s="100" t="s">
        <v>1377</v>
      </c>
      <c r="R35" s="99" t="s">
        <v>136</v>
      </c>
      <c r="S35" s="99" t="s">
        <v>134</v>
      </c>
      <c r="T35" s="99" t="s">
        <v>134</v>
      </c>
      <c r="U35" s="99" t="s">
        <v>134</v>
      </c>
      <c r="V35" s="95" t="s">
        <v>93</v>
      </c>
      <c r="W35" s="97">
        <v>45743</v>
      </c>
      <c r="X35" s="105">
        <v>45745</v>
      </c>
      <c r="Y35" s="99"/>
      <c r="Z35" s="164" t="s">
        <v>85</v>
      </c>
      <c r="AA35" s="122">
        <v>0</v>
      </c>
      <c r="AB35" s="99">
        <v>5629</v>
      </c>
      <c r="AC35" s="103">
        <v>57992792</v>
      </c>
      <c r="AD35" s="103">
        <f t="shared" si="1"/>
        <v>69011422.480000004</v>
      </c>
      <c r="AE35" s="103">
        <v>26950046</v>
      </c>
      <c r="AF35" s="99"/>
      <c r="AG35" s="104" t="s">
        <v>1379</v>
      </c>
      <c r="AH35" s="97">
        <v>45818</v>
      </c>
      <c r="AI35" s="97">
        <v>45826</v>
      </c>
      <c r="AJ35" s="99" t="s">
        <v>1705</v>
      </c>
      <c r="AK35" s="99" t="s">
        <v>861</v>
      </c>
    </row>
    <row r="36" spans="1:37" ht="34.5" customHeight="1" x14ac:dyDescent="0.25">
      <c r="A36" s="147">
        <v>2025</v>
      </c>
      <c r="B36" s="111">
        <v>3</v>
      </c>
      <c r="C36" s="148">
        <v>22444</v>
      </c>
      <c r="D36" s="108">
        <v>45728</v>
      </c>
      <c r="E36" s="111" t="s">
        <v>565</v>
      </c>
      <c r="F36" s="111" t="s">
        <v>606</v>
      </c>
      <c r="G36" s="110" t="s">
        <v>98</v>
      </c>
      <c r="H36" s="110">
        <v>3008843221</v>
      </c>
      <c r="I36" s="110">
        <v>3057475505</v>
      </c>
      <c r="J36" s="108">
        <v>45738</v>
      </c>
      <c r="K36" s="167" t="s">
        <v>88</v>
      </c>
      <c r="L36" s="112" t="s">
        <v>1380</v>
      </c>
      <c r="M36" s="110" t="s">
        <v>136</v>
      </c>
      <c r="N36" s="110">
        <v>5774</v>
      </c>
      <c r="O36" s="110" t="s">
        <v>136</v>
      </c>
      <c r="P36" s="110" t="s">
        <v>136</v>
      </c>
      <c r="Q36" s="110" t="s">
        <v>136</v>
      </c>
      <c r="R36" s="110" t="s">
        <v>136</v>
      </c>
      <c r="S36" s="110" t="s">
        <v>134</v>
      </c>
      <c r="T36" s="110" t="s">
        <v>136</v>
      </c>
      <c r="U36" s="110" t="s">
        <v>136</v>
      </c>
      <c r="V36" s="106" t="s">
        <v>87</v>
      </c>
      <c r="W36" s="108">
        <v>45735</v>
      </c>
      <c r="X36" s="116">
        <v>45772</v>
      </c>
      <c r="Y36" s="110"/>
      <c r="Z36" s="169" t="s">
        <v>85</v>
      </c>
      <c r="AA36" s="124">
        <v>0</v>
      </c>
      <c r="AB36" s="110">
        <v>5673</v>
      </c>
      <c r="AC36" s="114">
        <v>420168</v>
      </c>
      <c r="AD36" s="114">
        <v>500000</v>
      </c>
      <c r="AE36" s="114">
        <v>250000</v>
      </c>
      <c r="AF36" s="110"/>
      <c r="AG36" s="142" t="s">
        <v>1381</v>
      </c>
      <c r="AH36" s="108">
        <v>45737</v>
      </c>
      <c r="AI36" s="108">
        <v>45782</v>
      </c>
      <c r="AJ36" s="110" t="s">
        <v>571</v>
      </c>
      <c r="AK36" s="110"/>
    </row>
    <row r="37" spans="1:37" ht="45" x14ac:dyDescent="0.25">
      <c r="A37" s="147">
        <v>2025</v>
      </c>
      <c r="B37" s="111">
        <v>3</v>
      </c>
      <c r="C37" s="148">
        <v>22445</v>
      </c>
      <c r="D37" s="108">
        <v>45728</v>
      </c>
      <c r="E37" s="111" t="s">
        <v>566</v>
      </c>
      <c r="F37" s="111" t="s">
        <v>607</v>
      </c>
      <c r="G37" s="110" t="s">
        <v>98</v>
      </c>
      <c r="H37" s="110">
        <v>3042037027</v>
      </c>
      <c r="I37" s="110">
        <v>3042037027</v>
      </c>
      <c r="J37" s="108">
        <v>45737</v>
      </c>
      <c r="K37" s="167" t="s">
        <v>84</v>
      </c>
      <c r="L37" s="112" t="s">
        <v>1382</v>
      </c>
      <c r="M37" s="110" t="s">
        <v>136</v>
      </c>
      <c r="N37" s="110">
        <v>5775</v>
      </c>
      <c r="O37" s="110">
        <v>6032</v>
      </c>
      <c r="P37" s="110">
        <v>8416</v>
      </c>
      <c r="Q37" s="110" t="s">
        <v>136</v>
      </c>
      <c r="R37" s="110" t="s">
        <v>134</v>
      </c>
      <c r="S37" s="110" t="s">
        <v>134</v>
      </c>
      <c r="T37" s="110" t="s">
        <v>136</v>
      </c>
      <c r="U37" s="110" t="s">
        <v>136</v>
      </c>
      <c r="V37" s="106" t="s">
        <v>87</v>
      </c>
      <c r="W37" s="108">
        <v>45735</v>
      </c>
      <c r="X37" s="116">
        <v>45735</v>
      </c>
      <c r="Y37" s="110"/>
      <c r="Z37" s="169" t="s">
        <v>85</v>
      </c>
      <c r="AA37" s="124">
        <v>0</v>
      </c>
      <c r="AB37" s="110">
        <v>5668</v>
      </c>
      <c r="AC37" s="114">
        <v>3980737</v>
      </c>
      <c r="AD37" s="114">
        <f t="shared" si="1"/>
        <v>4737077.0299999993</v>
      </c>
      <c r="AE37" s="114">
        <v>2100000</v>
      </c>
      <c r="AF37" s="110"/>
      <c r="AG37" s="142" t="s">
        <v>1383</v>
      </c>
      <c r="AH37" s="108">
        <v>45737</v>
      </c>
      <c r="AI37" s="108">
        <v>45782</v>
      </c>
      <c r="AJ37" s="110" t="s">
        <v>571</v>
      </c>
      <c r="AK37" s="110"/>
    </row>
    <row r="38" spans="1:37" ht="34.5" customHeight="1" x14ac:dyDescent="0.25">
      <c r="A38" s="147">
        <v>2025</v>
      </c>
      <c r="B38" s="111">
        <v>3</v>
      </c>
      <c r="C38" s="148">
        <v>22446</v>
      </c>
      <c r="D38" s="108">
        <v>45728</v>
      </c>
      <c r="E38" s="111" t="s">
        <v>647</v>
      </c>
      <c r="F38" s="111" t="s">
        <v>647</v>
      </c>
      <c r="G38" s="110" t="s">
        <v>154</v>
      </c>
      <c r="H38" s="110">
        <v>3234087255</v>
      </c>
      <c r="I38" s="110">
        <v>3234087255</v>
      </c>
      <c r="J38" s="108">
        <v>45738</v>
      </c>
      <c r="K38" s="167" t="s">
        <v>84</v>
      </c>
      <c r="L38" s="112" t="s">
        <v>1384</v>
      </c>
      <c r="M38" s="110" t="s">
        <v>136</v>
      </c>
      <c r="N38" s="110">
        <v>5789</v>
      </c>
      <c r="O38" s="110" t="s">
        <v>136</v>
      </c>
      <c r="P38" s="110" t="s">
        <v>136</v>
      </c>
      <c r="Q38" s="110" t="s">
        <v>136</v>
      </c>
      <c r="R38" s="110" t="s">
        <v>136</v>
      </c>
      <c r="S38" s="110" t="s">
        <v>136</v>
      </c>
      <c r="T38" s="110" t="s">
        <v>136</v>
      </c>
      <c r="U38" s="110" t="s">
        <v>136</v>
      </c>
      <c r="V38" s="106" t="s">
        <v>119</v>
      </c>
      <c r="W38" s="108">
        <v>45732</v>
      </c>
      <c r="X38" s="116">
        <v>45757</v>
      </c>
      <c r="Y38" s="110"/>
      <c r="Z38" s="169" t="s">
        <v>85</v>
      </c>
      <c r="AA38" s="124">
        <v>0</v>
      </c>
      <c r="AB38" s="110">
        <v>5686</v>
      </c>
      <c r="AC38" s="114">
        <v>100840</v>
      </c>
      <c r="AD38" s="114">
        <f t="shared" si="1"/>
        <v>119999.59999999999</v>
      </c>
      <c r="AE38" s="114">
        <v>0</v>
      </c>
      <c r="AF38" s="110"/>
      <c r="AG38" s="142" t="s">
        <v>834</v>
      </c>
      <c r="AH38" s="108">
        <v>45759</v>
      </c>
      <c r="AI38" s="108">
        <v>45782</v>
      </c>
      <c r="AJ38" s="110" t="s">
        <v>571</v>
      </c>
      <c r="AK38" s="110"/>
    </row>
    <row r="39" spans="1:37" ht="75" x14ac:dyDescent="0.25">
      <c r="A39" s="147">
        <v>2025</v>
      </c>
      <c r="B39" s="111">
        <v>3</v>
      </c>
      <c r="C39" s="148">
        <v>22447</v>
      </c>
      <c r="D39" s="108">
        <v>45733</v>
      </c>
      <c r="E39" s="111" t="s">
        <v>648</v>
      </c>
      <c r="F39" s="111" t="s">
        <v>649</v>
      </c>
      <c r="G39" s="110" t="s">
        <v>154</v>
      </c>
      <c r="H39" s="110">
        <v>3134782410</v>
      </c>
      <c r="I39" s="110">
        <v>3134782410</v>
      </c>
      <c r="J39" s="108">
        <v>45744</v>
      </c>
      <c r="K39" s="167" t="s">
        <v>84</v>
      </c>
      <c r="L39" s="112" t="s">
        <v>1385</v>
      </c>
      <c r="M39" s="110" t="s">
        <v>136</v>
      </c>
      <c r="N39" s="247">
        <v>5794</v>
      </c>
      <c r="O39" s="110">
        <v>6045</v>
      </c>
      <c r="P39" s="110">
        <v>8610</v>
      </c>
      <c r="Q39" s="110">
        <v>5475</v>
      </c>
      <c r="R39" s="110" t="s">
        <v>136</v>
      </c>
      <c r="S39" s="110" t="s">
        <v>134</v>
      </c>
      <c r="T39" s="110" t="s">
        <v>134</v>
      </c>
      <c r="U39" s="110" t="s">
        <v>134</v>
      </c>
      <c r="V39" s="106" t="s">
        <v>119</v>
      </c>
      <c r="W39" s="108">
        <v>45742</v>
      </c>
      <c r="X39" s="116">
        <v>45749</v>
      </c>
      <c r="Y39" s="110"/>
      <c r="Z39" s="169" t="s">
        <v>85</v>
      </c>
      <c r="AA39" s="124">
        <v>0</v>
      </c>
      <c r="AB39" s="110">
        <v>5687</v>
      </c>
      <c r="AC39" s="114">
        <v>406238</v>
      </c>
      <c r="AD39" s="114">
        <f t="shared" si="1"/>
        <v>483423.22</v>
      </c>
      <c r="AE39" s="114">
        <v>250000</v>
      </c>
      <c r="AF39" s="110"/>
      <c r="AG39" s="142" t="s">
        <v>844</v>
      </c>
      <c r="AH39" s="108">
        <v>45743</v>
      </c>
      <c r="AI39" s="108">
        <v>45782</v>
      </c>
      <c r="AJ39" s="110" t="s">
        <v>571</v>
      </c>
      <c r="AK39" s="110"/>
    </row>
    <row r="40" spans="1:37" ht="90" x14ac:dyDescent="0.25">
      <c r="A40" s="147">
        <v>2025</v>
      </c>
      <c r="B40" s="111">
        <v>3</v>
      </c>
      <c r="C40" s="148">
        <v>22448</v>
      </c>
      <c r="D40" s="108">
        <v>45731</v>
      </c>
      <c r="E40" s="111" t="s">
        <v>700</v>
      </c>
      <c r="F40" s="111" t="s">
        <v>417</v>
      </c>
      <c r="G40" s="110" t="s">
        <v>154</v>
      </c>
      <c r="H40" s="110">
        <v>6043223781</v>
      </c>
      <c r="I40" s="110">
        <v>3112919194</v>
      </c>
      <c r="J40" s="108">
        <v>45748</v>
      </c>
      <c r="K40" s="167" t="s">
        <v>84</v>
      </c>
      <c r="L40" s="112" t="s">
        <v>1386</v>
      </c>
      <c r="M40" s="110" t="s">
        <v>136</v>
      </c>
      <c r="N40" s="110">
        <v>5815</v>
      </c>
      <c r="O40" s="110">
        <v>6060</v>
      </c>
      <c r="P40" s="110">
        <v>8674</v>
      </c>
      <c r="Q40" s="110" t="s">
        <v>136</v>
      </c>
      <c r="R40" s="110" t="s">
        <v>136</v>
      </c>
      <c r="S40" s="110" t="s">
        <v>134</v>
      </c>
      <c r="T40" s="110" t="s">
        <v>134</v>
      </c>
      <c r="U40" s="110" t="s">
        <v>136</v>
      </c>
      <c r="V40" s="106" t="s">
        <v>119</v>
      </c>
      <c r="W40" s="108">
        <v>45757</v>
      </c>
      <c r="X40" s="116">
        <v>45761</v>
      </c>
      <c r="Y40" s="110"/>
      <c r="Z40" s="169" t="s">
        <v>85</v>
      </c>
      <c r="AA40" s="124">
        <v>0</v>
      </c>
      <c r="AB40" s="110">
        <v>5733</v>
      </c>
      <c r="AC40" s="114">
        <v>1344538</v>
      </c>
      <c r="AD40" s="114">
        <f t="shared" si="1"/>
        <v>1600000.22</v>
      </c>
      <c r="AE40" s="114">
        <v>700000</v>
      </c>
      <c r="AF40" s="110"/>
      <c r="AG40" s="142" t="s">
        <v>1387</v>
      </c>
      <c r="AH40" s="108">
        <v>45761</v>
      </c>
      <c r="AI40" s="108">
        <v>45782</v>
      </c>
      <c r="AJ40" s="110" t="s">
        <v>571</v>
      </c>
      <c r="AK40" s="110"/>
    </row>
    <row r="41" spans="1:37" ht="60" x14ac:dyDescent="0.25">
      <c r="A41" s="147">
        <v>2025</v>
      </c>
      <c r="B41" s="111">
        <v>3</v>
      </c>
      <c r="C41" s="148">
        <v>22449</v>
      </c>
      <c r="D41" s="108">
        <v>45737</v>
      </c>
      <c r="E41" s="111" t="s">
        <v>600</v>
      </c>
      <c r="F41" s="111" t="s">
        <v>600</v>
      </c>
      <c r="G41" s="111" t="s">
        <v>154</v>
      </c>
      <c r="H41" s="111">
        <v>3157181419</v>
      </c>
      <c r="I41" s="111">
        <v>6042024996</v>
      </c>
      <c r="J41" s="108">
        <v>45749</v>
      </c>
      <c r="K41" s="167" t="s">
        <v>84</v>
      </c>
      <c r="L41" s="112" t="s">
        <v>1388</v>
      </c>
      <c r="M41" s="110" t="s">
        <v>281</v>
      </c>
      <c r="N41" s="110" t="s">
        <v>136</v>
      </c>
      <c r="O41" s="110">
        <v>6065</v>
      </c>
      <c r="P41" s="110">
        <v>8649</v>
      </c>
      <c r="Q41" s="110">
        <v>5456</v>
      </c>
      <c r="R41" s="110" t="s">
        <v>136</v>
      </c>
      <c r="S41" s="110" t="s">
        <v>134</v>
      </c>
      <c r="T41" s="110" t="s">
        <v>134</v>
      </c>
      <c r="U41" s="110" t="s">
        <v>136</v>
      </c>
      <c r="V41" s="106" t="s">
        <v>89</v>
      </c>
      <c r="W41" s="108">
        <v>45750</v>
      </c>
      <c r="X41" s="116">
        <v>45750</v>
      </c>
      <c r="Y41" s="110"/>
      <c r="Z41" s="169" t="s">
        <v>85</v>
      </c>
      <c r="AA41" s="124">
        <v>0</v>
      </c>
      <c r="AB41" s="110">
        <v>5712</v>
      </c>
      <c r="AC41" s="114">
        <v>2989496</v>
      </c>
      <c r="AD41" s="114">
        <f t="shared" si="1"/>
        <v>3557500.2399999998</v>
      </c>
      <c r="AE41" s="114">
        <v>2420000</v>
      </c>
      <c r="AF41" s="110"/>
      <c r="AG41" s="142" t="s">
        <v>826</v>
      </c>
      <c r="AH41" s="108">
        <v>45749</v>
      </c>
      <c r="AI41" s="108">
        <v>45782</v>
      </c>
      <c r="AJ41" s="110" t="s">
        <v>571</v>
      </c>
      <c r="AK41" s="110"/>
    </row>
    <row r="42" spans="1:37" ht="45" x14ac:dyDescent="0.25">
      <c r="A42" s="147">
        <v>2025</v>
      </c>
      <c r="B42" s="111">
        <v>3</v>
      </c>
      <c r="C42" s="148">
        <v>22450</v>
      </c>
      <c r="D42" s="108">
        <v>45728</v>
      </c>
      <c r="E42" s="116" t="s">
        <v>575</v>
      </c>
      <c r="F42" s="116" t="s">
        <v>575</v>
      </c>
      <c r="G42" s="110" t="s">
        <v>154</v>
      </c>
      <c r="H42" s="111">
        <v>3128450443</v>
      </c>
      <c r="I42" s="111">
        <v>3128450443</v>
      </c>
      <c r="J42" s="108">
        <v>45741</v>
      </c>
      <c r="K42" s="167" t="s">
        <v>84</v>
      </c>
      <c r="L42" s="112" t="s">
        <v>1389</v>
      </c>
      <c r="M42" s="110" t="s">
        <v>136</v>
      </c>
      <c r="N42" s="110">
        <v>5792</v>
      </c>
      <c r="O42" s="110">
        <v>6042</v>
      </c>
      <c r="P42" s="110" t="s">
        <v>136</v>
      </c>
      <c r="Q42" s="110" t="s">
        <v>136</v>
      </c>
      <c r="R42" s="110" t="s">
        <v>136</v>
      </c>
      <c r="S42" s="110" t="s">
        <v>136</v>
      </c>
      <c r="T42" s="110" t="s">
        <v>136</v>
      </c>
      <c r="U42" s="110" t="s">
        <v>136</v>
      </c>
      <c r="V42" s="106" t="s">
        <v>89</v>
      </c>
      <c r="W42" s="108">
        <v>45759</v>
      </c>
      <c r="X42" s="116">
        <v>45759</v>
      </c>
      <c r="Y42" s="110"/>
      <c r="Z42" s="169" t="s">
        <v>85</v>
      </c>
      <c r="AA42" s="130">
        <v>1566565</v>
      </c>
      <c r="AB42" s="110">
        <v>5658</v>
      </c>
      <c r="AC42" s="114">
        <v>1316441</v>
      </c>
      <c r="AD42" s="114">
        <f t="shared" si="1"/>
        <v>1566564.79</v>
      </c>
      <c r="AE42" s="114">
        <v>0</v>
      </c>
      <c r="AF42" s="110"/>
      <c r="AG42" s="142" t="s">
        <v>911</v>
      </c>
      <c r="AH42" s="108">
        <v>45744</v>
      </c>
      <c r="AI42" s="108">
        <v>45782</v>
      </c>
      <c r="AJ42" s="110" t="s">
        <v>571</v>
      </c>
      <c r="AK42" s="110"/>
    </row>
    <row r="43" spans="1:37" ht="60" x14ac:dyDescent="0.25">
      <c r="A43" s="147">
        <v>2025</v>
      </c>
      <c r="B43" s="111">
        <v>3</v>
      </c>
      <c r="C43" s="148">
        <v>22451</v>
      </c>
      <c r="D43" s="108">
        <v>45728</v>
      </c>
      <c r="E43" s="111" t="s">
        <v>733</v>
      </c>
      <c r="F43" s="111" t="s">
        <v>733</v>
      </c>
      <c r="G43" s="110" t="s">
        <v>570</v>
      </c>
      <c r="H43" s="110">
        <v>6043232144</v>
      </c>
      <c r="I43" s="110">
        <v>6043232144</v>
      </c>
      <c r="J43" s="108">
        <v>45742</v>
      </c>
      <c r="K43" s="167" t="s">
        <v>88</v>
      </c>
      <c r="L43" s="112" t="s">
        <v>1390</v>
      </c>
      <c r="M43" s="110" t="s">
        <v>136</v>
      </c>
      <c r="N43" s="110">
        <v>5783</v>
      </c>
      <c r="O43" s="110">
        <v>6033</v>
      </c>
      <c r="P43" s="110">
        <v>8645</v>
      </c>
      <c r="Q43" s="110" t="s">
        <v>136</v>
      </c>
      <c r="R43" s="110" t="s">
        <v>134</v>
      </c>
      <c r="S43" s="110" t="s">
        <v>134</v>
      </c>
      <c r="T43" s="110" t="s">
        <v>134</v>
      </c>
      <c r="U43" s="110" t="s">
        <v>136</v>
      </c>
      <c r="V43" s="106" t="s">
        <v>89</v>
      </c>
      <c r="W43" s="108">
        <v>45750</v>
      </c>
      <c r="X43" s="116">
        <v>45751</v>
      </c>
      <c r="Y43" s="110"/>
      <c r="Z43" s="169" t="s">
        <v>85</v>
      </c>
      <c r="AA43" s="124">
        <v>0</v>
      </c>
      <c r="AB43" s="110">
        <v>5708</v>
      </c>
      <c r="AC43" s="114">
        <v>809292</v>
      </c>
      <c r="AD43" s="114">
        <f t="shared" si="1"/>
        <v>963057.48</v>
      </c>
      <c r="AE43" s="114">
        <v>907621</v>
      </c>
      <c r="AF43" s="110"/>
      <c r="AG43" s="142" t="s">
        <v>843</v>
      </c>
      <c r="AH43" s="108">
        <v>45728</v>
      </c>
      <c r="AI43" s="108">
        <v>45782</v>
      </c>
      <c r="AJ43" s="110" t="s">
        <v>571</v>
      </c>
      <c r="AK43" s="110"/>
    </row>
    <row r="44" spans="1:37" ht="105" x14ac:dyDescent="0.25">
      <c r="A44" s="147">
        <v>2025</v>
      </c>
      <c r="B44" s="111">
        <v>3</v>
      </c>
      <c r="C44" s="148">
        <v>22452</v>
      </c>
      <c r="D44" s="108">
        <v>45728</v>
      </c>
      <c r="E44" s="111" t="s">
        <v>627</v>
      </c>
      <c r="F44" s="111" t="s">
        <v>628</v>
      </c>
      <c r="G44" s="110" t="s">
        <v>570</v>
      </c>
      <c r="H44" s="110">
        <v>3142754977</v>
      </c>
      <c r="I44" s="110">
        <v>6610454</v>
      </c>
      <c r="J44" s="108">
        <v>45744</v>
      </c>
      <c r="K44" s="110" t="s">
        <v>99</v>
      </c>
      <c r="L44" s="112" t="s">
        <v>1391</v>
      </c>
      <c r="M44" s="110" t="s">
        <v>136</v>
      </c>
      <c r="N44" s="110">
        <v>5787</v>
      </c>
      <c r="O44" s="110">
        <v>6039</v>
      </c>
      <c r="P44" s="110">
        <v>8402</v>
      </c>
      <c r="Q44" s="110" t="s">
        <v>136</v>
      </c>
      <c r="R44" s="110" t="s">
        <v>136</v>
      </c>
      <c r="S44" s="110" t="s">
        <v>134</v>
      </c>
      <c r="T44" s="110" t="s">
        <v>134</v>
      </c>
      <c r="U44" s="110" t="s">
        <v>134</v>
      </c>
      <c r="V44" s="106" t="s">
        <v>87</v>
      </c>
      <c r="W44" s="108">
        <v>45743</v>
      </c>
      <c r="X44" s="116">
        <v>45744</v>
      </c>
      <c r="Y44" s="110"/>
      <c r="Z44" s="169" t="s">
        <v>85</v>
      </c>
      <c r="AA44" s="124">
        <v>0</v>
      </c>
      <c r="AB44" s="110">
        <v>5391</v>
      </c>
      <c r="AC44" s="114">
        <v>15695361</v>
      </c>
      <c r="AD44" s="114">
        <v>18677479</v>
      </c>
      <c r="AE44" s="114">
        <v>7500000</v>
      </c>
      <c r="AF44" s="110"/>
      <c r="AG44" s="142" t="s">
        <v>1392</v>
      </c>
      <c r="AH44" s="108">
        <v>45744</v>
      </c>
      <c r="AI44" s="108">
        <v>45782</v>
      </c>
      <c r="AJ44" s="110" t="s">
        <v>571</v>
      </c>
      <c r="AK44" s="110"/>
    </row>
    <row r="45" spans="1:37" ht="75" x14ac:dyDescent="0.25">
      <c r="A45" s="147">
        <v>2025</v>
      </c>
      <c r="B45" s="111">
        <v>3</v>
      </c>
      <c r="C45" s="148">
        <v>22453</v>
      </c>
      <c r="D45" s="108">
        <v>45730</v>
      </c>
      <c r="E45" s="111" t="s">
        <v>595</v>
      </c>
      <c r="F45" s="111" t="s">
        <v>596</v>
      </c>
      <c r="G45" s="110" t="s">
        <v>95</v>
      </c>
      <c r="H45" s="110">
        <v>3216220979</v>
      </c>
      <c r="I45" s="110">
        <v>8854740</v>
      </c>
      <c r="J45" s="108">
        <v>45748</v>
      </c>
      <c r="K45" s="167" t="s">
        <v>84</v>
      </c>
      <c r="L45" s="112" t="s">
        <v>1393</v>
      </c>
      <c r="M45" s="110" t="s">
        <v>136</v>
      </c>
      <c r="N45" s="110">
        <v>5802</v>
      </c>
      <c r="O45" s="110">
        <v>6049</v>
      </c>
      <c r="P45" s="110">
        <v>8634</v>
      </c>
      <c r="Q45" s="110">
        <v>5465</v>
      </c>
      <c r="R45" s="110" t="s">
        <v>136</v>
      </c>
      <c r="S45" s="110" t="s">
        <v>134</v>
      </c>
      <c r="T45" s="110" t="s">
        <v>134</v>
      </c>
      <c r="U45" s="110" t="s">
        <v>134</v>
      </c>
      <c r="V45" s="106" t="s">
        <v>119</v>
      </c>
      <c r="W45" s="108">
        <v>45743</v>
      </c>
      <c r="X45" s="116">
        <v>45750</v>
      </c>
      <c r="Y45" s="110"/>
      <c r="Z45" s="169" t="s">
        <v>85</v>
      </c>
      <c r="AA45" s="124">
        <v>0</v>
      </c>
      <c r="AB45" s="110">
        <v>5698</v>
      </c>
      <c r="AC45" s="114">
        <v>3189017</v>
      </c>
      <c r="AD45" s="114">
        <f t="shared" si="1"/>
        <v>3794930.23</v>
      </c>
      <c r="AE45" s="114">
        <v>2000000</v>
      </c>
      <c r="AF45" s="110"/>
      <c r="AG45" s="142" t="s">
        <v>842</v>
      </c>
      <c r="AH45" s="108">
        <v>45747</v>
      </c>
      <c r="AI45" s="108">
        <v>45782</v>
      </c>
      <c r="AJ45" s="110" t="s">
        <v>571</v>
      </c>
      <c r="AK45" s="110"/>
    </row>
    <row r="46" spans="1:37" ht="105" x14ac:dyDescent="0.25">
      <c r="A46" s="147">
        <v>2025</v>
      </c>
      <c r="B46" s="111">
        <v>3</v>
      </c>
      <c r="C46" s="148">
        <v>22454</v>
      </c>
      <c r="D46" s="108">
        <v>45728</v>
      </c>
      <c r="E46" s="111" t="s">
        <v>621</v>
      </c>
      <c r="F46" s="111" t="s">
        <v>622</v>
      </c>
      <c r="G46" s="110" t="s">
        <v>154</v>
      </c>
      <c r="H46" s="110">
        <v>3177477019</v>
      </c>
      <c r="I46" s="110">
        <v>3177477019</v>
      </c>
      <c r="J46" s="108" t="s">
        <v>623</v>
      </c>
      <c r="K46" s="110" t="s">
        <v>99</v>
      </c>
      <c r="L46" s="112" t="s">
        <v>827</v>
      </c>
      <c r="M46" s="110" t="s">
        <v>136</v>
      </c>
      <c r="N46" s="110">
        <v>5780</v>
      </c>
      <c r="O46" s="110">
        <v>6034</v>
      </c>
      <c r="P46" s="110">
        <v>8376</v>
      </c>
      <c r="Q46" s="110">
        <v>5388</v>
      </c>
      <c r="R46" s="110" t="s">
        <v>134</v>
      </c>
      <c r="S46" s="110" t="s">
        <v>134</v>
      </c>
      <c r="T46" s="110" t="s">
        <v>134</v>
      </c>
      <c r="U46" s="110" t="s">
        <v>134</v>
      </c>
      <c r="V46" s="106" t="s">
        <v>89</v>
      </c>
      <c r="W46" s="108">
        <v>45743</v>
      </c>
      <c r="X46" s="116">
        <v>45731</v>
      </c>
      <c r="Y46" s="110"/>
      <c r="Z46" s="169" t="s">
        <v>85</v>
      </c>
      <c r="AA46" s="124">
        <v>0</v>
      </c>
      <c r="AB46" s="110">
        <v>5715</v>
      </c>
      <c r="AC46" s="114">
        <v>3218168</v>
      </c>
      <c r="AD46" s="114">
        <f t="shared" si="1"/>
        <v>3829619.92</v>
      </c>
      <c r="AE46" s="114">
        <v>1915000</v>
      </c>
      <c r="AF46" s="110"/>
      <c r="AG46" s="142" t="s">
        <v>828</v>
      </c>
      <c r="AH46" s="108">
        <v>45751</v>
      </c>
      <c r="AI46" s="108">
        <v>45782</v>
      </c>
      <c r="AJ46" s="110" t="s">
        <v>571</v>
      </c>
      <c r="AK46" s="110"/>
    </row>
    <row r="47" spans="1:37" ht="75" x14ac:dyDescent="0.25">
      <c r="A47" s="147">
        <v>2025</v>
      </c>
      <c r="B47" s="111">
        <v>3</v>
      </c>
      <c r="C47" s="148">
        <v>22455</v>
      </c>
      <c r="D47" s="108">
        <v>45735</v>
      </c>
      <c r="E47" s="111" t="s">
        <v>576</v>
      </c>
      <c r="F47" s="111" t="s">
        <v>577</v>
      </c>
      <c r="G47" s="110" t="s">
        <v>570</v>
      </c>
      <c r="H47" s="110">
        <v>3016361583</v>
      </c>
      <c r="I47" s="110">
        <v>4440801</v>
      </c>
      <c r="J47" s="108">
        <v>45745</v>
      </c>
      <c r="K47" s="167" t="s">
        <v>88</v>
      </c>
      <c r="L47" s="112" t="s">
        <v>1394</v>
      </c>
      <c r="M47" s="110" t="s">
        <v>840</v>
      </c>
      <c r="N47" s="110">
        <v>5781</v>
      </c>
      <c r="O47" s="110">
        <v>6037</v>
      </c>
      <c r="P47" s="110">
        <v>8650</v>
      </c>
      <c r="Q47" s="110">
        <v>5479</v>
      </c>
      <c r="R47" s="110" t="s">
        <v>136</v>
      </c>
      <c r="S47" s="110" t="s">
        <v>134</v>
      </c>
      <c r="T47" s="110" t="s">
        <v>134</v>
      </c>
      <c r="U47" s="110" t="s">
        <v>136</v>
      </c>
      <c r="V47" s="106" t="s">
        <v>87</v>
      </c>
      <c r="W47" s="108">
        <v>45742</v>
      </c>
      <c r="X47" s="116">
        <v>45749</v>
      </c>
      <c r="Y47" s="110"/>
      <c r="Z47" s="169" t="s">
        <v>85</v>
      </c>
      <c r="AA47" s="124">
        <v>0</v>
      </c>
      <c r="AB47" s="110">
        <v>5689</v>
      </c>
      <c r="AC47" s="114">
        <v>1285714</v>
      </c>
      <c r="AD47" s="114">
        <f t="shared" si="1"/>
        <v>1529999.66</v>
      </c>
      <c r="AE47" s="114">
        <v>740000</v>
      </c>
      <c r="AF47" s="110"/>
      <c r="AG47" s="142" t="s">
        <v>841</v>
      </c>
      <c r="AH47" s="108">
        <v>45744</v>
      </c>
      <c r="AI47" s="108">
        <v>45782</v>
      </c>
      <c r="AJ47" s="110" t="s">
        <v>571</v>
      </c>
      <c r="AK47" s="110"/>
    </row>
    <row r="48" spans="1:37" ht="90" x14ac:dyDescent="0.25">
      <c r="A48" s="147">
        <v>2025</v>
      </c>
      <c r="B48" s="111">
        <v>3</v>
      </c>
      <c r="C48" s="148">
        <v>22456</v>
      </c>
      <c r="D48" s="108">
        <v>45729</v>
      </c>
      <c r="E48" s="111" t="s">
        <v>578</v>
      </c>
      <c r="F48" s="111" t="s">
        <v>579</v>
      </c>
      <c r="G48" s="110" t="s">
        <v>154</v>
      </c>
      <c r="H48" s="110">
        <v>3147637923</v>
      </c>
      <c r="I48" s="110">
        <v>6044873087</v>
      </c>
      <c r="J48" s="108">
        <v>45743</v>
      </c>
      <c r="K48" s="110" t="s">
        <v>84</v>
      </c>
      <c r="L48" s="112" t="s">
        <v>1395</v>
      </c>
      <c r="M48" s="110" t="s">
        <v>136</v>
      </c>
      <c r="N48" s="110">
        <v>5785</v>
      </c>
      <c r="O48" s="110">
        <v>6038</v>
      </c>
      <c r="P48" s="110">
        <v>8537</v>
      </c>
      <c r="Q48" s="110">
        <v>5478</v>
      </c>
      <c r="R48" s="110" t="s">
        <v>136</v>
      </c>
      <c r="S48" s="110" t="s">
        <v>134</v>
      </c>
      <c r="T48" s="110" t="s">
        <v>134</v>
      </c>
      <c r="U48" s="110" t="s">
        <v>136</v>
      </c>
      <c r="V48" s="106" t="s">
        <v>89</v>
      </c>
      <c r="W48" s="108">
        <v>45747</v>
      </c>
      <c r="X48" s="116">
        <v>45773</v>
      </c>
      <c r="Y48" s="110"/>
      <c r="Z48" s="169" t="s">
        <v>85</v>
      </c>
      <c r="AA48" s="124">
        <v>0</v>
      </c>
      <c r="AB48" s="110">
        <v>5704</v>
      </c>
      <c r="AC48" s="114">
        <v>3452852</v>
      </c>
      <c r="AD48" s="114">
        <f t="shared" si="1"/>
        <v>4108893.88</v>
      </c>
      <c r="AE48" s="114">
        <v>2054447</v>
      </c>
      <c r="AF48" s="110"/>
      <c r="AG48" s="142" t="s">
        <v>1396</v>
      </c>
      <c r="AH48" s="108">
        <v>45766</v>
      </c>
      <c r="AI48" s="108">
        <v>45782</v>
      </c>
      <c r="AJ48" s="110" t="s">
        <v>571</v>
      </c>
      <c r="AK48" s="110"/>
    </row>
    <row r="49" spans="1:37" s="65" customFormat="1" ht="47.25" customHeight="1" x14ac:dyDescent="0.25">
      <c r="A49" s="147">
        <v>2025</v>
      </c>
      <c r="B49" s="111">
        <v>3</v>
      </c>
      <c r="C49" s="148">
        <v>22457</v>
      </c>
      <c r="D49" s="202">
        <v>45731</v>
      </c>
      <c r="E49" s="111" t="s">
        <v>619</v>
      </c>
      <c r="F49" s="111" t="s">
        <v>620</v>
      </c>
      <c r="G49" s="110" t="s">
        <v>99</v>
      </c>
      <c r="H49" s="110">
        <v>3045306051</v>
      </c>
      <c r="I49" s="110">
        <v>3045306051</v>
      </c>
      <c r="J49" s="108">
        <v>45738</v>
      </c>
      <c r="K49" s="110" t="s">
        <v>99</v>
      </c>
      <c r="L49" s="112" t="s">
        <v>1397</v>
      </c>
      <c r="M49" s="110" t="s">
        <v>136</v>
      </c>
      <c r="N49" s="110" t="s">
        <v>136</v>
      </c>
      <c r="O49" s="110">
        <v>6041</v>
      </c>
      <c r="P49" s="110">
        <v>8566</v>
      </c>
      <c r="Q49" s="110" t="s">
        <v>136</v>
      </c>
      <c r="R49" s="110" t="s">
        <v>136</v>
      </c>
      <c r="S49" s="110" t="s">
        <v>136</v>
      </c>
      <c r="T49" s="110" t="s">
        <v>134</v>
      </c>
      <c r="U49" s="110" t="s">
        <v>134</v>
      </c>
      <c r="V49" s="110" t="s">
        <v>89</v>
      </c>
      <c r="W49" s="108">
        <v>45736</v>
      </c>
      <c r="X49" s="116">
        <v>45741</v>
      </c>
      <c r="Y49" s="110"/>
      <c r="Z49" s="110" t="s">
        <v>85</v>
      </c>
      <c r="AA49" s="124">
        <v>0</v>
      </c>
      <c r="AB49" s="110">
        <v>5652</v>
      </c>
      <c r="AC49" s="130">
        <v>387693</v>
      </c>
      <c r="AD49" s="130">
        <f t="shared" si="1"/>
        <v>461354.67</v>
      </c>
      <c r="AE49" s="124">
        <v>0</v>
      </c>
      <c r="AF49" s="110"/>
      <c r="AG49" s="142" t="s">
        <v>1398</v>
      </c>
      <c r="AH49" s="108">
        <v>45735</v>
      </c>
      <c r="AI49" s="108">
        <v>45782</v>
      </c>
      <c r="AJ49" s="110" t="s">
        <v>571</v>
      </c>
      <c r="AK49" s="110"/>
    </row>
    <row r="50" spans="1:37" ht="75" x14ac:dyDescent="0.25">
      <c r="A50" s="147">
        <v>2025</v>
      </c>
      <c r="B50" s="111">
        <v>3</v>
      </c>
      <c r="C50" s="148">
        <v>22458</v>
      </c>
      <c r="D50" s="108">
        <v>45735</v>
      </c>
      <c r="E50" s="111" t="s">
        <v>524</v>
      </c>
      <c r="F50" s="111" t="s">
        <v>525</v>
      </c>
      <c r="G50" s="110" t="s">
        <v>445</v>
      </c>
      <c r="H50" s="110">
        <v>3165707123</v>
      </c>
      <c r="I50" s="110">
        <v>3165707123</v>
      </c>
      <c r="J50" s="108">
        <v>45748</v>
      </c>
      <c r="K50" s="110" t="s">
        <v>88</v>
      </c>
      <c r="L50" s="112" t="s">
        <v>1399</v>
      </c>
      <c r="M50" s="110" t="s">
        <v>136</v>
      </c>
      <c r="N50" s="110">
        <v>5805</v>
      </c>
      <c r="O50" s="110">
        <v>6054</v>
      </c>
      <c r="P50" s="110" t="s">
        <v>136</v>
      </c>
      <c r="Q50" s="110" t="s">
        <v>136</v>
      </c>
      <c r="R50" s="110" t="s">
        <v>136</v>
      </c>
      <c r="S50" s="110" t="s">
        <v>134</v>
      </c>
      <c r="T50" s="110" t="s">
        <v>134</v>
      </c>
      <c r="U50" s="110" t="s">
        <v>136</v>
      </c>
      <c r="V50" s="106" t="s">
        <v>119</v>
      </c>
      <c r="W50" s="108">
        <v>45747</v>
      </c>
      <c r="X50" s="116">
        <v>45761</v>
      </c>
      <c r="Y50" s="110"/>
      <c r="Z50" s="169" t="s">
        <v>85</v>
      </c>
      <c r="AA50" s="276">
        <v>0</v>
      </c>
      <c r="AB50" s="110" t="s">
        <v>136</v>
      </c>
      <c r="AC50" s="114">
        <v>0</v>
      </c>
      <c r="AD50" s="114">
        <f>+AC50*1.19</f>
        <v>0</v>
      </c>
      <c r="AE50" s="114">
        <v>0</v>
      </c>
      <c r="AF50" s="110"/>
      <c r="AG50" s="142" t="s">
        <v>907</v>
      </c>
      <c r="AH50" s="108" t="s">
        <v>136</v>
      </c>
      <c r="AI50" s="108">
        <v>45782</v>
      </c>
      <c r="AJ50" s="145" t="s">
        <v>571</v>
      </c>
      <c r="AK50" s="110" t="s">
        <v>1400</v>
      </c>
    </row>
    <row r="51" spans="1:37" ht="34.5" customHeight="1" x14ac:dyDescent="0.25">
      <c r="A51" s="147">
        <v>2025</v>
      </c>
      <c r="B51" s="111">
        <v>3</v>
      </c>
      <c r="C51" s="148">
        <v>22459</v>
      </c>
      <c r="D51" s="108">
        <v>45730</v>
      </c>
      <c r="E51" s="116" t="s">
        <v>602</v>
      </c>
      <c r="F51" s="111" t="s">
        <v>603</v>
      </c>
      <c r="G51" s="110" t="s">
        <v>98</v>
      </c>
      <c r="H51" s="110">
        <v>3193396899</v>
      </c>
      <c r="I51" s="110">
        <v>3043644984</v>
      </c>
      <c r="J51" s="108">
        <v>45743</v>
      </c>
      <c r="K51" s="110" t="s">
        <v>88</v>
      </c>
      <c r="L51" s="112" t="s">
        <v>1402</v>
      </c>
      <c r="M51" s="110" t="s">
        <v>136</v>
      </c>
      <c r="N51" s="110">
        <v>5797</v>
      </c>
      <c r="O51" s="110">
        <v>6047</v>
      </c>
      <c r="P51" s="110" t="s">
        <v>136</v>
      </c>
      <c r="Q51" s="110" t="s">
        <v>136</v>
      </c>
      <c r="R51" s="110" t="s">
        <v>134</v>
      </c>
      <c r="S51" s="110" t="s">
        <v>134</v>
      </c>
      <c r="T51" s="110" t="s">
        <v>134</v>
      </c>
      <c r="U51" s="110" t="s">
        <v>134</v>
      </c>
      <c r="V51" s="106" t="s">
        <v>119</v>
      </c>
      <c r="W51" s="108">
        <v>45773</v>
      </c>
      <c r="X51" s="116">
        <v>45751</v>
      </c>
      <c r="Y51" s="110"/>
      <c r="Z51" s="169" t="s">
        <v>85</v>
      </c>
      <c r="AA51" s="124">
        <v>0</v>
      </c>
      <c r="AB51" s="110">
        <v>5674</v>
      </c>
      <c r="AC51" s="114">
        <v>378151</v>
      </c>
      <c r="AD51" s="114">
        <f t="shared" si="1"/>
        <v>449999.69</v>
      </c>
      <c r="AE51" s="114">
        <v>225000</v>
      </c>
      <c r="AF51" s="110"/>
      <c r="AG51" s="142" t="s">
        <v>746</v>
      </c>
      <c r="AH51" s="108">
        <v>45748</v>
      </c>
      <c r="AI51" s="108">
        <v>45782</v>
      </c>
      <c r="AJ51" s="110" t="s">
        <v>571</v>
      </c>
      <c r="AK51" s="110"/>
    </row>
    <row r="52" spans="1:37" ht="45" x14ac:dyDescent="0.25">
      <c r="A52" s="140">
        <v>2025</v>
      </c>
      <c r="B52" s="100">
        <v>3</v>
      </c>
      <c r="C52" s="161">
        <v>22460</v>
      </c>
      <c r="D52" s="97">
        <v>45730</v>
      </c>
      <c r="E52" s="100" t="s">
        <v>650</v>
      </c>
      <c r="F52" s="100" t="s">
        <v>166</v>
      </c>
      <c r="G52" s="99" t="s">
        <v>98</v>
      </c>
      <c r="H52" s="99">
        <v>3206496321</v>
      </c>
      <c r="I52" s="99">
        <v>3145658845</v>
      </c>
      <c r="J52" s="97">
        <v>45743</v>
      </c>
      <c r="K52" s="99" t="s">
        <v>88</v>
      </c>
      <c r="L52" s="101" t="s">
        <v>1401</v>
      </c>
      <c r="M52" s="99" t="s">
        <v>136</v>
      </c>
      <c r="N52" s="99">
        <v>5796</v>
      </c>
      <c r="O52" s="99">
        <v>6046</v>
      </c>
      <c r="P52" s="99" t="s">
        <v>136</v>
      </c>
      <c r="Q52" s="99" t="s">
        <v>136</v>
      </c>
      <c r="R52" s="99" t="s">
        <v>134</v>
      </c>
      <c r="S52" s="99" t="s">
        <v>134</v>
      </c>
      <c r="T52" s="99" t="s">
        <v>134</v>
      </c>
      <c r="U52" s="99" t="s">
        <v>134</v>
      </c>
      <c r="V52" s="95" t="s">
        <v>119</v>
      </c>
      <c r="W52" s="97">
        <v>45743</v>
      </c>
      <c r="X52" s="105"/>
      <c r="Y52" s="99"/>
      <c r="Z52" s="164" t="s">
        <v>97</v>
      </c>
      <c r="AA52" s="122">
        <v>0</v>
      </c>
      <c r="AB52" s="99">
        <v>5699</v>
      </c>
      <c r="AC52" s="103">
        <v>268908</v>
      </c>
      <c r="AD52" s="103">
        <f t="shared" si="1"/>
        <v>320000.51999999996</v>
      </c>
      <c r="AE52" s="103">
        <v>160000</v>
      </c>
      <c r="AF52" s="99"/>
      <c r="AG52" s="104"/>
      <c r="AH52" s="97"/>
      <c r="AI52" s="97">
        <v>45782</v>
      </c>
      <c r="AJ52" s="205" t="s">
        <v>571</v>
      </c>
      <c r="AK52" s="99"/>
    </row>
    <row r="53" spans="1:37" ht="60" x14ac:dyDescent="0.25">
      <c r="A53" s="283">
        <v>2025</v>
      </c>
      <c r="B53" s="284">
        <v>3</v>
      </c>
      <c r="C53" s="285">
        <v>22461</v>
      </c>
      <c r="D53" s="286">
        <v>45774</v>
      </c>
      <c r="E53" s="284" t="s">
        <v>862</v>
      </c>
      <c r="F53" s="284" t="s">
        <v>863</v>
      </c>
      <c r="G53" s="287" t="s">
        <v>98</v>
      </c>
      <c r="H53" s="287">
        <v>3165619977</v>
      </c>
      <c r="I53" s="284" t="s">
        <v>864</v>
      </c>
      <c r="J53" s="286">
        <v>45755</v>
      </c>
      <c r="K53" s="287" t="s">
        <v>88</v>
      </c>
      <c r="L53" s="344" t="s">
        <v>865</v>
      </c>
      <c r="M53" s="287" t="s">
        <v>136</v>
      </c>
      <c r="N53" s="287" t="s">
        <v>136</v>
      </c>
      <c r="O53" s="287">
        <v>6078</v>
      </c>
      <c r="P53" s="287">
        <v>8535</v>
      </c>
      <c r="Q53" s="287">
        <v>5396</v>
      </c>
      <c r="R53" s="287" t="s">
        <v>136</v>
      </c>
      <c r="S53" s="287" t="s">
        <v>134</v>
      </c>
      <c r="T53" s="287" t="s">
        <v>134</v>
      </c>
      <c r="U53" s="287" t="s">
        <v>136</v>
      </c>
      <c r="V53" s="284" t="s">
        <v>119</v>
      </c>
      <c r="W53" s="286">
        <v>45775</v>
      </c>
      <c r="X53" s="338">
        <v>45775</v>
      </c>
      <c r="Y53" s="287"/>
      <c r="Z53" s="288" t="s">
        <v>97</v>
      </c>
      <c r="AA53" s="289">
        <v>0</v>
      </c>
      <c r="AB53" s="287">
        <v>5794</v>
      </c>
      <c r="AC53" s="290">
        <v>3307292</v>
      </c>
      <c r="AD53" s="291">
        <f t="shared" si="1"/>
        <v>3935677.48</v>
      </c>
      <c r="AE53" s="290">
        <v>2000000</v>
      </c>
      <c r="AF53" s="287"/>
      <c r="AG53" s="340" t="s">
        <v>1024</v>
      </c>
      <c r="AH53" s="286"/>
      <c r="AI53" s="286">
        <v>45782</v>
      </c>
      <c r="AJ53" s="287" t="s">
        <v>571</v>
      </c>
      <c r="AK53" s="287"/>
    </row>
    <row r="54" spans="1:37" ht="90" x14ac:dyDescent="0.25">
      <c r="A54" s="147">
        <v>2025</v>
      </c>
      <c r="B54" s="111">
        <v>3</v>
      </c>
      <c r="C54" s="148">
        <v>22462</v>
      </c>
      <c r="D54" s="108">
        <v>45731</v>
      </c>
      <c r="E54" s="111" t="s">
        <v>665</v>
      </c>
      <c r="F54" s="111" t="s">
        <v>633</v>
      </c>
      <c r="G54" s="110" t="s">
        <v>570</v>
      </c>
      <c r="H54" s="110">
        <v>3043397701</v>
      </c>
      <c r="I54" s="110">
        <v>3217282022</v>
      </c>
      <c r="J54" s="108">
        <v>45745</v>
      </c>
      <c r="K54" s="110" t="s">
        <v>88</v>
      </c>
      <c r="L54" s="112" t="s">
        <v>1403</v>
      </c>
      <c r="M54" s="110" t="s">
        <v>136</v>
      </c>
      <c r="N54" s="110">
        <v>5798</v>
      </c>
      <c r="O54" s="110">
        <v>6048</v>
      </c>
      <c r="P54" s="110">
        <v>8572</v>
      </c>
      <c r="Q54" s="110" t="s">
        <v>136</v>
      </c>
      <c r="R54" s="110" t="s">
        <v>134</v>
      </c>
      <c r="S54" s="110" t="s">
        <v>134</v>
      </c>
      <c r="T54" s="110" t="s">
        <v>134</v>
      </c>
      <c r="U54" s="110" t="s">
        <v>134</v>
      </c>
      <c r="V54" s="106" t="s">
        <v>119</v>
      </c>
      <c r="W54" s="108">
        <v>45743</v>
      </c>
      <c r="X54" s="116">
        <v>45745</v>
      </c>
      <c r="Y54" s="110"/>
      <c r="Z54" s="169" t="s">
        <v>85</v>
      </c>
      <c r="AA54" s="124">
        <v>0</v>
      </c>
      <c r="AB54" s="110">
        <v>5690</v>
      </c>
      <c r="AC54" s="114">
        <v>3290266</v>
      </c>
      <c r="AD54" s="114">
        <f t="shared" si="1"/>
        <v>3915416.54</v>
      </c>
      <c r="AE54" s="114">
        <v>1950000</v>
      </c>
      <c r="AF54" s="110"/>
      <c r="AG54" s="142" t="s">
        <v>745</v>
      </c>
      <c r="AH54" s="108">
        <v>45744</v>
      </c>
      <c r="AI54" s="108">
        <v>45782</v>
      </c>
      <c r="AJ54" s="145" t="s">
        <v>571</v>
      </c>
      <c r="AK54" s="110"/>
    </row>
    <row r="55" spans="1:37" ht="34.5" customHeight="1" x14ac:dyDescent="0.25">
      <c r="A55" s="140">
        <v>2025</v>
      </c>
      <c r="B55" s="100">
        <v>3</v>
      </c>
      <c r="C55" s="161">
        <v>22463</v>
      </c>
      <c r="D55" s="97">
        <v>45733</v>
      </c>
      <c r="E55" s="100" t="s">
        <v>651</v>
      </c>
      <c r="F55" s="100" t="s">
        <v>651</v>
      </c>
      <c r="G55" s="99" t="s">
        <v>587</v>
      </c>
      <c r="H55" s="99">
        <v>314886</v>
      </c>
      <c r="I55" s="99">
        <v>314886</v>
      </c>
      <c r="J55" s="97">
        <v>45733</v>
      </c>
      <c r="K55" s="99" t="s">
        <v>88</v>
      </c>
      <c r="L55" s="101" t="s">
        <v>1404</v>
      </c>
      <c r="M55" s="99" t="s">
        <v>136</v>
      </c>
      <c r="N55" s="99" t="s">
        <v>136</v>
      </c>
      <c r="O55" s="99">
        <v>6043</v>
      </c>
      <c r="P55" s="99" t="s">
        <v>136</v>
      </c>
      <c r="Q55" s="99" t="s">
        <v>136</v>
      </c>
      <c r="R55" s="99" t="s">
        <v>136</v>
      </c>
      <c r="S55" s="99" t="s">
        <v>136</v>
      </c>
      <c r="T55" s="99" t="s">
        <v>136</v>
      </c>
      <c r="U55" s="99" t="s">
        <v>136</v>
      </c>
      <c r="V55" s="95" t="s">
        <v>89</v>
      </c>
      <c r="W55" s="97">
        <v>45735</v>
      </c>
      <c r="X55" s="105"/>
      <c r="Y55" s="99"/>
      <c r="Z55" s="164" t="s">
        <v>85</v>
      </c>
      <c r="AA55" s="122">
        <v>0</v>
      </c>
      <c r="AB55" s="99">
        <v>5653</v>
      </c>
      <c r="AC55" s="103">
        <v>371428</v>
      </c>
      <c r="AD55" s="103">
        <f t="shared" si="1"/>
        <v>441999.32</v>
      </c>
      <c r="AE55" s="103">
        <v>0</v>
      </c>
      <c r="AF55" s="99"/>
      <c r="AG55" s="341"/>
      <c r="AH55" s="97">
        <v>45814</v>
      </c>
      <c r="AI55" s="97">
        <v>45817</v>
      </c>
      <c r="AJ55" s="205" t="s">
        <v>1705</v>
      </c>
      <c r="AK55" s="99"/>
    </row>
    <row r="56" spans="1:37" ht="60" x14ac:dyDescent="0.25">
      <c r="A56" s="147">
        <v>2025</v>
      </c>
      <c r="B56" s="111">
        <v>3</v>
      </c>
      <c r="C56" s="148">
        <v>22464</v>
      </c>
      <c r="D56" s="108">
        <v>45734</v>
      </c>
      <c r="E56" s="111" t="s">
        <v>652</v>
      </c>
      <c r="F56" s="111" t="s">
        <v>465</v>
      </c>
      <c r="G56" s="110" t="s">
        <v>460</v>
      </c>
      <c r="H56" s="110">
        <v>604406508</v>
      </c>
      <c r="I56" s="110">
        <v>604406508</v>
      </c>
      <c r="J56" s="108">
        <v>45745</v>
      </c>
      <c r="K56" s="110" t="s">
        <v>88</v>
      </c>
      <c r="L56" s="112" t="s">
        <v>1405</v>
      </c>
      <c r="M56" s="110" t="s">
        <v>136</v>
      </c>
      <c r="N56" s="110">
        <v>5803</v>
      </c>
      <c r="O56" s="110">
        <v>6051</v>
      </c>
      <c r="P56" s="110">
        <v>8621</v>
      </c>
      <c r="Q56" s="110">
        <v>5467</v>
      </c>
      <c r="R56" s="110" t="s">
        <v>134</v>
      </c>
      <c r="S56" s="110" t="s">
        <v>134</v>
      </c>
      <c r="T56" s="110" t="s">
        <v>134</v>
      </c>
      <c r="U56" s="110" t="s">
        <v>134</v>
      </c>
      <c r="V56" s="106" t="s">
        <v>89</v>
      </c>
      <c r="W56" s="108">
        <v>45747</v>
      </c>
      <c r="X56" s="116">
        <v>45747</v>
      </c>
      <c r="Y56" s="99"/>
      <c r="Z56" s="169" t="s">
        <v>85</v>
      </c>
      <c r="AA56" s="130">
        <v>998265</v>
      </c>
      <c r="AB56" s="110">
        <v>5665</v>
      </c>
      <c r="AC56" s="114">
        <v>838878</v>
      </c>
      <c r="AD56" s="114">
        <f t="shared" si="1"/>
        <v>998264.82</v>
      </c>
      <c r="AE56" s="114">
        <v>0</v>
      </c>
      <c r="AF56" s="99"/>
      <c r="AG56" s="142" t="s">
        <v>1406</v>
      </c>
      <c r="AH56" s="108">
        <v>45736</v>
      </c>
      <c r="AI56" s="108">
        <v>45782</v>
      </c>
      <c r="AJ56" s="110" t="s">
        <v>571</v>
      </c>
      <c r="AK56" s="110"/>
    </row>
    <row r="57" spans="1:37" ht="34.5" customHeight="1" x14ac:dyDescent="0.25">
      <c r="A57" s="140">
        <v>2025</v>
      </c>
      <c r="B57" s="100">
        <v>3</v>
      </c>
      <c r="C57" s="161">
        <v>22465</v>
      </c>
      <c r="D57" s="97">
        <v>45734</v>
      </c>
      <c r="E57" s="100" t="s">
        <v>504</v>
      </c>
      <c r="F57" s="100" t="s">
        <v>580</v>
      </c>
      <c r="G57" s="99" t="s">
        <v>460</v>
      </c>
      <c r="H57" s="99">
        <v>3022804574</v>
      </c>
      <c r="I57" s="99">
        <v>6043315252</v>
      </c>
      <c r="J57" s="97">
        <v>45738</v>
      </c>
      <c r="K57" s="99" t="s">
        <v>88</v>
      </c>
      <c r="L57" s="101" t="s">
        <v>1409</v>
      </c>
      <c r="M57" s="99" t="s">
        <v>281</v>
      </c>
      <c r="N57" s="99" t="s">
        <v>136</v>
      </c>
      <c r="O57" s="99" t="s">
        <v>136</v>
      </c>
      <c r="P57" s="99">
        <v>8693</v>
      </c>
      <c r="Q57" s="99" t="s">
        <v>136</v>
      </c>
      <c r="R57" s="99" t="s">
        <v>136</v>
      </c>
      <c r="S57" s="99" t="s">
        <v>134</v>
      </c>
      <c r="T57" s="99" t="s">
        <v>134</v>
      </c>
      <c r="U57" s="99" t="s">
        <v>136</v>
      </c>
      <c r="V57" s="95" t="s">
        <v>87</v>
      </c>
      <c r="W57" s="97">
        <v>45738</v>
      </c>
      <c r="X57" s="105">
        <v>45742</v>
      </c>
      <c r="Y57" s="99"/>
      <c r="Z57" s="164" t="s">
        <v>97</v>
      </c>
      <c r="AA57" s="122">
        <v>0</v>
      </c>
      <c r="AB57" s="99">
        <v>5683</v>
      </c>
      <c r="AC57" s="103">
        <v>196236</v>
      </c>
      <c r="AD57" s="103">
        <f t="shared" si="1"/>
        <v>233520.84</v>
      </c>
      <c r="AE57" s="103">
        <v>0</v>
      </c>
      <c r="AF57" s="99"/>
      <c r="AG57" s="341" t="s">
        <v>1407</v>
      </c>
      <c r="AH57" s="97"/>
      <c r="AI57" s="97">
        <v>45782</v>
      </c>
      <c r="AJ57" s="99" t="s">
        <v>571</v>
      </c>
      <c r="AK57" s="99"/>
    </row>
    <row r="58" spans="1:37" ht="60" x14ac:dyDescent="0.25">
      <c r="A58" s="147">
        <v>2025</v>
      </c>
      <c r="B58" s="111">
        <v>3</v>
      </c>
      <c r="C58" s="148">
        <v>22466</v>
      </c>
      <c r="D58" s="108">
        <v>45734</v>
      </c>
      <c r="E58" s="111" t="s">
        <v>631</v>
      </c>
      <c r="F58" s="111" t="s">
        <v>632</v>
      </c>
      <c r="G58" s="110" t="s">
        <v>545</v>
      </c>
      <c r="H58" s="110">
        <v>3153406315</v>
      </c>
      <c r="I58" s="110">
        <v>3153406315</v>
      </c>
      <c r="J58" s="108">
        <v>45743</v>
      </c>
      <c r="K58" s="110" t="s">
        <v>88</v>
      </c>
      <c r="L58" s="112" t="s">
        <v>1408</v>
      </c>
      <c r="M58" s="110" t="s">
        <v>136</v>
      </c>
      <c r="N58" s="110">
        <v>5799</v>
      </c>
      <c r="O58" s="110">
        <v>6050</v>
      </c>
      <c r="P58" s="110">
        <v>8691</v>
      </c>
      <c r="Q58" s="110" t="s">
        <v>136</v>
      </c>
      <c r="R58" s="110" t="s">
        <v>136</v>
      </c>
      <c r="S58" s="110" t="s">
        <v>134</v>
      </c>
      <c r="T58" s="110" t="s">
        <v>134</v>
      </c>
      <c r="U58" s="110" t="s">
        <v>134</v>
      </c>
      <c r="V58" s="106" t="s">
        <v>89</v>
      </c>
      <c r="W58" s="108">
        <v>45743</v>
      </c>
      <c r="X58" s="116">
        <v>45748</v>
      </c>
      <c r="Y58" s="110"/>
      <c r="Z58" s="169" t="s">
        <v>85</v>
      </c>
      <c r="AA58" s="124">
        <v>0</v>
      </c>
      <c r="AB58" s="110">
        <v>5716</v>
      </c>
      <c r="AC58" s="114">
        <v>2397119</v>
      </c>
      <c r="AD58" s="114">
        <f t="shared" si="1"/>
        <v>2852571.61</v>
      </c>
      <c r="AE58" s="114">
        <v>1450000</v>
      </c>
      <c r="AF58" s="110"/>
      <c r="AG58" s="142" t="s">
        <v>829</v>
      </c>
      <c r="AH58" s="108">
        <v>45772</v>
      </c>
      <c r="AI58" s="108">
        <v>45782</v>
      </c>
      <c r="AJ58" s="110" t="s">
        <v>571</v>
      </c>
      <c r="AK58" s="110"/>
    </row>
    <row r="59" spans="1:37" ht="96" customHeight="1" x14ac:dyDescent="0.25">
      <c r="A59" s="147">
        <v>2025</v>
      </c>
      <c r="B59" s="111">
        <v>3</v>
      </c>
      <c r="C59" s="148">
        <v>22467</v>
      </c>
      <c r="D59" s="108">
        <v>45734</v>
      </c>
      <c r="E59" s="111" t="s">
        <v>755</v>
      </c>
      <c r="F59" s="111" t="s">
        <v>755</v>
      </c>
      <c r="G59" s="110" t="s">
        <v>409</v>
      </c>
      <c r="H59" s="110">
        <v>3122952885</v>
      </c>
      <c r="I59" s="110">
        <v>3122952885</v>
      </c>
      <c r="J59" s="108">
        <v>45756</v>
      </c>
      <c r="K59" s="110" t="s">
        <v>84</v>
      </c>
      <c r="L59" s="112" t="s">
        <v>689</v>
      </c>
      <c r="M59" s="110" t="s">
        <v>281</v>
      </c>
      <c r="N59" s="110">
        <v>5817</v>
      </c>
      <c r="O59" s="110">
        <v>6073</v>
      </c>
      <c r="P59" s="110">
        <v>8561</v>
      </c>
      <c r="Q59" s="110" t="s">
        <v>136</v>
      </c>
      <c r="R59" s="110" t="s">
        <v>134</v>
      </c>
      <c r="S59" s="110" t="s">
        <v>134</v>
      </c>
      <c r="T59" s="110" t="s">
        <v>134</v>
      </c>
      <c r="U59" s="110" t="s">
        <v>136</v>
      </c>
      <c r="V59" s="106" t="s">
        <v>87</v>
      </c>
      <c r="W59" s="108">
        <v>45759</v>
      </c>
      <c r="X59" s="116">
        <v>45771</v>
      </c>
      <c r="Y59" s="110"/>
      <c r="Z59" s="169" t="s">
        <v>85</v>
      </c>
      <c r="AA59" s="124">
        <v>0</v>
      </c>
      <c r="AB59" s="110">
        <v>5743</v>
      </c>
      <c r="AC59" s="114">
        <v>2038744</v>
      </c>
      <c r="AD59" s="114">
        <f t="shared" si="1"/>
        <v>2426105.36</v>
      </c>
      <c r="AE59" s="114">
        <v>955500</v>
      </c>
      <c r="AF59" s="110"/>
      <c r="AG59" s="142" t="s">
        <v>1016</v>
      </c>
      <c r="AH59" s="108">
        <v>45773</v>
      </c>
      <c r="AI59" s="108">
        <v>45782</v>
      </c>
      <c r="AJ59" s="202" t="s">
        <v>571</v>
      </c>
      <c r="AK59" s="110"/>
    </row>
    <row r="60" spans="1:37" ht="34.5" customHeight="1" x14ac:dyDescent="0.25">
      <c r="A60" s="147">
        <v>2025</v>
      </c>
      <c r="B60" s="111">
        <v>3</v>
      </c>
      <c r="C60" s="148">
        <v>22468</v>
      </c>
      <c r="D60" s="108">
        <v>45734</v>
      </c>
      <c r="E60" s="111" t="s">
        <v>581</v>
      </c>
      <c r="F60" s="111" t="s">
        <v>601</v>
      </c>
      <c r="G60" s="110" t="s">
        <v>445</v>
      </c>
      <c r="H60" s="110">
        <v>3168350909</v>
      </c>
      <c r="I60" s="110">
        <v>6048508455</v>
      </c>
      <c r="J60" s="108">
        <v>45738</v>
      </c>
      <c r="K60" s="110" t="s">
        <v>88</v>
      </c>
      <c r="L60" s="112" t="s">
        <v>1410</v>
      </c>
      <c r="M60" s="110" t="s">
        <v>136</v>
      </c>
      <c r="N60" s="110" t="s">
        <v>136</v>
      </c>
      <c r="O60" s="110">
        <v>6052</v>
      </c>
      <c r="P60" s="110">
        <v>7868</v>
      </c>
      <c r="Q60" s="110" t="s">
        <v>136</v>
      </c>
      <c r="R60" s="110" t="s">
        <v>134</v>
      </c>
      <c r="S60" s="110" t="s">
        <v>136</v>
      </c>
      <c r="T60" s="110" t="s">
        <v>170</v>
      </c>
      <c r="U60" s="110" t="s">
        <v>136</v>
      </c>
      <c r="V60" s="106" t="s">
        <v>89</v>
      </c>
      <c r="W60" s="108">
        <v>45736</v>
      </c>
      <c r="X60" s="116">
        <v>45747</v>
      </c>
      <c r="Y60" s="110"/>
      <c r="Z60" s="169" t="s">
        <v>85</v>
      </c>
      <c r="AA60" s="124">
        <v>0</v>
      </c>
      <c r="AB60" s="110">
        <v>5670</v>
      </c>
      <c r="AC60" s="114">
        <v>268813</v>
      </c>
      <c r="AD60" s="114">
        <f t="shared" si="1"/>
        <v>319887.46999999997</v>
      </c>
      <c r="AE60" s="114">
        <v>159943</v>
      </c>
      <c r="AF60" s="110"/>
      <c r="AG60" s="142" t="s">
        <v>1411</v>
      </c>
      <c r="AH60" s="108">
        <v>45738</v>
      </c>
      <c r="AI60" s="108">
        <v>45782</v>
      </c>
      <c r="AJ60" s="110" t="s">
        <v>571</v>
      </c>
      <c r="AK60" s="110"/>
    </row>
    <row r="61" spans="1:37" ht="60" x14ac:dyDescent="0.25">
      <c r="A61" s="147">
        <v>2025</v>
      </c>
      <c r="B61" s="111">
        <v>3</v>
      </c>
      <c r="C61" s="148">
        <v>22469</v>
      </c>
      <c r="D61" s="108">
        <v>45734</v>
      </c>
      <c r="E61" s="111" t="s">
        <v>597</v>
      </c>
      <c r="F61" s="111" t="s">
        <v>598</v>
      </c>
      <c r="G61" s="110" t="s">
        <v>98</v>
      </c>
      <c r="H61" s="110">
        <v>3108221586</v>
      </c>
      <c r="I61" s="110">
        <v>3042052713</v>
      </c>
      <c r="J61" s="108">
        <v>45748</v>
      </c>
      <c r="K61" s="110" t="s">
        <v>88</v>
      </c>
      <c r="L61" s="112" t="s">
        <v>1412</v>
      </c>
      <c r="M61" s="110" t="s">
        <v>136</v>
      </c>
      <c r="N61" s="110">
        <v>5800</v>
      </c>
      <c r="O61" s="110">
        <v>6053</v>
      </c>
      <c r="P61" s="110">
        <v>2521</v>
      </c>
      <c r="Q61" s="110" t="s">
        <v>136</v>
      </c>
      <c r="R61" s="110" t="s">
        <v>134</v>
      </c>
      <c r="S61" s="110" t="s">
        <v>134</v>
      </c>
      <c r="T61" s="110" t="s">
        <v>134</v>
      </c>
      <c r="U61" s="110" t="s">
        <v>134</v>
      </c>
      <c r="V61" s="106" t="s">
        <v>119</v>
      </c>
      <c r="W61" s="108">
        <v>45747</v>
      </c>
      <c r="X61" s="116">
        <v>45755</v>
      </c>
      <c r="Y61" s="110"/>
      <c r="Z61" s="169" t="s">
        <v>85</v>
      </c>
      <c r="AA61" s="124">
        <v>0</v>
      </c>
      <c r="AB61" s="110">
        <v>5705</v>
      </c>
      <c r="AC61" s="114">
        <v>858037</v>
      </c>
      <c r="AD61" s="114">
        <f t="shared" si="1"/>
        <v>1021064.0299999999</v>
      </c>
      <c r="AE61" s="114">
        <v>520000</v>
      </c>
      <c r="AF61" s="110"/>
      <c r="AG61" s="142" t="s">
        <v>846</v>
      </c>
      <c r="AH61" s="108">
        <v>45751</v>
      </c>
      <c r="AI61" s="108">
        <v>45782</v>
      </c>
      <c r="AJ61" s="110" t="s">
        <v>571</v>
      </c>
      <c r="AK61" s="110"/>
    </row>
    <row r="62" spans="1:37" ht="45" x14ac:dyDescent="0.25">
      <c r="A62" s="147">
        <v>2025</v>
      </c>
      <c r="B62" s="111">
        <v>3</v>
      </c>
      <c r="C62" s="148">
        <v>22470</v>
      </c>
      <c r="D62" s="108">
        <v>38429</v>
      </c>
      <c r="E62" s="111" t="s">
        <v>589</v>
      </c>
      <c r="F62" s="111" t="s">
        <v>590</v>
      </c>
      <c r="G62" s="110" t="s">
        <v>98</v>
      </c>
      <c r="H62" s="110">
        <v>3166919861</v>
      </c>
      <c r="I62" s="111">
        <v>6044481715</v>
      </c>
      <c r="J62" s="108">
        <v>45743</v>
      </c>
      <c r="K62" s="110" t="s">
        <v>88</v>
      </c>
      <c r="L62" s="112" t="s">
        <v>1413</v>
      </c>
      <c r="M62" s="110" t="s">
        <v>136</v>
      </c>
      <c r="N62" s="110">
        <v>5801</v>
      </c>
      <c r="O62" s="110" t="s">
        <v>136</v>
      </c>
      <c r="P62" s="110">
        <v>8689</v>
      </c>
      <c r="Q62" s="110" t="s">
        <v>136</v>
      </c>
      <c r="R62" s="110" t="s">
        <v>136</v>
      </c>
      <c r="S62" s="110" t="s">
        <v>136</v>
      </c>
      <c r="T62" s="110" t="s">
        <v>136</v>
      </c>
      <c r="U62" s="110" t="s">
        <v>136</v>
      </c>
      <c r="V62" s="106" t="s">
        <v>119</v>
      </c>
      <c r="W62" s="108">
        <v>45743</v>
      </c>
      <c r="X62" s="116">
        <v>45751</v>
      </c>
      <c r="Y62" s="110"/>
      <c r="Z62" s="169" t="s">
        <v>85</v>
      </c>
      <c r="AA62" s="124">
        <v>0</v>
      </c>
      <c r="AB62" s="110">
        <v>5695</v>
      </c>
      <c r="AC62" s="114">
        <v>409184</v>
      </c>
      <c r="AD62" s="114">
        <f t="shared" si="1"/>
        <v>486928.95999999996</v>
      </c>
      <c r="AE62" s="114">
        <v>243500</v>
      </c>
      <c r="AF62" s="110"/>
      <c r="AG62" s="142" t="s">
        <v>751</v>
      </c>
      <c r="AH62" s="108">
        <v>45744</v>
      </c>
      <c r="AI62" s="108">
        <v>45782</v>
      </c>
      <c r="AJ62" s="110" t="s">
        <v>571</v>
      </c>
      <c r="AK62" s="110"/>
    </row>
    <row r="63" spans="1:37" ht="60" x14ac:dyDescent="0.25">
      <c r="A63" s="147">
        <v>2025</v>
      </c>
      <c r="B63" s="111">
        <v>3</v>
      </c>
      <c r="C63" s="148">
        <v>22471</v>
      </c>
      <c r="D63" s="108">
        <v>45735</v>
      </c>
      <c r="E63" s="111" t="s">
        <v>584</v>
      </c>
      <c r="F63" s="111" t="s">
        <v>584</v>
      </c>
      <c r="G63" s="110" t="s">
        <v>154</v>
      </c>
      <c r="H63" s="110">
        <v>3167498044</v>
      </c>
      <c r="I63" s="110">
        <v>3167498044</v>
      </c>
      <c r="J63" s="108">
        <v>45744</v>
      </c>
      <c r="K63" s="110" t="s">
        <v>84</v>
      </c>
      <c r="L63" s="112" t="s">
        <v>1414</v>
      </c>
      <c r="M63" s="110" t="s">
        <v>136</v>
      </c>
      <c r="N63" s="110" t="s">
        <v>136</v>
      </c>
      <c r="O63" s="110">
        <v>6055</v>
      </c>
      <c r="P63" s="110">
        <v>8699</v>
      </c>
      <c r="Q63" s="110" t="s">
        <v>136</v>
      </c>
      <c r="R63" s="110" t="s">
        <v>136</v>
      </c>
      <c r="S63" s="110" t="s">
        <v>136</v>
      </c>
      <c r="T63" s="110" t="s">
        <v>134</v>
      </c>
      <c r="U63" s="110" t="s">
        <v>134</v>
      </c>
      <c r="V63" s="106" t="s">
        <v>87</v>
      </c>
      <c r="W63" s="108">
        <v>45775</v>
      </c>
      <c r="X63" s="116">
        <v>45744</v>
      </c>
      <c r="Y63" s="110"/>
      <c r="Z63" s="169" t="s">
        <v>85</v>
      </c>
      <c r="AA63" s="130">
        <v>154700</v>
      </c>
      <c r="AB63" s="110">
        <v>5692</v>
      </c>
      <c r="AC63" s="114">
        <v>130000</v>
      </c>
      <c r="AD63" s="114">
        <f t="shared" si="1"/>
        <v>154700</v>
      </c>
      <c r="AE63" s="114">
        <v>0</v>
      </c>
      <c r="AF63" s="110"/>
      <c r="AG63" s="142" t="s">
        <v>1415</v>
      </c>
      <c r="AH63" s="108">
        <v>45735</v>
      </c>
      <c r="AI63" s="108">
        <v>45782</v>
      </c>
      <c r="AJ63" s="110" t="s">
        <v>571</v>
      </c>
      <c r="AK63" s="110"/>
    </row>
    <row r="64" spans="1:37" ht="75" x14ac:dyDescent="0.25">
      <c r="A64" s="147">
        <v>2025</v>
      </c>
      <c r="B64" s="111">
        <v>3</v>
      </c>
      <c r="C64" s="148">
        <v>22472</v>
      </c>
      <c r="D64" s="108">
        <v>45735</v>
      </c>
      <c r="E64" s="111" t="s">
        <v>582</v>
      </c>
      <c r="F64" s="111" t="s">
        <v>583</v>
      </c>
      <c r="G64" s="110" t="s">
        <v>154</v>
      </c>
      <c r="H64" s="110">
        <v>310398158</v>
      </c>
      <c r="I64" s="110">
        <v>6044448838</v>
      </c>
      <c r="J64" s="108">
        <v>45747</v>
      </c>
      <c r="K64" s="110" t="s">
        <v>99</v>
      </c>
      <c r="L64" s="112" t="s">
        <v>1416</v>
      </c>
      <c r="M64" s="110" t="s">
        <v>136</v>
      </c>
      <c r="N64" s="110">
        <v>5804</v>
      </c>
      <c r="O64" s="110">
        <v>6057</v>
      </c>
      <c r="P64" s="110">
        <v>8495</v>
      </c>
      <c r="Q64" s="110" t="s">
        <v>136</v>
      </c>
      <c r="R64" s="110" t="s">
        <v>136</v>
      </c>
      <c r="S64" s="110" t="s">
        <v>134</v>
      </c>
      <c r="T64" s="110" t="s">
        <v>136</v>
      </c>
      <c r="U64" s="110" t="s">
        <v>136</v>
      </c>
      <c r="V64" s="106" t="s">
        <v>87</v>
      </c>
      <c r="W64" s="108">
        <v>45747</v>
      </c>
      <c r="X64" s="116">
        <v>45752</v>
      </c>
      <c r="Y64" s="110"/>
      <c r="Z64" s="169" t="s">
        <v>85</v>
      </c>
      <c r="AA64" s="124">
        <v>0</v>
      </c>
      <c r="AB64" s="110">
        <v>5702</v>
      </c>
      <c r="AC64" s="114">
        <v>1502448</v>
      </c>
      <c r="AD64" s="114">
        <f t="shared" si="1"/>
        <v>1787913.1199999999</v>
      </c>
      <c r="AE64" s="114">
        <v>750000</v>
      </c>
      <c r="AF64" s="110"/>
      <c r="AG64" s="142" t="s">
        <v>750</v>
      </c>
      <c r="AH64" s="108">
        <v>45750</v>
      </c>
      <c r="AI64" s="108">
        <v>45782</v>
      </c>
      <c r="AJ64" s="110" t="s">
        <v>571</v>
      </c>
      <c r="AK64" s="110"/>
    </row>
    <row r="65" spans="1:37" ht="45" x14ac:dyDescent="0.25">
      <c r="A65" s="147">
        <v>2025</v>
      </c>
      <c r="B65" s="111">
        <v>3</v>
      </c>
      <c r="C65" s="148">
        <v>22473</v>
      </c>
      <c r="D65" s="108">
        <v>45737</v>
      </c>
      <c r="E65" s="111" t="s">
        <v>615</v>
      </c>
      <c r="F65" s="111" t="s">
        <v>580</v>
      </c>
      <c r="G65" s="110" t="s">
        <v>616</v>
      </c>
      <c r="H65" s="110">
        <v>3134860629</v>
      </c>
      <c r="I65" s="110">
        <v>3134860629</v>
      </c>
      <c r="J65" s="108">
        <v>45720</v>
      </c>
      <c r="K65" s="110" t="s">
        <v>84</v>
      </c>
      <c r="L65" s="112" t="s">
        <v>1417</v>
      </c>
      <c r="M65" s="110" t="s">
        <v>136</v>
      </c>
      <c r="N65" s="110">
        <v>5811</v>
      </c>
      <c r="O65" s="110">
        <v>6064</v>
      </c>
      <c r="P65" s="110" t="s">
        <v>136</v>
      </c>
      <c r="Q65" s="110">
        <v>5490</v>
      </c>
      <c r="R65" s="110" t="s">
        <v>136</v>
      </c>
      <c r="S65" s="110" t="s">
        <v>134</v>
      </c>
      <c r="T65" s="110" t="s">
        <v>134</v>
      </c>
      <c r="U65" s="110" t="s">
        <v>134</v>
      </c>
      <c r="V65" s="106" t="s">
        <v>119</v>
      </c>
      <c r="W65" s="108">
        <v>45747</v>
      </c>
      <c r="X65" s="116">
        <v>45769</v>
      </c>
      <c r="Y65" s="110"/>
      <c r="Z65" s="169" t="s">
        <v>85</v>
      </c>
      <c r="AA65" s="124">
        <v>0</v>
      </c>
      <c r="AB65" s="110">
        <v>5713</v>
      </c>
      <c r="AC65" s="114">
        <v>1277311</v>
      </c>
      <c r="AD65" s="114">
        <f t="shared" si="1"/>
        <v>1520000.0899999999</v>
      </c>
      <c r="AE65" s="114">
        <v>760000</v>
      </c>
      <c r="AF65" s="110"/>
      <c r="AG65" s="142" t="s">
        <v>1418</v>
      </c>
      <c r="AH65" s="108">
        <v>45751</v>
      </c>
      <c r="AI65" s="108">
        <v>45782</v>
      </c>
      <c r="AJ65" s="110" t="s">
        <v>571</v>
      </c>
      <c r="AK65" s="110"/>
    </row>
    <row r="66" spans="1:37" ht="45" x14ac:dyDescent="0.25">
      <c r="A66" s="147">
        <v>2025</v>
      </c>
      <c r="B66" s="111">
        <v>3</v>
      </c>
      <c r="C66" s="148">
        <v>22474</v>
      </c>
      <c r="D66" s="108">
        <v>45736</v>
      </c>
      <c r="E66" s="111" t="s">
        <v>591</v>
      </c>
      <c r="F66" s="111" t="s">
        <v>591</v>
      </c>
      <c r="G66" s="110" t="s">
        <v>592</v>
      </c>
      <c r="H66" s="110">
        <v>3147771160</v>
      </c>
      <c r="I66" s="110">
        <v>3147771160</v>
      </c>
      <c r="J66" s="108">
        <v>45747</v>
      </c>
      <c r="K66" s="110" t="s">
        <v>94</v>
      </c>
      <c r="L66" s="112" t="s">
        <v>1419</v>
      </c>
      <c r="M66" s="110" t="s">
        <v>136</v>
      </c>
      <c r="N66" s="110">
        <v>5807</v>
      </c>
      <c r="O66" s="110">
        <v>6058</v>
      </c>
      <c r="P66" s="110" t="s">
        <v>136</v>
      </c>
      <c r="Q66" s="110" t="s">
        <v>136</v>
      </c>
      <c r="R66" s="110" t="s">
        <v>134</v>
      </c>
      <c r="S66" s="110" t="s">
        <v>134</v>
      </c>
      <c r="T66" s="110" t="s">
        <v>136</v>
      </c>
      <c r="U66" s="110" t="s">
        <v>136</v>
      </c>
      <c r="V66" s="106" t="s">
        <v>119</v>
      </c>
      <c r="W66" s="108">
        <v>45750</v>
      </c>
      <c r="X66" s="116">
        <v>45756</v>
      </c>
      <c r="Y66" s="110"/>
      <c r="Z66" s="169" t="s">
        <v>85</v>
      </c>
      <c r="AA66" s="124">
        <v>0</v>
      </c>
      <c r="AB66" s="110">
        <v>5707</v>
      </c>
      <c r="AC66" s="114">
        <v>1260504</v>
      </c>
      <c r="AD66" s="114">
        <f t="shared" si="1"/>
        <v>1499999.76</v>
      </c>
      <c r="AE66" s="114">
        <v>500000</v>
      </c>
      <c r="AF66" s="110"/>
      <c r="AG66" s="142" t="s">
        <v>839</v>
      </c>
      <c r="AH66" s="108">
        <v>45751</v>
      </c>
      <c r="AI66" s="108">
        <v>45782</v>
      </c>
      <c r="AJ66" s="110" t="s">
        <v>571</v>
      </c>
      <c r="AK66" s="110"/>
    </row>
    <row r="67" spans="1:37" ht="34.5" customHeight="1" x14ac:dyDescent="0.25">
      <c r="A67" s="140">
        <v>2025</v>
      </c>
      <c r="B67" s="100">
        <v>3</v>
      </c>
      <c r="C67" s="161">
        <v>22475</v>
      </c>
      <c r="D67" s="97">
        <v>45736</v>
      </c>
      <c r="E67" s="100" t="s">
        <v>504</v>
      </c>
      <c r="F67" s="100" t="s">
        <v>580</v>
      </c>
      <c r="G67" s="99" t="s">
        <v>98</v>
      </c>
      <c r="H67" s="99">
        <v>3022804574</v>
      </c>
      <c r="I67" s="99">
        <v>6043315252</v>
      </c>
      <c r="J67" s="97">
        <v>45744</v>
      </c>
      <c r="K67" s="99" t="s">
        <v>88</v>
      </c>
      <c r="L67" s="101" t="s">
        <v>1420</v>
      </c>
      <c r="M67" s="99" t="s">
        <v>136</v>
      </c>
      <c r="N67" s="99" t="s">
        <v>136</v>
      </c>
      <c r="O67" s="99" t="s">
        <v>136</v>
      </c>
      <c r="P67" s="99">
        <v>8707</v>
      </c>
      <c r="Q67" s="99" t="s">
        <v>136</v>
      </c>
      <c r="R67" s="99" t="s">
        <v>136</v>
      </c>
      <c r="S67" s="99" t="s">
        <v>136</v>
      </c>
      <c r="T67" s="99" t="s">
        <v>136</v>
      </c>
      <c r="U67" s="99" t="s">
        <v>134</v>
      </c>
      <c r="V67" s="95" t="s">
        <v>87</v>
      </c>
      <c r="W67" s="97">
        <v>45736</v>
      </c>
      <c r="X67" s="105">
        <v>45742</v>
      </c>
      <c r="Y67" s="99"/>
      <c r="Z67" s="164" t="s">
        <v>97</v>
      </c>
      <c r="AA67" s="122">
        <v>0</v>
      </c>
      <c r="AB67" s="99">
        <v>5684</v>
      </c>
      <c r="AC67" s="103">
        <v>120000</v>
      </c>
      <c r="AD67" s="103">
        <f>+AC67*1.19</f>
        <v>142800</v>
      </c>
      <c r="AE67" s="103">
        <v>0</v>
      </c>
      <c r="AF67" s="99"/>
      <c r="AG67" s="104" t="s">
        <v>1421</v>
      </c>
      <c r="AH67" s="97"/>
      <c r="AI67" s="97">
        <v>45782</v>
      </c>
      <c r="AJ67" s="99" t="s">
        <v>571</v>
      </c>
      <c r="AK67" s="99"/>
    </row>
    <row r="68" spans="1:37" ht="45" x14ac:dyDescent="0.25">
      <c r="A68" s="147">
        <v>2025</v>
      </c>
      <c r="B68" s="111">
        <v>3</v>
      </c>
      <c r="C68" s="148">
        <v>22476</v>
      </c>
      <c r="D68" s="108">
        <v>45736</v>
      </c>
      <c r="E68" s="111" t="s">
        <v>614</v>
      </c>
      <c r="F68" s="111" t="s">
        <v>614</v>
      </c>
      <c r="G68" s="110" t="s">
        <v>154</v>
      </c>
      <c r="H68" s="110">
        <v>3148231101</v>
      </c>
      <c r="I68" s="110">
        <v>3148231101</v>
      </c>
      <c r="J68" s="108">
        <v>45750</v>
      </c>
      <c r="K68" s="110" t="s">
        <v>84</v>
      </c>
      <c r="L68" s="112" t="s">
        <v>1422</v>
      </c>
      <c r="M68" s="110" t="s">
        <v>136</v>
      </c>
      <c r="N68" s="110">
        <v>5813</v>
      </c>
      <c r="O68" s="110">
        <v>6067</v>
      </c>
      <c r="P68" s="110">
        <v>8731</v>
      </c>
      <c r="Q68" s="110">
        <v>5499</v>
      </c>
      <c r="R68" s="110" t="s">
        <v>136</v>
      </c>
      <c r="S68" s="110" t="s">
        <v>134</v>
      </c>
      <c r="T68" s="110" t="s">
        <v>134</v>
      </c>
      <c r="U68" s="110" t="s">
        <v>134</v>
      </c>
      <c r="V68" s="106" t="s">
        <v>87</v>
      </c>
      <c r="W68" s="108">
        <v>45750</v>
      </c>
      <c r="X68" s="116">
        <v>45752</v>
      </c>
      <c r="Y68" s="110"/>
      <c r="Z68" s="169" t="s">
        <v>85</v>
      </c>
      <c r="AA68" s="124">
        <v>0</v>
      </c>
      <c r="AB68" s="110">
        <v>5703</v>
      </c>
      <c r="AC68" s="114">
        <v>241285</v>
      </c>
      <c r="AD68" s="114">
        <v>230000</v>
      </c>
      <c r="AE68" s="114">
        <v>115000</v>
      </c>
      <c r="AF68" s="110"/>
      <c r="AG68" s="142" t="s">
        <v>752</v>
      </c>
      <c r="AH68" s="108">
        <v>45750</v>
      </c>
      <c r="AI68" s="108">
        <v>45782</v>
      </c>
      <c r="AJ68" s="110" t="s">
        <v>571</v>
      </c>
      <c r="AK68" s="110"/>
    </row>
    <row r="69" spans="1:37" ht="45" x14ac:dyDescent="0.25">
      <c r="A69" s="147">
        <v>2025</v>
      </c>
      <c r="B69" s="111">
        <v>3</v>
      </c>
      <c r="C69" s="148">
        <v>22477</v>
      </c>
      <c r="D69" s="108">
        <v>45736</v>
      </c>
      <c r="E69" s="111" t="s">
        <v>593</v>
      </c>
      <c r="F69" s="111" t="s">
        <v>594</v>
      </c>
      <c r="G69" s="110" t="s">
        <v>570</v>
      </c>
      <c r="H69" s="110">
        <v>3174129936</v>
      </c>
      <c r="I69" s="110">
        <v>5114698</v>
      </c>
      <c r="J69" s="108">
        <v>45745</v>
      </c>
      <c r="K69" s="110" t="s">
        <v>88</v>
      </c>
      <c r="L69" s="112" t="s">
        <v>753</v>
      </c>
      <c r="M69" s="110" t="s">
        <v>136</v>
      </c>
      <c r="N69" s="110">
        <v>5806</v>
      </c>
      <c r="O69" s="110" t="s">
        <v>136</v>
      </c>
      <c r="P69" s="110" t="s">
        <v>136</v>
      </c>
      <c r="Q69" s="110" t="s">
        <v>136</v>
      </c>
      <c r="R69" s="110" t="s">
        <v>136</v>
      </c>
      <c r="S69" s="110" t="s">
        <v>136</v>
      </c>
      <c r="T69" s="110" t="s">
        <v>136</v>
      </c>
      <c r="U69" s="110" t="s">
        <v>136</v>
      </c>
      <c r="V69" s="106" t="s">
        <v>87</v>
      </c>
      <c r="W69" s="108">
        <v>45747</v>
      </c>
      <c r="X69" s="116">
        <v>45745</v>
      </c>
      <c r="Y69" s="138"/>
      <c r="Z69" s="169" t="s">
        <v>85</v>
      </c>
      <c r="AA69" s="124">
        <v>0</v>
      </c>
      <c r="AB69" s="138">
        <v>5701</v>
      </c>
      <c r="AC69" s="114">
        <v>563025</v>
      </c>
      <c r="AD69" s="114">
        <f t="shared" si="1"/>
        <v>669999.75</v>
      </c>
      <c r="AE69" s="114">
        <v>400000</v>
      </c>
      <c r="AF69" s="138"/>
      <c r="AG69" s="142" t="s">
        <v>1369</v>
      </c>
      <c r="AH69" s="108">
        <v>45749</v>
      </c>
      <c r="AI69" s="108">
        <v>45782</v>
      </c>
      <c r="AJ69" s="110" t="s">
        <v>571</v>
      </c>
      <c r="AK69" s="138"/>
    </row>
    <row r="70" spans="1:37" ht="34.5" customHeight="1" x14ac:dyDescent="0.25">
      <c r="A70" s="147">
        <v>2025</v>
      </c>
      <c r="B70" s="111">
        <v>3</v>
      </c>
      <c r="C70" s="148">
        <v>22478</v>
      </c>
      <c r="D70" s="108">
        <v>38432</v>
      </c>
      <c r="E70" s="111" t="s">
        <v>585</v>
      </c>
      <c r="F70" s="111" t="s">
        <v>586</v>
      </c>
      <c r="G70" s="110" t="s">
        <v>587</v>
      </c>
      <c r="H70" s="110">
        <v>3107481073</v>
      </c>
      <c r="I70" s="110">
        <v>3148497333</v>
      </c>
      <c r="J70" s="108">
        <v>45742</v>
      </c>
      <c r="K70" s="110" t="s">
        <v>88</v>
      </c>
      <c r="L70" s="112" t="s">
        <v>1423</v>
      </c>
      <c r="M70" s="110" t="s">
        <v>136</v>
      </c>
      <c r="N70" s="110" t="s">
        <v>136</v>
      </c>
      <c r="O70" s="110">
        <v>6061</v>
      </c>
      <c r="P70" s="110">
        <v>8686</v>
      </c>
      <c r="Q70" s="110" t="s">
        <v>136</v>
      </c>
      <c r="R70" s="110" t="s">
        <v>136</v>
      </c>
      <c r="S70" s="110" t="s">
        <v>134</v>
      </c>
      <c r="T70" s="110" t="s">
        <v>134</v>
      </c>
      <c r="U70" s="110" t="s">
        <v>136</v>
      </c>
      <c r="V70" s="106" t="s">
        <v>87</v>
      </c>
      <c r="W70" s="108">
        <v>45736</v>
      </c>
      <c r="X70" s="116">
        <v>45742</v>
      </c>
      <c r="Y70" s="110"/>
      <c r="Z70" s="169" t="s">
        <v>85</v>
      </c>
      <c r="AA70" s="130">
        <v>409063</v>
      </c>
      <c r="AB70" s="110">
        <v>5693</v>
      </c>
      <c r="AC70" s="114">
        <v>343750</v>
      </c>
      <c r="AD70" s="114">
        <f>+AC70*1.19</f>
        <v>409062.5</v>
      </c>
      <c r="AE70" s="114">
        <v>0</v>
      </c>
      <c r="AF70" s="110"/>
      <c r="AG70" s="142" t="s">
        <v>1424</v>
      </c>
      <c r="AH70" s="108">
        <v>45736</v>
      </c>
      <c r="AI70" s="108">
        <v>45782</v>
      </c>
      <c r="AJ70" s="110" t="s">
        <v>571</v>
      </c>
      <c r="AK70" s="110"/>
    </row>
    <row r="71" spans="1:37" ht="34.5" customHeight="1" x14ac:dyDescent="0.25">
      <c r="A71" s="140">
        <v>2025</v>
      </c>
      <c r="B71" s="100">
        <v>3</v>
      </c>
      <c r="C71" s="161">
        <v>22479</v>
      </c>
      <c r="D71" s="97">
        <v>45742</v>
      </c>
      <c r="E71" s="100" t="s">
        <v>653</v>
      </c>
      <c r="F71" s="100" t="s">
        <v>654</v>
      </c>
      <c r="G71" s="99" t="s">
        <v>98</v>
      </c>
      <c r="H71" s="99">
        <v>4446507</v>
      </c>
      <c r="I71" s="99">
        <v>3222688075</v>
      </c>
      <c r="J71" s="97">
        <v>45757</v>
      </c>
      <c r="K71" s="99" t="s">
        <v>88</v>
      </c>
      <c r="L71" s="101" t="s">
        <v>1425</v>
      </c>
      <c r="M71" s="99" t="s">
        <v>136</v>
      </c>
      <c r="N71" s="99">
        <v>5816</v>
      </c>
      <c r="O71" s="99">
        <v>6072</v>
      </c>
      <c r="P71" s="99">
        <v>8573</v>
      </c>
      <c r="Q71" s="99" t="s">
        <v>136</v>
      </c>
      <c r="R71" s="99" t="s">
        <v>134</v>
      </c>
      <c r="S71" s="99" t="s">
        <v>134</v>
      </c>
      <c r="T71" s="99" t="s">
        <v>134</v>
      </c>
      <c r="U71" s="99" t="s">
        <v>134</v>
      </c>
      <c r="V71" s="95" t="s">
        <v>119</v>
      </c>
      <c r="W71" s="97">
        <v>45750</v>
      </c>
      <c r="X71" s="105">
        <v>45786</v>
      </c>
      <c r="Y71" s="99"/>
      <c r="Z71" s="164" t="s">
        <v>85</v>
      </c>
      <c r="AA71" s="117">
        <v>1176435</v>
      </c>
      <c r="AB71" s="99">
        <v>5723</v>
      </c>
      <c r="AC71" s="103">
        <v>988601</v>
      </c>
      <c r="AD71" s="103">
        <f t="shared" ref="AD71:AD100" si="3">+AC71*1.19</f>
        <v>1176435.19</v>
      </c>
      <c r="AE71" s="103">
        <v>494300</v>
      </c>
      <c r="AF71" s="99"/>
      <c r="AG71" s="104" t="s">
        <v>830</v>
      </c>
      <c r="AH71" s="97">
        <v>45800</v>
      </c>
      <c r="AI71" s="97">
        <v>45807</v>
      </c>
      <c r="AJ71" s="99" t="s">
        <v>1705</v>
      </c>
      <c r="AK71" s="99"/>
    </row>
    <row r="72" spans="1:37" s="199" customFormat="1" ht="105" x14ac:dyDescent="0.25">
      <c r="A72" s="147">
        <v>2025</v>
      </c>
      <c r="B72" s="111">
        <v>3</v>
      </c>
      <c r="C72" s="148">
        <v>22480</v>
      </c>
      <c r="D72" s="108">
        <v>45737</v>
      </c>
      <c r="E72" s="111" t="s">
        <v>677</v>
      </c>
      <c r="F72" s="111" t="s">
        <v>588</v>
      </c>
      <c r="G72" s="110" t="s">
        <v>545</v>
      </c>
      <c r="H72" s="110">
        <v>4483227</v>
      </c>
      <c r="I72" s="110">
        <v>4483227</v>
      </c>
      <c r="J72" s="108">
        <v>45744</v>
      </c>
      <c r="K72" s="110" t="s">
        <v>88</v>
      </c>
      <c r="L72" s="112" t="s">
        <v>1426</v>
      </c>
      <c r="M72" s="110" t="s">
        <v>136</v>
      </c>
      <c r="N72" s="110" t="s">
        <v>136</v>
      </c>
      <c r="O72" s="110" t="s">
        <v>136</v>
      </c>
      <c r="P72" s="111" t="s">
        <v>748</v>
      </c>
      <c r="Q72" s="110" t="s">
        <v>136</v>
      </c>
      <c r="R72" s="110" t="s">
        <v>136</v>
      </c>
      <c r="S72" s="110" t="s">
        <v>134</v>
      </c>
      <c r="T72" s="110" t="s">
        <v>134</v>
      </c>
      <c r="U72" s="110" t="s">
        <v>134</v>
      </c>
      <c r="V72" s="106" t="s">
        <v>89</v>
      </c>
      <c r="W72" s="108">
        <v>45738</v>
      </c>
      <c r="X72" s="116">
        <v>45754</v>
      </c>
      <c r="Y72" s="110"/>
      <c r="Z72" s="169" t="s">
        <v>85</v>
      </c>
      <c r="AA72" s="124">
        <v>0</v>
      </c>
      <c r="AB72" s="110">
        <v>5717</v>
      </c>
      <c r="AC72" s="114">
        <v>725182</v>
      </c>
      <c r="AD72" s="114">
        <f t="shared" si="3"/>
        <v>862966.58</v>
      </c>
      <c r="AE72" s="114">
        <v>0</v>
      </c>
      <c r="AF72" s="110"/>
      <c r="AG72" s="142" t="s">
        <v>789</v>
      </c>
      <c r="AH72" s="108">
        <v>45786</v>
      </c>
      <c r="AI72" s="108">
        <v>45789</v>
      </c>
      <c r="AJ72" s="110" t="s">
        <v>571</v>
      </c>
      <c r="AK72" s="110"/>
    </row>
    <row r="73" spans="1:37" ht="60" x14ac:dyDescent="0.25">
      <c r="A73" s="147">
        <v>2025</v>
      </c>
      <c r="B73" s="111">
        <v>3</v>
      </c>
      <c r="C73" s="148">
        <v>22481</v>
      </c>
      <c r="D73" s="108">
        <v>45737</v>
      </c>
      <c r="E73" s="111" t="s">
        <v>612</v>
      </c>
      <c r="F73" s="111" t="s">
        <v>613</v>
      </c>
      <c r="G73" s="110" t="s">
        <v>98</v>
      </c>
      <c r="H73" s="110">
        <v>3013445850</v>
      </c>
      <c r="I73" s="110">
        <v>3007135760</v>
      </c>
      <c r="J73" s="108">
        <v>45751</v>
      </c>
      <c r="K73" s="110" t="s">
        <v>88</v>
      </c>
      <c r="L73" s="112" t="s">
        <v>1427</v>
      </c>
      <c r="M73" s="110" t="s">
        <v>136</v>
      </c>
      <c r="N73" s="110">
        <v>5810</v>
      </c>
      <c r="O73" s="110">
        <v>6063</v>
      </c>
      <c r="P73" s="111">
        <v>8721</v>
      </c>
      <c r="Q73" s="111" t="s">
        <v>136</v>
      </c>
      <c r="R73" s="110" t="s">
        <v>134</v>
      </c>
      <c r="S73" s="110" t="s">
        <v>134</v>
      </c>
      <c r="T73" s="110" t="s">
        <v>134</v>
      </c>
      <c r="U73" s="110" t="s">
        <v>134</v>
      </c>
      <c r="V73" s="106" t="s">
        <v>119</v>
      </c>
      <c r="W73" s="108">
        <v>45756</v>
      </c>
      <c r="X73" s="116">
        <v>45758</v>
      </c>
      <c r="Y73" s="110"/>
      <c r="Z73" s="169" t="s">
        <v>85</v>
      </c>
      <c r="AA73" s="114">
        <v>1093318</v>
      </c>
      <c r="AB73" s="110">
        <v>5728</v>
      </c>
      <c r="AC73" s="114">
        <v>918755</v>
      </c>
      <c r="AD73" s="114">
        <f t="shared" si="3"/>
        <v>1093318.45</v>
      </c>
      <c r="AE73" s="114">
        <v>0</v>
      </c>
      <c r="AF73" s="110"/>
      <c r="AG73" s="142" t="s">
        <v>1017</v>
      </c>
      <c r="AH73" s="108">
        <v>45737</v>
      </c>
      <c r="AI73" s="108">
        <v>45782</v>
      </c>
      <c r="AJ73" s="110" t="s">
        <v>571</v>
      </c>
      <c r="AK73" s="110"/>
    </row>
    <row r="74" spans="1:37" ht="225" x14ac:dyDescent="0.25">
      <c r="A74" s="140">
        <v>2025</v>
      </c>
      <c r="B74" s="100">
        <v>3</v>
      </c>
      <c r="C74" s="161">
        <v>22482</v>
      </c>
      <c r="D74" s="97">
        <v>45741</v>
      </c>
      <c r="E74" s="100" t="s">
        <v>686</v>
      </c>
      <c r="F74" s="100" t="s">
        <v>687</v>
      </c>
      <c r="G74" s="100" t="s">
        <v>688</v>
      </c>
      <c r="H74" s="99">
        <v>3003760531</v>
      </c>
      <c r="I74" s="99">
        <v>604441740</v>
      </c>
      <c r="J74" s="97">
        <v>45757</v>
      </c>
      <c r="K74" s="99" t="s">
        <v>88</v>
      </c>
      <c r="L74" s="101" t="s">
        <v>1428</v>
      </c>
      <c r="M74" s="99" t="s">
        <v>136</v>
      </c>
      <c r="N74" s="99">
        <v>5818</v>
      </c>
      <c r="O74" s="99">
        <v>6070</v>
      </c>
      <c r="P74" s="99">
        <v>8675</v>
      </c>
      <c r="Q74" s="99">
        <v>5491</v>
      </c>
      <c r="R74" s="99" t="s">
        <v>134</v>
      </c>
      <c r="S74" s="99" t="s">
        <v>134</v>
      </c>
      <c r="T74" s="99" t="s">
        <v>134</v>
      </c>
      <c r="U74" s="99" t="s">
        <v>136</v>
      </c>
      <c r="V74" s="95" t="s">
        <v>89</v>
      </c>
      <c r="W74" s="97">
        <v>45756</v>
      </c>
      <c r="X74" s="105">
        <v>45786</v>
      </c>
      <c r="Y74" s="99"/>
      <c r="Z74" s="164" t="s">
        <v>85</v>
      </c>
      <c r="AA74" s="122">
        <v>0</v>
      </c>
      <c r="AB74" s="99">
        <v>5441</v>
      </c>
      <c r="AC74" s="103">
        <v>10843479</v>
      </c>
      <c r="AD74" s="103">
        <f t="shared" si="3"/>
        <v>12903740.01</v>
      </c>
      <c r="AE74" s="103">
        <v>6451870</v>
      </c>
      <c r="AF74" s="99"/>
      <c r="AG74" s="104" t="s">
        <v>1560</v>
      </c>
      <c r="AH74" s="97">
        <v>45804</v>
      </c>
      <c r="AI74" s="97">
        <v>45814</v>
      </c>
      <c r="AJ74" s="99" t="s">
        <v>1705</v>
      </c>
      <c r="AK74" s="99"/>
    </row>
    <row r="75" spans="1:37" ht="34.5" customHeight="1" x14ac:dyDescent="0.25">
      <c r="A75" s="147">
        <v>2025</v>
      </c>
      <c r="B75" s="111">
        <v>3</v>
      </c>
      <c r="C75" s="148">
        <v>22483</v>
      </c>
      <c r="D75" s="108">
        <v>45741</v>
      </c>
      <c r="E75" s="111" t="s">
        <v>699</v>
      </c>
      <c r="F75" s="111" t="s">
        <v>699</v>
      </c>
      <c r="G75" s="110" t="s">
        <v>154</v>
      </c>
      <c r="H75" s="110">
        <v>6042435186</v>
      </c>
      <c r="I75" s="110">
        <v>3136768503</v>
      </c>
      <c r="J75" s="108">
        <v>45750</v>
      </c>
      <c r="K75" s="110" t="s">
        <v>94</v>
      </c>
      <c r="L75" s="112" t="s">
        <v>1429</v>
      </c>
      <c r="M75" s="110" t="s">
        <v>136</v>
      </c>
      <c r="N75" s="110">
        <v>5814</v>
      </c>
      <c r="O75" s="110" t="s">
        <v>136</v>
      </c>
      <c r="P75" s="110" t="s">
        <v>136</v>
      </c>
      <c r="Q75" s="110" t="s">
        <v>136</v>
      </c>
      <c r="R75" s="110" t="s">
        <v>136</v>
      </c>
      <c r="S75" s="110" t="s">
        <v>136</v>
      </c>
      <c r="T75" s="110" t="s">
        <v>136</v>
      </c>
      <c r="U75" s="110" t="s">
        <v>136</v>
      </c>
      <c r="V75" s="106" t="s">
        <v>119</v>
      </c>
      <c r="W75" s="108">
        <v>45750</v>
      </c>
      <c r="X75" s="116">
        <v>45751</v>
      </c>
      <c r="Y75" s="110"/>
      <c r="Z75" s="169" t="s">
        <v>85</v>
      </c>
      <c r="AA75" s="124">
        <v>0</v>
      </c>
      <c r="AB75" s="110">
        <v>5706</v>
      </c>
      <c r="AC75" s="114">
        <v>1932777</v>
      </c>
      <c r="AD75" s="114">
        <f t="shared" si="3"/>
        <v>2300004.63</v>
      </c>
      <c r="AE75" s="114">
        <v>200000</v>
      </c>
      <c r="AF75" s="110"/>
      <c r="AG75" s="142" t="s">
        <v>746</v>
      </c>
      <c r="AH75" s="108">
        <v>45751</v>
      </c>
      <c r="AI75" s="108">
        <v>45782</v>
      </c>
      <c r="AJ75" s="110" t="s">
        <v>571</v>
      </c>
      <c r="AK75" s="110"/>
    </row>
    <row r="76" spans="1:37" ht="75" x14ac:dyDescent="0.25">
      <c r="A76" s="147">
        <v>2025</v>
      </c>
      <c r="B76" s="111">
        <v>3</v>
      </c>
      <c r="C76" s="148">
        <v>22484</v>
      </c>
      <c r="D76" s="108">
        <v>45742</v>
      </c>
      <c r="E76" s="111" t="s">
        <v>684</v>
      </c>
      <c r="F76" s="111" t="s">
        <v>685</v>
      </c>
      <c r="G76" s="110" t="s">
        <v>148</v>
      </c>
      <c r="H76" s="110">
        <v>3053942481</v>
      </c>
      <c r="I76" s="110">
        <v>6042880027</v>
      </c>
      <c r="J76" s="108">
        <v>45755</v>
      </c>
      <c r="K76" s="110" t="s">
        <v>88</v>
      </c>
      <c r="L76" s="112" t="s">
        <v>1430</v>
      </c>
      <c r="M76" s="110" t="s">
        <v>281</v>
      </c>
      <c r="N76" s="110" t="s">
        <v>136</v>
      </c>
      <c r="O76" s="110">
        <v>6082</v>
      </c>
      <c r="P76" s="110">
        <v>8654</v>
      </c>
      <c r="Q76" s="110" t="s">
        <v>136</v>
      </c>
      <c r="R76" s="110" t="s">
        <v>136</v>
      </c>
      <c r="S76" s="110" t="s">
        <v>134</v>
      </c>
      <c r="T76" s="110" t="s">
        <v>134</v>
      </c>
      <c r="U76" s="110" t="s">
        <v>136</v>
      </c>
      <c r="V76" s="106" t="s">
        <v>119</v>
      </c>
      <c r="W76" s="108">
        <v>45749</v>
      </c>
      <c r="X76" s="116">
        <v>45751</v>
      </c>
      <c r="Y76" s="110"/>
      <c r="Z76" s="169" t="s">
        <v>85</v>
      </c>
      <c r="AA76" s="124">
        <v>0</v>
      </c>
      <c r="AB76" s="110">
        <v>5718</v>
      </c>
      <c r="AC76" s="114">
        <v>1213354</v>
      </c>
      <c r="AD76" s="114">
        <f t="shared" si="3"/>
        <v>1443891.26</v>
      </c>
      <c r="AE76" s="114">
        <v>721946</v>
      </c>
      <c r="AF76" s="110"/>
      <c r="AG76" s="142" t="s">
        <v>866</v>
      </c>
      <c r="AH76" s="108">
        <v>45751</v>
      </c>
      <c r="AI76" s="108">
        <v>45782</v>
      </c>
      <c r="AJ76" s="110" t="s">
        <v>571</v>
      </c>
      <c r="AK76" s="110"/>
    </row>
    <row r="77" spans="1:37" s="350" customFormat="1" ht="34.5" customHeight="1" x14ac:dyDescent="0.25">
      <c r="A77" s="140">
        <v>2025</v>
      </c>
      <c r="B77" s="100">
        <v>3</v>
      </c>
      <c r="C77" s="161">
        <v>22485</v>
      </c>
      <c r="D77" s="97">
        <v>45742</v>
      </c>
      <c r="E77" s="100" t="s">
        <v>681</v>
      </c>
      <c r="F77" s="100" t="s">
        <v>408</v>
      </c>
      <c r="G77" s="100" t="s">
        <v>409</v>
      </c>
      <c r="H77" s="99">
        <v>3124010</v>
      </c>
      <c r="I77" s="99">
        <v>317739332</v>
      </c>
      <c r="J77" s="97">
        <v>45751</v>
      </c>
      <c r="K77" s="99" t="s">
        <v>95</v>
      </c>
      <c r="L77" s="101" t="s">
        <v>1431</v>
      </c>
      <c r="M77" s="99" t="s">
        <v>281</v>
      </c>
      <c r="N77" s="99" t="s">
        <v>136</v>
      </c>
      <c r="O77" s="99">
        <v>6071</v>
      </c>
      <c r="P77" s="99">
        <v>8458</v>
      </c>
      <c r="Q77" s="99" t="s">
        <v>136</v>
      </c>
      <c r="R77" s="99" t="s">
        <v>136</v>
      </c>
      <c r="S77" s="99" t="s">
        <v>134</v>
      </c>
      <c r="T77" s="99" t="s">
        <v>134</v>
      </c>
      <c r="U77" s="99" t="s">
        <v>134</v>
      </c>
      <c r="V77" s="95" t="s">
        <v>119</v>
      </c>
      <c r="W77" s="97">
        <v>45747</v>
      </c>
      <c r="X77" s="105">
        <v>45769</v>
      </c>
      <c r="Y77" s="99"/>
      <c r="Z77" s="164" t="s">
        <v>85</v>
      </c>
      <c r="AA77" s="117">
        <v>688506</v>
      </c>
      <c r="AB77" s="99">
        <v>5694</v>
      </c>
      <c r="AC77" s="103">
        <v>558512</v>
      </c>
      <c r="AD77" s="103">
        <f t="shared" si="3"/>
        <v>664629.28</v>
      </c>
      <c r="AE77" s="103">
        <v>0</v>
      </c>
      <c r="AF77" s="99"/>
      <c r="AG77" s="104" t="s">
        <v>1559</v>
      </c>
      <c r="AH77" s="97">
        <v>45796</v>
      </c>
      <c r="AI77" s="97">
        <v>45807</v>
      </c>
      <c r="AJ77" s="99" t="s">
        <v>1705</v>
      </c>
      <c r="AK77" s="99"/>
    </row>
    <row r="78" spans="1:37" ht="105" x14ac:dyDescent="0.25">
      <c r="A78" s="147">
        <v>2025</v>
      </c>
      <c r="B78" s="111">
        <v>3</v>
      </c>
      <c r="C78" s="148">
        <v>22486</v>
      </c>
      <c r="D78" s="108">
        <v>45744</v>
      </c>
      <c r="E78" s="111" t="s">
        <v>682</v>
      </c>
      <c r="F78" s="111" t="s">
        <v>683</v>
      </c>
      <c r="G78" s="110" t="s">
        <v>98</v>
      </c>
      <c r="H78" s="110">
        <v>3168776326</v>
      </c>
      <c r="I78" s="110">
        <v>3138036058</v>
      </c>
      <c r="J78" s="108">
        <v>45724</v>
      </c>
      <c r="K78" s="110" t="s">
        <v>88</v>
      </c>
      <c r="L78" s="112" t="s">
        <v>1433</v>
      </c>
      <c r="M78" s="110" t="s">
        <v>136</v>
      </c>
      <c r="N78" s="110">
        <v>5829</v>
      </c>
      <c r="O78" s="110">
        <v>6081</v>
      </c>
      <c r="P78" s="110">
        <v>8725</v>
      </c>
      <c r="Q78" s="110">
        <v>5446</v>
      </c>
      <c r="R78" s="110" t="s">
        <v>134</v>
      </c>
      <c r="S78" s="110" t="s">
        <v>134</v>
      </c>
      <c r="T78" s="110" t="s">
        <v>134</v>
      </c>
      <c r="U78" s="110" t="s">
        <v>136</v>
      </c>
      <c r="V78" s="106" t="s">
        <v>119</v>
      </c>
      <c r="W78" s="108">
        <v>45757</v>
      </c>
      <c r="X78" s="116">
        <v>45761</v>
      </c>
      <c r="Y78" s="110"/>
      <c r="Z78" s="169" t="s">
        <v>85</v>
      </c>
      <c r="AA78" s="124">
        <v>0</v>
      </c>
      <c r="AB78" s="110">
        <v>5735</v>
      </c>
      <c r="AC78" s="114">
        <v>1843465</v>
      </c>
      <c r="AD78" s="114">
        <f t="shared" si="3"/>
        <v>2193723.35</v>
      </c>
      <c r="AE78" s="114">
        <v>1096862</v>
      </c>
      <c r="AF78" s="110"/>
      <c r="AG78" s="142" t="s">
        <v>1432</v>
      </c>
      <c r="AH78" s="108">
        <v>45762</v>
      </c>
      <c r="AI78" s="108">
        <v>45782</v>
      </c>
      <c r="AJ78" s="110" t="s">
        <v>571</v>
      </c>
      <c r="AK78" s="110"/>
    </row>
    <row r="79" spans="1:37" ht="45" x14ac:dyDescent="0.25">
      <c r="A79" s="147">
        <v>2025</v>
      </c>
      <c r="B79" s="111">
        <v>3</v>
      </c>
      <c r="C79" s="148">
        <v>22487</v>
      </c>
      <c r="D79" s="108">
        <v>45743</v>
      </c>
      <c r="E79" s="111" t="s">
        <v>666</v>
      </c>
      <c r="F79" s="111" t="s">
        <v>667</v>
      </c>
      <c r="G79" s="110" t="s">
        <v>592</v>
      </c>
      <c r="H79" s="110">
        <v>3186934591</v>
      </c>
      <c r="I79" s="110">
        <v>6042927767</v>
      </c>
      <c r="J79" s="108">
        <v>45774</v>
      </c>
      <c r="K79" s="110" t="s">
        <v>94</v>
      </c>
      <c r="L79" s="112" t="s">
        <v>1434</v>
      </c>
      <c r="M79" s="110" t="s">
        <v>281</v>
      </c>
      <c r="N79" s="110" t="s">
        <v>136</v>
      </c>
      <c r="O79" s="110" t="s">
        <v>136</v>
      </c>
      <c r="P79" s="110">
        <v>8745</v>
      </c>
      <c r="Q79" s="110" t="s">
        <v>136</v>
      </c>
      <c r="R79" s="110" t="s">
        <v>136</v>
      </c>
      <c r="S79" s="110" t="s">
        <v>136</v>
      </c>
      <c r="T79" s="110" t="s">
        <v>136</v>
      </c>
      <c r="U79" s="110" t="s">
        <v>136</v>
      </c>
      <c r="V79" s="106" t="s">
        <v>119</v>
      </c>
      <c r="W79" s="108">
        <v>45743</v>
      </c>
      <c r="X79" s="116">
        <v>45745</v>
      </c>
      <c r="Y79" s="110"/>
      <c r="Z79" s="169" t="s">
        <v>85</v>
      </c>
      <c r="AA79" s="130">
        <v>135660</v>
      </c>
      <c r="AB79" s="110">
        <v>5700</v>
      </c>
      <c r="AC79" s="114">
        <v>114000</v>
      </c>
      <c r="AD79" s="114">
        <f t="shared" si="3"/>
        <v>135660</v>
      </c>
      <c r="AE79" s="114">
        <v>0</v>
      </c>
      <c r="AF79" s="110"/>
      <c r="AG79" s="142" t="s">
        <v>1435</v>
      </c>
      <c r="AH79" s="108">
        <v>45741</v>
      </c>
      <c r="AI79" s="108">
        <v>45782</v>
      </c>
      <c r="AJ79" s="110" t="s">
        <v>571</v>
      </c>
      <c r="AK79" s="110"/>
    </row>
    <row r="80" spans="1:37" ht="60" x14ac:dyDescent="0.25">
      <c r="A80" s="147">
        <v>2025</v>
      </c>
      <c r="B80" s="111">
        <v>3</v>
      </c>
      <c r="C80" s="148">
        <v>22488</v>
      </c>
      <c r="D80" s="108">
        <v>45742</v>
      </c>
      <c r="E80" s="111" t="s">
        <v>676</v>
      </c>
      <c r="F80" s="111" t="s">
        <v>676</v>
      </c>
      <c r="G80" s="110" t="s">
        <v>154</v>
      </c>
      <c r="H80" s="110">
        <v>3207105311</v>
      </c>
      <c r="I80" s="110">
        <v>3207105311</v>
      </c>
      <c r="J80" s="108">
        <v>45754</v>
      </c>
      <c r="K80" s="110" t="s">
        <v>84</v>
      </c>
      <c r="L80" s="112" t="s">
        <v>1436</v>
      </c>
      <c r="M80" s="110" t="s">
        <v>281</v>
      </c>
      <c r="N80" s="110" t="s">
        <v>136</v>
      </c>
      <c r="O80" s="110" t="s">
        <v>136</v>
      </c>
      <c r="P80" s="110">
        <v>8631</v>
      </c>
      <c r="Q80" s="110">
        <v>5498</v>
      </c>
      <c r="R80" s="110" t="s">
        <v>134</v>
      </c>
      <c r="S80" s="110" t="s">
        <v>134</v>
      </c>
      <c r="T80" s="110" t="s">
        <v>134</v>
      </c>
      <c r="U80" s="110" t="s">
        <v>134</v>
      </c>
      <c r="V80" s="106" t="s">
        <v>87</v>
      </c>
      <c r="W80" s="108">
        <v>45756</v>
      </c>
      <c r="X80" s="116">
        <v>45783</v>
      </c>
      <c r="Y80" s="110"/>
      <c r="Z80" s="169" t="s">
        <v>85</v>
      </c>
      <c r="AA80" s="124">
        <v>0</v>
      </c>
      <c r="AB80" s="110">
        <v>5742</v>
      </c>
      <c r="AC80" s="114">
        <v>1285610</v>
      </c>
      <c r="AD80" s="114">
        <f t="shared" si="3"/>
        <v>1529875.9</v>
      </c>
      <c r="AE80" s="114">
        <v>840000</v>
      </c>
      <c r="AF80" s="110"/>
      <c r="AG80" s="142" t="s">
        <v>1443</v>
      </c>
      <c r="AH80" s="108">
        <v>45759</v>
      </c>
      <c r="AI80" s="108">
        <v>45784</v>
      </c>
      <c r="AJ80" s="110" t="s">
        <v>571</v>
      </c>
      <c r="AK80" s="110"/>
    </row>
    <row r="81" spans="1:37" ht="34.5" customHeight="1" x14ac:dyDescent="0.25">
      <c r="A81" s="147">
        <v>2025</v>
      </c>
      <c r="B81" s="111">
        <v>3</v>
      </c>
      <c r="C81" s="148">
        <v>22489</v>
      </c>
      <c r="D81" s="108">
        <v>45742</v>
      </c>
      <c r="E81" s="111" t="s">
        <v>690</v>
      </c>
      <c r="F81" s="111" t="s">
        <v>690</v>
      </c>
      <c r="G81" s="110" t="s">
        <v>154</v>
      </c>
      <c r="H81" s="110">
        <v>3059157271</v>
      </c>
      <c r="I81" s="110">
        <v>3059157271</v>
      </c>
      <c r="J81" s="108">
        <v>45750</v>
      </c>
      <c r="K81" s="110" t="s">
        <v>84</v>
      </c>
      <c r="L81" s="112" t="s">
        <v>1437</v>
      </c>
      <c r="M81" s="110" t="s">
        <v>136</v>
      </c>
      <c r="N81" s="110">
        <v>5819</v>
      </c>
      <c r="O81" s="110" t="s">
        <v>136</v>
      </c>
      <c r="P81" s="110" t="s">
        <v>136</v>
      </c>
      <c r="Q81" s="110" t="s">
        <v>136</v>
      </c>
      <c r="R81" s="110" t="s">
        <v>136</v>
      </c>
      <c r="S81" s="110" t="s">
        <v>136</v>
      </c>
      <c r="T81" s="110" t="s">
        <v>136</v>
      </c>
      <c r="U81" s="110" t="s">
        <v>136</v>
      </c>
      <c r="V81" s="106" t="s">
        <v>119</v>
      </c>
      <c r="W81" s="108">
        <v>45754</v>
      </c>
      <c r="X81" s="116">
        <v>45754</v>
      </c>
      <c r="Y81" s="110"/>
      <c r="Z81" s="169" t="s">
        <v>85</v>
      </c>
      <c r="AA81" s="130">
        <v>110000</v>
      </c>
      <c r="AB81" s="110">
        <v>5725</v>
      </c>
      <c r="AC81" s="114">
        <v>92437</v>
      </c>
      <c r="AD81" s="114">
        <f t="shared" si="3"/>
        <v>110000.03</v>
      </c>
      <c r="AE81" s="114">
        <v>0</v>
      </c>
      <c r="AF81" s="110"/>
      <c r="AG81" s="142" t="s">
        <v>788</v>
      </c>
      <c r="AH81" s="108">
        <v>45742</v>
      </c>
      <c r="AI81" s="108">
        <v>45782</v>
      </c>
      <c r="AJ81" s="110" t="s">
        <v>571</v>
      </c>
      <c r="AK81" s="110"/>
    </row>
    <row r="82" spans="1:37" ht="34.5" customHeight="1" x14ac:dyDescent="0.25">
      <c r="A82" s="147">
        <v>2025</v>
      </c>
      <c r="B82" s="111">
        <v>3</v>
      </c>
      <c r="C82" s="148">
        <v>22490</v>
      </c>
      <c r="D82" s="108">
        <v>45745</v>
      </c>
      <c r="E82" s="111" t="s">
        <v>589</v>
      </c>
      <c r="F82" s="111" t="s">
        <v>694</v>
      </c>
      <c r="G82" s="110" t="s">
        <v>98</v>
      </c>
      <c r="H82" s="110">
        <v>3166919861</v>
      </c>
      <c r="I82" s="110">
        <v>6044481715</v>
      </c>
      <c r="J82" s="108">
        <v>45754</v>
      </c>
      <c r="K82" s="110" t="s">
        <v>88</v>
      </c>
      <c r="L82" s="112" t="s">
        <v>1438</v>
      </c>
      <c r="M82" s="110" t="s">
        <v>136</v>
      </c>
      <c r="N82" s="110">
        <v>5822</v>
      </c>
      <c r="O82" s="110" t="s">
        <v>136</v>
      </c>
      <c r="P82" s="110" t="s">
        <v>695</v>
      </c>
      <c r="Q82" s="110" t="s">
        <v>136</v>
      </c>
      <c r="R82" s="110" t="s">
        <v>695</v>
      </c>
      <c r="S82" s="110" t="s">
        <v>136</v>
      </c>
      <c r="T82" s="110" t="s">
        <v>695</v>
      </c>
      <c r="U82" s="110" t="s">
        <v>136</v>
      </c>
      <c r="V82" s="106" t="s">
        <v>119</v>
      </c>
      <c r="W82" s="108">
        <v>45755</v>
      </c>
      <c r="X82" s="116">
        <v>45756</v>
      </c>
      <c r="Y82" s="110"/>
      <c r="Z82" s="169" t="s">
        <v>85</v>
      </c>
      <c r="AA82" s="124">
        <v>0</v>
      </c>
      <c r="AB82" s="110">
        <v>5739</v>
      </c>
      <c r="AC82" s="114">
        <v>188865</v>
      </c>
      <c r="AD82" s="114">
        <f t="shared" si="3"/>
        <v>224749.34999999998</v>
      </c>
      <c r="AE82" s="114">
        <v>112000</v>
      </c>
      <c r="AF82" s="110"/>
      <c r="AG82" s="142" t="s">
        <v>822</v>
      </c>
      <c r="AH82" s="108">
        <v>45754</v>
      </c>
      <c r="AI82" s="108">
        <v>45782</v>
      </c>
      <c r="AJ82" s="110" t="s">
        <v>571</v>
      </c>
      <c r="AK82" s="110"/>
    </row>
    <row r="83" spans="1:37" s="199" customFormat="1" ht="60" x14ac:dyDescent="0.25">
      <c r="A83" s="147">
        <v>2025</v>
      </c>
      <c r="B83" s="111">
        <v>3</v>
      </c>
      <c r="C83" s="148">
        <v>22491</v>
      </c>
      <c r="D83" s="108">
        <v>45747</v>
      </c>
      <c r="E83" s="111" t="s">
        <v>719</v>
      </c>
      <c r="F83" s="111" t="s">
        <v>719</v>
      </c>
      <c r="G83" s="110" t="s">
        <v>154</v>
      </c>
      <c r="H83" s="110">
        <v>3117206920</v>
      </c>
      <c r="I83" s="110">
        <v>3104488776</v>
      </c>
      <c r="J83" s="108">
        <v>45757</v>
      </c>
      <c r="K83" s="110" t="s">
        <v>84</v>
      </c>
      <c r="L83" s="112" t="s">
        <v>1439</v>
      </c>
      <c r="M83" s="110" t="s">
        <v>136</v>
      </c>
      <c r="N83" s="110">
        <v>5826</v>
      </c>
      <c r="O83" s="110">
        <v>6084</v>
      </c>
      <c r="P83" s="110">
        <v>8736</v>
      </c>
      <c r="Q83" s="110">
        <v>5484</v>
      </c>
      <c r="R83" s="110" t="s">
        <v>136</v>
      </c>
      <c r="S83" s="110" t="s">
        <v>134</v>
      </c>
      <c r="T83" s="110" t="s">
        <v>134</v>
      </c>
      <c r="U83" s="110" t="s">
        <v>136</v>
      </c>
      <c r="V83" s="106" t="s">
        <v>119</v>
      </c>
      <c r="W83" s="108">
        <v>45759</v>
      </c>
      <c r="X83" s="116">
        <v>45845</v>
      </c>
      <c r="Y83" s="110"/>
      <c r="Z83" s="169" t="s">
        <v>85</v>
      </c>
      <c r="AA83" s="124">
        <v>0</v>
      </c>
      <c r="AB83" s="110">
        <v>5746</v>
      </c>
      <c r="AC83" s="114">
        <v>2975893</v>
      </c>
      <c r="AD83" s="114">
        <f t="shared" si="3"/>
        <v>3541312.67</v>
      </c>
      <c r="AE83" s="114">
        <v>1770000</v>
      </c>
      <c r="AF83" s="110"/>
      <c r="AG83" s="142" t="s">
        <v>1447</v>
      </c>
      <c r="AH83" s="108">
        <v>45783</v>
      </c>
      <c r="AI83" s="108">
        <v>45789</v>
      </c>
      <c r="AJ83" s="110" t="s">
        <v>571</v>
      </c>
      <c r="AK83" s="110"/>
    </row>
    <row r="84" spans="1:37" ht="34.5" customHeight="1" x14ac:dyDescent="0.25">
      <c r="A84" s="147">
        <v>2025</v>
      </c>
      <c r="B84" s="111">
        <v>3</v>
      </c>
      <c r="C84" s="148">
        <v>22492</v>
      </c>
      <c r="D84" s="108">
        <v>45748</v>
      </c>
      <c r="E84" s="111" t="s">
        <v>720</v>
      </c>
      <c r="F84" s="111" t="s">
        <v>720</v>
      </c>
      <c r="G84" s="110" t="s">
        <v>154</v>
      </c>
      <c r="H84" s="110">
        <v>3006171150</v>
      </c>
      <c r="I84" s="110">
        <v>3006171150</v>
      </c>
      <c r="J84" s="108">
        <v>45755</v>
      </c>
      <c r="K84" s="110" t="s">
        <v>84</v>
      </c>
      <c r="L84" s="112" t="s">
        <v>1440</v>
      </c>
      <c r="M84" s="110" t="s">
        <v>136</v>
      </c>
      <c r="N84" s="110">
        <v>5831</v>
      </c>
      <c r="O84" s="110" t="s">
        <v>136</v>
      </c>
      <c r="P84" s="110" t="s">
        <v>136</v>
      </c>
      <c r="Q84" s="110" t="s">
        <v>136</v>
      </c>
      <c r="R84" s="110" t="s">
        <v>136</v>
      </c>
      <c r="S84" s="110" t="s">
        <v>134</v>
      </c>
      <c r="T84" s="110" t="s">
        <v>136</v>
      </c>
      <c r="U84" s="110" t="s">
        <v>136</v>
      </c>
      <c r="V84" s="106" t="s">
        <v>119</v>
      </c>
      <c r="W84" s="108">
        <v>45756</v>
      </c>
      <c r="X84" s="116">
        <v>45757</v>
      </c>
      <c r="Y84" s="110"/>
      <c r="Z84" s="169" t="s">
        <v>85</v>
      </c>
      <c r="AA84" s="130">
        <v>150000</v>
      </c>
      <c r="AB84" s="110">
        <v>5731</v>
      </c>
      <c r="AC84" s="114">
        <v>126050</v>
      </c>
      <c r="AD84" s="114">
        <f t="shared" si="3"/>
        <v>149999.5</v>
      </c>
      <c r="AE84" s="114">
        <v>0</v>
      </c>
      <c r="AF84" s="110"/>
      <c r="AG84" s="142" t="s">
        <v>1441</v>
      </c>
      <c r="AH84" s="108">
        <v>45744</v>
      </c>
      <c r="AI84" s="108">
        <v>45782</v>
      </c>
      <c r="AJ84" s="110" t="s">
        <v>571</v>
      </c>
      <c r="AK84" s="110"/>
    </row>
    <row r="85" spans="1:37" ht="45" x14ac:dyDescent="0.25">
      <c r="A85" s="147">
        <v>2025</v>
      </c>
      <c r="B85" s="111">
        <v>3</v>
      </c>
      <c r="C85" s="148">
        <v>22493</v>
      </c>
      <c r="D85" s="108">
        <v>45743</v>
      </c>
      <c r="E85" s="111" t="s">
        <v>627</v>
      </c>
      <c r="F85" s="111" t="s">
        <v>628</v>
      </c>
      <c r="G85" s="110" t="s">
        <v>663</v>
      </c>
      <c r="H85" s="110">
        <v>3142754977</v>
      </c>
      <c r="I85" s="110">
        <v>6610454</v>
      </c>
      <c r="J85" s="108">
        <v>45748</v>
      </c>
      <c r="K85" s="110" t="s">
        <v>99</v>
      </c>
      <c r="L85" s="112" t="s">
        <v>1442</v>
      </c>
      <c r="M85" s="110" t="s">
        <v>568</v>
      </c>
      <c r="N85" s="110" t="s">
        <v>136</v>
      </c>
      <c r="O85" s="110" t="s">
        <v>136</v>
      </c>
      <c r="P85" s="110">
        <v>8527</v>
      </c>
      <c r="Q85" s="110" t="s">
        <v>136</v>
      </c>
      <c r="R85" s="110" t="s">
        <v>136</v>
      </c>
      <c r="S85" s="110" t="s">
        <v>134</v>
      </c>
      <c r="T85" s="110" t="s">
        <v>134</v>
      </c>
      <c r="U85" s="110" t="s">
        <v>134</v>
      </c>
      <c r="V85" s="106" t="s">
        <v>87</v>
      </c>
      <c r="W85" s="108">
        <v>45751</v>
      </c>
      <c r="X85" s="116">
        <v>45751</v>
      </c>
      <c r="Y85" s="110"/>
      <c r="Z85" s="169" t="s">
        <v>85</v>
      </c>
      <c r="AA85" s="124">
        <v>0</v>
      </c>
      <c r="AB85" s="110">
        <v>5761</v>
      </c>
      <c r="AC85" s="114">
        <v>312879</v>
      </c>
      <c r="AD85" s="114">
        <f t="shared" si="3"/>
        <v>372326.01</v>
      </c>
      <c r="AE85" s="114">
        <v>0</v>
      </c>
      <c r="AF85" s="110"/>
      <c r="AG85" s="142" t="s">
        <v>1110</v>
      </c>
      <c r="AH85" s="108">
        <v>45771</v>
      </c>
      <c r="AI85" s="108">
        <v>45782</v>
      </c>
      <c r="AJ85" s="110" t="s">
        <v>571</v>
      </c>
      <c r="AK85" s="110"/>
    </row>
    <row r="86" spans="1:37" ht="75" x14ac:dyDescent="0.25">
      <c r="A86" s="140">
        <v>2025</v>
      </c>
      <c r="B86" s="100">
        <v>3</v>
      </c>
      <c r="C86" s="161">
        <v>22494</v>
      </c>
      <c r="D86" s="97">
        <v>45744</v>
      </c>
      <c r="E86" s="100" t="s">
        <v>677</v>
      </c>
      <c r="F86" s="100" t="s">
        <v>408</v>
      </c>
      <c r="G86" s="99" t="s">
        <v>545</v>
      </c>
      <c r="H86" s="99">
        <v>6044483227</v>
      </c>
      <c r="I86" s="99">
        <v>6044483227</v>
      </c>
      <c r="J86" s="97">
        <v>45758</v>
      </c>
      <c r="K86" s="99" t="s">
        <v>88</v>
      </c>
      <c r="L86" s="101" t="s">
        <v>697</v>
      </c>
      <c r="M86" s="99" t="s">
        <v>698</v>
      </c>
      <c r="N86" s="99">
        <v>5820</v>
      </c>
      <c r="O86" s="99">
        <v>6074</v>
      </c>
      <c r="P86" s="99">
        <v>8636</v>
      </c>
      <c r="Q86" s="99" t="s">
        <v>136</v>
      </c>
      <c r="R86" s="99" t="s">
        <v>134</v>
      </c>
      <c r="S86" s="99" t="s">
        <v>134</v>
      </c>
      <c r="T86" s="99" t="s">
        <v>134</v>
      </c>
      <c r="U86" s="99" t="s">
        <v>136</v>
      </c>
      <c r="V86" s="95" t="s">
        <v>89</v>
      </c>
      <c r="W86" s="97">
        <v>45757</v>
      </c>
      <c r="X86" s="105">
        <v>45761</v>
      </c>
      <c r="Y86" s="99"/>
      <c r="Z86" s="164" t="s">
        <v>85</v>
      </c>
      <c r="AA86" s="122">
        <v>0</v>
      </c>
      <c r="AB86" s="99">
        <v>5779</v>
      </c>
      <c r="AC86" s="103">
        <v>9910090</v>
      </c>
      <c r="AD86" s="103">
        <f t="shared" si="3"/>
        <v>11793007.1</v>
      </c>
      <c r="AE86" s="103">
        <v>0</v>
      </c>
      <c r="AF86" s="99"/>
      <c r="AG86" s="104" t="s">
        <v>1996</v>
      </c>
      <c r="AH86" s="97">
        <v>45807</v>
      </c>
      <c r="AI86" s="97">
        <v>45817</v>
      </c>
      <c r="AJ86" s="99" t="s">
        <v>1705</v>
      </c>
      <c r="AK86" s="99"/>
    </row>
    <row r="87" spans="1:37" ht="34.5" customHeight="1" x14ac:dyDescent="0.25">
      <c r="A87" s="147">
        <v>2025</v>
      </c>
      <c r="B87" s="111">
        <v>3</v>
      </c>
      <c r="C87" s="148">
        <v>22495</v>
      </c>
      <c r="D87" s="108">
        <v>45744</v>
      </c>
      <c r="E87" s="111" t="s">
        <v>677</v>
      </c>
      <c r="F87" s="111" t="s">
        <v>588</v>
      </c>
      <c r="G87" s="110" t="s">
        <v>545</v>
      </c>
      <c r="H87" s="110">
        <v>4483227</v>
      </c>
      <c r="I87" s="110">
        <v>4483227</v>
      </c>
      <c r="J87" s="108">
        <v>45745</v>
      </c>
      <c r="K87" s="110" t="s">
        <v>88</v>
      </c>
      <c r="L87" s="112" t="s">
        <v>678</v>
      </c>
      <c r="M87" s="110" t="s">
        <v>136</v>
      </c>
      <c r="N87" s="110" t="s">
        <v>136</v>
      </c>
      <c r="O87" s="110">
        <v>6075</v>
      </c>
      <c r="P87" s="110">
        <v>8760</v>
      </c>
      <c r="Q87" s="110" t="s">
        <v>136</v>
      </c>
      <c r="R87" s="110" t="s">
        <v>136</v>
      </c>
      <c r="S87" s="110" t="s">
        <v>136</v>
      </c>
      <c r="T87" s="110" t="s">
        <v>136</v>
      </c>
      <c r="U87" s="110" t="s">
        <v>136</v>
      </c>
      <c r="V87" s="106" t="s">
        <v>89</v>
      </c>
      <c r="W87" s="108">
        <v>45749</v>
      </c>
      <c r="X87" s="116">
        <v>45749</v>
      </c>
      <c r="Y87" s="110"/>
      <c r="Z87" s="169" t="s">
        <v>85</v>
      </c>
      <c r="AA87" s="392">
        <v>583740</v>
      </c>
      <c r="AB87" s="110">
        <v>5762</v>
      </c>
      <c r="AC87" s="114">
        <v>490538</v>
      </c>
      <c r="AD87" s="114">
        <f t="shared" si="3"/>
        <v>583740.22</v>
      </c>
      <c r="AE87" s="114">
        <v>0</v>
      </c>
      <c r="AF87" s="110"/>
      <c r="AG87" s="142" t="s">
        <v>922</v>
      </c>
      <c r="AH87" s="108">
        <v>45793</v>
      </c>
      <c r="AI87" s="108">
        <v>45784</v>
      </c>
      <c r="AJ87" s="110" t="s">
        <v>571</v>
      </c>
      <c r="AK87" s="110"/>
    </row>
    <row r="88" spans="1:37" ht="75" x14ac:dyDescent="0.25">
      <c r="A88" s="147">
        <v>2025</v>
      </c>
      <c r="B88" s="111">
        <v>3</v>
      </c>
      <c r="C88" s="148">
        <v>22496</v>
      </c>
      <c r="D88" s="108">
        <v>45747</v>
      </c>
      <c r="E88" s="111" t="s">
        <v>634</v>
      </c>
      <c r="F88" s="111" t="s">
        <v>635</v>
      </c>
      <c r="G88" s="110" t="s">
        <v>148</v>
      </c>
      <c r="H88" s="110">
        <v>3002900115</v>
      </c>
      <c r="I88" s="110">
        <v>3013652706</v>
      </c>
      <c r="J88" s="108">
        <v>45756</v>
      </c>
      <c r="K88" s="110" t="s">
        <v>99</v>
      </c>
      <c r="L88" s="112" t="s">
        <v>1461</v>
      </c>
      <c r="M88" s="110" t="s">
        <v>136</v>
      </c>
      <c r="N88" s="110">
        <v>5827</v>
      </c>
      <c r="O88" s="110">
        <v>6083</v>
      </c>
      <c r="P88" s="110">
        <v>8663</v>
      </c>
      <c r="Q88" s="110" t="s">
        <v>136</v>
      </c>
      <c r="R88" s="110" t="s">
        <v>134</v>
      </c>
      <c r="S88" s="110" t="s">
        <v>136</v>
      </c>
      <c r="T88" s="110" t="s">
        <v>136</v>
      </c>
      <c r="U88" s="110" t="s">
        <v>136</v>
      </c>
      <c r="V88" s="106" t="s">
        <v>93</v>
      </c>
      <c r="W88" s="108">
        <v>45756</v>
      </c>
      <c r="X88" s="116">
        <v>45756</v>
      </c>
      <c r="Y88" s="110"/>
      <c r="Z88" s="169" t="s">
        <v>85</v>
      </c>
      <c r="AA88" s="130">
        <v>1467603</v>
      </c>
      <c r="AB88" s="110">
        <v>5719</v>
      </c>
      <c r="AC88" s="114">
        <v>12233279</v>
      </c>
      <c r="AD88" s="114">
        <f t="shared" si="3"/>
        <v>14557602.01</v>
      </c>
      <c r="AE88" s="114">
        <v>0</v>
      </c>
      <c r="AF88" s="110"/>
      <c r="AG88" s="142" t="s">
        <v>821</v>
      </c>
      <c r="AH88" s="108">
        <v>45742</v>
      </c>
      <c r="AI88" s="108">
        <v>45784</v>
      </c>
      <c r="AJ88" s="110" t="s">
        <v>571</v>
      </c>
      <c r="AK88" s="110"/>
    </row>
    <row r="89" spans="1:37" ht="150" x14ac:dyDescent="0.25">
      <c r="A89" s="147">
        <v>2025</v>
      </c>
      <c r="B89" s="111">
        <v>3</v>
      </c>
      <c r="C89" s="148">
        <v>22497</v>
      </c>
      <c r="D89" s="108">
        <v>45742</v>
      </c>
      <c r="E89" s="111" t="s">
        <v>714</v>
      </c>
      <c r="F89" s="111" t="s">
        <v>715</v>
      </c>
      <c r="G89" s="110" t="s">
        <v>98</v>
      </c>
      <c r="H89" s="111" t="s">
        <v>716</v>
      </c>
      <c r="I89" s="110">
        <v>6042628257</v>
      </c>
      <c r="J89" s="108">
        <v>45755</v>
      </c>
      <c r="K89" s="110" t="s">
        <v>86</v>
      </c>
      <c r="L89" s="112" t="s">
        <v>1462</v>
      </c>
      <c r="M89" s="110" t="s">
        <v>136</v>
      </c>
      <c r="N89" s="110">
        <v>5830</v>
      </c>
      <c r="O89" s="110" t="s">
        <v>136</v>
      </c>
      <c r="P89" s="110">
        <v>8743</v>
      </c>
      <c r="Q89" s="110" t="s">
        <v>136</v>
      </c>
      <c r="R89" s="110" t="s">
        <v>136</v>
      </c>
      <c r="S89" s="110" t="s">
        <v>136</v>
      </c>
      <c r="T89" s="110" t="s">
        <v>136</v>
      </c>
      <c r="U89" s="110" t="s">
        <v>136</v>
      </c>
      <c r="V89" s="106" t="s">
        <v>119</v>
      </c>
      <c r="W89" s="108">
        <v>45757</v>
      </c>
      <c r="X89" s="116">
        <v>45762</v>
      </c>
      <c r="Y89" s="110"/>
      <c r="Z89" s="169" t="s">
        <v>85</v>
      </c>
      <c r="AA89" s="124">
        <v>0</v>
      </c>
      <c r="AB89" s="110">
        <v>5830</v>
      </c>
      <c r="AC89" s="114">
        <v>734000</v>
      </c>
      <c r="AD89" s="114">
        <f t="shared" si="3"/>
        <v>873460</v>
      </c>
      <c r="AE89" s="114">
        <v>436730</v>
      </c>
      <c r="AF89" s="110"/>
      <c r="AG89" s="142" t="s">
        <v>914</v>
      </c>
      <c r="AH89" s="108">
        <v>45761</v>
      </c>
      <c r="AI89" s="108">
        <v>45784</v>
      </c>
      <c r="AJ89" s="110" t="s">
        <v>571</v>
      </c>
      <c r="AK89" s="110"/>
    </row>
    <row r="90" spans="1:37" ht="75" x14ac:dyDescent="0.25">
      <c r="A90" s="147">
        <v>2025</v>
      </c>
      <c r="B90" s="111">
        <v>3</v>
      </c>
      <c r="C90" s="148">
        <v>22498</v>
      </c>
      <c r="D90" s="108">
        <v>45748</v>
      </c>
      <c r="E90" s="111" t="s">
        <v>721</v>
      </c>
      <c r="F90" s="111" t="s">
        <v>721</v>
      </c>
      <c r="G90" s="110" t="s">
        <v>154</v>
      </c>
      <c r="H90" s="110">
        <v>3148751835</v>
      </c>
      <c r="I90" s="110">
        <v>3148751835</v>
      </c>
      <c r="J90" s="108">
        <v>45756</v>
      </c>
      <c r="K90" s="110" t="s">
        <v>84</v>
      </c>
      <c r="L90" s="112" t="s">
        <v>722</v>
      </c>
      <c r="M90" s="110" t="s">
        <v>136</v>
      </c>
      <c r="N90" s="110">
        <v>5832</v>
      </c>
      <c r="O90" s="110">
        <v>6085</v>
      </c>
      <c r="P90" s="110">
        <v>8758</v>
      </c>
      <c r="Q90" s="110" t="s">
        <v>136</v>
      </c>
      <c r="R90" s="110" t="s">
        <v>136</v>
      </c>
      <c r="S90" s="110" t="s">
        <v>134</v>
      </c>
      <c r="T90" s="110" t="s">
        <v>134</v>
      </c>
      <c r="U90" s="110" t="s">
        <v>134</v>
      </c>
      <c r="V90" s="106" t="s">
        <v>119</v>
      </c>
      <c r="W90" s="108">
        <v>45756</v>
      </c>
      <c r="X90" s="116">
        <v>45771</v>
      </c>
      <c r="Y90" s="110"/>
      <c r="Z90" s="169" t="s">
        <v>85</v>
      </c>
      <c r="AA90" s="124">
        <v>0</v>
      </c>
      <c r="AB90" s="110">
        <v>5740</v>
      </c>
      <c r="AC90" s="114">
        <v>336368</v>
      </c>
      <c r="AD90" s="114">
        <f t="shared" si="3"/>
        <v>400277.92</v>
      </c>
      <c r="AE90" s="114">
        <v>200000</v>
      </c>
      <c r="AF90" s="110"/>
      <c r="AG90" s="142" t="s">
        <v>1018</v>
      </c>
      <c r="AH90" s="108">
        <v>45768</v>
      </c>
      <c r="AI90" s="108">
        <v>45784</v>
      </c>
      <c r="AJ90" s="110" t="s">
        <v>571</v>
      </c>
      <c r="AK90" s="110"/>
    </row>
    <row r="91" spans="1:37" ht="45" x14ac:dyDescent="0.25">
      <c r="A91" s="147">
        <v>2025</v>
      </c>
      <c r="B91" s="111">
        <v>3</v>
      </c>
      <c r="C91" s="148">
        <v>22499</v>
      </c>
      <c r="D91" s="108">
        <v>45748</v>
      </c>
      <c r="E91" s="111" t="s">
        <v>756</v>
      </c>
      <c r="F91" s="111" t="s">
        <v>757</v>
      </c>
      <c r="G91" s="110" t="s">
        <v>154</v>
      </c>
      <c r="H91" s="110">
        <v>3122260440</v>
      </c>
      <c r="I91" s="110">
        <v>3215854470</v>
      </c>
      <c r="J91" s="108">
        <v>45756</v>
      </c>
      <c r="K91" s="110" t="s">
        <v>94</v>
      </c>
      <c r="L91" s="112" t="s">
        <v>758</v>
      </c>
      <c r="M91" s="110" t="s">
        <v>136</v>
      </c>
      <c r="N91" s="110">
        <v>5848</v>
      </c>
      <c r="O91" s="110" t="s">
        <v>136</v>
      </c>
      <c r="P91" s="110" t="s">
        <v>136</v>
      </c>
      <c r="Q91" s="110" t="s">
        <v>136</v>
      </c>
      <c r="R91" s="110" t="s">
        <v>136</v>
      </c>
      <c r="S91" s="110" t="s">
        <v>136</v>
      </c>
      <c r="T91" s="110" t="s">
        <v>136</v>
      </c>
      <c r="U91" s="110" t="s">
        <v>136</v>
      </c>
      <c r="V91" s="106" t="s">
        <v>119</v>
      </c>
      <c r="W91" s="108">
        <v>45761</v>
      </c>
      <c r="X91" s="116">
        <v>45761</v>
      </c>
      <c r="Y91" s="110"/>
      <c r="Z91" s="169" t="s">
        <v>85</v>
      </c>
      <c r="AA91" s="130">
        <v>336000</v>
      </c>
      <c r="AB91" s="110">
        <v>5721</v>
      </c>
      <c r="AC91" s="114">
        <v>282353</v>
      </c>
      <c r="AD91" s="114">
        <f t="shared" si="3"/>
        <v>336000.07</v>
      </c>
      <c r="AE91" s="114">
        <v>0</v>
      </c>
      <c r="AF91" s="110"/>
      <c r="AG91" s="142" t="s">
        <v>903</v>
      </c>
      <c r="AH91" s="108">
        <v>45748</v>
      </c>
      <c r="AI91" s="108">
        <v>45784</v>
      </c>
      <c r="AJ91" s="110" t="s">
        <v>571</v>
      </c>
      <c r="AK91" s="110"/>
    </row>
    <row r="92" spans="1:37" ht="75" x14ac:dyDescent="0.25">
      <c r="A92" s="147">
        <v>2025</v>
      </c>
      <c r="B92" s="111">
        <v>3</v>
      </c>
      <c r="C92" s="148">
        <v>22500</v>
      </c>
      <c r="D92" s="108">
        <v>45748</v>
      </c>
      <c r="E92" s="111" t="s">
        <v>833</v>
      </c>
      <c r="F92" s="111" t="s">
        <v>833</v>
      </c>
      <c r="G92" s="110" t="s">
        <v>154</v>
      </c>
      <c r="H92" s="110">
        <v>3106267104</v>
      </c>
      <c r="I92" s="110">
        <v>3016120539</v>
      </c>
      <c r="J92" s="108">
        <v>45757</v>
      </c>
      <c r="K92" s="110" t="s">
        <v>94</v>
      </c>
      <c r="L92" s="112" t="s">
        <v>1463</v>
      </c>
      <c r="M92" s="110" t="s">
        <v>136</v>
      </c>
      <c r="N92" s="110">
        <v>5834</v>
      </c>
      <c r="O92" s="110">
        <v>6086</v>
      </c>
      <c r="P92" s="110">
        <v>8753</v>
      </c>
      <c r="Q92" s="110" t="s">
        <v>136</v>
      </c>
      <c r="R92" s="110" t="s">
        <v>136</v>
      </c>
      <c r="S92" s="110" t="s">
        <v>134</v>
      </c>
      <c r="T92" s="110" t="s">
        <v>134</v>
      </c>
      <c r="U92" s="110" t="s">
        <v>136</v>
      </c>
      <c r="V92" s="106" t="s">
        <v>119</v>
      </c>
      <c r="W92" s="108">
        <v>45757</v>
      </c>
      <c r="X92" s="116">
        <v>45762</v>
      </c>
      <c r="Y92" s="110"/>
      <c r="Z92" s="169" t="s">
        <v>85</v>
      </c>
      <c r="AA92" s="124">
        <v>0</v>
      </c>
      <c r="AB92" s="110">
        <v>5737</v>
      </c>
      <c r="AC92" s="114">
        <v>2186292</v>
      </c>
      <c r="AD92" s="114">
        <f t="shared" si="3"/>
        <v>2601687.48</v>
      </c>
      <c r="AE92" s="114">
        <v>2000000</v>
      </c>
      <c r="AF92" s="110"/>
      <c r="AG92" s="142" t="s">
        <v>914</v>
      </c>
      <c r="AH92" s="108">
        <v>45761</v>
      </c>
      <c r="AI92" s="108">
        <v>45784</v>
      </c>
      <c r="AJ92" s="110" t="s">
        <v>571</v>
      </c>
      <c r="AK92" s="110"/>
    </row>
    <row r="93" spans="1:37" ht="45" x14ac:dyDescent="0.25">
      <c r="A93" s="147">
        <v>2025</v>
      </c>
      <c r="B93" s="111">
        <v>3</v>
      </c>
      <c r="C93" s="148">
        <v>22501</v>
      </c>
      <c r="D93" s="108">
        <v>45745</v>
      </c>
      <c r="E93" s="111" t="s">
        <v>668</v>
      </c>
      <c r="F93" s="111" t="s">
        <v>669</v>
      </c>
      <c r="G93" s="110" t="s">
        <v>95</v>
      </c>
      <c r="H93" s="110">
        <v>3215922464</v>
      </c>
      <c r="I93" s="110">
        <v>3113751371</v>
      </c>
      <c r="J93" s="108">
        <v>45725</v>
      </c>
      <c r="K93" s="110" t="s">
        <v>95</v>
      </c>
      <c r="L93" s="112" t="s">
        <v>1464</v>
      </c>
      <c r="M93" s="110" t="s">
        <v>136</v>
      </c>
      <c r="N93" s="110" t="s">
        <v>136</v>
      </c>
      <c r="O93" s="110">
        <v>6077</v>
      </c>
      <c r="P93" s="110">
        <v>8717</v>
      </c>
      <c r="Q93" s="110" t="s">
        <v>136</v>
      </c>
      <c r="R93" s="110" t="s">
        <v>134</v>
      </c>
      <c r="S93" s="110" t="s">
        <v>136</v>
      </c>
      <c r="T93" s="110" t="s">
        <v>134</v>
      </c>
      <c r="U93" s="110" t="s">
        <v>134</v>
      </c>
      <c r="V93" s="106" t="s">
        <v>89</v>
      </c>
      <c r="W93" s="108">
        <v>45750</v>
      </c>
      <c r="X93" s="116">
        <v>45761</v>
      </c>
      <c r="Y93" s="110"/>
      <c r="Z93" s="169" t="s">
        <v>85</v>
      </c>
      <c r="AA93" s="124">
        <v>0</v>
      </c>
      <c r="AB93" s="110">
        <v>5724</v>
      </c>
      <c r="AC93" s="114">
        <v>1332187</v>
      </c>
      <c r="AD93" s="114">
        <f t="shared" si="3"/>
        <v>1585302.53</v>
      </c>
      <c r="AE93" s="114">
        <v>800000</v>
      </c>
      <c r="AF93" s="110"/>
      <c r="AG93" s="142" t="s">
        <v>1038</v>
      </c>
      <c r="AH93" s="108">
        <v>45776</v>
      </c>
      <c r="AI93" s="108">
        <v>45784</v>
      </c>
      <c r="AJ93" s="110" t="s">
        <v>571</v>
      </c>
      <c r="AK93" s="110"/>
    </row>
    <row r="94" spans="1:37" ht="45" x14ac:dyDescent="0.25">
      <c r="A94" s="147">
        <v>2025</v>
      </c>
      <c r="B94" s="111">
        <v>3</v>
      </c>
      <c r="C94" s="148">
        <v>22502</v>
      </c>
      <c r="D94" s="108">
        <v>45748</v>
      </c>
      <c r="E94" s="111" t="s">
        <v>1465</v>
      </c>
      <c r="F94" s="111" t="s">
        <v>723</v>
      </c>
      <c r="G94" s="110" t="s">
        <v>98</v>
      </c>
      <c r="H94" s="110">
        <v>3006336518</v>
      </c>
      <c r="I94" s="110">
        <v>6044449807</v>
      </c>
      <c r="J94" s="108">
        <v>45758</v>
      </c>
      <c r="K94" s="110" t="s">
        <v>88</v>
      </c>
      <c r="L94" s="112" t="s">
        <v>724</v>
      </c>
      <c r="M94" s="110" t="s">
        <v>136</v>
      </c>
      <c r="N94" s="110">
        <v>5835</v>
      </c>
      <c r="O94" s="110">
        <v>6087</v>
      </c>
      <c r="P94" s="110">
        <v>8754</v>
      </c>
      <c r="Q94" s="110" t="s">
        <v>136</v>
      </c>
      <c r="R94" s="110" t="s">
        <v>134</v>
      </c>
      <c r="S94" s="110" t="s">
        <v>134</v>
      </c>
      <c r="T94" s="110" t="s">
        <v>134</v>
      </c>
      <c r="U94" s="110" t="s">
        <v>136</v>
      </c>
      <c r="V94" s="106" t="s">
        <v>119</v>
      </c>
      <c r="W94" s="108">
        <v>45756</v>
      </c>
      <c r="X94" s="116">
        <v>45772</v>
      </c>
      <c r="Y94" s="110"/>
      <c r="Z94" s="169" t="s">
        <v>85</v>
      </c>
      <c r="AA94" s="124">
        <v>0</v>
      </c>
      <c r="AB94" s="110">
        <v>5729</v>
      </c>
      <c r="AC94" s="114">
        <v>640346</v>
      </c>
      <c r="AD94" s="114">
        <f t="shared" si="3"/>
        <v>762011.74</v>
      </c>
      <c r="AE94" s="114">
        <v>381006</v>
      </c>
      <c r="AF94" s="110"/>
      <c r="AG94" s="142" t="s">
        <v>1007</v>
      </c>
      <c r="AH94" s="108">
        <v>45763</v>
      </c>
      <c r="AI94" s="108">
        <v>45784</v>
      </c>
      <c r="AJ94" s="110" t="s">
        <v>571</v>
      </c>
      <c r="AK94" s="110"/>
    </row>
    <row r="95" spans="1:37" ht="34.5" customHeight="1" x14ac:dyDescent="0.25">
      <c r="A95" s="147">
        <v>2025</v>
      </c>
      <c r="B95" s="111">
        <v>3</v>
      </c>
      <c r="C95" s="148">
        <v>22503</v>
      </c>
      <c r="D95" s="108">
        <v>45747</v>
      </c>
      <c r="E95" s="111" t="s">
        <v>634</v>
      </c>
      <c r="F95" s="111" t="s">
        <v>635</v>
      </c>
      <c r="G95" s="110" t="s">
        <v>148</v>
      </c>
      <c r="H95" s="110">
        <v>3002900115</v>
      </c>
      <c r="I95" s="110">
        <v>3013652706</v>
      </c>
      <c r="J95" s="108">
        <v>45755</v>
      </c>
      <c r="K95" s="110" t="s">
        <v>88</v>
      </c>
      <c r="L95" s="112" t="s">
        <v>1466</v>
      </c>
      <c r="M95" s="110" t="s">
        <v>136</v>
      </c>
      <c r="N95" s="110">
        <v>5823</v>
      </c>
      <c r="O95" s="247">
        <v>6079</v>
      </c>
      <c r="P95" s="110" t="s">
        <v>136</v>
      </c>
      <c r="Q95" s="110" t="s">
        <v>136</v>
      </c>
      <c r="R95" s="110" t="s">
        <v>136</v>
      </c>
      <c r="S95" s="110" t="s">
        <v>134</v>
      </c>
      <c r="T95" s="110" t="s">
        <v>134</v>
      </c>
      <c r="U95" s="110" t="s">
        <v>136</v>
      </c>
      <c r="V95" s="106" t="s">
        <v>93</v>
      </c>
      <c r="W95" s="108">
        <v>45756</v>
      </c>
      <c r="X95" s="116">
        <v>45755</v>
      </c>
      <c r="Y95" s="110"/>
      <c r="Z95" s="169" t="s">
        <v>85</v>
      </c>
      <c r="AA95" s="124">
        <v>0</v>
      </c>
      <c r="AB95" s="110" t="s">
        <v>136</v>
      </c>
      <c r="AC95" s="114">
        <v>0</v>
      </c>
      <c r="AD95" s="114">
        <f t="shared" si="3"/>
        <v>0</v>
      </c>
      <c r="AE95" s="114">
        <v>0</v>
      </c>
      <c r="AF95" s="110"/>
      <c r="AG95" s="142" t="s">
        <v>823</v>
      </c>
      <c r="AH95" s="108" t="s">
        <v>136</v>
      </c>
      <c r="AI95" s="108">
        <v>45784</v>
      </c>
      <c r="AJ95" s="110" t="s">
        <v>571</v>
      </c>
      <c r="AK95" s="110"/>
    </row>
    <row r="96" spans="1:37" ht="90" x14ac:dyDescent="0.25">
      <c r="A96" s="140">
        <v>2025</v>
      </c>
      <c r="B96" s="100">
        <v>3</v>
      </c>
      <c r="C96" s="161">
        <v>22504</v>
      </c>
      <c r="D96" s="97">
        <v>45747</v>
      </c>
      <c r="E96" s="100" t="s">
        <v>677</v>
      </c>
      <c r="F96" s="100" t="s">
        <v>691</v>
      </c>
      <c r="G96" s="99" t="s">
        <v>98</v>
      </c>
      <c r="H96" s="95">
        <v>6044483227</v>
      </c>
      <c r="I96" s="95">
        <v>6044483227</v>
      </c>
      <c r="J96" s="97">
        <v>45758</v>
      </c>
      <c r="K96" s="99" t="s">
        <v>88</v>
      </c>
      <c r="L96" s="101" t="s">
        <v>692</v>
      </c>
      <c r="M96" s="100" t="s">
        <v>693</v>
      </c>
      <c r="N96" s="99">
        <v>5824</v>
      </c>
      <c r="O96" s="99" t="s">
        <v>136</v>
      </c>
      <c r="P96" s="99">
        <v>8724</v>
      </c>
      <c r="Q96" s="99" t="s">
        <v>136</v>
      </c>
      <c r="R96" s="99" t="s">
        <v>136</v>
      </c>
      <c r="S96" s="99" t="s">
        <v>134</v>
      </c>
      <c r="T96" s="99" t="s">
        <v>134</v>
      </c>
      <c r="U96" s="99" t="s">
        <v>136</v>
      </c>
      <c r="V96" s="95" t="s">
        <v>89</v>
      </c>
      <c r="W96" s="97">
        <v>45762</v>
      </c>
      <c r="X96" s="105">
        <v>45773</v>
      </c>
      <c r="Y96" s="99"/>
      <c r="Z96" s="164" t="s">
        <v>122</v>
      </c>
      <c r="AA96" s="122">
        <v>0</v>
      </c>
      <c r="AB96" s="99">
        <v>5777</v>
      </c>
      <c r="AC96" s="103">
        <v>908694</v>
      </c>
      <c r="AD96" s="103">
        <f t="shared" si="3"/>
        <v>1081345.8599999999</v>
      </c>
      <c r="AE96" s="103">
        <v>0</v>
      </c>
      <c r="AF96" s="99"/>
      <c r="AG96" s="104" t="s">
        <v>1467</v>
      </c>
      <c r="AH96" s="97" t="s">
        <v>122</v>
      </c>
      <c r="AI96" s="97">
        <v>45784</v>
      </c>
      <c r="AJ96" s="99" t="s">
        <v>571</v>
      </c>
      <c r="AK96" s="99"/>
    </row>
    <row r="97" spans="1:37" ht="45" x14ac:dyDescent="0.25">
      <c r="A97" s="147">
        <v>2025</v>
      </c>
      <c r="B97" s="111">
        <v>3</v>
      </c>
      <c r="C97" s="148">
        <v>22505</v>
      </c>
      <c r="D97" s="108">
        <v>45747</v>
      </c>
      <c r="E97" s="111" t="s">
        <v>679</v>
      </c>
      <c r="F97" s="111" t="s">
        <v>680</v>
      </c>
      <c r="G97" s="110" t="s">
        <v>445</v>
      </c>
      <c r="H97" s="110">
        <v>3217282022</v>
      </c>
      <c r="I97" s="110">
        <v>3147847171</v>
      </c>
      <c r="J97" s="108">
        <v>45718</v>
      </c>
      <c r="K97" s="110" t="s">
        <v>88</v>
      </c>
      <c r="L97" s="112" t="s">
        <v>1468</v>
      </c>
      <c r="M97" s="110" t="s">
        <v>136</v>
      </c>
      <c r="N97" s="110" t="s">
        <v>136</v>
      </c>
      <c r="O97" s="110">
        <v>6080</v>
      </c>
      <c r="P97" s="110" t="s">
        <v>136</v>
      </c>
      <c r="Q97" s="110" t="s">
        <v>136</v>
      </c>
      <c r="R97" s="110" t="s">
        <v>134</v>
      </c>
      <c r="S97" s="110" t="s">
        <v>134</v>
      </c>
      <c r="T97" s="110" t="s">
        <v>134</v>
      </c>
      <c r="U97" s="110" t="s">
        <v>134</v>
      </c>
      <c r="V97" s="106" t="s">
        <v>119</v>
      </c>
      <c r="W97" s="108">
        <v>45750</v>
      </c>
      <c r="X97" s="116">
        <v>45752</v>
      </c>
      <c r="Y97" s="110"/>
      <c r="Z97" s="169" t="s">
        <v>85</v>
      </c>
      <c r="AA97" s="124">
        <v>0</v>
      </c>
      <c r="AB97" s="110" t="s">
        <v>136</v>
      </c>
      <c r="AC97" s="114">
        <v>0</v>
      </c>
      <c r="AD97" s="114">
        <f t="shared" si="3"/>
        <v>0</v>
      </c>
      <c r="AE97" s="114">
        <v>0</v>
      </c>
      <c r="AF97" s="110"/>
      <c r="AG97" s="142" t="s">
        <v>754</v>
      </c>
      <c r="AH97" s="108" t="s">
        <v>136</v>
      </c>
      <c r="AI97" s="108">
        <v>45784</v>
      </c>
      <c r="AJ97" s="110" t="s">
        <v>571</v>
      </c>
      <c r="AK97" s="110" t="s">
        <v>1469</v>
      </c>
    </row>
    <row r="98" spans="1:37" ht="45" x14ac:dyDescent="0.25">
      <c r="A98" s="147">
        <v>2025</v>
      </c>
      <c r="B98" s="111">
        <v>3</v>
      </c>
      <c r="C98" s="148">
        <v>22506</v>
      </c>
      <c r="D98" s="108">
        <v>45747</v>
      </c>
      <c r="E98" s="111" t="s">
        <v>725</v>
      </c>
      <c r="F98" s="111" t="s">
        <v>726</v>
      </c>
      <c r="G98" s="110" t="s">
        <v>154</v>
      </c>
      <c r="H98" s="110">
        <v>3018521277</v>
      </c>
      <c r="I98" s="110">
        <v>3018521277</v>
      </c>
      <c r="J98" s="108">
        <v>45747</v>
      </c>
      <c r="K98" s="110" t="s">
        <v>84</v>
      </c>
      <c r="L98" s="112" t="s">
        <v>1470</v>
      </c>
      <c r="M98" s="110" t="s">
        <v>136</v>
      </c>
      <c r="N98" s="110" t="s">
        <v>136</v>
      </c>
      <c r="O98" s="110" t="s">
        <v>136</v>
      </c>
      <c r="P98" s="110" t="s">
        <v>136</v>
      </c>
      <c r="Q98" s="110" t="s">
        <v>136</v>
      </c>
      <c r="R98" s="110" t="s">
        <v>136</v>
      </c>
      <c r="S98" s="110" t="s">
        <v>134</v>
      </c>
      <c r="T98" s="110" t="s">
        <v>136</v>
      </c>
      <c r="U98" s="110" t="s">
        <v>134</v>
      </c>
      <c r="V98" s="106" t="s">
        <v>119</v>
      </c>
      <c r="W98" s="108">
        <v>45747</v>
      </c>
      <c r="X98" s="116">
        <v>45747</v>
      </c>
      <c r="Y98" s="110"/>
      <c r="Z98" s="169" t="s">
        <v>85</v>
      </c>
      <c r="AA98" s="130">
        <v>260000</v>
      </c>
      <c r="AB98" s="110">
        <v>5760</v>
      </c>
      <c r="AC98" s="114">
        <v>218488</v>
      </c>
      <c r="AD98" s="114">
        <f t="shared" si="3"/>
        <v>260000.72</v>
      </c>
      <c r="AE98" s="114">
        <v>0</v>
      </c>
      <c r="AF98" s="110"/>
      <c r="AG98" s="142" t="s">
        <v>727</v>
      </c>
      <c r="AH98" s="108" t="s">
        <v>927</v>
      </c>
      <c r="AI98" s="108">
        <v>45784</v>
      </c>
      <c r="AJ98" s="110" t="s">
        <v>571</v>
      </c>
      <c r="AK98" s="110"/>
    </row>
    <row r="99" spans="1:37" ht="60" x14ac:dyDescent="0.25">
      <c r="A99" s="147">
        <v>2025</v>
      </c>
      <c r="B99" s="111">
        <v>3</v>
      </c>
      <c r="C99" s="148">
        <v>22507</v>
      </c>
      <c r="D99" s="108">
        <v>45747</v>
      </c>
      <c r="E99" s="111" t="s">
        <v>736</v>
      </c>
      <c r="F99" s="111" t="s">
        <v>736</v>
      </c>
      <c r="G99" s="110" t="s">
        <v>154</v>
      </c>
      <c r="H99" s="110">
        <v>316876969</v>
      </c>
      <c r="I99" s="110">
        <v>316876969</v>
      </c>
      <c r="J99" s="108">
        <v>45762</v>
      </c>
      <c r="K99" s="110" t="s">
        <v>84</v>
      </c>
      <c r="L99" s="112" t="s">
        <v>1471</v>
      </c>
      <c r="M99" s="110" t="s">
        <v>136</v>
      </c>
      <c r="N99" s="110">
        <v>5845</v>
      </c>
      <c r="O99" s="110">
        <v>6096</v>
      </c>
      <c r="P99" s="110" t="s">
        <v>136</v>
      </c>
      <c r="Q99" s="110">
        <v>5504</v>
      </c>
      <c r="R99" s="110" t="s">
        <v>134</v>
      </c>
      <c r="S99" s="110" t="s">
        <v>134</v>
      </c>
      <c r="T99" s="110" t="s">
        <v>134</v>
      </c>
      <c r="U99" s="110" t="s">
        <v>136</v>
      </c>
      <c r="V99" s="106" t="s">
        <v>119</v>
      </c>
      <c r="W99" s="108">
        <v>45759</v>
      </c>
      <c r="X99" s="116">
        <v>45771</v>
      </c>
      <c r="Y99" s="110"/>
      <c r="Z99" s="169" t="s">
        <v>85</v>
      </c>
      <c r="AA99" s="124">
        <v>0</v>
      </c>
      <c r="AB99" s="110">
        <v>5742</v>
      </c>
      <c r="AC99" s="114">
        <v>588235</v>
      </c>
      <c r="AD99" s="114">
        <f t="shared" si="3"/>
        <v>699999.65</v>
      </c>
      <c r="AE99" s="114">
        <v>350000</v>
      </c>
      <c r="AF99" s="110"/>
      <c r="AG99" s="142" t="s">
        <v>1098</v>
      </c>
      <c r="AH99" s="108">
        <v>45768</v>
      </c>
      <c r="AI99" s="108">
        <v>45784</v>
      </c>
      <c r="AJ99" s="110" t="s">
        <v>571</v>
      </c>
      <c r="AK99" s="110"/>
    </row>
    <row r="100" spans="1:37" ht="34.5" customHeight="1" x14ac:dyDescent="0.25">
      <c r="A100" s="147">
        <v>2025</v>
      </c>
      <c r="B100" s="111">
        <v>3</v>
      </c>
      <c r="C100" s="148">
        <v>22508</v>
      </c>
      <c r="D100" s="108">
        <v>45747</v>
      </c>
      <c r="E100" s="111" t="s">
        <v>717</v>
      </c>
      <c r="F100" s="111" t="s">
        <v>717</v>
      </c>
      <c r="G100" s="110" t="s">
        <v>592</v>
      </c>
      <c r="H100" s="110">
        <v>3117663087</v>
      </c>
      <c r="I100" s="110">
        <v>3117663087</v>
      </c>
      <c r="J100" s="108">
        <v>45755</v>
      </c>
      <c r="K100" s="110" t="s">
        <v>94</v>
      </c>
      <c r="L100" s="112" t="s">
        <v>718</v>
      </c>
      <c r="M100" s="110" t="s">
        <v>136</v>
      </c>
      <c r="N100" s="110">
        <v>5825</v>
      </c>
      <c r="O100" s="110" t="s">
        <v>136</v>
      </c>
      <c r="P100" s="110" t="s">
        <v>136</v>
      </c>
      <c r="Q100" s="110" t="s">
        <v>136</v>
      </c>
      <c r="R100" s="110" t="s">
        <v>136</v>
      </c>
      <c r="S100" s="110" t="s">
        <v>136</v>
      </c>
      <c r="T100" s="110" t="s">
        <v>136</v>
      </c>
      <c r="U100" s="110" t="s">
        <v>136</v>
      </c>
      <c r="V100" s="106" t="s">
        <v>119</v>
      </c>
      <c r="W100" s="108">
        <v>45754</v>
      </c>
      <c r="X100" s="116">
        <v>45754</v>
      </c>
      <c r="Y100" s="110"/>
      <c r="Z100" s="169" t="s">
        <v>85</v>
      </c>
      <c r="AA100" s="130">
        <v>70000</v>
      </c>
      <c r="AB100" s="110">
        <v>5730</v>
      </c>
      <c r="AC100" s="114">
        <v>58824</v>
      </c>
      <c r="AD100" s="114">
        <f t="shared" si="3"/>
        <v>70000.56</v>
      </c>
      <c r="AE100" s="114">
        <v>0</v>
      </c>
      <c r="AF100" s="110"/>
      <c r="AG100" s="142" t="s">
        <v>838</v>
      </c>
      <c r="AH100" s="108">
        <v>45746</v>
      </c>
      <c r="AI100" s="108">
        <v>45784</v>
      </c>
      <c r="AJ100" s="110" t="s">
        <v>571</v>
      </c>
      <c r="AK100" s="110"/>
    </row>
    <row r="101" spans="1:37" ht="34.5" customHeight="1" x14ac:dyDescent="0.25">
      <c r="D101"/>
      <c r="E101"/>
      <c r="F101"/>
      <c r="W101" s="282"/>
      <c r="X101" s="282"/>
      <c r="AG101" s="342"/>
    </row>
    <row r="102" spans="1:37" ht="34.5" customHeight="1" x14ac:dyDescent="0.25">
      <c r="D102"/>
      <c r="E102"/>
      <c r="F102"/>
      <c r="W102" s="282"/>
      <c r="X102" s="282"/>
      <c r="AG102" s="342"/>
    </row>
    <row r="103" spans="1:37" ht="34.5" customHeight="1" x14ac:dyDescent="0.25">
      <c r="D103"/>
      <c r="E103"/>
      <c r="F103"/>
      <c r="W103" s="282"/>
      <c r="X103" s="282"/>
      <c r="AG103" s="342"/>
    </row>
    <row r="104" spans="1:37" ht="34.5" customHeight="1" x14ac:dyDescent="0.25">
      <c r="D104"/>
      <c r="E104"/>
      <c r="F104"/>
      <c r="W104" s="282"/>
      <c r="X104" s="282"/>
      <c r="AG104" s="342"/>
    </row>
    <row r="105" spans="1:37" ht="34.5" customHeight="1" x14ac:dyDescent="0.25">
      <c r="D105"/>
      <c r="E105"/>
      <c r="F105"/>
      <c r="W105" s="282"/>
      <c r="AG105" s="342"/>
    </row>
    <row r="106" spans="1:37" ht="34.5" customHeight="1" x14ac:dyDescent="0.25">
      <c r="D106"/>
      <c r="E106"/>
      <c r="F106"/>
      <c r="W106" s="282"/>
      <c r="AG106" s="342"/>
    </row>
    <row r="107" spans="1:37" ht="34.5" customHeight="1" x14ac:dyDescent="0.25">
      <c r="D107"/>
      <c r="E107"/>
      <c r="F107"/>
      <c r="W107" s="282"/>
      <c r="AG107" s="342"/>
    </row>
    <row r="108" spans="1:37" ht="34.5" customHeight="1" x14ac:dyDescent="0.25">
      <c r="D108"/>
      <c r="E108"/>
      <c r="F108"/>
      <c r="W108" s="282"/>
      <c r="AG108" s="342"/>
    </row>
    <row r="109" spans="1:37" ht="34.5" customHeight="1" x14ac:dyDescent="0.25">
      <c r="D109"/>
      <c r="E109"/>
      <c r="F109"/>
      <c r="W109" s="282"/>
      <c r="AG109" s="342"/>
    </row>
    <row r="110" spans="1:37" ht="34.5" customHeight="1" x14ac:dyDescent="0.25">
      <c r="D110"/>
      <c r="E110"/>
      <c r="F110"/>
      <c r="W110" s="282"/>
      <c r="AG110" s="342"/>
    </row>
    <row r="111" spans="1:37" ht="34.5" customHeight="1" x14ac:dyDescent="0.25">
      <c r="D111"/>
      <c r="E111"/>
      <c r="F111"/>
      <c r="W111" s="282"/>
      <c r="AG111" s="342"/>
    </row>
    <row r="112" spans="1:37" ht="34.5" customHeight="1" x14ac:dyDescent="0.25">
      <c r="D112"/>
      <c r="E112"/>
      <c r="F112"/>
      <c r="W112" s="282"/>
      <c r="AG112" s="342"/>
    </row>
    <row r="113" spans="4:33" ht="34.5" customHeight="1" x14ac:dyDescent="0.25">
      <c r="D113"/>
      <c r="E113"/>
      <c r="F113"/>
      <c r="W113" s="282"/>
      <c r="AG113" s="342"/>
    </row>
    <row r="114" spans="4:33" ht="34.5" customHeight="1" x14ac:dyDescent="0.25">
      <c r="D114"/>
      <c r="E114"/>
      <c r="F114"/>
      <c r="W114" s="282"/>
      <c r="AG114" s="342"/>
    </row>
    <row r="115" spans="4:33" ht="34.5" customHeight="1" x14ac:dyDescent="0.25">
      <c r="D115"/>
      <c r="E115"/>
      <c r="F115"/>
      <c r="W115" s="282"/>
      <c r="AG115" s="342"/>
    </row>
    <row r="116" spans="4:33" ht="34.5" customHeight="1" x14ac:dyDescent="0.25">
      <c r="D116"/>
      <c r="E116"/>
      <c r="F116"/>
      <c r="W116" s="282"/>
      <c r="AG116" s="342"/>
    </row>
    <row r="117" spans="4:33" ht="34.5" customHeight="1" x14ac:dyDescent="0.25">
      <c r="D117"/>
      <c r="E117"/>
      <c r="F117"/>
      <c r="W117" s="282"/>
      <c r="AG117" s="342"/>
    </row>
    <row r="118" spans="4:33" ht="34.5" customHeight="1" x14ac:dyDescent="0.25">
      <c r="D118"/>
      <c r="E118"/>
      <c r="F118"/>
      <c r="W118" s="282"/>
      <c r="AG118" s="342"/>
    </row>
    <row r="119" spans="4:33" ht="34.5" customHeight="1" x14ac:dyDescent="0.25">
      <c r="D119"/>
      <c r="E119"/>
      <c r="F119"/>
      <c r="W119" s="282"/>
      <c r="AG119" s="342"/>
    </row>
    <row r="120" spans="4:33" ht="34.5" customHeight="1" x14ac:dyDescent="0.25">
      <c r="D120"/>
      <c r="E120"/>
      <c r="F120"/>
      <c r="W120" s="282"/>
      <c r="AG120" s="342"/>
    </row>
    <row r="121" spans="4:33" ht="34.5" customHeight="1" x14ac:dyDescent="0.25">
      <c r="D121"/>
      <c r="E121"/>
      <c r="F121"/>
      <c r="W121" s="282"/>
      <c r="AG121" s="342"/>
    </row>
    <row r="122" spans="4:33" ht="34.5" customHeight="1" x14ac:dyDescent="0.25">
      <c r="D122"/>
      <c r="E122"/>
      <c r="F122"/>
      <c r="W122" s="282"/>
      <c r="AG122" s="342"/>
    </row>
    <row r="123" spans="4:33" ht="34.5" customHeight="1" x14ac:dyDescent="0.25">
      <c r="D123"/>
      <c r="E123"/>
      <c r="F123"/>
      <c r="W123" s="282"/>
      <c r="AG123" s="342"/>
    </row>
    <row r="124" spans="4:33" ht="34.5" customHeight="1" x14ac:dyDescent="0.25">
      <c r="D124"/>
      <c r="E124"/>
      <c r="F124"/>
      <c r="W124" s="282"/>
      <c r="AG124" s="342"/>
    </row>
    <row r="125" spans="4:33" ht="34.5" customHeight="1" x14ac:dyDescent="0.25">
      <c r="D125"/>
      <c r="E125"/>
      <c r="F125"/>
      <c r="W125" s="282"/>
      <c r="AG125" s="342"/>
    </row>
    <row r="126" spans="4:33" ht="34.5" customHeight="1" x14ac:dyDescent="0.25">
      <c r="D126"/>
      <c r="E126"/>
      <c r="F126"/>
      <c r="W126" s="282"/>
      <c r="AG126" s="342"/>
    </row>
    <row r="127" spans="4:33" ht="34.5" customHeight="1" x14ac:dyDescent="0.25">
      <c r="D127"/>
      <c r="E127"/>
      <c r="F127"/>
      <c r="W127" s="282"/>
      <c r="AG127" s="342"/>
    </row>
    <row r="128" spans="4:33" ht="34.5" customHeight="1" x14ac:dyDescent="0.25">
      <c r="D128"/>
      <c r="E128"/>
      <c r="F128"/>
      <c r="W128" s="282"/>
      <c r="AG128" s="342"/>
    </row>
    <row r="129" spans="4:33" ht="34.5" customHeight="1" x14ac:dyDescent="0.25">
      <c r="D129"/>
      <c r="E129"/>
      <c r="F129"/>
      <c r="W129" s="282"/>
      <c r="AG129" s="342"/>
    </row>
    <row r="130" spans="4:33" ht="34.5" customHeight="1" x14ac:dyDescent="0.25">
      <c r="D130"/>
      <c r="E130"/>
      <c r="F130"/>
      <c r="AG130" s="342"/>
    </row>
    <row r="131" spans="4:33" ht="34.5" customHeight="1" x14ac:dyDescent="0.25">
      <c r="D131"/>
      <c r="E131"/>
      <c r="F131"/>
      <c r="AG131" s="342"/>
    </row>
    <row r="132" spans="4:33" ht="34.5" customHeight="1" x14ac:dyDescent="0.25">
      <c r="D132"/>
      <c r="E132"/>
      <c r="F132"/>
      <c r="AG132" s="342"/>
    </row>
    <row r="133" spans="4:33" ht="34.5" customHeight="1" x14ac:dyDescent="0.25">
      <c r="D133"/>
      <c r="E133"/>
      <c r="F133"/>
      <c r="AG133" s="342"/>
    </row>
    <row r="134" spans="4:33" ht="34.5" customHeight="1" x14ac:dyDescent="0.25">
      <c r="D134"/>
      <c r="E134"/>
      <c r="F134"/>
      <c r="AG134" s="342"/>
    </row>
    <row r="135" spans="4:33" ht="34.5" customHeight="1" x14ac:dyDescent="0.25">
      <c r="D135"/>
      <c r="E135"/>
      <c r="F135"/>
      <c r="AG135" s="342"/>
    </row>
    <row r="136" spans="4:33" ht="34.5" customHeight="1" x14ac:dyDescent="0.25">
      <c r="D136"/>
      <c r="E136"/>
      <c r="F136"/>
      <c r="AG136" s="342"/>
    </row>
    <row r="137" spans="4:33" ht="34.5" customHeight="1" x14ac:dyDescent="0.25">
      <c r="D137"/>
      <c r="E137"/>
      <c r="F137"/>
      <c r="AG137" s="342"/>
    </row>
    <row r="138" spans="4:33" ht="34.5" customHeight="1" x14ac:dyDescent="0.25">
      <c r="D138"/>
      <c r="E138"/>
      <c r="F138"/>
      <c r="AG138" s="342"/>
    </row>
    <row r="139" spans="4:33" ht="34.5" customHeight="1" x14ac:dyDescent="0.25">
      <c r="AC139" s="242">
        <f>SUBTOTAL(9,AC10:AC85)</f>
        <v>177233565</v>
      </c>
    </row>
  </sheetData>
  <autoFilter ref="A1:AK138" xr:uid="{00000000-0009-0000-0000-000003000000}"/>
  <conditionalFormatting sqref="A2:AK100">
    <cfRule type="expression" dxfId="25" priority="1">
      <formula>$Z2="ARCHIVADO"</formula>
    </cfRule>
  </conditionalFormatting>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LiSTAS!$B$2:$B$7</xm:f>
          </x14:formula1>
          <xm:sqref>K60:K68 K17 K47:K48 K45 K139:K1048576 K34 K43 K20:K21 K2:K6 K70:K100 K31:K32 K36:K37 K40:K41 K50:K51 K56:K58 K9:K15</xm:sqref>
        </x14:dataValidation>
        <x14:dataValidation type="list" allowBlank="1" showInputMessage="1" showErrorMessage="1" xr:uid="{00000000-0002-0000-0300-000001000000}">
          <x14:formula1>
            <xm:f>LiSTAS!$A$2:$A$14</xm:f>
          </x14:formula1>
          <xm:sqref>V2 V5 V53</xm:sqref>
        </x14:dataValidation>
        <x14:dataValidation type="list" allowBlank="1" showInputMessage="1" showErrorMessage="1" xr:uid="{00000000-0002-0000-0300-000002000000}">
          <x14:formula1>
            <xm:f>LiSTAS!$A$2:$A$12</xm:f>
          </x14:formula1>
          <xm:sqref>V3:V4 V17 V47:V48 V45 V60:V100 V34 V43 V20:V21 V6 V56:V58 V31:V32 V36:V37 V40:V41 V50:V51 V9:V15</xm:sqref>
        </x14:dataValidation>
        <x14:dataValidation type="list" allowBlank="1" showInputMessage="1" showErrorMessage="1" xr:uid="{00000000-0002-0000-0300-000003000000}">
          <x14:formula1>
            <xm:f>LiSTAS!$C$2:$C$11</xm:f>
          </x14:formula1>
          <xm:sqref>Z56:Z58 Z17 Z47:Z48 Z45 Z60:Z100 Z34 Z43 Z20:Z21 Z53 Z2:Z6 Z31:Z32 Z36:Z37 Z40:Z41 Z50:Z51 Z9:Z15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BN216"/>
  <sheetViews>
    <sheetView zoomScale="80" zoomScaleNormal="80" workbookViewId="0">
      <pane ySplit="1" topLeftCell="A116" activePane="bottomLeft" state="frozen"/>
      <selection pane="bottomLeft" activeCell="AI35" sqref="AI35"/>
    </sheetView>
  </sheetViews>
  <sheetFormatPr baseColWidth="10" defaultColWidth="8.85546875" defaultRowHeight="34.5" customHeight="1" x14ac:dyDescent="0.25"/>
  <cols>
    <col min="1" max="1" width="5.42578125" style="65" customWidth="1"/>
    <col min="2" max="2" width="2.42578125" style="65" customWidth="1"/>
    <col min="3" max="3" width="7.28515625" style="78" customWidth="1"/>
    <col min="4" max="4" width="13.140625" style="239" customWidth="1"/>
    <col min="5" max="5" width="30" style="193" customWidth="1"/>
    <col min="6" max="6" width="26.7109375" style="193" customWidth="1"/>
    <col min="7" max="7" width="18.85546875" style="65" customWidth="1"/>
    <col min="8" max="8" width="15.140625" style="65" customWidth="1"/>
    <col min="9" max="9" width="13.42578125" style="65" customWidth="1"/>
    <col min="10" max="10" width="10.7109375" style="65" bestFit="1" customWidth="1"/>
    <col min="11" max="11" width="16" style="65" customWidth="1"/>
    <col min="12" max="12" width="52.42578125" style="45" customWidth="1"/>
    <col min="13" max="13" width="5.140625" style="65" customWidth="1"/>
    <col min="14" max="14" width="5.5703125" style="65" customWidth="1"/>
    <col min="15" max="15" width="10.140625" style="65" bestFit="1" customWidth="1"/>
    <col min="16" max="16" width="6.28515625" style="65" customWidth="1"/>
    <col min="17" max="17" width="5.7109375" style="65" customWidth="1"/>
    <col min="18" max="18" width="3.7109375" style="65" customWidth="1"/>
    <col min="19" max="19" width="3" style="65" customWidth="1"/>
    <col min="20" max="20" width="3.7109375" style="65" customWidth="1"/>
    <col min="21" max="21" width="3.42578125" style="65" customWidth="1"/>
    <col min="22" max="22" width="13.7109375" style="65" customWidth="1"/>
    <col min="23" max="23" width="11.5703125" style="65" bestFit="1" customWidth="1"/>
    <col min="24" max="24" width="11.42578125" style="65" bestFit="1" customWidth="1"/>
    <col min="25" max="25" width="15.42578125" style="65" hidden="1" customWidth="1"/>
    <col min="26" max="26" width="16.28515625" style="193" customWidth="1"/>
    <col min="27" max="27" width="12.5703125" style="65" customWidth="1"/>
    <col min="28" max="28" width="5.85546875" style="65" customWidth="1"/>
    <col min="29" max="29" width="12.28515625" style="65" customWidth="1"/>
    <col min="30" max="30" width="12.42578125" style="65" customWidth="1"/>
    <col min="31" max="31" width="13.7109375" style="65" bestFit="1" customWidth="1"/>
    <col min="32" max="32" width="13.5703125" style="65" hidden="1" customWidth="1"/>
    <col min="33" max="33" width="52.5703125" style="236" customWidth="1"/>
    <col min="34" max="34" width="15.28515625" style="65" customWidth="1"/>
    <col min="35" max="35" width="13.7109375" style="78" bestFit="1" customWidth="1"/>
    <col min="36" max="36" width="13.42578125" style="78" bestFit="1" customWidth="1"/>
    <col min="37" max="37" width="9.85546875" style="78" bestFit="1" customWidth="1"/>
    <col min="38" max="16384" width="8.85546875" style="65"/>
  </cols>
  <sheetData>
    <row r="1" spans="1:37" customFormat="1" ht="34.5" customHeight="1" x14ac:dyDescent="0.25">
      <c r="A1" s="1" t="s">
        <v>0</v>
      </c>
      <c r="B1" s="269" t="s">
        <v>1</v>
      </c>
      <c r="C1" s="1" t="s">
        <v>2</v>
      </c>
      <c r="D1" s="272" t="s">
        <v>3</v>
      </c>
      <c r="E1" s="1" t="s">
        <v>4</v>
      </c>
      <c r="F1" s="3" t="s">
        <v>5</v>
      </c>
      <c r="G1" s="3" t="s">
        <v>6</v>
      </c>
      <c r="H1" s="3" t="s">
        <v>7</v>
      </c>
      <c r="I1" s="1" t="s">
        <v>8</v>
      </c>
      <c r="J1" s="2" t="s">
        <v>9</v>
      </c>
      <c r="K1" s="4" t="s">
        <v>115</v>
      </c>
      <c r="L1" s="159" t="s">
        <v>11</v>
      </c>
      <c r="M1" s="6" t="s">
        <v>655</v>
      </c>
      <c r="N1" s="7" t="s">
        <v>13</v>
      </c>
      <c r="O1" s="8" t="s">
        <v>14</v>
      </c>
      <c r="P1" s="8" t="s">
        <v>15</v>
      </c>
      <c r="Q1" s="8" t="s">
        <v>16</v>
      </c>
      <c r="R1" s="9" t="s">
        <v>116</v>
      </c>
      <c r="S1" s="9" t="s">
        <v>330</v>
      </c>
      <c r="T1" s="9" t="s">
        <v>19</v>
      </c>
      <c r="U1" s="9" t="s">
        <v>20</v>
      </c>
      <c r="V1" s="4" t="s">
        <v>21</v>
      </c>
      <c r="W1" s="11" t="s">
        <v>22</v>
      </c>
      <c r="X1" s="2" t="s">
        <v>23</v>
      </c>
      <c r="Y1" s="12" t="s">
        <v>24</v>
      </c>
      <c r="Z1" s="13" t="s">
        <v>25</v>
      </c>
      <c r="AA1" s="14" t="s">
        <v>26</v>
      </c>
      <c r="AB1" s="6" t="s">
        <v>27</v>
      </c>
      <c r="AC1" s="15" t="s">
        <v>28</v>
      </c>
      <c r="AD1" s="15" t="s">
        <v>29</v>
      </c>
      <c r="AE1" s="15" t="s">
        <v>30</v>
      </c>
      <c r="AF1" s="16" t="s">
        <v>31</v>
      </c>
      <c r="AG1" s="86" t="s">
        <v>32</v>
      </c>
      <c r="AH1" s="240" t="s">
        <v>398</v>
      </c>
      <c r="AI1" s="87" t="s">
        <v>33</v>
      </c>
      <c r="AJ1" s="87" t="s">
        <v>34</v>
      </c>
      <c r="AK1" s="88" t="s">
        <v>126</v>
      </c>
    </row>
    <row r="2" spans="1:37" ht="105" x14ac:dyDescent="0.25">
      <c r="A2" s="110">
        <v>2025</v>
      </c>
      <c r="B2" s="230">
        <v>4</v>
      </c>
      <c r="C2" s="152">
        <v>22509</v>
      </c>
      <c r="D2" s="277">
        <v>45748</v>
      </c>
      <c r="E2" s="111" t="s">
        <v>737</v>
      </c>
      <c r="F2" s="111" t="s">
        <v>738</v>
      </c>
      <c r="G2" s="110" t="s">
        <v>570</v>
      </c>
      <c r="H2" s="110">
        <v>3155490669</v>
      </c>
      <c r="I2" s="110">
        <v>3155490659</v>
      </c>
      <c r="J2" s="144">
        <v>45762</v>
      </c>
      <c r="K2" s="110" t="s">
        <v>88</v>
      </c>
      <c r="L2" s="112" t="s">
        <v>1686</v>
      </c>
      <c r="M2" s="110" t="s">
        <v>136</v>
      </c>
      <c r="N2" s="110">
        <v>5841</v>
      </c>
      <c r="O2" s="110">
        <v>6093</v>
      </c>
      <c r="P2" s="110">
        <v>8596</v>
      </c>
      <c r="Q2" s="110">
        <v>5496</v>
      </c>
      <c r="R2" s="110" t="s">
        <v>134</v>
      </c>
      <c r="S2" s="110" t="s">
        <v>134</v>
      </c>
      <c r="T2" s="110" t="s">
        <v>134</v>
      </c>
      <c r="U2" s="110" t="s">
        <v>136</v>
      </c>
      <c r="V2" s="110" t="s">
        <v>119</v>
      </c>
      <c r="W2" s="108">
        <v>45772</v>
      </c>
      <c r="X2" s="108">
        <v>45777</v>
      </c>
      <c r="Y2" s="110"/>
      <c r="Z2" s="111" t="s">
        <v>85</v>
      </c>
      <c r="AA2" s="124">
        <v>0</v>
      </c>
      <c r="AB2" s="110">
        <v>5780</v>
      </c>
      <c r="AC2" s="212">
        <v>16763861</v>
      </c>
      <c r="AD2" s="212">
        <f>+AC2*1.19</f>
        <v>19948994.59</v>
      </c>
      <c r="AE2" s="130">
        <v>19278441</v>
      </c>
      <c r="AF2" s="110"/>
      <c r="AG2" s="142" t="s">
        <v>1126</v>
      </c>
      <c r="AH2" s="248">
        <v>45776</v>
      </c>
      <c r="AI2" s="108">
        <v>45789</v>
      </c>
      <c r="AJ2" s="110" t="s">
        <v>571</v>
      </c>
      <c r="AK2" s="110"/>
    </row>
    <row r="3" spans="1:37" ht="60" x14ac:dyDescent="0.25">
      <c r="A3" s="99">
        <v>2025</v>
      </c>
      <c r="B3" s="233">
        <v>4</v>
      </c>
      <c r="C3" s="356">
        <v>22510</v>
      </c>
      <c r="D3" s="278">
        <v>45748</v>
      </c>
      <c r="E3" s="100" t="s">
        <v>223</v>
      </c>
      <c r="F3" s="100" t="s">
        <v>224</v>
      </c>
      <c r="G3" s="99" t="s">
        <v>570</v>
      </c>
      <c r="H3" s="99">
        <v>3112259947</v>
      </c>
      <c r="I3" s="99">
        <v>6017421861</v>
      </c>
      <c r="J3" s="249">
        <v>45758</v>
      </c>
      <c r="K3" s="99" t="s">
        <v>88</v>
      </c>
      <c r="L3" s="101" t="s">
        <v>1684</v>
      </c>
      <c r="M3" s="99" t="s">
        <v>136</v>
      </c>
      <c r="N3" s="99">
        <v>5833</v>
      </c>
      <c r="O3" s="99" t="s">
        <v>136</v>
      </c>
      <c r="P3" s="99">
        <v>8771</v>
      </c>
      <c r="Q3" s="99" t="s">
        <v>136</v>
      </c>
      <c r="R3" s="99" t="s">
        <v>136</v>
      </c>
      <c r="S3" s="99" t="s">
        <v>134</v>
      </c>
      <c r="T3" s="99" t="s">
        <v>134</v>
      </c>
      <c r="U3" s="99" t="s">
        <v>136</v>
      </c>
      <c r="V3" s="99" t="s">
        <v>89</v>
      </c>
      <c r="W3" s="97">
        <v>45757</v>
      </c>
      <c r="X3" s="97">
        <v>45779</v>
      </c>
      <c r="Y3" s="99"/>
      <c r="Z3" s="100" t="s">
        <v>97</v>
      </c>
      <c r="AA3" s="122">
        <v>0</v>
      </c>
      <c r="AB3" s="99">
        <v>5738</v>
      </c>
      <c r="AC3" s="198">
        <v>1106922</v>
      </c>
      <c r="AD3" s="198">
        <f t="shared" ref="AD3:AD4" si="0">+AC3*1.19</f>
        <v>1317237.18</v>
      </c>
      <c r="AE3" s="117">
        <v>554000</v>
      </c>
      <c r="AF3" s="99"/>
      <c r="AG3" s="104" t="s">
        <v>1685</v>
      </c>
      <c r="AH3" s="233"/>
      <c r="AI3" s="97">
        <v>45789</v>
      </c>
      <c r="AJ3" s="99" t="s">
        <v>571</v>
      </c>
      <c r="AK3" s="99"/>
    </row>
    <row r="4" spans="1:37" ht="45" x14ac:dyDescent="0.25">
      <c r="A4" s="99">
        <v>2025</v>
      </c>
      <c r="B4" s="233">
        <v>4</v>
      </c>
      <c r="C4" s="356">
        <v>22511</v>
      </c>
      <c r="D4" s="278">
        <v>45758</v>
      </c>
      <c r="E4" s="100" t="s">
        <v>848</v>
      </c>
      <c r="F4" s="100" t="s">
        <v>917</v>
      </c>
      <c r="G4" s="99" t="s">
        <v>570</v>
      </c>
      <c r="H4" s="99">
        <v>6044483227</v>
      </c>
      <c r="I4" s="99">
        <v>6044483227</v>
      </c>
      <c r="J4" s="97">
        <v>45762</v>
      </c>
      <c r="K4" s="99" t="s">
        <v>88</v>
      </c>
      <c r="L4" s="101" t="s">
        <v>918</v>
      </c>
      <c r="M4" s="100" t="s">
        <v>698</v>
      </c>
      <c r="N4" s="99">
        <v>5837</v>
      </c>
      <c r="O4" s="99">
        <v>6088</v>
      </c>
      <c r="P4" s="99">
        <v>8764</v>
      </c>
      <c r="Q4" s="99" t="s">
        <v>136</v>
      </c>
      <c r="R4" s="99" t="s">
        <v>136</v>
      </c>
      <c r="S4" s="99" t="s">
        <v>134</v>
      </c>
      <c r="T4" s="99" t="s">
        <v>134</v>
      </c>
      <c r="U4" s="99" t="s">
        <v>136</v>
      </c>
      <c r="V4" s="99" t="s">
        <v>89</v>
      </c>
      <c r="W4" s="97">
        <v>45762</v>
      </c>
      <c r="X4" s="97">
        <v>45772</v>
      </c>
      <c r="Y4" s="99"/>
      <c r="Z4" s="100" t="s">
        <v>85</v>
      </c>
      <c r="AA4" s="122">
        <v>0</v>
      </c>
      <c r="AB4" s="99">
        <v>5778</v>
      </c>
      <c r="AC4" s="198">
        <v>898392</v>
      </c>
      <c r="AD4" s="198">
        <f t="shared" si="0"/>
        <v>1069086.48</v>
      </c>
      <c r="AE4" s="117">
        <v>0</v>
      </c>
      <c r="AF4" s="99"/>
      <c r="AG4" s="104" t="s">
        <v>1987</v>
      </c>
      <c r="AH4" s="258">
        <v>45807</v>
      </c>
      <c r="AI4" s="97">
        <v>45817</v>
      </c>
      <c r="AJ4" s="99" t="s">
        <v>1705</v>
      </c>
      <c r="AK4" s="99"/>
    </row>
    <row r="5" spans="1:37" customFormat="1" ht="34.5" customHeight="1" x14ac:dyDescent="0.25">
      <c r="A5" s="224">
        <v>2025</v>
      </c>
      <c r="B5" s="270">
        <v>4</v>
      </c>
      <c r="C5" s="148">
        <v>22512</v>
      </c>
      <c r="D5" s="277">
        <v>45748</v>
      </c>
      <c r="E5" s="154" t="s">
        <v>706</v>
      </c>
      <c r="F5" s="154" t="s">
        <v>706</v>
      </c>
      <c r="G5" s="153" t="s">
        <v>143</v>
      </c>
      <c r="H5" s="153">
        <v>3004961399</v>
      </c>
      <c r="I5" s="153">
        <v>3004961399</v>
      </c>
      <c r="J5" s="144">
        <v>45754</v>
      </c>
      <c r="K5" s="243" t="s">
        <v>84</v>
      </c>
      <c r="L5" s="223" t="s">
        <v>707</v>
      </c>
      <c r="M5" s="153" t="s">
        <v>281</v>
      </c>
      <c r="N5" s="153" t="s">
        <v>136</v>
      </c>
      <c r="O5" s="153" t="s">
        <v>136</v>
      </c>
      <c r="P5" s="153" t="s">
        <v>136</v>
      </c>
      <c r="Q5" s="153" t="s">
        <v>136</v>
      </c>
      <c r="R5" s="153" t="s">
        <v>136</v>
      </c>
      <c r="S5" s="153" t="s">
        <v>134</v>
      </c>
      <c r="T5" s="153" t="s">
        <v>134</v>
      </c>
      <c r="U5" s="153" t="s">
        <v>136</v>
      </c>
      <c r="V5" s="154" t="s">
        <v>89</v>
      </c>
      <c r="W5" s="144">
        <v>45754</v>
      </c>
      <c r="X5" s="243">
        <v>45754</v>
      </c>
      <c r="Y5" s="153"/>
      <c r="Z5" s="244" t="s">
        <v>85</v>
      </c>
      <c r="AA5" s="245">
        <v>0</v>
      </c>
      <c r="AB5" s="153"/>
      <c r="AC5" s="212">
        <v>0</v>
      </c>
      <c r="AD5" s="212">
        <f>+AC5*1.19</f>
        <v>0</v>
      </c>
      <c r="AE5" s="212">
        <v>0</v>
      </c>
      <c r="AF5" s="153"/>
      <c r="AG5" s="225" t="s">
        <v>835</v>
      </c>
      <c r="AH5" s="246" t="s">
        <v>136</v>
      </c>
      <c r="AI5" s="108">
        <v>45758</v>
      </c>
      <c r="AJ5" s="111" t="s">
        <v>571</v>
      </c>
      <c r="AK5" s="110"/>
    </row>
    <row r="6" spans="1:37" customFormat="1" ht="105" x14ac:dyDescent="0.25">
      <c r="A6" s="99">
        <v>2025</v>
      </c>
      <c r="B6" s="233">
        <v>4</v>
      </c>
      <c r="C6" s="356">
        <v>22513</v>
      </c>
      <c r="D6" s="278">
        <v>45749</v>
      </c>
      <c r="E6" s="100" t="s">
        <v>292</v>
      </c>
      <c r="F6" s="100" t="s">
        <v>739</v>
      </c>
      <c r="G6" s="99" t="s">
        <v>95</v>
      </c>
      <c r="H6" s="99">
        <v>3005103364</v>
      </c>
      <c r="I6" s="99">
        <v>3005103364</v>
      </c>
      <c r="J6" s="249">
        <v>45762</v>
      </c>
      <c r="K6" s="99" t="s">
        <v>84</v>
      </c>
      <c r="L6" s="101" t="s">
        <v>740</v>
      </c>
      <c r="M6" s="99" t="s">
        <v>136</v>
      </c>
      <c r="N6" s="99">
        <v>5840</v>
      </c>
      <c r="O6" s="99">
        <v>6089</v>
      </c>
      <c r="P6" s="99">
        <v>8489</v>
      </c>
      <c r="Q6" s="99" t="s">
        <v>136</v>
      </c>
      <c r="R6" s="99" t="s">
        <v>134</v>
      </c>
      <c r="S6" s="99" t="s">
        <v>134</v>
      </c>
      <c r="T6" s="99" t="s">
        <v>134</v>
      </c>
      <c r="U6" s="99" t="s">
        <v>136</v>
      </c>
      <c r="V6" s="100" t="s">
        <v>87</v>
      </c>
      <c r="W6" s="97">
        <v>45762</v>
      </c>
      <c r="X6" s="97">
        <v>45776</v>
      </c>
      <c r="Y6" s="99"/>
      <c r="Z6" s="120" t="s">
        <v>97</v>
      </c>
      <c r="AA6" s="122">
        <v>0</v>
      </c>
      <c r="AB6" s="99">
        <v>5747</v>
      </c>
      <c r="AC6" s="103">
        <v>4362627</v>
      </c>
      <c r="AD6" s="198">
        <f t="shared" ref="AD6:AD10" si="1">+AC6*1.19</f>
        <v>5191526.13</v>
      </c>
      <c r="AE6" s="103">
        <v>2500000</v>
      </c>
      <c r="AF6" s="99"/>
      <c r="AG6" s="104" t="s">
        <v>1031</v>
      </c>
      <c r="AH6" s="233"/>
      <c r="AI6" s="97">
        <v>45777</v>
      </c>
      <c r="AJ6" s="99" t="s">
        <v>571</v>
      </c>
      <c r="AK6" s="99"/>
    </row>
    <row r="7" spans="1:37" customFormat="1" ht="45" x14ac:dyDescent="0.25">
      <c r="A7" s="110">
        <v>2025</v>
      </c>
      <c r="B7" s="230">
        <v>4</v>
      </c>
      <c r="C7" s="152">
        <v>22514</v>
      </c>
      <c r="D7" s="277">
        <v>45749</v>
      </c>
      <c r="E7" s="111" t="s">
        <v>759</v>
      </c>
      <c r="F7" s="111" t="s">
        <v>759</v>
      </c>
      <c r="G7" s="110" t="s">
        <v>143</v>
      </c>
      <c r="H7" s="110">
        <v>3117314512</v>
      </c>
      <c r="I7" s="110">
        <v>3117314512</v>
      </c>
      <c r="J7" s="144">
        <v>45758</v>
      </c>
      <c r="K7" s="110" t="s">
        <v>84</v>
      </c>
      <c r="L7" s="112" t="s">
        <v>760</v>
      </c>
      <c r="M7" s="110" t="s">
        <v>136</v>
      </c>
      <c r="N7" s="110" t="s">
        <v>136</v>
      </c>
      <c r="O7" s="110" t="s">
        <v>136</v>
      </c>
      <c r="P7" s="110" t="s">
        <v>136</v>
      </c>
      <c r="Q7" s="110" t="s">
        <v>136</v>
      </c>
      <c r="R7" s="110" t="s">
        <v>136</v>
      </c>
      <c r="S7" s="110" t="s">
        <v>134</v>
      </c>
      <c r="T7" s="110" t="s">
        <v>136</v>
      </c>
      <c r="U7" s="110" t="s">
        <v>136</v>
      </c>
      <c r="V7" s="111" t="s">
        <v>119</v>
      </c>
      <c r="W7" s="108">
        <v>45759</v>
      </c>
      <c r="X7" s="108">
        <v>45759</v>
      </c>
      <c r="Y7" s="110"/>
      <c r="Z7" s="126" t="s">
        <v>85</v>
      </c>
      <c r="AA7" s="130">
        <v>470000</v>
      </c>
      <c r="AB7" s="110">
        <v>5725</v>
      </c>
      <c r="AC7" s="114">
        <v>394958</v>
      </c>
      <c r="AD7" s="212">
        <f t="shared" si="1"/>
        <v>470000.01999999996</v>
      </c>
      <c r="AE7" s="114">
        <v>0</v>
      </c>
      <c r="AF7" s="110"/>
      <c r="AG7" s="142" t="s">
        <v>892</v>
      </c>
      <c r="AH7" s="230"/>
      <c r="AI7" s="108">
        <v>45755</v>
      </c>
      <c r="AJ7" s="110" t="s">
        <v>571</v>
      </c>
      <c r="AK7" s="110"/>
    </row>
    <row r="8" spans="1:37" customFormat="1" ht="34.5" customHeight="1" x14ac:dyDescent="0.25">
      <c r="A8" s="111">
        <v>2025</v>
      </c>
      <c r="B8" s="271">
        <v>4</v>
      </c>
      <c r="C8" s="148">
        <v>22515</v>
      </c>
      <c r="D8" s="277">
        <v>45749</v>
      </c>
      <c r="E8" s="111" t="s">
        <v>708</v>
      </c>
      <c r="F8" s="111" t="s">
        <v>709</v>
      </c>
      <c r="G8" s="111" t="s">
        <v>570</v>
      </c>
      <c r="H8" s="111" t="s">
        <v>710</v>
      </c>
      <c r="I8" s="111">
        <v>6044017891</v>
      </c>
      <c r="J8" s="108">
        <v>45751</v>
      </c>
      <c r="K8" s="111" t="s">
        <v>88</v>
      </c>
      <c r="L8" s="112" t="s">
        <v>711</v>
      </c>
      <c r="M8" s="111" t="s">
        <v>136</v>
      </c>
      <c r="N8" s="111" t="s">
        <v>136</v>
      </c>
      <c r="O8" s="111" t="s">
        <v>136</v>
      </c>
      <c r="P8" s="111" t="s">
        <v>136</v>
      </c>
      <c r="Q8" s="111" t="s">
        <v>136</v>
      </c>
      <c r="R8" s="111" t="s">
        <v>136</v>
      </c>
      <c r="S8" s="111" t="s">
        <v>134</v>
      </c>
      <c r="T8" s="111" t="s">
        <v>136</v>
      </c>
      <c r="U8" s="111" t="s">
        <v>136</v>
      </c>
      <c r="V8" s="111" t="s">
        <v>87</v>
      </c>
      <c r="W8" s="116" t="s">
        <v>136</v>
      </c>
      <c r="X8" s="116">
        <v>45751</v>
      </c>
      <c r="Y8" s="111"/>
      <c r="Z8" s="126" t="s">
        <v>85</v>
      </c>
      <c r="AA8" s="124">
        <v>0</v>
      </c>
      <c r="AB8" s="111">
        <v>5714</v>
      </c>
      <c r="AC8" s="114">
        <v>210084</v>
      </c>
      <c r="AD8" s="212">
        <f t="shared" si="1"/>
        <v>249999.96</v>
      </c>
      <c r="AE8" s="114">
        <v>241597</v>
      </c>
      <c r="AF8" s="111"/>
      <c r="AG8" s="142" t="s">
        <v>837</v>
      </c>
      <c r="AH8" s="250">
        <v>45749</v>
      </c>
      <c r="AI8" s="108">
        <v>45758</v>
      </c>
      <c r="AJ8" s="111" t="s">
        <v>571</v>
      </c>
      <c r="AK8" s="111"/>
    </row>
    <row r="9" spans="1:37" customFormat="1" ht="105" x14ac:dyDescent="0.25">
      <c r="A9" s="99">
        <v>2025</v>
      </c>
      <c r="B9" s="233">
        <v>4</v>
      </c>
      <c r="C9" s="356">
        <v>22516</v>
      </c>
      <c r="D9" s="278">
        <v>45749</v>
      </c>
      <c r="E9" s="100" t="s">
        <v>741</v>
      </c>
      <c r="F9" s="100" t="s">
        <v>742</v>
      </c>
      <c r="G9" s="99" t="s">
        <v>143</v>
      </c>
      <c r="H9" s="99">
        <v>3137372413</v>
      </c>
      <c r="I9" s="99">
        <v>3137372413</v>
      </c>
      <c r="J9" s="249">
        <v>45763</v>
      </c>
      <c r="K9" s="99" t="s">
        <v>84</v>
      </c>
      <c r="L9" s="101" t="s">
        <v>743</v>
      </c>
      <c r="M9" s="99" t="s">
        <v>136</v>
      </c>
      <c r="N9" s="99">
        <v>5838</v>
      </c>
      <c r="O9" s="99">
        <v>6092</v>
      </c>
      <c r="P9" s="100" t="s">
        <v>744</v>
      </c>
      <c r="Q9" s="99">
        <v>5476</v>
      </c>
      <c r="R9" s="99" t="s">
        <v>136</v>
      </c>
      <c r="S9" s="99" t="s">
        <v>134</v>
      </c>
      <c r="T9" s="99" t="s">
        <v>134</v>
      </c>
      <c r="U9" s="99" t="s">
        <v>136</v>
      </c>
      <c r="V9" s="100" t="s">
        <v>89</v>
      </c>
      <c r="W9" s="97">
        <v>45759</v>
      </c>
      <c r="X9" s="97">
        <v>45768</v>
      </c>
      <c r="Y9" s="99"/>
      <c r="Z9" s="120" t="s">
        <v>97</v>
      </c>
      <c r="AA9" s="122">
        <v>0</v>
      </c>
      <c r="AB9" s="99">
        <v>5809</v>
      </c>
      <c r="AC9" s="103">
        <v>20221691</v>
      </c>
      <c r="AD9" s="198">
        <f t="shared" si="1"/>
        <v>24063812.289999999</v>
      </c>
      <c r="AE9" s="103">
        <v>12969637</v>
      </c>
      <c r="AF9" s="99"/>
      <c r="AG9" s="104" t="s">
        <v>1043</v>
      </c>
      <c r="AH9" s="233"/>
      <c r="AI9" s="97">
        <v>45777</v>
      </c>
      <c r="AJ9" s="99" t="s">
        <v>571</v>
      </c>
      <c r="AK9" s="99"/>
    </row>
    <row r="10" spans="1:37" ht="34.5" customHeight="1" x14ac:dyDescent="0.25">
      <c r="A10" s="110">
        <v>2025</v>
      </c>
      <c r="B10" s="230">
        <v>4</v>
      </c>
      <c r="C10" s="152">
        <v>22517</v>
      </c>
      <c r="D10" s="277">
        <v>45749</v>
      </c>
      <c r="E10" s="111" t="s">
        <v>761</v>
      </c>
      <c r="F10" s="111" t="s">
        <v>762</v>
      </c>
      <c r="G10" s="110" t="s">
        <v>143</v>
      </c>
      <c r="H10" s="110">
        <v>3022608001</v>
      </c>
      <c r="I10" s="110">
        <v>3022608001</v>
      </c>
      <c r="J10" s="144">
        <v>45752</v>
      </c>
      <c r="K10" s="110" t="s">
        <v>94</v>
      </c>
      <c r="L10" s="112" t="s">
        <v>763</v>
      </c>
      <c r="M10" s="110" t="s">
        <v>282</v>
      </c>
      <c r="N10" s="110" t="s">
        <v>136</v>
      </c>
      <c r="O10" s="110">
        <v>6091</v>
      </c>
      <c r="P10" s="110" t="s">
        <v>136</v>
      </c>
      <c r="Q10" s="110" t="s">
        <v>136</v>
      </c>
      <c r="R10" s="110" t="s">
        <v>136</v>
      </c>
      <c r="S10" s="110" t="s">
        <v>136</v>
      </c>
      <c r="T10" s="110" t="s">
        <v>136</v>
      </c>
      <c r="U10" s="110" t="s">
        <v>136</v>
      </c>
      <c r="V10" s="111" t="s">
        <v>119</v>
      </c>
      <c r="W10" s="108">
        <v>45752</v>
      </c>
      <c r="X10" s="108">
        <v>45752</v>
      </c>
      <c r="Y10" s="110"/>
      <c r="Z10" s="126" t="s">
        <v>85</v>
      </c>
      <c r="AA10" s="130">
        <v>200000</v>
      </c>
      <c r="AB10" s="110">
        <v>5726</v>
      </c>
      <c r="AC10" s="114">
        <v>168067</v>
      </c>
      <c r="AD10" s="212">
        <f t="shared" si="1"/>
        <v>199999.72999999998</v>
      </c>
      <c r="AE10" s="114">
        <v>0</v>
      </c>
      <c r="AF10" s="110"/>
      <c r="AG10" s="142" t="s">
        <v>764</v>
      </c>
      <c r="AH10" s="248">
        <v>45749</v>
      </c>
      <c r="AI10" s="108">
        <v>45757</v>
      </c>
      <c r="AJ10" s="110" t="s">
        <v>571</v>
      </c>
      <c r="AK10" s="110"/>
    </row>
    <row r="11" spans="1:37" ht="45" x14ac:dyDescent="0.25">
      <c r="A11" s="110">
        <v>2025</v>
      </c>
      <c r="B11" s="230">
        <v>4</v>
      </c>
      <c r="C11" s="152">
        <v>22518</v>
      </c>
      <c r="D11" s="277">
        <v>45750</v>
      </c>
      <c r="E11" s="111" t="s">
        <v>782</v>
      </c>
      <c r="F11" s="111" t="s">
        <v>782</v>
      </c>
      <c r="G11" s="110" t="s">
        <v>143</v>
      </c>
      <c r="H11" s="110">
        <v>3147590188</v>
      </c>
      <c r="I11" s="110">
        <v>3147590188</v>
      </c>
      <c r="J11" s="108">
        <v>45758</v>
      </c>
      <c r="K11" s="110" t="s">
        <v>84</v>
      </c>
      <c r="L11" s="112" t="s">
        <v>783</v>
      </c>
      <c r="M11" s="110" t="s">
        <v>136</v>
      </c>
      <c r="N11" s="110">
        <v>5844</v>
      </c>
      <c r="O11" s="110" t="s">
        <v>136</v>
      </c>
      <c r="P11" s="110" t="s">
        <v>136</v>
      </c>
      <c r="Q11" s="110" t="s">
        <v>136</v>
      </c>
      <c r="R11" s="110" t="s">
        <v>136</v>
      </c>
      <c r="S11" s="110" t="s">
        <v>134</v>
      </c>
      <c r="T11" s="110" t="s">
        <v>136</v>
      </c>
      <c r="U11" s="110" t="s">
        <v>136</v>
      </c>
      <c r="V11" s="111" t="s">
        <v>119</v>
      </c>
      <c r="W11" s="108">
        <v>45759</v>
      </c>
      <c r="X11" s="108">
        <v>45761</v>
      </c>
      <c r="Y11" s="110"/>
      <c r="Z11" s="126" t="s">
        <v>85</v>
      </c>
      <c r="AA11" s="130">
        <v>140000</v>
      </c>
      <c r="AB11" s="110">
        <v>5744</v>
      </c>
      <c r="AC11" s="114">
        <v>117647</v>
      </c>
      <c r="AD11" s="212">
        <f t="shared" ref="AD11:AD12" si="2">+AC11*1.19</f>
        <v>139999.93</v>
      </c>
      <c r="AE11" s="114">
        <v>0</v>
      </c>
      <c r="AF11" s="110"/>
      <c r="AG11" s="142" t="s">
        <v>1019</v>
      </c>
      <c r="AH11" s="248">
        <v>45748</v>
      </c>
      <c r="AI11" s="281">
        <v>45772</v>
      </c>
      <c r="AJ11" s="110" t="s">
        <v>571</v>
      </c>
      <c r="AK11" s="110"/>
    </row>
    <row r="12" spans="1:37" ht="45" x14ac:dyDescent="0.25">
      <c r="A12" s="110">
        <v>2025</v>
      </c>
      <c r="B12" s="230">
        <v>4</v>
      </c>
      <c r="C12" s="152">
        <v>22519</v>
      </c>
      <c r="D12" s="277">
        <v>45750</v>
      </c>
      <c r="E12" s="111" t="s">
        <v>765</v>
      </c>
      <c r="F12" s="111" t="s">
        <v>766</v>
      </c>
      <c r="G12" s="110" t="s">
        <v>98</v>
      </c>
      <c r="H12" s="110">
        <v>3182855494</v>
      </c>
      <c r="I12" s="110">
        <v>3182855494</v>
      </c>
      <c r="J12" s="108">
        <v>45761</v>
      </c>
      <c r="K12" s="110" t="s">
        <v>88</v>
      </c>
      <c r="L12" s="112" t="s">
        <v>767</v>
      </c>
      <c r="M12" s="110" t="s">
        <v>282</v>
      </c>
      <c r="N12" s="110" t="s">
        <v>136</v>
      </c>
      <c r="O12" s="110">
        <v>6097</v>
      </c>
      <c r="P12" s="110">
        <v>8791</v>
      </c>
      <c r="Q12" s="110" t="s">
        <v>136</v>
      </c>
      <c r="R12" s="110" t="s">
        <v>136</v>
      </c>
      <c r="S12" s="110" t="s">
        <v>134</v>
      </c>
      <c r="T12" s="110" t="s">
        <v>134</v>
      </c>
      <c r="U12" s="110" t="s">
        <v>136</v>
      </c>
      <c r="V12" s="111" t="s">
        <v>119</v>
      </c>
      <c r="W12" s="108">
        <v>45762</v>
      </c>
      <c r="X12" s="108">
        <v>45769</v>
      </c>
      <c r="Y12" s="110"/>
      <c r="Z12" s="126" t="s">
        <v>85</v>
      </c>
      <c r="AA12" s="124">
        <v>59897</v>
      </c>
      <c r="AB12" s="110">
        <v>5749</v>
      </c>
      <c r="AC12" s="114">
        <v>108088</v>
      </c>
      <c r="AD12" s="212">
        <f t="shared" si="2"/>
        <v>128624.72</v>
      </c>
      <c r="AE12" s="114">
        <v>0</v>
      </c>
      <c r="AF12" s="110"/>
      <c r="AG12" s="142" t="s">
        <v>1039</v>
      </c>
      <c r="AH12" s="248">
        <v>45749</v>
      </c>
      <c r="AI12" s="108">
        <v>45763</v>
      </c>
      <c r="AJ12" s="110" t="s">
        <v>571</v>
      </c>
      <c r="AK12" s="110"/>
    </row>
    <row r="13" spans="1:37" ht="60" x14ac:dyDescent="0.25">
      <c r="A13" s="99">
        <v>2025</v>
      </c>
      <c r="B13" s="233">
        <v>4</v>
      </c>
      <c r="C13" s="356">
        <v>22520</v>
      </c>
      <c r="D13" s="278">
        <v>45750</v>
      </c>
      <c r="E13" s="100" t="s">
        <v>920</v>
      </c>
      <c r="F13" s="100" t="s">
        <v>920</v>
      </c>
      <c r="G13" s="99" t="s">
        <v>143</v>
      </c>
      <c r="H13" s="99">
        <v>3157181419</v>
      </c>
      <c r="I13" s="99">
        <v>6042004996</v>
      </c>
      <c r="J13" s="97">
        <v>45753</v>
      </c>
      <c r="K13" s="99" t="s">
        <v>84</v>
      </c>
      <c r="L13" s="101" t="s">
        <v>921</v>
      </c>
      <c r="M13" s="99" t="s">
        <v>136</v>
      </c>
      <c r="N13" s="99">
        <v>5895</v>
      </c>
      <c r="O13" s="99">
        <v>6133</v>
      </c>
      <c r="P13" s="99">
        <v>8649</v>
      </c>
      <c r="Q13" s="99">
        <v>5456</v>
      </c>
      <c r="R13" s="99" t="s">
        <v>136</v>
      </c>
      <c r="S13" s="99" t="s">
        <v>134</v>
      </c>
      <c r="T13" s="99" t="s">
        <v>134</v>
      </c>
      <c r="U13" s="99" t="s">
        <v>136</v>
      </c>
      <c r="V13" s="100" t="s">
        <v>89</v>
      </c>
      <c r="W13" s="97">
        <v>45780</v>
      </c>
      <c r="X13" s="97">
        <v>45794</v>
      </c>
      <c r="Y13" s="99"/>
      <c r="Z13" s="120" t="s">
        <v>85</v>
      </c>
      <c r="AA13" s="198">
        <v>1436693</v>
      </c>
      <c r="AB13" s="99">
        <v>5827</v>
      </c>
      <c r="AC13" s="103">
        <v>1207305</v>
      </c>
      <c r="AD13" s="198">
        <f t="shared" ref="AD13:AD24" si="3">+AC13*1.19</f>
        <v>1436692.95</v>
      </c>
      <c r="AE13" s="103">
        <v>640000</v>
      </c>
      <c r="AF13" s="99"/>
      <c r="AG13" s="104" t="s">
        <v>1891</v>
      </c>
      <c r="AH13" s="258">
        <v>45792</v>
      </c>
      <c r="AI13" s="97">
        <v>45807</v>
      </c>
      <c r="AJ13" s="99" t="s">
        <v>1705</v>
      </c>
      <c r="AK13" s="99"/>
    </row>
    <row r="14" spans="1:37" ht="90" x14ac:dyDescent="0.25">
      <c r="A14" s="99">
        <v>2025</v>
      </c>
      <c r="B14" s="233">
        <v>4</v>
      </c>
      <c r="C14" s="356">
        <v>22521</v>
      </c>
      <c r="D14" s="278">
        <v>45750</v>
      </c>
      <c r="E14" s="100" t="s">
        <v>784</v>
      </c>
      <c r="F14" s="100" t="s">
        <v>784</v>
      </c>
      <c r="G14" s="99" t="s">
        <v>785</v>
      </c>
      <c r="H14" s="99">
        <v>3128624699</v>
      </c>
      <c r="I14" s="99">
        <v>3128624699</v>
      </c>
      <c r="J14" s="97">
        <v>45761</v>
      </c>
      <c r="K14" s="99" t="s">
        <v>84</v>
      </c>
      <c r="L14" s="101" t="s">
        <v>786</v>
      </c>
      <c r="M14" s="99" t="s">
        <v>136</v>
      </c>
      <c r="N14" s="99" t="s">
        <v>136</v>
      </c>
      <c r="O14" s="99">
        <v>6094</v>
      </c>
      <c r="P14" s="99">
        <v>8640</v>
      </c>
      <c r="Q14" s="99">
        <v>5470</v>
      </c>
      <c r="R14" s="99" t="s">
        <v>136</v>
      </c>
      <c r="S14" s="99" t="s">
        <v>136</v>
      </c>
      <c r="T14" s="99" t="s">
        <v>136</v>
      </c>
      <c r="U14" s="99" t="s">
        <v>134</v>
      </c>
      <c r="V14" s="100" t="s">
        <v>89</v>
      </c>
      <c r="W14" s="97">
        <v>45757</v>
      </c>
      <c r="X14" s="97">
        <v>45758</v>
      </c>
      <c r="Y14" s="99"/>
      <c r="Z14" s="120" t="s">
        <v>85</v>
      </c>
      <c r="AA14" s="122">
        <v>0</v>
      </c>
      <c r="AB14" s="99">
        <v>5734</v>
      </c>
      <c r="AC14" s="103">
        <v>4628571</v>
      </c>
      <c r="AD14" s="198">
        <f t="shared" si="3"/>
        <v>5507999.4899999993</v>
      </c>
      <c r="AE14" s="103">
        <v>2754000</v>
      </c>
      <c r="AF14" s="99"/>
      <c r="AG14" s="104" t="s">
        <v>836</v>
      </c>
      <c r="AH14" s="258">
        <v>45768</v>
      </c>
      <c r="AI14" s="97">
        <v>45813</v>
      </c>
      <c r="AJ14" s="99" t="s">
        <v>1705</v>
      </c>
      <c r="AK14" s="99"/>
    </row>
    <row r="15" spans="1:37" ht="60" x14ac:dyDescent="0.25">
      <c r="A15" s="99">
        <v>2025</v>
      </c>
      <c r="B15" s="233">
        <v>4</v>
      </c>
      <c r="C15" s="356">
        <v>22522</v>
      </c>
      <c r="D15" s="278">
        <v>45750</v>
      </c>
      <c r="E15" s="100" t="s">
        <v>768</v>
      </c>
      <c r="F15" s="100" t="s">
        <v>769</v>
      </c>
      <c r="G15" s="99" t="s">
        <v>770</v>
      </c>
      <c r="H15" s="99">
        <v>3175926625</v>
      </c>
      <c r="I15" s="99">
        <v>6043673785</v>
      </c>
      <c r="J15" s="97">
        <v>45763</v>
      </c>
      <c r="K15" s="99" t="s">
        <v>99</v>
      </c>
      <c r="L15" s="101" t="s">
        <v>771</v>
      </c>
      <c r="M15" s="99" t="s">
        <v>136</v>
      </c>
      <c r="N15" s="99">
        <v>5846</v>
      </c>
      <c r="O15" s="99" t="s">
        <v>136</v>
      </c>
      <c r="P15" s="99">
        <v>8767</v>
      </c>
      <c r="Q15" s="99" t="s">
        <v>136</v>
      </c>
      <c r="R15" s="99" t="s">
        <v>136</v>
      </c>
      <c r="S15" s="99" t="s">
        <v>134</v>
      </c>
      <c r="T15" s="99" t="s">
        <v>134</v>
      </c>
      <c r="U15" s="99" t="s">
        <v>136</v>
      </c>
      <c r="V15" s="100" t="s">
        <v>87</v>
      </c>
      <c r="W15" s="97">
        <v>45762</v>
      </c>
      <c r="X15" s="97">
        <v>45803</v>
      </c>
      <c r="Y15" s="99"/>
      <c r="Z15" s="120" t="s">
        <v>85</v>
      </c>
      <c r="AA15" s="122">
        <v>0</v>
      </c>
      <c r="AB15" s="99">
        <v>5750</v>
      </c>
      <c r="AC15" s="103">
        <v>3588663</v>
      </c>
      <c r="AD15" s="198">
        <f t="shared" si="3"/>
        <v>4270508.97</v>
      </c>
      <c r="AE15" s="103">
        <v>1075254</v>
      </c>
      <c r="AF15" s="99"/>
      <c r="AG15" s="104" t="s">
        <v>1931</v>
      </c>
      <c r="AH15" s="258">
        <v>45798</v>
      </c>
      <c r="AI15" s="97">
        <v>45814</v>
      </c>
      <c r="AJ15" s="99" t="s">
        <v>1705</v>
      </c>
      <c r="AK15" s="99"/>
    </row>
    <row r="16" spans="1:37" ht="34.5" customHeight="1" x14ac:dyDescent="0.25">
      <c r="A16" s="110">
        <v>2025</v>
      </c>
      <c r="B16" s="230">
        <v>4</v>
      </c>
      <c r="C16" s="152">
        <v>22523</v>
      </c>
      <c r="D16" s="277">
        <v>45750</v>
      </c>
      <c r="E16" s="111" t="s">
        <v>772</v>
      </c>
      <c r="F16" s="111" t="s">
        <v>773</v>
      </c>
      <c r="G16" s="110" t="s">
        <v>265</v>
      </c>
      <c r="H16" s="110">
        <v>3108441719</v>
      </c>
      <c r="I16" s="110">
        <v>6043255600</v>
      </c>
      <c r="J16" s="108">
        <v>45756</v>
      </c>
      <c r="K16" s="110" t="s">
        <v>88</v>
      </c>
      <c r="L16" s="112" t="s">
        <v>774</v>
      </c>
      <c r="M16" s="110" t="s">
        <v>136</v>
      </c>
      <c r="N16" s="110" t="s">
        <v>136</v>
      </c>
      <c r="O16" s="110">
        <v>6095</v>
      </c>
      <c r="P16" s="110">
        <v>8609</v>
      </c>
      <c r="Q16" s="110">
        <v>5459</v>
      </c>
      <c r="R16" s="110" t="s">
        <v>134</v>
      </c>
      <c r="S16" s="110" t="s">
        <v>136</v>
      </c>
      <c r="T16" s="110" t="s">
        <v>136</v>
      </c>
      <c r="U16" s="110" t="s">
        <v>136</v>
      </c>
      <c r="V16" s="111" t="s">
        <v>89</v>
      </c>
      <c r="W16" s="108">
        <v>45751</v>
      </c>
      <c r="X16" s="108">
        <v>45757</v>
      </c>
      <c r="Y16" s="110"/>
      <c r="Z16" s="126" t="s">
        <v>85</v>
      </c>
      <c r="AA16" s="124">
        <v>0</v>
      </c>
      <c r="AB16" s="110">
        <v>5727</v>
      </c>
      <c r="AC16" s="114">
        <v>690937</v>
      </c>
      <c r="AD16" s="212">
        <f t="shared" si="3"/>
        <v>822215.02999999991</v>
      </c>
      <c r="AE16" s="114">
        <v>411108</v>
      </c>
      <c r="AF16" s="110"/>
      <c r="AG16" s="142" t="s">
        <v>1020</v>
      </c>
      <c r="AH16" s="248">
        <v>45763</v>
      </c>
      <c r="AI16" s="108">
        <v>45772</v>
      </c>
      <c r="AJ16" s="110" t="s">
        <v>571</v>
      </c>
      <c r="AK16" s="110"/>
    </row>
    <row r="17" spans="1:742" ht="165" x14ac:dyDescent="0.25">
      <c r="A17" s="110">
        <v>2025</v>
      </c>
      <c r="B17" s="230">
        <v>4</v>
      </c>
      <c r="C17" s="152">
        <v>22524</v>
      </c>
      <c r="D17" s="277">
        <v>45750</v>
      </c>
      <c r="E17" s="111" t="s">
        <v>775</v>
      </c>
      <c r="F17" s="111" t="s">
        <v>775</v>
      </c>
      <c r="G17" s="110" t="s">
        <v>143</v>
      </c>
      <c r="H17" s="110">
        <v>3246292838</v>
      </c>
      <c r="I17" s="110">
        <v>3246292838</v>
      </c>
      <c r="J17" s="108">
        <v>45763</v>
      </c>
      <c r="K17" s="110" t="s">
        <v>84</v>
      </c>
      <c r="L17" s="112" t="s">
        <v>778</v>
      </c>
      <c r="M17" s="110" t="s">
        <v>136</v>
      </c>
      <c r="N17" s="110">
        <v>5850</v>
      </c>
      <c r="O17" s="110">
        <v>6099</v>
      </c>
      <c r="P17" s="110">
        <v>8810</v>
      </c>
      <c r="Q17" s="110">
        <v>5507</v>
      </c>
      <c r="R17" s="110" t="s">
        <v>136</v>
      </c>
      <c r="S17" s="110" t="s">
        <v>134</v>
      </c>
      <c r="T17" s="110" t="s">
        <v>134</v>
      </c>
      <c r="U17" s="110" t="s">
        <v>136</v>
      </c>
      <c r="V17" s="111" t="s">
        <v>119</v>
      </c>
      <c r="W17" s="108">
        <v>45762</v>
      </c>
      <c r="X17" s="108">
        <v>45777</v>
      </c>
      <c r="Y17" s="110"/>
      <c r="Z17" s="126" t="s">
        <v>85</v>
      </c>
      <c r="AA17" s="124">
        <v>0</v>
      </c>
      <c r="AB17" s="110">
        <v>5751</v>
      </c>
      <c r="AC17" s="114">
        <v>1168067</v>
      </c>
      <c r="AD17" s="212">
        <f t="shared" si="3"/>
        <v>1389999.73</v>
      </c>
      <c r="AE17" s="114">
        <v>695000</v>
      </c>
      <c r="AF17" s="110"/>
      <c r="AG17" s="142" t="s">
        <v>1037</v>
      </c>
      <c r="AH17" s="248">
        <v>45769</v>
      </c>
      <c r="AI17" s="108">
        <v>45777</v>
      </c>
      <c r="AJ17" s="110" t="s">
        <v>571</v>
      </c>
      <c r="AK17" s="110"/>
    </row>
    <row r="18" spans="1:742" ht="75" x14ac:dyDescent="0.25">
      <c r="A18" s="110">
        <v>2025</v>
      </c>
      <c r="B18" s="230">
        <v>4</v>
      </c>
      <c r="C18" s="152">
        <v>22525</v>
      </c>
      <c r="D18" s="277">
        <v>45751</v>
      </c>
      <c r="E18" s="111" t="s">
        <v>776</v>
      </c>
      <c r="F18" s="111" t="s">
        <v>776</v>
      </c>
      <c r="G18" s="110" t="s">
        <v>570</v>
      </c>
      <c r="H18" s="110">
        <v>3506702695</v>
      </c>
      <c r="I18" s="110">
        <v>3506702695</v>
      </c>
      <c r="J18" s="108">
        <v>45763</v>
      </c>
      <c r="K18" s="110" t="s">
        <v>88</v>
      </c>
      <c r="L18" s="112" t="s">
        <v>777</v>
      </c>
      <c r="M18" s="110" t="s">
        <v>136</v>
      </c>
      <c r="N18" s="110">
        <v>5849</v>
      </c>
      <c r="O18" s="110">
        <v>6098</v>
      </c>
      <c r="P18" s="110">
        <v>8787</v>
      </c>
      <c r="Q18" s="110">
        <v>5506</v>
      </c>
      <c r="R18" s="110" t="s">
        <v>134</v>
      </c>
      <c r="S18" s="110" t="s">
        <v>134</v>
      </c>
      <c r="T18" s="110" t="s">
        <v>134</v>
      </c>
      <c r="U18" s="110" t="s">
        <v>136</v>
      </c>
      <c r="V18" s="111" t="s">
        <v>119</v>
      </c>
      <c r="W18" s="108">
        <v>45769</v>
      </c>
      <c r="X18" s="108">
        <v>45770</v>
      </c>
      <c r="Y18" s="110"/>
      <c r="Z18" s="126" t="s">
        <v>85</v>
      </c>
      <c r="AA18" s="130">
        <v>523650</v>
      </c>
      <c r="AB18" s="110">
        <v>5765</v>
      </c>
      <c r="AC18" s="114">
        <v>440042</v>
      </c>
      <c r="AD18" s="212">
        <f t="shared" si="3"/>
        <v>523649.98</v>
      </c>
      <c r="AE18" s="114">
        <v>0</v>
      </c>
      <c r="AF18" s="110"/>
      <c r="AG18" s="142" t="s">
        <v>984</v>
      </c>
      <c r="AH18" s="248">
        <v>45750</v>
      </c>
      <c r="AI18" s="108">
        <v>45771</v>
      </c>
      <c r="AJ18" s="110" t="s">
        <v>571</v>
      </c>
      <c r="AK18" s="110"/>
    </row>
    <row r="19" spans="1:742" ht="45" x14ac:dyDescent="0.25">
      <c r="A19" s="110">
        <v>2025</v>
      </c>
      <c r="B19" s="230">
        <v>4</v>
      </c>
      <c r="C19" s="152">
        <v>22526</v>
      </c>
      <c r="D19" s="277">
        <v>45750</v>
      </c>
      <c r="E19" s="111" t="s">
        <v>790</v>
      </c>
      <c r="F19" s="111" t="s">
        <v>790</v>
      </c>
      <c r="G19" s="110" t="s">
        <v>143</v>
      </c>
      <c r="H19" s="110">
        <v>3148094376</v>
      </c>
      <c r="I19" s="110">
        <v>3148094376</v>
      </c>
      <c r="J19" s="108">
        <v>45770</v>
      </c>
      <c r="K19" s="110" t="s">
        <v>84</v>
      </c>
      <c r="L19" s="112" t="s">
        <v>791</v>
      </c>
      <c r="M19" s="110" t="s">
        <v>136</v>
      </c>
      <c r="N19" s="110">
        <v>5847</v>
      </c>
      <c r="O19" s="110" t="s">
        <v>136</v>
      </c>
      <c r="P19" s="110" t="s">
        <v>136</v>
      </c>
      <c r="Q19" s="110" t="s">
        <v>136</v>
      </c>
      <c r="R19" s="110" t="s">
        <v>134</v>
      </c>
      <c r="S19" s="110" t="s">
        <v>136</v>
      </c>
      <c r="T19" s="110" t="s">
        <v>136</v>
      </c>
      <c r="U19" s="110" t="s">
        <v>136</v>
      </c>
      <c r="V19" s="111" t="s">
        <v>119</v>
      </c>
      <c r="W19" s="108">
        <v>45771</v>
      </c>
      <c r="X19" s="108">
        <v>45771</v>
      </c>
      <c r="Y19" s="110"/>
      <c r="Z19" s="126" t="s">
        <v>85</v>
      </c>
      <c r="AA19" s="124">
        <v>0</v>
      </c>
      <c r="AB19" s="110">
        <v>5770</v>
      </c>
      <c r="AC19" s="114">
        <v>84039</v>
      </c>
      <c r="AD19" s="212">
        <f t="shared" si="3"/>
        <v>100006.40999999999</v>
      </c>
      <c r="AE19" s="114">
        <v>70000</v>
      </c>
      <c r="AF19" s="110"/>
      <c r="AG19" s="142" t="s">
        <v>1004</v>
      </c>
      <c r="AH19" s="248">
        <v>45771</v>
      </c>
      <c r="AI19" s="108">
        <v>45772</v>
      </c>
      <c r="AJ19" s="110" t="s">
        <v>571</v>
      </c>
      <c r="AK19" s="110"/>
    </row>
    <row r="20" spans="1:742" ht="45" x14ac:dyDescent="0.25">
      <c r="A20" s="110">
        <v>2025</v>
      </c>
      <c r="B20" s="230">
        <v>4</v>
      </c>
      <c r="C20" s="152">
        <v>22527</v>
      </c>
      <c r="D20" s="277">
        <v>45750</v>
      </c>
      <c r="E20" s="111" t="s">
        <v>831</v>
      </c>
      <c r="F20" s="111" t="s">
        <v>831</v>
      </c>
      <c r="G20" s="110" t="s">
        <v>98</v>
      </c>
      <c r="H20" s="110">
        <v>6042040661</v>
      </c>
      <c r="I20" s="110">
        <v>3155091336</v>
      </c>
      <c r="J20" s="108">
        <v>45763</v>
      </c>
      <c r="K20" s="110" t="s">
        <v>88</v>
      </c>
      <c r="L20" s="112" t="s">
        <v>832</v>
      </c>
      <c r="M20" s="110" t="s">
        <v>695</v>
      </c>
      <c r="N20" s="110">
        <v>5843</v>
      </c>
      <c r="O20" s="110" t="s">
        <v>136</v>
      </c>
      <c r="P20" s="110">
        <v>8703</v>
      </c>
      <c r="Q20" s="110" t="s">
        <v>136</v>
      </c>
      <c r="R20" s="110" t="s">
        <v>136</v>
      </c>
      <c r="S20" s="110" t="s">
        <v>134</v>
      </c>
      <c r="T20" s="110" t="s">
        <v>134</v>
      </c>
      <c r="U20" s="110" t="s">
        <v>136</v>
      </c>
      <c r="V20" s="111" t="s">
        <v>89</v>
      </c>
      <c r="W20" s="108">
        <v>45769</v>
      </c>
      <c r="X20" s="108">
        <v>45771</v>
      </c>
      <c r="Y20" s="110"/>
      <c r="Z20" s="126" t="s">
        <v>85</v>
      </c>
      <c r="AA20" s="130">
        <v>619286</v>
      </c>
      <c r="AB20" s="110">
        <v>5722</v>
      </c>
      <c r="AC20" s="114">
        <v>520408</v>
      </c>
      <c r="AD20" s="212">
        <f t="shared" si="3"/>
        <v>619285.52</v>
      </c>
      <c r="AE20" s="114">
        <v>0</v>
      </c>
      <c r="AF20" s="110"/>
      <c r="AG20" s="142" t="s">
        <v>1021</v>
      </c>
      <c r="AH20" s="248">
        <v>45756</v>
      </c>
      <c r="AI20" s="108">
        <v>45769</v>
      </c>
      <c r="AJ20" s="110" t="s">
        <v>571</v>
      </c>
      <c r="AK20" s="110"/>
    </row>
    <row r="21" spans="1:742" ht="45" x14ac:dyDescent="0.25">
      <c r="A21" s="110">
        <v>2025</v>
      </c>
      <c r="B21" s="230">
        <v>4</v>
      </c>
      <c r="C21" s="152">
        <v>22528</v>
      </c>
      <c r="D21" s="277">
        <v>45752</v>
      </c>
      <c r="E21" s="111" t="s">
        <v>792</v>
      </c>
      <c r="F21" s="111" t="s">
        <v>793</v>
      </c>
      <c r="G21" s="110" t="s">
        <v>98</v>
      </c>
      <c r="H21" s="110">
        <v>3027152463</v>
      </c>
      <c r="I21" s="110">
        <v>3045766079</v>
      </c>
      <c r="J21" s="108">
        <v>45765</v>
      </c>
      <c r="K21" s="110" t="s">
        <v>88</v>
      </c>
      <c r="L21" s="112" t="s">
        <v>794</v>
      </c>
      <c r="M21" s="110" t="s">
        <v>136</v>
      </c>
      <c r="N21" s="110">
        <v>5852</v>
      </c>
      <c r="O21" s="110" t="s">
        <v>136</v>
      </c>
      <c r="P21" s="110">
        <v>8756</v>
      </c>
      <c r="Q21" s="110">
        <v>5511</v>
      </c>
      <c r="R21" s="110" t="s">
        <v>136</v>
      </c>
      <c r="S21" s="110" t="s">
        <v>134</v>
      </c>
      <c r="T21" s="110" t="s">
        <v>134</v>
      </c>
      <c r="U21" s="110" t="s">
        <v>136</v>
      </c>
      <c r="V21" s="111" t="s">
        <v>119</v>
      </c>
      <c r="W21" s="108">
        <v>45750</v>
      </c>
      <c r="X21" s="108">
        <v>45782</v>
      </c>
      <c r="Y21" s="110"/>
      <c r="Z21" s="126" t="s">
        <v>85</v>
      </c>
      <c r="AA21" s="124">
        <v>0</v>
      </c>
      <c r="AB21" s="110">
        <v>5808</v>
      </c>
      <c r="AC21" s="114">
        <v>836250</v>
      </c>
      <c r="AD21" s="212">
        <f t="shared" si="3"/>
        <v>995137.5</v>
      </c>
      <c r="AE21" s="114">
        <v>420000</v>
      </c>
      <c r="AF21" s="110"/>
      <c r="AG21" s="142" t="s">
        <v>1143</v>
      </c>
      <c r="AH21" s="248">
        <v>45779</v>
      </c>
      <c r="AI21" s="108">
        <v>45782</v>
      </c>
      <c r="AJ21" s="110" t="s">
        <v>571</v>
      </c>
      <c r="AK21" s="110"/>
    </row>
    <row r="22" spans="1:742" ht="45" customHeight="1" x14ac:dyDescent="0.25">
      <c r="A22" s="110">
        <v>2025</v>
      </c>
      <c r="B22" s="230">
        <v>4</v>
      </c>
      <c r="C22" s="152">
        <v>22529</v>
      </c>
      <c r="D22" s="277">
        <v>45750</v>
      </c>
      <c r="E22" s="111" t="s">
        <v>779</v>
      </c>
      <c r="F22" s="111" t="s">
        <v>780</v>
      </c>
      <c r="G22" s="110" t="s">
        <v>570</v>
      </c>
      <c r="H22" s="110">
        <v>3135252778</v>
      </c>
      <c r="I22" s="110">
        <v>3019323278</v>
      </c>
      <c r="J22" s="108">
        <v>45763</v>
      </c>
      <c r="K22" s="110" t="s">
        <v>88</v>
      </c>
      <c r="L22" s="112" t="s">
        <v>781</v>
      </c>
      <c r="M22" s="111" t="s">
        <v>698</v>
      </c>
      <c r="N22" s="110" t="s">
        <v>136</v>
      </c>
      <c r="O22" s="110" t="s">
        <v>136</v>
      </c>
      <c r="P22" s="110">
        <v>8727</v>
      </c>
      <c r="Q22" s="110">
        <v>5508</v>
      </c>
      <c r="R22" s="110" t="s">
        <v>136</v>
      </c>
      <c r="S22" s="110" t="s">
        <v>134</v>
      </c>
      <c r="T22" s="110" t="s">
        <v>134</v>
      </c>
      <c r="U22" s="110" t="s">
        <v>136</v>
      </c>
      <c r="V22" s="111" t="s">
        <v>119</v>
      </c>
      <c r="W22" s="108">
        <v>45762</v>
      </c>
      <c r="X22" s="108">
        <v>45769</v>
      </c>
      <c r="Y22" s="110"/>
      <c r="Z22" s="126" t="s">
        <v>85</v>
      </c>
      <c r="AA22" s="130">
        <v>405269</v>
      </c>
      <c r="AB22" s="110">
        <v>5752</v>
      </c>
      <c r="AC22" s="114">
        <v>340562</v>
      </c>
      <c r="AD22" s="212">
        <f t="shared" si="3"/>
        <v>405268.77999999997</v>
      </c>
      <c r="AE22" s="114">
        <v>0</v>
      </c>
      <c r="AF22" s="110"/>
      <c r="AG22" s="142" t="s">
        <v>1022</v>
      </c>
      <c r="AH22" s="248">
        <v>45749</v>
      </c>
      <c r="AI22" s="108">
        <v>45763</v>
      </c>
      <c r="AJ22" s="110" t="s">
        <v>571</v>
      </c>
      <c r="AK22" s="110"/>
    </row>
    <row r="23" spans="1:742" ht="60" x14ac:dyDescent="0.25">
      <c r="A23" s="110">
        <v>2025</v>
      </c>
      <c r="B23" s="230">
        <v>4</v>
      </c>
      <c r="C23" s="152">
        <v>22530</v>
      </c>
      <c r="D23" s="277">
        <v>45751</v>
      </c>
      <c r="E23" s="111" t="s">
        <v>876</v>
      </c>
      <c r="F23" s="111" t="s">
        <v>877</v>
      </c>
      <c r="G23" s="110" t="s">
        <v>98</v>
      </c>
      <c r="H23" s="110">
        <v>3207794500</v>
      </c>
      <c r="I23" s="110">
        <v>6044481405</v>
      </c>
      <c r="J23" s="108">
        <v>45763</v>
      </c>
      <c r="K23" s="110" t="s">
        <v>88</v>
      </c>
      <c r="L23" s="112" t="s">
        <v>878</v>
      </c>
      <c r="M23" s="110" t="s">
        <v>136</v>
      </c>
      <c r="N23" s="110">
        <v>5853</v>
      </c>
      <c r="O23" s="110">
        <v>6100</v>
      </c>
      <c r="P23" s="110" t="s">
        <v>136</v>
      </c>
      <c r="Q23" s="110" t="s">
        <v>136</v>
      </c>
      <c r="R23" s="110" t="s">
        <v>134</v>
      </c>
      <c r="S23" s="110" t="s">
        <v>134</v>
      </c>
      <c r="T23" s="110" t="s">
        <v>134</v>
      </c>
      <c r="U23" s="110" t="s">
        <v>136</v>
      </c>
      <c r="V23" s="111" t="s">
        <v>119</v>
      </c>
      <c r="W23" s="108">
        <v>45770</v>
      </c>
      <c r="X23" s="108">
        <v>45770</v>
      </c>
      <c r="Y23" s="110"/>
      <c r="Z23" s="126" t="s">
        <v>85</v>
      </c>
      <c r="AA23" s="130">
        <v>499999</v>
      </c>
      <c r="AB23" s="110">
        <v>5767</v>
      </c>
      <c r="AC23" s="114">
        <v>499999</v>
      </c>
      <c r="AD23" s="212">
        <f t="shared" si="3"/>
        <v>594998.80999999994</v>
      </c>
      <c r="AE23" s="114">
        <v>0</v>
      </c>
      <c r="AF23" s="110"/>
      <c r="AG23" s="142" t="s">
        <v>1023</v>
      </c>
      <c r="AH23" s="248">
        <v>45752</v>
      </c>
      <c r="AI23" s="108">
        <v>45762</v>
      </c>
      <c r="AJ23" s="110" t="s">
        <v>571</v>
      </c>
      <c r="AK23" s="110"/>
    </row>
    <row r="24" spans="1:742" ht="90" x14ac:dyDescent="0.25">
      <c r="A24" s="110">
        <v>2025</v>
      </c>
      <c r="B24" s="230">
        <v>4</v>
      </c>
      <c r="C24" s="148" t="s">
        <v>747</v>
      </c>
      <c r="D24" s="277">
        <v>45747</v>
      </c>
      <c r="E24" s="110" t="s">
        <v>712</v>
      </c>
      <c r="F24" s="110" t="s">
        <v>712</v>
      </c>
      <c r="G24" s="110" t="s">
        <v>154</v>
      </c>
      <c r="H24" s="110">
        <v>3103706402</v>
      </c>
      <c r="I24" s="110">
        <v>6045902430</v>
      </c>
      <c r="J24" s="108">
        <v>45758</v>
      </c>
      <c r="K24" s="110" t="s">
        <v>88</v>
      </c>
      <c r="L24" s="112" t="s">
        <v>713</v>
      </c>
      <c r="M24" s="110" t="s">
        <v>136</v>
      </c>
      <c r="N24" s="110">
        <v>5828</v>
      </c>
      <c r="O24" s="110">
        <v>6007</v>
      </c>
      <c r="P24" s="110">
        <v>8338</v>
      </c>
      <c r="Q24" s="110" t="s">
        <v>136</v>
      </c>
      <c r="R24" s="110" t="s">
        <v>136</v>
      </c>
      <c r="S24" s="110" t="s">
        <v>134</v>
      </c>
      <c r="T24" s="110" t="s">
        <v>134</v>
      </c>
      <c r="U24" s="110" t="s">
        <v>136</v>
      </c>
      <c r="V24" s="106" t="s">
        <v>119</v>
      </c>
      <c r="W24" s="108">
        <v>45756</v>
      </c>
      <c r="X24" s="108">
        <v>45768</v>
      </c>
      <c r="Y24" s="110"/>
      <c r="Z24" s="169" t="s">
        <v>85</v>
      </c>
      <c r="AA24" s="124">
        <v>0</v>
      </c>
      <c r="AB24" s="110">
        <v>5732</v>
      </c>
      <c r="AC24" s="114">
        <v>3906489</v>
      </c>
      <c r="AD24" s="114">
        <f t="shared" si="3"/>
        <v>4648721.91</v>
      </c>
      <c r="AE24" s="114">
        <f>1800000+2200000</f>
        <v>4000000</v>
      </c>
      <c r="AF24" s="110"/>
      <c r="AG24" s="125" t="s">
        <v>1040</v>
      </c>
      <c r="AH24" s="248">
        <v>45776</v>
      </c>
      <c r="AI24" s="108">
        <v>45777</v>
      </c>
      <c r="AJ24" s="110" t="s">
        <v>571</v>
      </c>
      <c r="AK24" s="110"/>
      <c r="AL24" s="393"/>
    </row>
    <row r="25" spans="1:742" ht="135" x14ac:dyDescent="0.25">
      <c r="A25" s="94">
        <v>2025</v>
      </c>
      <c r="B25" s="234">
        <v>4</v>
      </c>
      <c r="C25" s="351">
        <v>22532</v>
      </c>
      <c r="D25" s="274">
        <v>45751</v>
      </c>
      <c r="E25" s="90" t="s">
        <v>795</v>
      </c>
      <c r="F25" s="90" t="s">
        <v>795</v>
      </c>
      <c r="G25" s="94" t="s">
        <v>143</v>
      </c>
      <c r="H25" s="94">
        <v>3042925309</v>
      </c>
      <c r="I25" s="94">
        <v>3042925309</v>
      </c>
      <c r="J25" s="89">
        <v>45769</v>
      </c>
      <c r="K25" s="94" t="s">
        <v>84</v>
      </c>
      <c r="L25" s="91" t="s">
        <v>796</v>
      </c>
      <c r="M25" s="94" t="s">
        <v>281</v>
      </c>
      <c r="N25" s="94">
        <v>5861</v>
      </c>
      <c r="O25" s="94" t="s">
        <v>136</v>
      </c>
      <c r="P25" s="94" t="s">
        <v>136</v>
      </c>
      <c r="Q25" s="94">
        <v>5513</v>
      </c>
      <c r="R25" s="94" t="s">
        <v>136</v>
      </c>
      <c r="S25" s="94" t="s">
        <v>134</v>
      </c>
      <c r="T25" s="94" t="s">
        <v>134</v>
      </c>
      <c r="U25" s="94" t="s">
        <v>136</v>
      </c>
      <c r="V25" s="90" t="s">
        <v>119</v>
      </c>
      <c r="W25" s="89">
        <v>45794</v>
      </c>
      <c r="X25" s="89">
        <v>45821</v>
      </c>
      <c r="Y25" s="94"/>
      <c r="Z25" s="134" t="s">
        <v>85</v>
      </c>
      <c r="AA25" s="213">
        <v>0</v>
      </c>
      <c r="AB25" s="94">
        <v>5805</v>
      </c>
      <c r="AC25" s="92">
        <v>1260504</v>
      </c>
      <c r="AD25" s="235">
        <f t="shared" ref="AD25:AD51" si="4">+AC25*1.19</f>
        <v>1499999.76</v>
      </c>
      <c r="AE25" s="92">
        <v>750000</v>
      </c>
      <c r="AF25" s="94"/>
      <c r="AG25" s="214" t="s">
        <v>2098</v>
      </c>
      <c r="AH25" s="334">
        <v>45814</v>
      </c>
      <c r="AI25" s="89">
        <v>45821</v>
      </c>
      <c r="AJ25" s="94" t="s">
        <v>1705</v>
      </c>
      <c r="AK25" s="94"/>
    </row>
    <row r="26" spans="1:742" ht="34.5" customHeight="1" x14ac:dyDescent="0.25">
      <c r="A26" s="110">
        <v>2025</v>
      </c>
      <c r="B26" s="230">
        <v>4</v>
      </c>
      <c r="C26" s="152">
        <v>22533</v>
      </c>
      <c r="D26" s="277">
        <v>45752</v>
      </c>
      <c r="E26" s="111" t="s">
        <v>797</v>
      </c>
      <c r="F26" s="111" t="s">
        <v>613</v>
      </c>
      <c r="G26" s="110" t="s">
        <v>143</v>
      </c>
      <c r="H26" s="110">
        <v>3507844625</v>
      </c>
      <c r="I26" s="110">
        <v>3507844625</v>
      </c>
      <c r="J26" s="108">
        <v>45762</v>
      </c>
      <c r="K26" s="110" t="s">
        <v>84</v>
      </c>
      <c r="L26" s="112" t="s">
        <v>798</v>
      </c>
      <c r="M26" s="110" t="s">
        <v>136</v>
      </c>
      <c r="N26" s="110">
        <v>5855</v>
      </c>
      <c r="O26" s="110" t="s">
        <v>136</v>
      </c>
      <c r="P26" s="110" t="s">
        <v>136</v>
      </c>
      <c r="Q26" s="110" t="s">
        <v>136</v>
      </c>
      <c r="R26" s="110" t="s">
        <v>136</v>
      </c>
      <c r="S26" s="110" t="s">
        <v>136</v>
      </c>
      <c r="T26" s="110" t="s">
        <v>136</v>
      </c>
      <c r="U26" s="110" t="s">
        <v>136</v>
      </c>
      <c r="V26" s="111" t="s">
        <v>119</v>
      </c>
      <c r="W26" s="108">
        <v>45762</v>
      </c>
      <c r="X26" s="108">
        <v>45763</v>
      </c>
      <c r="Y26" s="110"/>
      <c r="Z26" s="126" t="s">
        <v>85</v>
      </c>
      <c r="AA26" s="124">
        <v>0</v>
      </c>
      <c r="AB26" s="110">
        <v>5748</v>
      </c>
      <c r="AC26" s="114">
        <v>100840</v>
      </c>
      <c r="AD26" s="212">
        <f t="shared" si="4"/>
        <v>119999.59999999999</v>
      </c>
      <c r="AE26" s="114">
        <v>60000</v>
      </c>
      <c r="AF26" s="110"/>
      <c r="AG26" s="142" t="s">
        <v>1041</v>
      </c>
      <c r="AH26" s="248">
        <v>45763</v>
      </c>
      <c r="AI26" s="108">
        <v>45777</v>
      </c>
      <c r="AJ26" s="110" t="s">
        <v>571</v>
      </c>
      <c r="AK26" s="110"/>
    </row>
    <row r="27" spans="1:742" s="317" customFormat="1" ht="45" x14ac:dyDescent="0.25">
      <c r="A27" s="292">
        <v>2025</v>
      </c>
      <c r="B27" s="232">
        <v>4</v>
      </c>
      <c r="C27" s="402">
        <v>22534</v>
      </c>
      <c r="D27" s="293">
        <v>45752</v>
      </c>
      <c r="E27" s="149" t="s">
        <v>799</v>
      </c>
      <c r="F27" s="149" t="s">
        <v>800</v>
      </c>
      <c r="G27" s="292" t="s">
        <v>143</v>
      </c>
      <c r="H27" s="292">
        <v>3004226119</v>
      </c>
      <c r="I27" s="292">
        <v>3004226119</v>
      </c>
      <c r="J27" s="294">
        <v>45764</v>
      </c>
      <c r="K27" s="292" t="s">
        <v>84</v>
      </c>
      <c r="L27" s="185" t="s">
        <v>801</v>
      </c>
      <c r="M27" s="292" t="s">
        <v>136</v>
      </c>
      <c r="N27" s="292">
        <v>5851</v>
      </c>
      <c r="O27" s="292" t="s">
        <v>136</v>
      </c>
      <c r="P27" s="292" t="s">
        <v>136</v>
      </c>
      <c r="Q27" s="292" t="s">
        <v>136</v>
      </c>
      <c r="R27" s="292" t="s">
        <v>134</v>
      </c>
      <c r="S27" s="292" t="s">
        <v>136</v>
      </c>
      <c r="T27" s="292" t="s">
        <v>136</v>
      </c>
      <c r="U27" s="292" t="s">
        <v>136</v>
      </c>
      <c r="V27" s="149" t="s">
        <v>119</v>
      </c>
      <c r="W27" s="294">
        <v>45771</v>
      </c>
      <c r="X27" s="294">
        <v>45777</v>
      </c>
      <c r="Y27" s="292"/>
      <c r="Z27" s="186" t="s">
        <v>85</v>
      </c>
      <c r="AA27" s="187">
        <v>200000</v>
      </c>
      <c r="AB27" s="292">
        <v>5773</v>
      </c>
      <c r="AC27" s="188">
        <v>168067</v>
      </c>
      <c r="AD27" s="295">
        <f t="shared" si="4"/>
        <v>199999.72999999998</v>
      </c>
      <c r="AE27" s="188">
        <v>0</v>
      </c>
      <c r="AF27" s="292"/>
      <c r="AG27" s="142" t="s">
        <v>1034</v>
      </c>
      <c r="AH27" s="296">
        <v>45752</v>
      </c>
      <c r="AI27" s="294">
        <v>45777</v>
      </c>
      <c r="AJ27" s="292" t="s">
        <v>571</v>
      </c>
      <c r="AK27" s="292"/>
    </row>
    <row r="28" spans="1:742" ht="30" x14ac:dyDescent="0.25">
      <c r="A28" s="99">
        <v>2025</v>
      </c>
      <c r="B28" s="233">
        <v>4</v>
      </c>
      <c r="C28" s="356">
        <v>22535</v>
      </c>
      <c r="D28" s="278">
        <v>45754</v>
      </c>
      <c r="E28" s="100" t="s">
        <v>802</v>
      </c>
      <c r="F28" s="100" t="s">
        <v>803</v>
      </c>
      <c r="G28" s="99" t="s">
        <v>570</v>
      </c>
      <c r="H28" s="99">
        <v>6044484498</v>
      </c>
      <c r="I28" s="99">
        <v>6044484498</v>
      </c>
      <c r="J28" s="97">
        <v>45768</v>
      </c>
      <c r="K28" s="99" t="s">
        <v>88</v>
      </c>
      <c r="L28" s="101" t="s">
        <v>804</v>
      </c>
      <c r="M28" s="99" t="s">
        <v>136</v>
      </c>
      <c r="N28" s="99">
        <v>5859</v>
      </c>
      <c r="O28" s="99" t="s">
        <v>136</v>
      </c>
      <c r="P28" s="99" t="s">
        <v>136</v>
      </c>
      <c r="Q28" s="99" t="s">
        <v>136</v>
      </c>
      <c r="R28" s="99" t="s">
        <v>136</v>
      </c>
      <c r="S28" s="99" t="s">
        <v>134</v>
      </c>
      <c r="T28" s="99" t="s">
        <v>134</v>
      </c>
      <c r="U28" s="99" t="s">
        <v>136</v>
      </c>
      <c r="V28" s="100" t="s">
        <v>119</v>
      </c>
      <c r="W28" s="97">
        <v>45762</v>
      </c>
      <c r="X28" s="97">
        <v>45770</v>
      </c>
      <c r="Y28" s="99"/>
      <c r="Z28" s="120" t="s">
        <v>97</v>
      </c>
      <c r="AA28" s="122">
        <v>0</v>
      </c>
      <c r="AB28" s="99">
        <v>5735</v>
      </c>
      <c r="AC28" s="103">
        <v>335323</v>
      </c>
      <c r="AD28" s="198">
        <f t="shared" si="4"/>
        <v>399034.37</v>
      </c>
      <c r="AE28" s="103">
        <v>199517</v>
      </c>
      <c r="AF28" s="99"/>
      <c r="AG28" s="104" t="s">
        <v>1042</v>
      </c>
      <c r="AH28" s="233"/>
      <c r="AI28" s="97">
        <v>45777</v>
      </c>
      <c r="AJ28" s="99" t="s">
        <v>571</v>
      </c>
      <c r="AK28" s="99"/>
    </row>
    <row r="29" spans="1:742" ht="34.5" customHeight="1" x14ac:dyDescent="0.25">
      <c r="A29" s="110">
        <v>2025</v>
      </c>
      <c r="B29" s="230">
        <v>4</v>
      </c>
      <c r="C29" s="152">
        <v>22536</v>
      </c>
      <c r="D29" s="277">
        <v>45752</v>
      </c>
      <c r="E29" s="111" t="s">
        <v>805</v>
      </c>
      <c r="F29" s="111" t="s">
        <v>806</v>
      </c>
      <c r="G29" s="110" t="s">
        <v>98</v>
      </c>
      <c r="H29" s="110">
        <v>3127712127</v>
      </c>
      <c r="I29" s="110">
        <v>3127712127</v>
      </c>
      <c r="J29" s="108">
        <v>45762</v>
      </c>
      <c r="K29" s="110" t="s">
        <v>88</v>
      </c>
      <c r="L29" s="112" t="s">
        <v>807</v>
      </c>
      <c r="M29" s="110" t="s">
        <v>136</v>
      </c>
      <c r="N29" s="110">
        <v>5854</v>
      </c>
      <c r="O29" s="110" t="s">
        <v>136</v>
      </c>
      <c r="P29" s="110" t="s">
        <v>136</v>
      </c>
      <c r="Q29" s="110" t="s">
        <v>136</v>
      </c>
      <c r="R29" s="110" t="s">
        <v>136</v>
      </c>
      <c r="S29" s="110" t="s">
        <v>136</v>
      </c>
      <c r="T29" s="110" t="s">
        <v>136</v>
      </c>
      <c r="U29" s="110" t="s">
        <v>136</v>
      </c>
      <c r="V29" s="111" t="s">
        <v>119</v>
      </c>
      <c r="W29" s="108">
        <v>45762</v>
      </c>
      <c r="X29" s="108">
        <v>45763</v>
      </c>
      <c r="Y29" s="110"/>
      <c r="Z29" s="126" t="s">
        <v>85</v>
      </c>
      <c r="AA29" s="124">
        <v>0</v>
      </c>
      <c r="AB29" s="110">
        <v>5759</v>
      </c>
      <c r="AC29" s="114">
        <v>336134</v>
      </c>
      <c r="AD29" s="212">
        <f t="shared" si="4"/>
        <v>399999.45999999996</v>
      </c>
      <c r="AE29" s="114">
        <v>200000</v>
      </c>
      <c r="AF29" s="110"/>
      <c r="AG29" s="142" t="s">
        <v>1041</v>
      </c>
      <c r="AH29" s="248">
        <v>45763</v>
      </c>
      <c r="AI29" s="108">
        <v>45777</v>
      </c>
      <c r="AJ29" s="110" t="s">
        <v>571</v>
      </c>
      <c r="AK29" s="110"/>
    </row>
    <row r="30" spans="1:742" ht="105" x14ac:dyDescent="0.25">
      <c r="A30" s="99">
        <v>2025</v>
      </c>
      <c r="B30" s="233">
        <v>4</v>
      </c>
      <c r="C30" s="356">
        <v>22537</v>
      </c>
      <c r="D30" s="278">
        <v>45754</v>
      </c>
      <c r="E30" s="100" t="s">
        <v>851</v>
      </c>
      <c r="F30" s="100" t="s">
        <v>852</v>
      </c>
      <c r="G30" s="99" t="s">
        <v>853</v>
      </c>
      <c r="H30" s="99">
        <v>3182855494</v>
      </c>
      <c r="I30" s="99">
        <v>3177039332</v>
      </c>
      <c r="J30" s="97">
        <v>45763</v>
      </c>
      <c r="K30" s="99" t="s">
        <v>95</v>
      </c>
      <c r="L30" s="101" t="s">
        <v>854</v>
      </c>
      <c r="M30" s="99" t="s">
        <v>136</v>
      </c>
      <c r="N30" s="99">
        <v>5863</v>
      </c>
      <c r="O30" s="99">
        <v>6102</v>
      </c>
      <c r="P30" s="99">
        <v>8790</v>
      </c>
      <c r="Q30" s="99" t="s">
        <v>136</v>
      </c>
      <c r="R30" s="99" t="s">
        <v>136</v>
      </c>
      <c r="S30" s="99" t="s">
        <v>134</v>
      </c>
      <c r="T30" s="99" t="s">
        <v>134</v>
      </c>
      <c r="U30" s="99" t="s">
        <v>136</v>
      </c>
      <c r="V30" s="100" t="s">
        <v>119</v>
      </c>
      <c r="W30" s="97">
        <v>45776</v>
      </c>
      <c r="X30" s="97">
        <v>45779</v>
      </c>
      <c r="Y30" s="99"/>
      <c r="Z30" s="120" t="s">
        <v>85</v>
      </c>
      <c r="AA30" s="122">
        <v>0</v>
      </c>
      <c r="AB30" s="99">
        <v>5798</v>
      </c>
      <c r="AC30" s="103">
        <v>3473837</v>
      </c>
      <c r="AD30" s="198">
        <f t="shared" si="4"/>
        <v>4133866.03</v>
      </c>
      <c r="AE30" s="103">
        <v>2000000</v>
      </c>
      <c r="AF30" s="99"/>
      <c r="AG30" s="104" t="s">
        <v>1106</v>
      </c>
      <c r="AH30" s="258">
        <v>45786</v>
      </c>
      <c r="AI30" s="97">
        <v>45749</v>
      </c>
      <c r="AJ30" s="99" t="s">
        <v>571</v>
      </c>
      <c r="AK30" s="99"/>
    </row>
    <row r="31" spans="1:742" s="155" customFormat="1" ht="30" x14ac:dyDescent="0.25">
      <c r="A31" s="110">
        <v>2025</v>
      </c>
      <c r="B31" s="230">
        <v>4</v>
      </c>
      <c r="C31" s="152">
        <v>22538</v>
      </c>
      <c r="D31" s="277">
        <v>45754</v>
      </c>
      <c r="E31" s="111" t="s">
        <v>923</v>
      </c>
      <c r="F31" s="111" t="s">
        <v>337</v>
      </c>
      <c r="G31" s="110" t="s">
        <v>570</v>
      </c>
      <c r="H31" s="110">
        <v>604007</v>
      </c>
      <c r="I31" s="110">
        <v>604007</v>
      </c>
      <c r="J31" s="108">
        <v>45761</v>
      </c>
      <c r="K31" s="110" t="s">
        <v>88</v>
      </c>
      <c r="L31" s="112" t="s">
        <v>1680</v>
      </c>
      <c r="M31" s="110" t="s">
        <v>136</v>
      </c>
      <c r="N31" s="110" t="s">
        <v>136</v>
      </c>
      <c r="O31" s="110" t="s">
        <v>136</v>
      </c>
      <c r="P31" s="110" t="s">
        <v>136</v>
      </c>
      <c r="Q31" s="110" t="s">
        <v>136</v>
      </c>
      <c r="R31" s="110" t="s">
        <v>136</v>
      </c>
      <c r="S31" s="110" t="s">
        <v>134</v>
      </c>
      <c r="T31" s="110" t="s">
        <v>134</v>
      </c>
      <c r="U31" s="110" t="s">
        <v>136</v>
      </c>
      <c r="V31" s="111" t="s">
        <v>89</v>
      </c>
      <c r="W31" s="108">
        <v>45762</v>
      </c>
      <c r="X31" s="108">
        <v>45762</v>
      </c>
      <c r="Y31" s="110"/>
      <c r="Z31" s="126" t="s">
        <v>85</v>
      </c>
      <c r="AA31" s="124">
        <v>0</v>
      </c>
      <c r="AB31" s="110">
        <v>5763</v>
      </c>
      <c r="AC31" s="114">
        <v>0</v>
      </c>
      <c r="AD31" s="212">
        <f t="shared" si="4"/>
        <v>0</v>
      </c>
      <c r="AE31" s="114">
        <v>0</v>
      </c>
      <c r="AF31" s="110"/>
      <c r="AG31" s="142" t="s">
        <v>924</v>
      </c>
      <c r="AH31" s="248">
        <v>45786</v>
      </c>
      <c r="AI31" s="108">
        <v>45789</v>
      </c>
      <c r="AJ31" s="110" t="s">
        <v>571</v>
      </c>
      <c r="AK31" s="110"/>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c r="CK31" s="65"/>
      <c r="CL31" s="65"/>
      <c r="CM31" s="65"/>
      <c r="CN31" s="65"/>
      <c r="CO31" s="65"/>
      <c r="CP31" s="65"/>
      <c r="CQ31" s="65"/>
      <c r="CR31" s="65"/>
      <c r="CS31" s="65"/>
      <c r="CT31" s="65"/>
      <c r="CU31" s="65"/>
      <c r="CV31" s="65"/>
      <c r="CW31" s="65"/>
      <c r="CX31" s="65"/>
      <c r="CY31" s="65"/>
      <c r="CZ31" s="65"/>
      <c r="DA31" s="65"/>
      <c r="DB31" s="65"/>
      <c r="DC31" s="65"/>
      <c r="DD31" s="65"/>
      <c r="DE31" s="65"/>
      <c r="DF31" s="65"/>
      <c r="DG31" s="65"/>
      <c r="DH31" s="65"/>
      <c r="DI31" s="65"/>
      <c r="DJ31" s="65"/>
      <c r="DK31" s="65"/>
      <c r="DL31" s="65"/>
      <c r="DM31" s="65"/>
      <c r="DN31" s="65"/>
      <c r="DO31" s="65"/>
      <c r="DP31" s="65"/>
      <c r="DQ31" s="65"/>
      <c r="DR31" s="65"/>
      <c r="DS31" s="65"/>
      <c r="DT31" s="65"/>
      <c r="DU31" s="65"/>
      <c r="DV31" s="65"/>
      <c r="DW31" s="65"/>
      <c r="DX31" s="65"/>
      <c r="DY31" s="65"/>
      <c r="DZ31" s="65"/>
      <c r="EA31" s="65"/>
      <c r="EB31" s="65"/>
      <c r="EC31" s="65"/>
      <c r="ED31" s="65"/>
      <c r="EE31" s="65"/>
      <c r="EF31" s="65"/>
      <c r="EG31" s="65"/>
      <c r="EH31" s="65"/>
      <c r="EI31" s="65"/>
      <c r="EJ31" s="65"/>
      <c r="EK31" s="65"/>
      <c r="EL31" s="65"/>
      <c r="EM31" s="65"/>
      <c r="EN31" s="65"/>
      <c r="EO31" s="65"/>
      <c r="EP31" s="65"/>
      <c r="EQ31" s="65"/>
      <c r="ER31" s="65"/>
      <c r="ES31" s="65"/>
      <c r="ET31" s="65"/>
      <c r="EU31" s="65"/>
      <c r="EV31" s="65"/>
      <c r="EW31" s="65"/>
      <c r="EX31" s="65"/>
      <c r="EY31" s="65"/>
      <c r="EZ31" s="65"/>
      <c r="FA31" s="65"/>
      <c r="FB31" s="65"/>
      <c r="FC31" s="65"/>
      <c r="FD31" s="65"/>
      <c r="FE31" s="65"/>
      <c r="FF31" s="65"/>
      <c r="FG31" s="65"/>
      <c r="FH31" s="65"/>
      <c r="FI31" s="65"/>
      <c r="FJ31" s="65"/>
      <c r="FK31" s="65"/>
      <c r="FL31" s="65"/>
      <c r="FM31" s="65"/>
      <c r="FN31" s="65"/>
      <c r="FO31" s="65"/>
      <c r="FP31" s="65"/>
      <c r="FQ31" s="65"/>
      <c r="FR31" s="65"/>
      <c r="FS31" s="65"/>
      <c r="FT31" s="65"/>
      <c r="FU31" s="65"/>
      <c r="FV31" s="65"/>
      <c r="FW31" s="65"/>
      <c r="FX31" s="65"/>
      <c r="FY31" s="65"/>
      <c r="FZ31" s="65"/>
      <c r="GA31" s="65"/>
      <c r="GB31" s="65"/>
      <c r="GC31" s="65"/>
      <c r="GD31" s="65"/>
      <c r="GE31" s="65"/>
      <c r="GF31" s="65"/>
      <c r="GG31" s="65"/>
      <c r="GH31" s="65"/>
      <c r="GI31" s="65"/>
      <c r="GJ31" s="65"/>
      <c r="GK31" s="65"/>
      <c r="GL31" s="65"/>
      <c r="GM31" s="65"/>
      <c r="GN31" s="65"/>
      <c r="GO31" s="65"/>
      <c r="GP31" s="65"/>
      <c r="GQ31" s="65"/>
      <c r="GR31" s="65"/>
      <c r="GS31" s="65"/>
      <c r="GT31" s="65"/>
      <c r="GU31" s="65"/>
      <c r="GV31" s="65"/>
      <c r="GW31" s="65"/>
      <c r="GX31" s="65"/>
      <c r="GY31" s="65"/>
      <c r="GZ31" s="65"/>
      <c r="HA31" s="65"/>
      <c r="HB31" s="65"/>
      <c r="HC31" s="65"/>
      <c r="HD31" s="65"/>
      <c r="HE31" s="65"/>
      <c r="HF31" s="65"/>
      <c r="HG31" s="65"/>
      <c r="HH31" s="65"/>
      <c r="HI31" s="65"/>
      <c r="HJ31" s="65"/>
      <c r="HK31" s="65"/>
      <c r="HL31" s="65"/>
      <c r="HM31" s="65"/>
      <c r="HN31" s="65"/>
      <c r="HO31" s="65"/>
      <c r="HP31" s="65"/>
      <c r="HQ31" s="65"/>
      <c r="HR31" s="65"/>
      <c r="HS31" s="65"/>
      <c r="HT31" s="65"/>
      <c r="HU31" s="65"/>
      <c r="HV31" s="65"/>
      <c r="HW31" s="65"/>
      <c r="HX31" s="65"/>
      <c r="HY31" s="65"/>
      <c r="HZ31" s="65"/>
      <c r="IA31" s="65"/>
      <c r="IB31" s="65"/>
      <c r="IC31" s="65"/>
      <c r="ID31" s="65"/>
      <c r="IE31" s="65"/>
      <c r="IF31" s="65"/>
      <c r="IG31" s="65"/>
      <c r="IH31" s="65"/>
      <c r="II31" s="65"/>
      <c r="IJ31" s="65"/>
      <c r="IK31" s="65"/>
      <c r="IL31" s="65"/>
      <c r="IM31" s="65"/>
      <c r="IN31" s="65"/>
      <c r="IO31" s="65"/>
      <c r="IP31" s="65"/>
      <c r="IQ31" s="65"/>
      <c r="IR31" s="65"/>
      <c r="IS31" s="65"/>
      <c r="IT31" s="65"/>
      <c r="IU31" s="65"/>
      <c r="IV31" s="65"/>
      <c r="IW31" s="65"/>
      <c r="IX31" s="65"/>
      <c r="IY31" s="65"/>
      <c r="IZ31" s="65"/>
      <c r="JA31" s="65"/>
      <c r="JB31" s="65"/>
      <c r="JC31" s="65"/>
      <c r="JD31" s="65"/>
      <c r="JE31" s="65"/>
      <c r="JF31" s="65"/>
      <c r="JG31" s="65"/>
      <c r="JH31" s="65"/>
      <c r="JI31" s="65"/>
      <c r="JJ31" s="65"/>
      <c r="JK31" s="65"/>
      <c r="JL31" s="65"/>
      <c r="JM31" s="65"/>
      <c r="JN31" s="65"/>
      <c r="JO31" s="65"/>
      <c r="JP31" s="65"/>
      <c r="JQ31" s="65"/>
      <c r="JR31" s="65"/>
      <c r="JS31" s="65"/>
      <c r="JT31" s="65"/>
      <c r="JU31" s="65"/>
      <c r="JV31" s="65"/>
      <c r="JW31" s="65"/>
      <c r="JX31" s="65"/>
      <c r="JY31" s="65"/>
      <c r="JZ31" s="65"/>
      <c r="KA31" s="65"/>
      <c r="KB31" s="65"/>
      <c r="KC31" s="65"/>
      <c r="KD31" s="65"/>
      <c r="KE31" s="65"/>
      <c r="KF31" s="65"/>
      <c r="KG31" s="65"/>
      <c r="KH31" s="65"/>
      <c r="KI31" s="65"/>
      <c r="KJ31" s="65"/>
      <c r="KK31" s="65"/>
      <c r="KL31" s="65"/>
      <c r="KM31" s="65"/>
      <c r="KN31" s="65"/>
      <c r="KO31" s="65"/>
      <c r="KP31" s="65"/>
      <c r="KQ31" s="65"/>
      <c r="KR31" s="65"/>
      <c r="KS31" s="65"/>
      <c r="KT31" s="65"/>
      <c r="KU31" s="65"/>
      <c r="KV31" s="65"/>
      <c r="KW31" s="65"/>
      <c r="KX31" s="65"/>
      <c r="KY31" s="65"/>
      <c r="KZ31" s="65"/>
      <c r="LA31" s="65"/>
      <c r="LB31" s="65"/>
      <c r="LC31" s="65"/>
      <c r="LD31" s="65"/>
      <c r="LE31" s="65"/>
      <c r="LF31" s="65"/>
      <c r="LG31" s="65"/>
      <c r="LH31" s="65"/>
      <c r="LI31" s="65"/>
      <c r="LJ31" s="65"/>
      <c r="LK31" s="65"/>
      <c r="LL31" s="65"/>
      <c r="LM31" s="65"/>
      <c r="LN31" s="65"/>
      <c r="LO31" s="65"/>
      <c r="LP31" s="65"/>
      <c r="LQ31" s="65"/>
      <c r="LR31" s="65"/>
      <c r="LS31" s="65"/>
      <c r="LT31" s="65"/>
      <c r="LU31" s="65"/>
      <c r="LV31" s="65"/>
      <c r="LW31" s="65"/>
      <c r="LX31" s="65"/>
      <c r="LY31" s="65"/>
      <c r="LZ31" s="65"/>
      <c r="MA31" s="65"/>
      <c r="MB31" s="65"/>
      <c r="MC31" s="65"/>
      <c r="MD31" s="65"/>
      <c r="ME31" s="65"/>
      <c r="MF31" s="65"/>
      <c r="MG31" s="65"/>
      <c r="MH31" s="65"/>
      <c r="MI31" s="65"/>
      <c r="MJ31" s="65"/>
      <c r="MK31" s="65"/>
      <c r="ML31" s="65"/>
      <c r="MM31" s="65"/>
      <c r="MN31" s="65"/>
      <c r="MO31" s="65"/>
      <c r="MP31" s="65"/>
      <c r="MQ31" s="65"/>
      <c r="MR31" s="65"/>
      <c r="MS31" s="65"/>
      <c r="MT31" s="65"/>
      <c r="MU31" s="65"/>
      <c r="MV31" s="65"/>
      <c r="MW31" s="65"/>
      <c r="MX31" s="65"/>
      <c r="MY31" s="65"/>
      <c r="MZ31" s="65"/>
      <c r="NA31" s="65"/>
      <c r="NB31" s="65"/>
      <c r="NC31" s="65"/>
      <c r="ND31" s="65"/>
      <c r="NE31" s="65"/>
      <c r="NF31" s="65"/>
      <c r="NG31" s="65"/>
      <c r="NH31" s="65"/>
      <c r="NI31" s="65"/>
      <c r="NJ31" s="65"/>
      <c r="NK31" s="65"/>
      <c r="NL31" s="65"/>
      <c r="NM31" s="65"/>
      <c r="NN31" s="65"/>
      <c r="NO31" s="65"/>
      <c r="NP31" s="65"/>
      <c r="NQ31" s="65"/>
      <c r="NR31" s="65"/>
      <c r="NS31" s="65"/>
      <c r="NT31" s="65"/>
      <c r="NU31" s="65"/>
      <c r="NV31" s="65"/>
      <c r="NW31" s="65"/>
      <c r="NX31" s="65"/>
      <c r="NY31" s="65"/>
      <c r="NZ31" s="65"/>
      <c r="OA31" s="65"/>
      <c r="OB31" s="65"/>
      <c r="OC31" s="65"/>
      <c r="OD31" s="65"/>
      <c r="OE31" s="65"/>
      <c r="OF31" s="65"/>
      <c r="OG31" s="65"/>
      <c r="OH31" s="65"/>
      <c r="OI31" s="65"/>
      <c r="OJ31" s="65"/>
      <c r="OK31" s="65"/>
      <c r="OL31" s="65"/>
      <c r="OM31" s="65"/>
      <c r="ON31" s="65"/>
      <c r="OO31" s="65"/>
      <c r="OP31" s="65"/>
      <c r="OQ31" s="65"/>
      <c r="OR31" s="65"/>
      <c r="OS31" s="65"/>
      <c r="OT31" s="65"/>
      <c r="OU31" s="65"/>
      <c r="OV31" s="65"/>
      <c r="OW31" s="65"/>
      <c r="OX31" s="65"/>
      <c r="OY31" s="65"/>
      <c r="OZ31" s="65"/>
      <c r="PA31" s="65"/>
      <c r="PB31" s="65"/>
      <c r="PC31" s="65"/>
      <c r="PD31" s="65"/>
      <c r="PE31" s="65"/>
      <c r="PF31" s="65"/>
      <c r="PG31" s="65"/>
      <c r="PH31" s="65"/>
      <c r="PI31" s="65"/>
      <c r="PJ31" s="65"/>
      <c r="PK31" s="65"/>
      <c r="PL31" s="65"/>
      <c r="PM31" s="65"/>
      <c r="PN31" s="65"/>
      <c r="PO31" s="65"/>
      <c r="PP31" s="65"/>
      <c r="PQ31" s="65"/>
      <c r="PR31" s="65"/>
      <c r="PS31" s="65"/>
      <c r="PT31" s="65"/>
      <c r="PU31" s="65"/>
      <c r="PV31" s="65"/>
      <c r="PW31" s="65"/>
      <c r="PX31" s="65"/>
      <c r="PY31" s="65"/>
      <c r="PZ31" s="65"/>
      <c r="QA31" s="65"/>
      <c r="QB31" s="65"/>
      <c r="QC31" s="65"/>
      <c r="QD31" s="65"/>
      <c r="QE31" s="65"/>
      <c r="QF31" s="65"/>
      <c r="QG31" s="65"/>
      <c r="QH31" s="65"/>
      <c r="QI31" s="65"/>
      <c r="QJ31" s="65"/>
      <c r="QK31" s="65"/>
      <c r="QL31" s="65"/>
      <c r="QM31" s="65"/>
      <c r="QN31" s="65"/>
      <c r="QO31" s="65"/>
      <c r="QP31" s="65"/>
      <c r="QQ31" s="65"/>
      <c r="QR31" s="65"/>
      <c r="QS31" s="65"/>
      <c r="QT31" s="65"/>
      <c r="QU31" s="65"/>
      <c r="QV31" s="65"/>
      <c r="QW31" s="65"/>
      <c r="QX31" s="65"/>
      <c r="QY31" s="65"/>
      <c r="QZ31" s="65"/>
      <c r="RA31" s="65"/>
      <c r="RB31" s="65"/>
      <c r="RC31" s="65"/>
      <c r="RD31" s="65"/>
      <c r="RE31" s="65"/>
      <c r="RF31" s="65"/>
      <c r="RG31" s="65"/>
      <c r="RH31" s="65"/>
      <c r="RI31" s="65"/>
      <c r="RJ31" s="65"/>
      <c r="RK31" s="65"/>
      <c r="RL31" s="65"/>
      <c r="RM31" s="65"/>
      <c r="RN31" s="65"/>
      <c r="RO31" s="65"/>
      <c r="RP31" s="65"/>
      <c r="RQ31" s="65"/>
      <c r="RR31" s="65"/>
      <c r="RS31" s="65"/>
      <c r="RT31" s="65"/>
      <c r="RU31" s="65"/>
      <c r="RV31" s="65"/>
      <c r="RW31" s="65"/>
      <c r="RX31" s="65"/>
      <c r="RY31" s="65"/>
      <c r="RZ31" s="65"/>
      <c r="SA31" s="65"/>
      <c r="SB31" s="65"/>
      <c r="SC31" s="65"/>
      <c r="SD31" s="65"/>
      <c r="SE31" s="65"/>
      <c r="SF31" s="65"/>
      <c r="SG31" s="65"/>
      <c r="SH31" s="65"/>
      <c r="SI31" s="65"/>
      <c r="SJ31" s="65"/>
      <c r="SK31" s="65"/>
      <c r="SL31" s="65"/>
      <c r="SM31" s="65"/>
      <c r="SN31" s="65"/>
      <c r="SO31" s="65"/>
      <c r="SP31" s="65"/>
      <c r="SQ31" s="65"/>
      <c r="SR31" s="65"/>
      <c r="SS31" s="65"/>
      <c r="ST31" s="65"/>
      <c r="SU31" s="65"/>
      <c r="SV31" s="65"/>
      <c r="SW31" s="65"/>
      <c r="SX31" s="65"/>
      <c r="SY31" s="65"/>
      <c r="SZ31" s="65"/>
      <c r="TA31" s="65"/>
      <c r="TB31" s="65"/>
      <c r="TC31" s="65"/>
      <c r="TD31" s="65"/>
      <c r="TE31" s="65"/>
      <c r="TF31" s="65"/>
      <c r="TG31" s="65"/>
      <c r="TH31" s="65"/>
      <c r="TI31" s="65"/>
      <c r="TJ31" s="65"/>
      <c r="TK31" s="65"/>
      <c r="TL31" s="65"/>
      <c r="TM31" s="65"/>
      <c r="TN31" s="65"/>
      <c r="TO31" s="65"/>
      <c r="TP31" s="65"/>
      <c r="TQ31" s="65"/>
      <c r="TR31" s="65"/>
      <c r="TS31" s="65"/>
      <c r="TT31" s="65"/>
      <c r="TU31" s="65"/>
      <c r="TV31" s="65"/>
      <c r="TW31" s="65"/>
      <c r="TX31" s="65"/>
      <c r="TY31" s="65"/>
      <c r="TZ31" s="65"/>
      <c r="UA31" s="65"/>
      <c r="UB31" s="65"/>
      <c r="UC31" s="65"/>
      <c r="UD31" s="65"/>
      <c r="UE31" s="65"/>
      <c r="UF31" s="65"/>
      <c r="UG31" s="65"/>
      <c r="UH31" s="65"/>
      <c r="UI31" s="65"/>
      <c r="UJ31" s="65"/>
      <c r="UK31" s="65"/>
      <c r="UL31" s="65"/>
      <c r="UM31" s="65"/>
      <c r="UN31" s="65"/>
      <c r="UO31" s="65"/>
      <c r="UP31" s="65"/>
      <c r="UQ31" s="65"/>
      <c r="UR31" s="65"/>
      <c r="US31" s="65"/>
      <c r="UT31" s="65"/>
      <c r="UU31" s="65"/>
      <c r="UV31" s="65"/>
      <c r="UW31" s="65"/>
      <c r="UX31" s="65"/>
      <c r="UY31" s="65"/>
      <c r="UZ31" s="65"/>
      <c r="VA31" s="65"/>
      <c r="VB31" s="65"/>
      <c r="VC31" s="65"/>
      <c r="VD31" s="65"/>
      <c r="VE31" s="65"/>
      <c r="VF31" s="65"/>
      <c r="VG31" s="65"/>
      <c r="VH31" s="65"/>
      <c r="VI31" s="65"/>
      <c r="VJ31" s="65"/>
      <c r="VK31" s="65"/>
      <c r="VL31" s="65"/>
      <c r="VM31" s="65"/>
      <c r="VN31" s="65"/>
      <c r="VO31" s="65"/>
      <c r="VP31" s="65"/>
      <c r="VQ31" s="65"/>
      <c r="VR31" s="65"/>
      <c r="VS31" s="65"/>
      <c r="VT31" s="65"/>
      <c r="VU31" s="65"/>
      <c r="VV31" s="65"/>
      <c r="VW31" s="65"/>
      <c r="VX31" s="65"/>
      <c r="VY31" s="65"/>
      <c r="VZ31" s="65"/>
      <c r="WA31" s="65"/>
      <c r="WB31" s="65"/>
      <c r="WC31" s="65"/>
      <c r="WD31" s="65"/>
      <c r="WE31" s="65"/>
      <c r="WF31" s="65"/>
      <c r="WG31" s="65"/>
      <c r="WH31" s="65"/>
      <c r="WI31" s="65"/>
      <c r="WJ31" s="65"/>
      <c r="WK31" s="65"/>
      <c r="WL31" s="65"/>
      <c r="WM31" s="65"/>
      <c r="WN31" s="65"/>
      <c r="WO31" s="65"/>
      <c r="WP31" s="65"/>
      <c r="WQ31" s="65"/>
      <c r="WR31" s="65"/>
      <c r="WS31" s="65"/>
      <c r="WT31" s="65"/>
      <c r="WU31" s="65"/>
      <c r="WV31" s="65"/>
      <c r="WW31" s="65"/>
      <c r="WX31" s="65"/>
      <c r="WY31" s="65"/>
      <c r="WZ31" s="65"/>
      <c r="XA31" s="65"/>
      <c r="XB31" s="65"/>
      <c r="XC31" s="65"/>
      <c r="XD31" s="65"/>
      <c r="XE31" s="65"/>
      <c r="XF31" s="65"/>
      <c r="XG31" s="65"/>
      <c r="XH31" s="65"/>
      <c r="XI31" s="65"/>
      <c r="XJ31" s="65"/>
      <c r="XK31" s="65"/>
      <c r="XL31" s="65"/>
      <c r="XM31" s="65"/>
      <c r="XN31" s="65"/>
      <c r="XO31" s="65"/>
      <c r="XP31" s="65"/>
      <c r="XQ31" s="65"/>
      <c r="XR31" s="65"/>
      <c r="XS31" s="65"/>
      <c r="XT31" s="65"/>
      <c r="XU31" s="65"/>
      <c r="XV31" s="65"/>
      <c r="XW31" s="65"/>
      <c r="XX31" s="65"/>
      <c r="XY31" s="65"/>
      <c r="XZ31" s="65"/>
      <c r="YA31" s="65"/>
      <c r="YB31" s="65"/>
      <c r="YC31" s="65"/>
      <c r="YD31" s="65"/>
      <c r="YE31" s="65"/>
      <c r="YF31" s="65"/>
      <c r="YG31" s="65"/>
      <c r="YH31" s="65"/>
      <c r="YI31" s="65"/>
      <c r="YJ31" s="65"/>
      <c r="YK31" s="65"/>
      <c r="YL31" s="65"/>
      <c r="YM31" s="65"/>
      <c r="YN31" s="65"/>
      <c r="YO31" s="65"/>
      <c r="YP31" s="65"/>
      <c r="YQ31" s="65"/>
      <c r="YR31" s="65"/>
      <c r="YS31" s="65"/>
      <c r="YT31" s="65"/>
      <c r="YU31" s="65"/>
      <c r="YV31" s="65"/>
      <c r="YW31" s="65"/>
      <c r="YX31" s="65"/>
      <c r="YY31" s="65"/>
      <c r="YZ31" s="65"/>
      <c r="ZA31" s="65"/>
      <c r="ZB31" s="65"/>
      <c r="ZC31" s="65"/>
      <c r="ZD31" s="65"/>
      <c r="ZE31" s="65"/>
      <c r="ZF31" s="65"/>
      <c r="ZG31" s="65"/>
      <c r="ZH31" s="65"/>
      <c r="ZI31" s="65"/>
      <c r="ZJ31" s="65"/>
      <c r="ZK31" s="65"/>
      <c r="ZL31" s="65"/>
      <c r="ZM31" s="65"/>
      <c r="ZN31" s="65"/>
      <c r="ZO31" s="65"/>
      <c r="ZP31" s="65"/>
      <c r="ZQ31" s="65"/>
      <c r="ZR31" s="65"/>
      <c r="ZS31" s="65"/>
      <c r="ZT31" s="65"/>
      <c r="ZU31" s="65"/>
      <c r="ZV31" s="65"/>
      <c r="ZW31" s="65"/>
      <c r="ZX31" s="65"/>
      <c r="ZY31" s="65"/>
      <c r="ZZ31" s="65"/>
      <c r="AAA31" s="65"/>
      <c r="AAB31" s="65"/>
      <c r="AAC31" s="65"/>
      <c r="AAD31" s="65"/>
      <c r="AAE31" s="65"/>
      <c r="AAF31" s="65"/>
      <c r="AAG31" s="65"/>
      <c r="AAH31" s="65"/>
      <c r="AAI31" s="65"/>
      <c r="AAJ31" s="65"/>
      <c r="AAK31" s="65"/>
      <c r="AAL31" s="65"/>
      <c r="AAM31" s="65"/>
      <c r="AAN31" s="65"/>
      <c r="AAO31" s="65"/>
      <c r="AAP31" s="65"/>
      <c r="AAQ31" s="65"/>
      <c r="AAR31" s="65"/>
      <c r="AAS31" s="65"/>
      <c r="AAT31" s="65"/>
      <c r="AAU31" s="65"/>
      <c r="AAV31" s="65"/>
      <c r="AAW31" s="65"/>
      <c r="AAX31" s="65"/>
      <c r="AAY31" s="65"/>
      <c r="AAZ31" s="65"/>
      <c r="ABA31" s="65"/>
      <c r="ABB31" s="65"/>
      <c r="ABC31" s="65"/>
      <c r="ABD31" s="65"/>
      <c r="ABE31" s="65"/>
      <c r="ABF31" s="65"/>
      <c r="ABG31" s="65"/>
      <c r="ABH31" s="65"/>
      <c r="ABI31" s="65"/>
      <c r="ABJ31" s="65"/>
      <c r="ABK31" s="65"/>
      <c r="ABL31" s="65"/>
      <c r="ABM31" s="65"/>
      <c r="ABN31" s="65"/>
    </row>
    <row r="32" spans="1:742" ht="45" x14ac:dyDescent="0.25">
      <c r="A32" s="110">
        <v>2025</v>
      </c>
      <c r="B32" s="230">
        <v>4</v>
      </c>
      <c r="C32" s="152">
        <v>22539</v>
      </c>
      <c r="D32" s="277">
        <v>45754</v>
      </c>
      <c r="E32" s="111" t="s">
        <v>808</v>
      </c>
      <c r="F32" s="111" t="s">
        <v>808</v>
      </c>
      <c r="G32" s="110" t="s">
        <v>99</v>
      </c>
      <c r="H32" s="110">
        <v>3022818218</v>
      </c>
      <c r="I32" s="110">
        <v>3022818218</v>
      </c>
      <c r="J32" s="108">
        <v>45769</v>
      </c>
      <c r="K32" s="110" t="s">
        <v>99</v>
      </c>
      <c r="L32" s="112" t="s">
        <v>809</v>
      </c>
      <c r="M32" s="110" t="s">
        <v>136</v>
      </c>
      <c r="N32" s="110">
        <v>5856</v>
      </c>
      <c r="O32" s="110">
        <v>6106</v>
      </c>
      <c r="P32" s="110" t="s">
        <v>136</v>
      </c>
      <c r="Q32" s="110" t="s">
        <v>136</v>
      </c>
      <c r="R32" s="110" t="s">
        <v>136</v>
      </c>
      <c r="S32" s="110" t="s">
        <v>134</v>
      </c>
      <c r="T32" s="110" t="s">
        <v>134</v>
      </c>
      <c r="U32" s="110" t="s">
        <v>136</v>
      </c>
      <c r="V32" s="111" t="s">
        <v>89</v>
      </c>
      <c r="W32" s="108">
        <v>45769</v>
      </c>
      <c r="X32" s="108">
        <v>45772</v>
      </c>
      <c r="Y32" s="110"/>
      <c r="Z32" s="126" t="s">
        <v>85</v>
      </c>
      <c r="AA32" s="124">
        <v>0</v>
      </c>
      <c r="AB32" s="110">
        <v>5796</v>
      </c>
      <c r="AC32" s="114">
        <v>3292758</v>
      </c>
      <c r="AD32" s="212">
        <f t="shared" si="4"/>
        <v>3918382.02</v>
      </c>
      <c r="AE32" s="114">
        <v>0</v>
      </c>
      <c r="AF32" s="110"/>
      <c r="AG32" s="142" t="s">
        <v>2098</v>
      </c>
      <c r="AH32" s="248">
        <v>45818</v>
      </c>
      <c r="AI32" s="108">
        <v>45826</v>
      </c>
      <c r="AJ32" s="110" t="s">
        <v>1705</v>
      </c>
      <c r="AK32" s="110"/>
    </row>
    <row r="33" spans="1:37" ht="45" x14ac:dyDescent="0.25">
      <c r="A33" s="110">
        <v>2025</v>
      </c>
      <c r="B33" s="230">
        <v>4</v>
      </c>
      <c r="C33" s="152">
        <v>22540</v>
      </c>
      <c r="D33" s="277">
        <v>45754</v>
      </c>
      <c r="E33" s="111" t="s">
        <v>810</v>
      </c>
      <c r="F33" s="111" t="s">
        <v>811</v>
      </c>
      <c r="G33" s="110" t="s">
        <v>98</v>
      </c>
      <c r="H33" s="110">
        <v>3146181032</v>
      </c>
      <c r="I33" s="110">
        <v>6042930177</v>
      </c>
      <c r="J33" s="108">
        <v>45769</v>
      </c>
      <c r="K33" s="110" t="s">
        <v>88</v>
      </c>
      <c r="L33" s="112" t="s">
        <v>812</v>
      </c>
      <c r="M33" s="110" t="s">
        <v>136</v>
      </c>
      <c r="N33" s="110">
        <v>5857</v>
      </c>
      <c r="O33" s="110" t="s">
        <v>136</v>
      </c>
      <c r="P33" s="110">
        <v>8795</v>
      </c>
      <c r="Q33" s="110">
        <v>5512</v>
      </c>
      <c r="R33" s="110" t="s">
        <v>136</v>
      </c>
      <c r="S33" s="110" t="s">
        <v>134</v>
      </c>
      <c r="T33" s="110" t="s">
        <v>134</v>
      </c>
      <c r="U33" s="110" t="s">
        <v>136</v>
      </c>
      <c r="V33" s="111" t="s">
        <v>119</v>
      </c>
      <c r="W33" s="108">
        <v>45762</v>
      </c>
      <c r="X33" s="108">
        <v>45783</v>
      </c>
      <c r="Y33" s="110"/>
      <c r="Z33" s="126" t="s">
        <v>85</v>
      </c>
      <c r="AA33" s="124">
        <v>0</v>
      </c>
      <c r="AB33" s="110">
        <v>5755</v>
      </c>
      <c r="AC33" s="114">
        <v>3196615</v>
      </c>
      <c r="AD33" s="212">
        <f t="shared" si="4"/>
        <v>3803971.8499999996</v>
      </c>
      <c r="AE33" s="114">
        <v>2000000</v>
      </c>
      <c r="AF33" s="110"/>
      <c r="AG33" s="142" t="s">
        <v>1283</v>
      </c>
      <c r="AH33" s="248">
        <v>45769</v>
      </c>
      <c r="AI33" s="108">
        <v>45782</v>
      </c>
      <c r="AJ33" s="110" t="s">
        <v>571</v>
      </c>
      <c r="AK33" s="110"/>
    </row>
    <row r="34" spans="1:37" ht="45" x14ac:dyDescent="0.25">
      <c r="A34" s="110">
        <v>2025</v>
      </c>
      <c r="B34" s="230">
        <v>4</v>
      </c>
      <c r="C34" s="152">
        <v>22541</v>
      </c>
      <c r="D34" s="277">
        <v>45754</v>
      </c>
      <c r="E34" s="111" t="s">
        <v>813</v>
      </c>
      <c r="F34" s="111" t="s">
        <v>813</v>
      </c>
      <c r="G34" s="110" t="s">
        <v>143</v>
      </c>
      <c r="H34" s="110">
        <v>3126685913</v>
      </c>
      <c r="I34" s="110">
        <v>3126685913</v>
      </c>
      <c r="J34" s="108">
        <v>45763</v>
      </c>
      <c r="K34" s="110" t="s">
        <v>84</v>
      </c>
      <c r="L34" s="112" t="s">
        <v>820</v>
      </c>
      <c r="M34" s="110" t="s">
        <v>136</v>
      </c>
      <c r="N34" s="110">
        <v>5858</v>
      </c>
      <c r="O34" s="110">
        <v>6103</v>
      </c>
      <c r="P34" s="110" t="s">
        <v>136</v>
      </c>
      <c r="Q34" s="110" t="s">
        <v>136</v>
      </c>
      <c r="R34" s="110" t="s">
        <v>136</v>
      </c>
      <c r="S34" s="110" t="s">
        <v>134</v>
      </c>
      <c r="T34" s="110" t="s">
        <v>134</v>
      </c>
      <c r="U34" s="110" t="s">
        <v>136</v>
      </c>
      <c r="V34" s="111" t="s">
        <v>119</v>
      </c>
      <c r="W34" s="108">
        <v>45771</v>
      </c>
      <c r="X34" s="108">
        <v>45771</v>
      </c>
      <c r="Y34" s="110"/>
      <c r="Z34" s="126" t="s">
        <v>85</v>
      </c>
      <c r="AA34" s="130">
        <v>686000</v>
      </c>
      <c r="AB34" s="110">
        <v>5768</v>
      </c>
      <c r="AC34" s="114">
        <v>576471</v>
      </c>
      <c r="AD34" s="212">
        <f t="shared" si="4"/>
        <v>686000.49</v>
      </c>
      <c r="AE34" s="114">
        <v>0</v>
      </c>
      <c r="AF34" s="110"/>
      <c r="AG34" s="142" t="s">
        <v>1008</v>
      </c>
      <c r="AH34" s="248">
        <v>45754</v>
      </c>
      <c r="AI34" s="108">
        <v>45772</v>
      </c>
      <c r="AJ34" s="110" t="s">
        <v>571</v>
      </c>
      <c r="AK34" s="110"/>
    </row>
    <row r="35" spans="1:37" ht="60" x14ac:dyDescent="0.25">
      <c r="A35" s="99">
        <v>2025</v>
      </c>
      <c r="B35" s="233">
        <v>4</v>
      </c>
      <c r="C35" s="356">
        <v>22542</v>
      </c>
      <c r="D35" s="278">
        <v>45754</v>
      </c>
      <c r="E35" s="100" t="s">
        <v>814</v>
      </c>
      <c r="F35" s="100" t="s">
        <v>815</v>
      </c>
      <c r="G35" s="99" t="s">
        <v>143</v>
      </c>
      <c r="H35" s="99">
        <v>6044448560</v>
      </c>
      <c r="I35" s="99">
        <v>6044448560</v>
      </c>
      <c r="J35" s="97">
        <v>45772</v>
      </c>
      <c r="K35" s="99" t="s">
        <v>99</v>
      </c>
      <c r="L35" s="101" t="s">
        <v>819</v>
      </c>
      <c r="M35" s="99" t="s">
        <v>136</v>
      </c>
      <c r="N35" s="99">
        <v>1902</v>
      </c>
      <c r="O35" s="99" t="s">
        <v>136</v>
      </c>
      <c r="P35" s="99" t="s">
        <v>136</v>
      </c>
      <c r="Q35" s="99" t="s">
        <v>136</v>
      </c>
      <c r="R35" s="99" t="s">
        <v>136</v>
      </c>
      <c r="S35" s="99" t="s">
        <v>134</v>
      </c>
      <c r="T35" s="99" t="s">
        <v>134</v>
      </c>
      <c r="U35" s="99" t="s">
        <v>136</v>
      </c>
      <c r="V35" s="100" t="s">
        <v>119</v>
      </c>
      <c r="W35" s="97">
        <v>45776</v>
      </c>
      <c r="X35" s="97">
        <v>45782</v>
      </c>
      <c r="Y35" s="99"/>
      <c r="Z35" s="120" t="s">
        <v>85</v>
      </c>
      <c r="AA35" s="122">
        <v>0</v>
      </c>
      <c r="AB35" s="99">
        <v>5800</v>
      </c>
      <c r="AC35" s="103">
        <v>1259167</v>
      </c>
      <c r="AD35" s="198">
        <f t="shared" si="4"/>
        <v>1498408.73</v>
      </c>
      <c r="AE35" s="103">
        <v>800000</v>
      </c>
      <c r="AF35" s="99"/>
      <c r="AG35" s="104" t="s">
        <v>1144</v>
      </c>
      <c r="AH35" s="233"/>
      <c r="AI35" s="97">
        <v>45782</v>
      </c>
      <c r="AJ35" s="99" t="s">
        <v>571</v>
      </c>
      <c r="AK35" s="99"/>
    </row>
    <row r="36" spans="1:37" ht="34.5" customHeight="1" x14ac:dyDescent="0.25">
      <c r="A36" s="110">
        <v>2025</v>
      </c>
      <c r="B36" s="230">
        <v>4</v>
      </c>
      <c r="C36" s="152">
        <v>22543</v>
      </c>
      <c r="D36" s="277">
        <v>45754</v>
      </c>
      <c r="E36" s="111" t="s">
        <v>816</v>
      </c>
      <c r="F36" s="111" t="s">
        <v>817</v>
      </c>
      <c r="G36" s="110" t="s">
        <v>98</v>
      </c>
      <c r="H36" s="110">
        <v>3103660842</v>
      </c>
      <c r="I36" s="110">
        <v>3103660842</v>
      </c>
      <c r="J36" s="108">
        <v>45768</v>
      </c>
      <c r="K36" s="110" t="s">
        <v>88</v>
      </c>
      <c r="L36" s="112" t="s">
        <v>818</v>
      </c>
      <c r="M36" s="110" t="s">
        <v>136</v>
      </c>
      <c r="N36" s="110">
        <v>5860</v>
      </c>
      <c r="O36" s="110" t="s">
        <v>136</v>
      </c>
      <c r="P36" s="110" t="s">
        <v>136</v>
      </c>
      <c r="Q36" s="110" t="s">
        <v>136</v>
      </c>
      <c r="R36" s="110" t="s">
        <v>134</v>
      </c>
      <c r="S36" s="110" t="s">
        <v>134</v>
      </c>
      <c r="T36" s="110" t="s">
        <v>136</v>
      </c>
      <c r="U36" s="110" t="s">
        <v>136</v>
      </c>
      <c r="V36" s="111" t="s">
        <v>89</v>
      </c>
      <c r="W36" s="108">
        <v>45762</v>
      </c>
      <c r="X36" s="108">
        <v>45779</v>
      </c>
      <c r="Y36" s="110"/>
      <c r="Z36" s="126" t="s">
        <v>85</v>
      </c>
      <c r="AA36" s="130">
        <v>389505</v>
      </c>
      <c r="AB36" s="110">
        <v>5756</v>
      </c>
      <c r="AC36" s="114">
        <v>327315</v>
      </c>
      <c r="AD36" s="212">
        <f t="shared" si="4"/>
        <v>389504.85</v>
      </c>
      <c r="AE36" s="114">
        <v>0</v>
      </c>
      <c r="AF36" s="110"/>
      <c r="AG36" s="142" t="s">
        <v>1127</v>
      </c>
      <c r="AH36" s="248">
        <v>45754</v>
      </c>
      <c r="AI36" s="108">
        <v>45763</v>
      </c>
      <c r="AJ36" s="110" t="s">
        <v>571</v>
      </c>
      <c r="AK36" s="110"/>
    </row>
    <row r="37" spans="1:37" ht="60" x14ac:dyDescent="0.25">
      <c r="A37" s="110">
        <v>2025</v>
      </c>
      <c r="B37" s="230">
        <v>4</v>
      </c>
      <c r="C37" s="152">
        <v>22544</v>
      </c>
      <c r="D37" s="277">
        <v>45755</v>
      </c>
      <c r="E37" s="111" t="s">
        <v>876</v>
      </c>
      <c r="F37" s="111" t="s">
        <v>877</v>
      </c>
      <c r="G37" s="110" t="s">
        <v>98</v>
      </c>
      <c r="H37" s="110">
        <v>3207794500</v>
      </c>
      <c r="I37" s="110">
        <v>6044481405</v>
      </c>
      <c r="J37" s="108">
        <v>45770</v>
      </c>
      <c r="K37" s="110" t="s">
        <v>88</v>
      </c>
      <c r="L37" s="112" t="s">
        <v>879</v>
      </c>
      <c r="M37" s="110" t="s">
        <v>136</v>
      </c>
      <c r="N37" s="110">
        <v>5868</v>
      </c>
      <c r="O37" s="110">
        <v>6107</v>
      </c>
      <c r="P37" s="110">
        <v>8842</v>
      </c>
      <c r="Q37" s="110" t="s">
        <v>136</v>
      </c>
      <c r="R37" s="110" t="s">
        <v>134</v>
      </c>
      <c r="S37" s="110" t="s">
        <v>134</v>
      </c>
      <c r="T37" s="110" t="s">
        <v>134</v>
      </c>
      <c r="U37" s="110" t="s">
        <v>136</v>
      </c>
      <c r="V37" s="111" t="s">
        <v>119</v>
      </c>
      <c r="W37" s="108">
        <v>45771</v>
      </c>
      <c r="X37" s="108">
        <v>45772</v>
      </c>
      <c r="Y37" s="110"/>
      <c r="Z37" s="126" t="s">
        <v>85</v>
      </c>
      <c r="AA37" s="130">
        <v>599998</v>
      </c>
      <c r="AB37" s="110">
        <v>5771</v>
      </c>
      <c r="AC37" s="114">
        <v>504200</v>
      </c>
      <c r="AD37" s="212">
        <f t="shared" si="4"/>
        <v>599998</v>
      </c>
      <c r="AE37" s="114">
        <v>0</v>
      </c>
      <c r="AF37" s="110"/>
      <c r="AG37" s="142" t="s">
        <v>1009</v>
      </c>
      <c r="AH37" s="248">
        <v>45755</v>
      </c>
      <c r="AI37" s="108">
        <v>45772</v>
      </c>
      <c r="AJ37" s="110" t="s">
        <v>571</v>
      </c>
      <c r="AK37" s="110"/>
    </row>
    <row r="38" spans="1:37" ht="34.5" customHeight="1" x14ac:dyDescent="0.25">
      <c r="A38" s="252">
        <v>2025</v>
      </c>
      <c r="B38" s="267">
        <v>4</v>
      </c>
      <c r="C38" s="383">
        <v>22545</v>
      </c>
      <c r="D38" s="280" t="s">
        <v>136</v>
      </c>
      <c r="E38" s="253" t="s">
        <v>136</v>
      </c>
      <c r="F38" s="253" t="s">
        <v>136</v>
      </c>
      <c r="G38" s="252" t="s">
        <v>136</v>
      </c>
      <c r="H38" s="252" t="s">
        <v>136</v>
      </c>
      <c r="I38" s="252" t="s">
        <v>136</v>
      </c>
      <c r="J38" s="263" t="s">
        <v>136</v>
      </c>
      <c r="K38" s="252" t="s">
        <v>136</v>
      </c>
      <c r="L38" s="253" t="s">
        <v>136</v>
      </c>
      <c r="M38" s="252" t="s">
        <v>136</v>
      </c>
      <c r="N38" s="252" t="s">
        <v>136</v>
      </c>
      <c r="O38" s="252" t="s">
        <v>136</v>
      </c>
      <c r="P38" s="252" t="s">
        <v>136</v>
      </c>
      <c r="Q38" s="252" t="s">
        <v>136</v>
      </c>
      <c r="R38" s="252" t="s">
        <v>136</v>
      </c>
      <c r="S38" s="252" t="s">
        <v>136</v>
      </c>
      <c r="T38" s="252" t="s">
        <v>136</v>
      </c>
      <c r="U38" s="252" t="s">
        <v>136</v>
      </c>
      <c r="V38" s="252" t="s">
        <v>136</v>
      </c>
      <c r="W38" s="263" t="s">
        <v>136</v>
      </c>
      <c r="X38" s="263" t="s">
        <v>136</v>
      </c>
      <c r="Y38" s="252" t="s">
        <v>136</v>
      </c>
      <c r="Z38" s="253" t="s">
        <v>91</v>
      </c>
      <c r="AA38" s="254">
        <v>0</v>
      </c>
      <c r="AB38" s="252" t="s">
        <v>136</v>
      </c>
      <c r="AC38" s="255">
        <v>0</v>
      </c>
      <c r="AD38" s="256">
        <f t="shared" si="4"/>
        <v>0</v>
      </c>
      <c r="AE38" s="255">
        <v>0</v>
      </c>
      <c r="AF38" s="252"/>
      <c r="AG38" s="257" t="s">
        <v>858</v>
      </c>
      <c r="AH38" s="252" t="s">
        <v>136</v>
      </c>
      <c r="AI38" s="263" t="s">
        <v>136</v>
      </c>
      <c r="AJ38" s="252" t="s">
        <v>136</v>
      </c>
      <c r="AK38" s="252" t="s">
        <v>136</v>
      </c>
    </row>
    <row r="39" spans="1:37" ht="105" x14ac:dyDescent="0.25">
      <c r="A39" s="99">
        <v>2025</v>
      </c>
      <c r="B39" s="233">
        <v>4</v>
      </c>
      <c r="C39" s="356">
        <v>22546</v>
      </c>
      <c r="D39" s="278">
        <v>45757</v>
      </c>
      <c r="E39" s="100" t="s">
        <v>855</v>
      </c>
      <c r="F39" s="100" t="s">
        <v>291</v>
      </c>
      <c r="G39" s="99" t="s">
        <v>770</v>
      </c>
      <c r="H39" s="99">
        <v>6044445514</v>
      </c>
      <c r="I39" s="99">
        <v>6044445514</v>
      </c>
      <c r="J39" s="97">
        <v>45769</v>
      </c>
      <c r="K39" s="99" t="s">
        <v>88</v>
      </c>
      <c r="L39" s="101" t="s">
        <v>856</v>
      </c>
      <c r="M39" s="99" t="s">
        <v>136</v>
      </c>
      <c r="N39" s="99" t="s">
        <v>136</v>
      </c>
      <c r="O39" s="99">
        <v>6109</v>
      </c>
      <c r="P39" s="100" t="s">
        <v>857</v>
      </c>
      <c r="Q39" s="99" t="s">
        <v>136</v>
      </c>
      <c r="R39" s="99" t="s">
        <v>136</v>
      </c>
      <c r="S39" s="99" t="s">
        <v>134</v>
      </c>
      <c r="T39" s="99" t="s">
        <v>134</v>
      </c>
      <c r="U39" s="99" t="s">
        <v>136</v>
      </c>
      <c r="V39" s="100" t="s">
        <v>89</v>
      </c>
      <c r="W39" s="97">
        <v>45762</v>
      </c>
      <c r="X39" s="97">
        <v>45780</v>
      </c>
      <c r="Y39" s="99"/>
      <c r="Z39" s="120" t="s">
        <v>97</v>
      </c>
      <c r="AA39" s="122">
        <v>0</v>
      </c>
      <c r="AB39" s="99">
        <v>5757</v>
      </c>
      <c r="AC39" s="103">
        <v>415135</v>
      </c>
      <c r="AD39" s="198">
        <f t="shared" si="4"/>
        <v>494010.64999999997</v>
      </c>
      <c r="AE39" s="103">
        <v>115000</v>
      </c>
      <c r="AF39" s="99"/>
      <c r="AG39" s="104" t="s">
        <v>1141</v>
      </c>
      <c r="AH39" s="233"/>
      <c r="AI39" s="97">
        <v>45780</v>
      </c>
      <c r="AJ39" s="99" t="s">
        <v>571</v>
      </c>
      <c r="AK39" s="99"/>
    </row>
    <row r="40" spans="1:37" ht="30" x14ac:dyDescent="0.25">
      <c r="A40" s="110">
        <v>2025</v>
      </c>
      <c r="B40" s="230">
        <v>4</v>
      </c>
      <c r="C40" s="152">
        <v>22547</v>
      </c>
      <c r="D40" s="277">
        <v>45756</v>
      </c>
      <c r="E40" s="111" t="s">
        <v>859</v>
      </c>
      <c r="F40" s="111" t="s">
        <v>635</v>
      </c>
      <c r="G40" s="110" t="s">
        <v>570</v>
      </c>
      <c r="H40" s="110">
        <v>3002900115</v>
      </c>
      <c r="I40" s="110">
        <v>3013652706</v>
      </c>
      <c r="J40" s="108">
        <v>45762</v>
      </c>
      <c r="K40" s="110" t="s">
        <v>88</v>
      </c>
      <c r="L40" s="112" t="s">
        <v>860</v>
      </c>
      <c r="M40" s="110" t="s">
        <v>136</v>
      </c>
      <c r="N40" s="110">
        <v>5862</v>
      </c>
      <c r="O40" s="110" t="s">
        <v>136</v>
      </c>
      <c r="P40" s="110" t="s">
        <v>136</v>
      </c>
      <c r="Q40" s="110" t="s">
        <v>136</v>
      </c>
      <c r="R40" s="110" t="s">
        <v>136</v>
      </c>
      <c r="S40" s="110" t="s">
        <v>134</v>
      </c>
      <c r="T40" s="110" t="s">
        <v>134</v>
      </c>
      <c r="U40" s="110" t="s">
        <v>136</v>
      </c>
      <c r="V40" s="111" t="s">
        <v>93</v>
      </c>
      <c r="W40" s="108">
        <v>45769</v>
      </c>
      <c r="X40" s="108">
        <v>45769</v>
      </c>
      <c r="Y40" s="110"/>
      <c r="Z40" s="126" t="s">
        <v>85</v>
      </c>
      <c r="AA40" s="124">
        <v>0</v>
      </c>
      <c r="AB40" s="110" t="s">
        <v>136</v>
      </c>
      <c r="AC40" s="114">
        <v>0</v>
      </c>
      <c r="AD40" s="212">
        <f t="shared" si="4"/>
        <v>0</v>
      </c>
      <c r="AE40" s="114">
        <v>0</v>
      </c>
      <c r="AF40" s="110"/>
      <c r="AG40" s="142" t="s">
        <v>1378</v>
      </c>
      <c r="AH40" s="230" t="s">
        <v>136</v>
      </c>
      <c r="AI40" s="108">
        <v>45782</v>
      </c>
      <c r="AJ40" s="110" t="s">
        <v>571</v>
      </c>
      <c r="AK40" s="110"/>
    </row>
    <row r="41" spans="1:37" ht="45" x14ac:dyDescent="0.25">
      <c r="A41" s="110">
        <v>2025</v>
      </c>
      <c r="B41" s="230">
        <v>4</v>
      </c>
      <c r="C41" s="152">
        <v>22548</v>
      </c>
      <c r="D41" s="277">
        <v>45757</v>
      </c>
      <c r="E41" s="111" t="s">
        <v>880</v>
      </c>
      <c r="F41" s="111" t="s">
        <v>881</v>
      </c>
      <c r="G41" s="110" t="s">
        <v>570</v>
      </c>
      <c r="H41" s="110">
        <v>3043468842</v>
      </c>
      <c r="I41" s="110">
        <v>604444839</v>
      </c>
      <c r="J41" s="108">
        <v>45776</v>
      </c>
      <c r="K41" s="110" t="s">
        <v>88</v>
      </c>
      <c r="L41" s="112" t="s">
        <v>882</v>
      </c>
      <c r="M41" s="110" t="s">
        <v>136</v>
      </c>
      <c r="N41" s="110">
        <v>5866</v>
      </c>
      <c r="O41" s="110" t="s">
        <v>136</v>
      </c>
      <c r="P41" s="110">
        <v>8850</v>
      </c>
      <c r="Q41" s="110" t="s">
        <v>136</v>
      </c>
      <c r="R41" s="110" t="s">
        <v>136</v>
      </c>
      <c r="S41" s="110" t="s">
        <v>134</v>
      </c>
      <c r="T41" s="110" t="s">
        <v>136</v>
      </c>
      <c r="U41" s="110" t="s">
        <v>136</v>
      </c>
      <c r="V41" s="111" t="s">
        <v>87</v>
      </c>
      <c r="W41" s="108">
        <v>45771</v>
      </c>
      <c r="X41" s="108">
        <v>45776</v>
      </c>
      <c r="Y41" s="110"/>
      <c r="Z41" s="126" t="s">
        <v>85</v>
      </c>
      <c r="AA41" s="130">
        <v>109500</v>
      </c>
      <c r="AB41" s="110">
        <v>5787</v>
      </c>
      <c r="AC41" s="114">
        <v>92017</v>
      </c>
      <c r="AD41" s="212">
        <f t="shared" si="4"/>
        <v>109500.23</v>
      </c>
      <c r="AE41" s="114">
        <v>0</v>
      </c>
      <c r="AF41" s="110"/>
      <c r="AG41" s="142" t="s">
        <v>1028</v>
      </c>
      <c r="AH41" s="248">
        <v>45756</v>
      </c>
      <c r="AI41" s="108">
        <v>45777</v>
      </c>
      <c r="AJ41" s="110" t="s">
        <v>571</v>
      </c>
      <c r="AK41" s="110"/>
    </row>
    <row r="42" spans="1:37" ht="60" x14ac:dyDescent="0.25">
      <c r="A42" s="99">
        <v>2025</v>
      </c>
      <c r="B42" s="233">
        <v>4</v>
      </c>
      <c r="C42" s="356">
        <v>22549</v>
      </c>
      <c r="D42" s="278">
        <v>45757</v>
      </c>
      <c r="E42" s="100" t="s">
        <v>873</v>
      </c>
      <c r="F42" s="100" t="s">
        <v>874</v>
      </c>
      <c r="G42" s="99" t="s">
        <v>143</v>
      </c>
      <c r="H42" s="99">
        <v>3116968002</v>
      </c>
      <c r="I42" s="99">
        <v>3116968002</v>
      </c>
      <c r="J42" s="97">
        <v>45775</v>
      </c>
      <c r="K42" s="99" t="s">
        <v>84</v>
      </c>
      <c r="L42" s="101" t="s">
        <v>875</v>
      </c>
      <c r="M42" s="99" t="s">
        <v>136</v>
      </c>
      <c r="N42" s="99">
        <v>5865</v>
      </c>
      <c r="O42" s="99">
        <v>6141</v>
      </c>
      <c r="P42" s="99">
        <v>8630</v>
      </c>
      <c r="Q42" s="99">
        <v>5515</v>
      </c>
      <c r="R42" s="99" t="s">
        <v>134</v>
      </c>
      <c r="S42" s="99" t="s">
        <v>134</v>
      </c>
      <c r="T42" s="99" t="s">
        <v>134</v>
      </c>
      <c r="U42" s="99" t="s">
        <v>136</v>
      </c>
      <c r="V42" s="100" t="s">
        <v>87</v>
      </c>
      <c r="W42" s="97">
        <v>45771</v>
      </c>
      <c r="X42" s="97">
        <v>45821</v>
      </c>
      <c r="Y42" s="99"/>
      <c r="Z42" s="120" t="s">
        <v>85</v>
      </c>
      <c r="AA42" s="122">
        <v>0</v>
      </c>
      <c r="AB42" s="99">
        <v>5988</v>
      </c>
      <c r="AC42" s="103">
        <v>1384959</v>
      </c>
      <c r="AD42" s="198">
        <f t="shared" si="4"/>
        <v>1648101.21</v>
      </c>
      <c r="AE42" s="103">
        <v>666616</v>
      </c>
      <c r="AF42" s="99"/>
      <c r="AG42" s="104" t="s">
        <v>2097</v>
      </c>
      <c r="AH42" s="258">
        <v>45776</v>
      </c>
      <c r="AI42" s="97">
        <v>45826</v>
      </c>
      <c r="AJ42" s="99" t="s">
        <v>1705</v>
      </c>
      <c r="AK42" s="99"/>
    </row>
    <row r="43" spans="1:37" ht="34.5" customHeight="1" x14ac:dyDescent="0.25">
      <c r="A43" s="110">
        <v>2025</v>
      </c>
      <c r="B43" s="230">
        <v>4</v>
      </c>
      <c r="C43" s="152">
        <v>22550</v>
      </c>
      <c r="D43" s="277">
        <v>45755</v>
      </c>
      <c r="E43" s="111" t="s">
        <v>772</v>
      </c>
      <c r="F43" s="111" t="s">
        <v>773</v>
      </c>
      <c r="G43" s="110" t="s">
        <v>265</v>
      </c>
      <c r="H43" s="110">
        <v>3255600</v>
      </c>
      <c r="I43" s="110">
        <v>3108441719</v>
      </c>
      <c r="J43" s="108">
        <v>45770</v>
      </c>
      <c r="K43" s="110" t="s">
        <v>88</v>
      </c>
      <c r="L43" s="112" t="s">
        <v>919</v>
      </c>
      <c r="M43" s="110" t="s">
        <v>136</v>
      </c>
      <c r="N43" s="110" t="s">
        <v>136</v>
      </c>
      <c r="O43" s="110">
        <v>6110</v>
      </c>
      <c r="P43" s="110" t="s">
        <v>136</v>
      </c>
      <c r="Q43" s="110" t="s">
        <v>136</v>
      </c>
      <c r="R43" s="110" t="s">
        <v>134</v>
      </c>
      <c r="S43" s="110" t="s">
        <v>136</v>
      </c>
      <c r="T43" s="110" t="s">
        <v>136</v>
      </c>
      <c r="U43" s="110" t="s">
        <v>136</v>
      </c>
      <c r="V43" s="111" t="s">
        <v>89</v>
      </c>
      <c r="W43" s="108">
        <v>45762</v>
      </c>
      <c r="X43" s="108">
        <v>45762</v>
      </c>
      <c r="Y43" s="110"/>
      <c r="Z43" s="126" t="s">
        <v>85</v>
      </c>
      <c r="AA43" s="124">
        <v>0</v>
      </c>
      <c r="AB43" s="110">
        <v>5758</v>
      </c>
      <c r="AC43" s="114">
        <v>731250</v>
      </c>
      <c r="AD43" s="212">
        <f t="shared" si="4"/>
        <v>870187.5</v>
      </c>
      <c r="AE43" s="114">
        <v>435094</v>
      </c>
      <c r="AF43" s="110"/>
      <c r="AG43" s="142" t="s">
        <v>926</v>
      </c>
      <c r="AH43" s="248">
        <v>45770</v>
      </c>
      <c r="AI43" s="108">
        <v>45777</v>
      </c>
      <c r="AJ43" s="110" t="s">
        <v>571</v>
      </c>
      <c r="AK43" s="110"/>
    </row>
    <row r="44" spans="1:37" ht="105" x14ac:dyDescent="0.25">
      <c r="A44" s="99">
        <v>2025</v>
      </c>
      <c r="B44" s="233">
        <v>4</v>
      </c>
      <c r="C44" s="356">
        <v>22551</v>
      </c>
      <c r="D44" s="278">
        <v>45757</v>
      </c>
      <c r="E44" s="100" t="s">
        <v>904</v>
      </c>
      <c r="F44" s="100" t="s">
        <v>905</v>
      </c>
      <c r="G44" s="99" t="s">
        <v>570</v>
      </c>
      <c r="H44" s="99">
        <v>3217922704</v>
      </c>
      <c r="I44" s="99">
        <v>6043225152</v>
      </c>
      <c r="J44" s="97">
        <v>45776</v>
      </c>
      <c r="K44" s="99" t="s">
        <v>88</v>
      </c>
      <c r="L44" s="101" t="s">
        <v>906</v>
      </c>
      <c r="M44" s="100" t="s">
        <v>698</v>
      </c>
      <c r="N44" s="99" t="s">
        <v>136</v>
      </c>
      <c r="O44" s="99">
        <v>6115</v>
      </c>
      <c r="P44" s="99">
        <v>8718</v>
      </c>
      <c r="Q44" s="99">
        <v>5494</v>
      </c>
      <c r="R44" s="99" t="s">
        <v>136</v>
      </c>
      <c r="S44" s="99" t="s">
        <v>134</v>
      </c>
      <c r="T44" s="99" t="s">
        <v>134</v>
      </c>
      <c r="U44" s="99" t="s">
        <v>136</v>
      </c>
      <c r="V44" s="100" t="s">
        <v>89</v>
      </c>
      <c r="W44" s="97">
        <v>45780</v>
      </c>
      <c r="X44" s="97">
        <v>45819</v>
      </c>
      <c r="Y44" s="99"/>
      <c r="Z44" s="120" t="s">
        <v>85</v>
      </c>
      <c r="AA44" s="117">
        <v>7846345</v>
      </c>
      <c r="AB44" s="99">
        <v>5812</v>
      </c>
      <c r="AC44" s="103">
        <v>6593567</v>
      </c>
      <c r="AD44" s="198">
        <f t="shared" si="4"/>
        <v>7846344.7299999995</v>
      </c>
      <c r="AE44" s="103">
        <v>3298783</v>
      </c>
      <c r="AF44" s="99"/>
      <c r="AG44" s="104" t="s">
        <v>2106</v>
      </c>
      <c r="AH44" s="258">
        <v>45805</v>
      </c>
      <c r="AI44" s="97">
        <v>45821</v>
      </c>
      <c r="AJ44" s="99" t="s">
        <v>1705</v>
      </c>
      <c r="AK44" s="99"/>
    </row>
    <row r="45" spans="1:37" ht="150" x14ac:dyDescent="0.25">
      <c r="A45" s="99">
        <v>2025</v>
      </c>
      <c r="B45" s="233">
        <v>4</v>
      </c>
      <c r="C45" s="356">
        <v>22552</v>
      </c>
      <c r="D45" s="278">
        <v>45757</v>
      </c>
      <c r="E45" s="100" t="s">
        <v>883</v>
      </c>
      <c r="F45" s="100" t="s">
        <v>883</v>
      </c>
      <c r="G45" s="99" t="s">
        <v>592</v>
      </c>
      <c r="H45" s="99">
        <v>3167565575</v>
      </c>
      <c r="I45" s="99">
        <v>3167565575</v>
      </c>
      <c r="J45" s="97">
        <v>45771</v>
      </c>
      <c r="K45" s="99" t="s">
        <v>94</v>
      </c>
      <c r="L45" s="101" t="s">
        <v>884</v>
      </c>
      <c r="M45" s="99" t="s">
        <v>136</v>
      </c>
      <c r="N45" s="99">
        <v>5867</v>
      </c>
      <c r="O45" s="99" t="s">
        <v>136</v>
      </c>
      <c r="P45" s="99">
        <v>8854</v>
      </c>
      <c r="Q45" s="99" t="s">
        <v>136</v>
      </c>
      <c r="R45" s="99" t="s">
        <v>134</v>
      </c>
      <c r="S45" s="99" t="s">
        <v>136</v>
      </c>
      <c r="T45" s="99" t="s">
        <v>136</v>
      </c>
      <c r="U45" s="99" t="s">
        <v>136</v>
      </c>
      <c r="V45" s="100" t="s">
        <v>119</v>
      </c>
      <c r="W45" s="97">
        <v>45771</v>
      </c>
      <c r="X45" s="97"/>
      <c r="Y45" s="99"/>
      <c r="Z45" s="120" t="s">
        <v>97</v>
      </c>
      <c r="AA45" s="122">
        <v>0</v>
      </c>
      <c r="AB45" s="99">
        <v>5782</v>
      </c>
      <c r="AC45" s="103">
        <v>976140</v>
      </c>
      <c r="AD45" s="198">
        <f t="shared" si="4"/>
        <v>1161606.5999999999</v>
      </c>
      <c r="AE45" s="103">
        <v>600000</v>
      </c>
      <c r="AF45" s="99"/>
      <c r="AG45" s="104" t="s">
        <v>1013</v>
      </c>
      <c r="AH45" s="233"/>
      <c r="AI45" s="97">
        <v>45785</v>
      </c>
      <c r="AJ45" s="99" t="s">
        <v>571</v>
      </c>
      <c r="AK45" s="99"/>
    </row>
    <row r="46" spans="1:37" ht="34.5" customHeight="1" x14ac:dyDescent="0.25">
      <c r="A46" s="110">
        <v>2025</v>
      </c>
      <c r="B46" s="230">
        <v>4</v>
      </c>
      <c r="C46" s="152">
        <v>22553</v>
      </c>
      <c r="D46" s="277">
        <v>45757</v>
      </c>
      <c r="E46" s="111" t="s">
        <v>956</v>
      </c>
      <c r="F46" s="111" t="s">
        <v>957</v>
      </c>
      <c r="G46" s="110" t="s">
        <v>98</v>
      </c>
      <c r="H46" s="110">
        <v>3142995493</v>
      </c>
      <c r="I46" s="110">
        <v>3137025662</v>
      </c>
      <c r="J46" s="108">
        <v>45768</v>
      </c>
      <c r="K46" s="110" t="s">
        <v>88</v>
      </c>
      <c r="L46" s="112" t="s">
        <v>958</v>
      </c>
      <c r="M46" s="111" t="s">
        <v>959</v>
      </c>
      <c r="N46" s="110">
        <v>5870</v>
      </c>
      <c r="O46" s="110" t="s">
        <v>136</v>
      </c>
      <c r="P46" s="110">
        <v>8661</v>
      </c>
      <c r="Q46" s="110" t="s">
        <v>136</v>
      </c>
      <c r="R46" s="110" t="s">
        <v>136</v>
      </c>
      <c r="S46" s="110" t="s">
        <v>136</v>
      </c>
      <c r="T46" s="110" t="s">
        <v>136</v>
      </c>
      <c r="U46" s="110" t="s">
        <v>136</v>
      </c>
      <c r="V46" s="111" t="s">
        <v>119</v>
      </c>
      <c r="W46" s="108">
        <v>45771</v>
      </c>
      <c r="X46" s="108">
        <v>45771</v>
      </c>
      <c r="Y46" s="110"/>
      <c r="Z46" s="126" t="s">
        <v>85</v>
      </c>
      <c r="AA46" s="124">
        <v>0</v>
      </c>
      <c r="AB46" s="110">
        <v>5776</v>
      </c>
      <c r="AC46" s="114">
        <v>1128571</v>
      </c>
      <c r="AD46" s="212">
        <f t="shared" si="4"/>
        <v>1342999.49</v>
      </c>
      <c r="AE46" s="114">
        <v>600000</v>
      </c>
      <c r="AF46" s="110"/>
      <c r="AG46" s="142" t="s">
        <v>1113</v>
      </c>
      <c r="AH46" s="248">
        <v>45777</v>
      </c>
      <c r="AI46" s="108">
        <v>45779</v>
      </c>
      <c r="AJ46" s="110" t="s">
        <v>571</v>
      </c>
      <c r="AK46" s="110"/>
    </row>
    <row r="47" spans="1:37" ht="60" x14ac:dyDescent="0.25">
      <c r="A47" s="110">
        <v>2025</v>
      </c>
      <c r="B47" s="230">
        <v>4</v>
      </c>
      <c r="C47" s="152">
        <v>22554</v>
      </c>
      <c r="D47" s="277">
        <v>45758</v>
      </c>
      <c r="E47" s="111" t="s">
        <v>885</v>
      </c>
      <c r="F47" s="111" t="s">
        <v>886</v>
      </c>
      <c r="G47" s="110" t="s">
        <v>148</v>
      </c>
      <c r="H47" s="111" t="s">
        <v>887</v>
      </c>
      <c r="I47" s="110">
        <v>6042880027</v>
      </c>
      <c r="J47" s="108">
        <v>45763</v>
      </c>
      <c r="K47" s="110" t="s">
        <v>88</v>
      </c>
      <c r="L47" s="112" t="s">
        <v>888</v>
      </c>
      <c r="M47" s="111" t="s">
        <v>698</v>
      </c>
      <c r="N47" s="110" t="s">
        <v>136</v>
      </c>
      <c r="O47" s="110">
        <v>6111</v>
      </c>
      <c r="P47" s="110">
        <v>8845</v>
      </c>
      <c r="Q47" s="110" t="s">
        <v>136</v>
      </c>
      <c r="R47" s="110" t="s">
        <v>136</v>
      </c>
      <c r="S47" s="110" t="s">
        <v>136</v>
      </c>
      <c r="T47" s="110" t="s">
        <v>134</v>
      </c>
      <c r="U47" s="110" t="s">
        <v>136</v>
      </c>
      <c r="V47" s="111" t="s">
        <v>119</v>
      </c>
      <c r="W47" s="108">
        <v>45762</v>
      </c>
      <c r="X47" s="108">
        <v>45770</v>
      </c>
      <c r="Y47" s="110"/>
      <c r="Z47" s="126" t="s">
        <v>85</v>
      </c>
      <c r="AA47" s="124">
        <v>0</v>
      </c>
      <c r="AB47" s="110">
        <v>5759</v>
      </c>
      <c r="AC47" s="114">
        <v>616437</v>
      </c>
      <c r="AD47" s="212">
        <f t="shared" si="4"/>
        <v>733560.02999999991</v>
      </c>
      <c r="AE47" s="114">
        <v>366700</v>
      </c>
      <c r="AF47" s="110"/>
      <c r="AG47" s="142" t="s">
        <v>1044</v>
      </c>
      <c r="AH47" s="248">
        <v>45763</v>
      </c>
      <c r="AI47" s="108">
        <v>45777</v>
      </c>
      <c r="AJ47" s="110" t="s">
        <v>571</v>
      </c>
      <c r="AK47" s="110"/>
    </row>
    <row r="48" spans="1:37" ht="45" x14ac:dyDescent="0.25">
      <c r="A48" s="110">
        <v>2025</v>
      </c>
      <c r="B48" s="230">
        <v>4</v>
      </c>
      <c r="C48" s="152">
        <v>22555</v>
      </c>
      <c r="D48" s="277">
        <v>45758</v>
      </c>
      <c r="E48" s="111" t="s">
        <v>940</v>
      </c>
      <c r="F48" s="111" t="s">
        <v>941</v>
      </c>
      <c r="G48" s="110" t="s">
        <v>98</v>
      </c>
      <c r="H48" s="110">
        <v>3137325357</v>
      </c>
      <c r="I48" s="110">
        <v>3137325357</v>
      </c>
      <c r="J48" s="108">
        <v>45770</v>
      </c>
      <c r="K48" s="110" t="s">
        <v>88</v>
      </c>
      <c r="L48" s="112" t="s">
        <v>942</v>
      </c>
      <c r="M48" s="110" t="s">
        <v>136</v>
      </c>
      <c r="N48" s="110">
        <v>5874</v>
      </c>
      <c r="O48" s="110">
        <v>6112</v>
      </c>
      <c r="P48" s="110" t="s">
        <v>136</v>
      </c>
      <c r="Q48" s="110" t="s">
        <v>136</v>
      </c>
      <c r="R48" s="110" t="s">
        <v>136</v>
      </c>
      <c r="S48" s="110" t="s">
        <v>136</v>
      </c>
      <c r="T48" s="110" t="s">
        <v>136</v>
      </c>
      <c r="U48" s="110" t="s">
        <v>136</v>
      </c>
      <c r="V48" s="111" t="s">
        <v>119</v>
      </c>
      <c r="W48" s="108">
        <v>45772</v>
      </c>
      <c r="X48" s="108">
        <v>45777</v>
      </c>
      <c r="Y48" s="110"/>
      <c r="Z48" s="126" t="s">
        <v>85</v>
      </c>
      <c r="AA48" s="124">
        <v>0</v>
      </c>
      <c r="AB48" s="110">
        <v>5783</v>
      </c>
      <c r="AC48" s="114">
        <v>260504</v>
      </c>
      <c r="AD48" s="212">
        <f t="shared" si="4"/>
        <v>309999.76</v>
      </c>
      <c r="AE48" s="114">
        <v>155000</v>
      </c>
      <c r="AF48" s="110"/>
      <c r="AG48" s="142" t="s">
        <v>1128</v>
      </c>
      <c r="AH48" s="248">
        <v>45775</v>
      </c>
      <c r="AI48" s="108">
        <v>45773</v>
      </c>
      <c r="AJ48" s="110" t="s">
        <v>571</v>
      </c>
      <c r="AK48" s="110"/>
    </row>
    <row r="49" spans="1:742" ht="45" x14ac:dyDescent="0.25">
      <c r="A49" s="99">
        <v>2025</v>
      </c>
      <c r="B49" s="233">
        <v>4</v>
      </c>
      <c r="C49" s="356">
        <v>22556</v>
      </c>
      <c r="D49" s="278">
        <v>45759</v>
      </c>
      <c r="E49" s="100" t="s">
        <v>954</v>
      </c>
      <c r="F49" s="100" t="s">
        <v>408</v>
      </c>
      <c r="G49" s="99" t="s">
        <v>853</v>
      </c>
      <c r="H49" s="99">
        <v>3177039332</v>
      </c>
      <c r="I49" s="99">
        <v>3166024091</v>
      </c>
      <c r="J49" s="97">
        <v>45772</v>
      </c>
      <c r="K49" s="99" t="s">
        <v>95</v>
      </c>
      <c r="L49" s="101" t="s">
        <v>955</v>
      </c>
      <c r="M49" s="99" t="s">
        <v>281</v>
      </c>
      <c r="N49" s="99" t="s">
        <v>136</v>
      </c>
      <c r="O49" s="99">
        <v>6116</v>
      </c>
      <c r="P49" s="99">
        <v>8618</v>
      </c>
      <c r="Q49" s="99" t="s">
        <v>136</v>
      </c>
      <c r="R49" s="99" t="s">
        <v>136</v>
      </c>
      <c r="S49" s="99" t="s">
        <v>134</v>
      </c>
      <c r="T49" s="99" t="s">
        <v>134</v>
      </c>
      <c r="U49" s="99" t="s">
        <v>136</v>
      </c>
      <c r="V49" s="100" t="s">
        <v>119</v>
      </c>
      <c r="W49" s="97">
        <v>45769</v>
      </c>
      <c r="X49" s="97">
        <v>45797</v>
      </c>
      <c r="Y49" s="99"/>
      <c r="Z49" s="120" t="s">
        <v>85</v>
      </c>
      <c r="AA49" s="122">
        <v>0</v>
      </c>
      <c r="AB49" s="99">
        <v>5764</v>
      </c>
      <c r="AC49" s="103">
        <v>651650</v>
      </c>
      <c r="AD49" s="198">
        <f t="shared" si="4"/>
        <v>775463.5</v>
      </c>
      <c r="AE49" s="103">
        <v>380000</v>
      </c>
      <c r="AF49" s="99"/>
      <c r="AG49" s="104" t="s">
        <v>1776</v>
      </c>
      <c r="AH49" s="258">
        <v>45786</v>
      </c>
      <c r="AI49" s="97">
        <v>45771</v>
      </c>
      <c r="AJ49" s="99" t="s">
        <v>571</v>
      </c>
      <c r="AK49" s="99"/>
    </row>
    <row r="50" spans="1:742" ht="45" x14ac:dyDescent="0.25">
      <c r="A50" s="99">
        <v>2025</v>
      </c>
      <c r="B50" s="233">
        <v>4</v>
      </c>
      <c r="C50" s="356">
        <v>22557</v>
      </c>
      <c r="D50" s="278">
        <v>45761</v>
      </c>
      <c r="E50" s="100" t="s">
        <v>985</v>
      </c>
      <c r="F50" s="100" t="s">
        <v>986</v>
      </c>
      <c r="G50" s="99" t="s">
        <v>98</v>
      </c>
      <c r="H50" s="99">
        <v>3108454889</v>
      </c>
      <c r="I50" s="99">
        <v>3108454889</v>
      </c>
      <c r="J50" s="97">
        <v>45775</v>
      </c>
      <c r="K50" s="99" t="s">
        <v>88</v>
      </c>
      <c r="L50" s="101" t="s">
        <v>987</v>
      </c>
      <c r="M50" s="99" t="s">
        <v>136</v>
      </c>
      <c r="N50" s="99">
        <v>5888</v>
      </c>
      <c r="O50" s="99">
        <v>6117</v>
      </c>
      <c r="P50" s="99">
        <v>8804</v>
      </c>
      <c r="Q50" s="99" t="s">
        <v>136</v>
      </c>
      <c r="R50" s="99" t="s">
        <v>134</v>
      </c>
      <c r="S50" s="99" t="s">
        <v>134</v>
      </c>
      <c r="T50" s="99" t="s">
        <v>134</v>
      </c>
      <c r="U50" s="99" t="s">
        <v>136</v>
      </c>
      <c r="V50" s="100" t="s">
        <v>119</v>
      </c>
      <c r="W50" s="97">
        <v>45783</v>
      </c>
      <c r="X50" s="97">
        <v>45791</v>
      </c>
      <c r="Y50" s="99"/>
      <c r="Z50" s="120" t="s">
        <v>85</v>
      </c>
      <c r="AA50" s="117">
        <v>1875952</v>
      </c>
      <c r="AB50" s="99">
        <v>5828</v>
      </c>
      <c r="AC50" s="103">
        <v>1576430</v>
      </c>
      <c r="AD50" s="198">
        <f t="shared" si="4"/>
        <v>1875951.7</v>
      </c>
      <c r="AE50" s="103">
        <v>950000</v>
      </c>
      <c r="AF50" s="99"/>
      <c r="AG50" s="104" t="s">
        <v>1891</v>
      </c>
      <c r="AH50" s="258">
        <v>45790</v>
      </c>
      <c r="AI50" s="97">
        <v>45807</v>
      </c>
      <c r="AJ50" s="99" t="s">
        <v>1705</v>
      </c>
      <c r="AK50" s="99"/>
    </row>
    <row r="51" spans="1:742" s="155" customFormat="1" ht="45" x14ac:dyDescent="0.25">
      <c r="A51" s="110">
        <v>2025</v>
      </c>
      <c r="B51" s="230">
        <v>4</v>
      </c>
      <c r="C51" s="152">
        <v>22558</v>
      </c>
      <c r="D51" s="277">
        <v>45758</v>
      </c>
      <c r="E51" s="111" t="s">
        <v>889</v>
      </c>
      <c r="F51" s="111" t="s">
        <v>890</v>
      </c>
      <c r="G51" s="110" t="s">
        <v>98</v>
      </c>
      <c r="H51" s="110">
        <v>3108221586</v>
      </c>
      <c r="I51" s="110">
        <v>3042052713</v>
      </c>
      <c r="J51" s="108">
        <v>45771</v>
      </c>
      <c r="K51" s="110" t="s">
        <v>88</v>
      </c>
      <c r="L51" s="112" t="s">
        <v>891</v>
      </c>
      <c r="M51" s="110" t="s">
        <v>136</v>
      </c>
      <c r="N51" s="110">
        <v>5869</v>
      </c>
      <c r="O51" s="110">
        <v>6113</v>
      </c>
      <c r="P51" s="110" t="s">
        <v>136</v>
      </c>
      <c r="Q51" s="110" t="s">
        <v>136</v>
      </c>
      <c r="R51" s="110" t="s">
        <v>134</v>
      </c>
      <c r="S51" s="110" t="s">
        <v>134</v>
      </c>
      <c r="T51" s="110" t="s">
        <v>134</v>
      </c>
      <c r="U51" s="110" t="s">
        <v>136</v>
      </c>
      <c r="V51" s="111" t="s">
        <v>119</v>
      </c>
      <c r="W51" s="108">
        <v>45771</v>
      </c>
      <c r="X51" s="108">
        <v>45785</v>
      </c>
      <c r="Y51" s="110"/>
      <c r="Z51" s="126" t="s">
        <v>85</v>
      </c>
      <c r="AA51" s="124">
        <v>0</v>
      </c>
      <c r="AB51" s="110" t="s">
        <v>136</v>
      </c>
      <c r="AC51" s="114">
        <v>0</v>
      </c>
      <c r="AD51" s="212">
        <f t="shared" si="4"/>
        <v>0</v>
      </c>
      <c r="AE51" s="114">
        <v>0</v>
      </c>
      <c r="AF51" s="110"/>
      <c r="AG51" s="142" t="s">
        <v>1549</v>
      </c>
      <c r="AH51" s="230" t="s">
        <v>136</v>
      </c>
      <c r="AI51" s="108">
        <v>45785</v>
      </c>
      <c r="AJ51" s="110" t="s">
        <v>571</v>
      </c>
      <c r="AK51" s="110"/>
      <c r="AL51" s="65"/>
      <c r="AM51" s="65"/>
      <c r="AN51" s="65"/>
      <c r="AO51" s="65"/>
      <c r="AP51" s="65"/>
      <c r="AQ51" s="65"/>
      <c r="AR51" s="65"/>
      <c r="AS51" s="65"/>
      <c r="AT51" s="65"/>
      <c r="AU51" s="65"/>
      <c r="AV51" s="65"/>
      <c r="AW51" s="65"/>
      <c r="AX51" s="65"/>
      <c r="AY51" s="65"/>
      <c r="AZ51" s="65"/>
      <c r="BA51" s="65"/>
      <c r="BB51" s="65"/>
      <c r="BC51" s="65"/>
      <c r="BD51" s="65"/>
      <c r="BE51" s="65"/>
      <c r="BF51" s="65"/>
      <c r="BG51" s="65"/>
      <c r="BH51" s="65"/>
      <c r="BI51" s="65"/>
      <c r="BJ51" s="65"/>
      <c r="BK51" s="65"/>
      <c r="BL51" s="65"/>
      <c r="BM51" s="65"/>
      <c r="BN51" s="65"/>
      <c r="BO51" s="65"/>
      <c r="BP51" s="65"/>
      <c r="BQ51" s="65"/>
      <c r="BR51" s="65"/>
      <c r="BS51" s="65"/>
      <c r="BT51" s="65"/>
      <c r="BU51" s="65"/>
      <c r="BV51" s="65"/>
      <c r="BW51" s="65"/>
      <c r="BX51" s="65"/>
      <c r="BY51" s="65"/>
      <c r="BZ51" s="65"/>
      <c r="CA51" s="65"/>
      <c r="CB51" s="65"/>
      <c r="CC51" s="65"/>
      <c r="CD51" s="65"/>
      <c r="CE51" s="65"/>
      <c r="CF51" s="65"/>
      <c r="CG51" s="65"/>
      <c r="CH51" s="65"/>
      <c r="CI51" s="65"/>
      <c r="CJ51" s="65"/>
      <c r="CK51" s="65"/>
      <c r="CL51" s="65"/>
      <c r="CM51" s="65"/>
      <c r="CN51" s="65"/>
      <c r="CO51" s="65"/>
      <c r="CP51" s="65"/>
      <c r="CQ51" s="65"/>
      <c r="CR51" s="65"/>
      <c r="CS51" s="65"/>
      <c r="CT51" s="65"/>
      <c r="CU51" s="65"/>
      <c r="CV51" s="65"/>
      <c r="CW51" s="65"/>
      <c r="CX51" s="65"/>
      <c r="CY51" s="65"/>
      <c r="CZ51" s="65"/>
      <c r="DA51" s="65"/>
      <c r="DB51" s="65"/>
      <c r="DC51" s="65"/>
      <c r="DD51" s="65"/>
      <c r="DE51" s="65"/>
      <c r="DF51" s="65"/>
      <c r="DG51" s="65"/>
      <c r="DH51" s="65"/>
      <c r="DI51" s="65"/>
      <c r="DJ51" s="65"/>
      <c r="DK51" s="65"/>
      <c r="DL51" s="65"/>
      <c r="DM51" s="65"/>
      <c r="DN51" s="65"/>
      <c r="DO51" s="65"/>
      <c r="DP51" s="65"/>
      <c r="DQ51" s="65"/>
      <c r="DR51" s="65"/>
      <c r="DS51" s="65"/>
      <c r="DT51" s="65"/>
      <c r="DU51" s="65"/>
      <c r="DV51" s="65"/>
      <c r="DW51" s="65"/>
      <c r="DX51" s="65"/>
      <c r="DY51" s="65"/>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c r="GN51" s="65"/>
      <c r="GO51" s="65"/>
      <c r="GP51" s="65"/>
      <c r="GQ51" s="65"/>
      <c r="GR51" s="65"/>
      <c r="GS51" s="65"/>
      <c r="GT51" s="65"/>
      <c r="GU51" s="65"/>
      <c r="GV51" s="65"/>
      <c r="GW51" s="65"/>
      <c r="GX51" s="65"/>
      <c r="GY51" s="65"/>
      <c r="GZ51" s="65"/>
      <c r="HA51" s="65"/>
      <c r="HB51" s="65"/>
      <c r="HC51" s="65"/>
      <c r="HD51" s="65"/>
      <c r="HE51" s="65"/>
      <c r="HF51" s="65"/>
      <c r="HG51" s="65"/>
      <c r="HH51" s="65"/>
      <c r="HI51" s="65"/>
      <c r="HJ51" s="65"/>
      <c r="HK51" s="65"/>
      <c r="HL51" s="65"/>
      <c r="HM51" s="65"/>
      <c r="HN51" s="65"/>
      <c r="HO51" s="65"/>
      <c r="HP51" s="65"/>
      <c r="HQ51" s="65"/>
      <c r="HR51" s="65"/>
      <c r="HS51" s="65"/>
      <c r="HT51" s="65"/>
      <c r="HU51" s="65"/>
      <c r="HV51" s="65"/>
      <c r="HW51" s="65"/>
      <c r="HX51" s="65"/>
      <c r="HY51" s="65"/>
      <c r="HZ51" s="65"/>
      <c r="IA51" s="65"/>
      <c r="IB51" s="65"/>
      <c r="IC51" s="65"/>
      <c r="ID51" s="65"/>
      <c r="IE51" s="65"/>
      <c r="IF51" s="65"/>
      <c r="IG51" s="65"/>
      <c r="IH51" s="65"/>
      <c r="II51" s="65"/>
      <c r="IJ51" s="65"/>
      <c r="IK51" s="65"/>
      <c r="IL51" s="65"/>
      <c r="IM51" s="65"/>
      <c r="IN51" s="65"/>
      <c r="IO51" s="65"/>
      <c r="IP51" s="65"/>
      <c r="IQ51" s="65"/>
      <c r="IR51" s="65"/>
      <c r="IS51" s="65"/>
      <c r="IT51" s="65"/>
      <c r="IU51" s="65"/>
      <c r="IV51" s="65"/>
      <c r="IW51" s="65"/>
      <c r="IX51" s="65"/>
      <c r="IY51" s="65"/>
      <c r="IZ51" s="65"/>
      <c r="JA51" s="65"/>
      <c r="JB51" s="65"/>
      <c r="JC51" s="65"/>
      <c r="JD51" s="65"/>
      <c r="JE51" s="65"/>
      <c r="JF51" s="65"/>
      <c r="JG51" s="65"/>
      <c r="JH51" s="65"/>
      <c r="JI51" s="65"/>
      <c r="JJ51" s="65"/>
      <c r="JK51" s="65"/>
      <c r="JL51" s="65"/>
      <c r="JM51" s="65"/>
      <c r="JN51" s="65"/>
      <c r="JO51" s="65"/>
      <c r="JP51" s="65"/>
      <c r="JQ51" s="65"/>
      <c r="JR51" s="65"/>
      <c r="JS51" s="65"/>
      <c r="JT51" s="65"/>
      <c r="JU51" s="65"/>
      <c r="JV51" s="65"/>
      <c r="JW51" s="65"/>
      <c r="JX51" s="65"/>
      <c r="JY51" s="65"/>
      <c r="JZ51" s="65"/>
      <c r="KA51" s="65"/>
      <c r="KB51" s="65"/>
      <c r="KC51" s="65"/>
      <c r="KD51" s="65"/>
      <c r="KE51" s="65"/>
      <c r="KF51" s="65"/>
      <c r="KG51" s="65"/>
      <c r="KH51" s="65"/>
      <c r="KI51" s="65"/>
      <c r="KJ51" s="65"/>
      <c r="KK51" s="65"/>
      <c r="KL51" s="65"/>
      <c r="KM51" s="65"/>
      <c r="KN51" s="65"/>
      <c r="KO51" s="65"/>
      <c r="KP51" s="65"/>
      <c r="KQ51" s="65"/>
      <c r="KR51" s="65"/>
      <c r="KS51" s="65"/>
      <c r="KT51" s="65"/>
      <c r="KU51" s="65"/>
      <c r="KV51" s="65"/>
      <c r="KW51" s="65"/>
      <c r="KX51" s="65"/>
      <c r="KY51" s="65"/>
      <c r="KZ51" s="65"/>
      <c r="LA51" s="65"/>
      <c r="LB51" s="65"/>
      <c r="LC51" s="65"/>
      <c r="LD51" s="65"/>
      <c r="LE51" s="65"/>
      <c r="LF51" s="65"/>
      <c r="LG51" s="65"/>
      <c r="LH51" s="65"/>
      <c r="LI51" s="65"/>
      <c r="LJ51" s="65"/>
      <c r="LK51" s="65"/>
      <c r="LL51" s="65"/>
      <c r="LM51" s="65"/>
      <c r="LN51" s="65"/>
      <c r="LO51" s="65"/>
      <c r="LP51" s="65"/>
      <c r="LQ51" s="65"/>
      <c r="LR51" s="65"/>
      <c r="LS51" s="65"/>
      <c r="LT51" s="65"/>
      <c r="LU51" s="65"/>
      <c r="LV51" s="65"/>
      <c r="LW51" s="65"/>
      <c r="LX51" s="65"/>
      <c r="LY51" s="65"/>
      <c r="LZ51" s="65"/>
      <c r="MA51" s="65"/>
      <c r="MB51" s="65"/>
      <c r="MC51" s="65"/>
      <c r="MD51" s="65"/>
      <c r="ME51" s="65"/>
      <c r="MF51" s="65"/>
      <c r="MG51" s="65"/>
      <c r="MH51" s="65"/>
      <c r="MI51" s="65"/>
      <c r="MJ51" s="65"/>
      <c r="MK51" s="65"/>
      <c r="ML51" s="65"/>
      <c r="MM51" s="65"/>
      <c r="MN51" s="65"/>
      <c r="MO51" s="65"/>
      <c r="MP51" s="65"/>
      <c r="MQ51" s="65"/>
      <c r="MR51" s="65"/>
      <c r="MS51" s="65"/>
      <c r="MT51" s="65"/>
      <c r="MU51" s="65"/>
      <c r="MV51" s="65"/>
      <c r="MW51" s="65"/>
      <c r="MX51" s="65"/>
      <c r="MY51" s="65"/>
      <c r="MZ51" s="65"/>
      <c r="NA51" s="65"/>
      <c r="NB51" s="65"/>
      <c r="NC51" s="65"/>
      <c r="ND51" s="65"/>
      <c r="NE51" s="65"/>
      <c r="NF51" s="65"/>
      <c r="NG51" s="65"/>
      <c r="NH51" s="65"/>
      <c r="NI51" s="65"/>
      <c r="NJ51" s="65"/>
      <c r="NK51" s="65"/>
      <c r="NL51" s="65"/>
      <c r="NM51" s="65"/>
      <c r="NN51" s="65"/>
      <c r="NO51" s="65"/>
      <c r="NP51" s="65"/>
      <c r="NQ51" s="65"/>
      <c r="NR51" s="65"/>
      <c r="NS51" s="65"/>
      <c r="NT51" s="65"/>
      <c r="NU51" s="65"/>
      <c r="NV51" s="65"/>
      <c r="NW51" s="65"/>
      <c r="NX51" s="65"/>
      <c r="NY51" s="65"/>
      <c r="NZ51" s="65"/>
      <c r="OA51" s="65"/>
      <c r="OB51" s="65"/>
      <c r="OC51" s="65"/>
      <c r="OD51" s="65"/>
      <c r="OE51" s="65"/>
      <c r="OF51" s="65"/>
      <c r="OG51" s="65"/>
      <c r="OH51" s="65"/>
      <c r="OI51" s="65"/>
      <c r="OJ51" s="65"/>
      <c r="OK51" s="65"/>
      <c r="OL51" s="65"/>
      <c r="OM51" s="65"/>
      <c r="ON51" s="65"/>
      <c r="OO51" s="65"/>
      <c r="OP51" s="65"/>
      <c r="OQ51" s="65"/>
      <c r="OR51" s="65"/>
      <c r="OS51" s="65"/>
      <c r="OT51" s="65"/>
      <c r="OU51" s="65"/>
      <c r="OV51" s="65"/>
      <c r="OW51" s="65"/>
      <c r="OX51" s="65"/>
      <c r="OY51" s="65"/>
      <c r="OZ51" s="65"/>
      <c r="PA51" s="65"/>
      <c r="PB51" s="65"/>
      <c r="PC51" s="65"/>
      <c r="PD51" s="65"/>
      <c r="PE51" s="65"/>
      <c r="PF51" s="65"/>
      <c r="PG51" s="65"/>
      <c r="PH51" s="65"/>
      <c r="PI51" s="65"/>
      <c r="PJ51" s="65"/>
      <c r="PK51" s="65"/>
      <c r="PL51" s="65"/>
      <c r="PM51" s="65"/>
      <c r="PN51" s="65"/>
      <c r="PO51" s="65"/>
      <c r="PP51" s="65"/>
      <c r="PQ51" s="65"/>
      <c r="PR51" s="65"/>
      <c r="PS51" s="65"/>
      <c r="PT51" s="65"/>
      <c r="PU51" s="65"/>
      <c r="PV51" s="65"/>
      <c r="PW51" s="65"/>
      <c r="PX51" s="65"/>
      <c r="PY51" s="65"/>
      <c r="PZ51" s="65"/>
      <c r="QA51" s="65"/>
      <c r="QB51" s="65"/>
      <c r="QC51" s="65"/>
      <c r="QD51" s="65"/>
      <c r="QE51" s="65"/>
      <c r="QF51" s="65"/>
      <c r="QG51" s="65"/>
      <c r="QH51" s="65"/>
      <c r="QI51" s="65"/>
      <c r="QJ51" s="65"/>
      <c r="QK51" s="65"/>
      <c r="QL51" s="65"/>
      <c r="QM51" s="65"/>
      <c r="QN51" s="65"/>
      <c r="QO51" s="65"/>
      <c r="QP51" s="65"/>
      <c r="QQ51" s="65"/>
      <c r="QR51" s="65"/>
      <c r="QS51" s="65"/>
      <c r="QT51" s="65"/>
      <c r="QU51" s="65"/>
      <c r="QV51" s="65"/>
      <c r="QW51" s="65"/>
      <c r="QX51" s="65"/>
      <c r="QY51" s="65"/>
      <c r="QZ51" s="65"/>
      <c r="RA51" s="65"/>
      <c r="RB51" s="65"/>
      <c r="RC51" s="65"/>
      <c r="RD51" s="65"/>
      <c r="RE51" s="65"/>
      <c r="RF51" s="65"/>
      <c r="RG51" s="65"/>
      <c r="RH51" s="65"/>
      <c r="RI51" s="65"/>
      <c r="RJ51" s="65"/>
      <c r="RK51" s="65"/>
      <c r="RL51" s="65"/>
      <c r="RM51" s="65"/>
      <c r="RN51" s="65"/>
      <c r="RO51" s="65"/>
      <c r="RP51" s="65"/>
      <c r="RQ51" s="65"/>
      <c r="RR51" s="65"/>
      <c r="RS51" s="65"/>
      <c r="RT51" s="65"/>
      <c r="RU51" s="65"/>
      <c r="RV51" s="65"/>
      <c r="RW51" s="65"/>
      <c r="RX51" s="65"/>
      <c r="RY51" s="65"/>
      <c r="RZ51" s="65"/>
      <c r="SA51" s="65"/>
      <c r="SB51" s="65"/>
      <c r="SC51" s="65"/>
      <c r="SD51" s="65"/>
      <c r="SE51" s="65"/>
      <c r="SF51" s="65"/>
      <c r="SG51" s="65"/>
      <c r="SH51" s="65"/>
      <c r="SI51" s="65"/>
      <c r="SJ51" s="65"/>
      <c r="SK51" s="65"/>
      <c r="SL51" s="65"/>
      <c r="SM51" s="65"/>
      <c r="SN51" s="65"/>
      <c r="SO51" s="65"/>
      <c r="SP51" s="65"/>
      <c r="SQ51" s="65"/>
      <c r="SR51" s="65"/>
      <c r="SS51" s="65"/>
      <c r="ST51" s="65"/>
      <c r="SU51" s="65"/>
      <c r="SV51" s="65"/>
      <c r="SW51" s="65"/>
      <c r="SX51" s="65"/>
      <c r="SY51" s="65"/>
      <c r="SZ51" s="65"/>
      <c r="TA51" s="65"/>
      <c r="TB51" s="65"/>
      <c r="TC51" s="65"/>
      <c r="TD51" s="65"/>
      <c r="TE51" s="65"/>
      <c r="TF51" s="65"/>
      <c r="TG51" s="65"/>
      <c r="TH51" s="65"/>
      <c r="TI51" s="65"/>
      <c r="TJ51" s="65"/>
      <c r="TK51" s="65"/>
      <c r="TL51" s="65"/>
      <c r="TM51" s="65"/>
      <c r="TN51" s="65"/>
      <c r="TO51" s="65"/>
      <c r="TP51" s="65"/>
      <c r="TQ51" s="65"/>
      <c r="TR51" s="65"/>
      <c r="TS51" s="65"/>
      <c r="TT51" s="65"/>
      <c r="TU51" s="65"/>
      <c r="TV51" s="65"/>
      <c r="TW51" s="65"/>
      <c r="TX51" s="65"/>
      <c r="TY51" s="65"/>
      <c r="TZ51" s="65"/>
      <c r="UA51" s="65"/>
      <c r="UB51" s="65"/>
      <c r="UC51" s="65"/>
      <c r="UD51" s="65"/>
      <c r="UE51" s="65"/>
      <c r="UF51" s="65"/>
      <c r="UG51" s="65"/>
      <c r="UH51" s="65"/>
      <c r="UI51" s="65"/>
      <c r="UJ51" s="65"/>
      <c r="UK51" s="65"/>
      <c r="UL51" s="65"/>
      <c r="UM51" s="65"/>
      <c r="UN51" s="65"/>
      <c r="UO51" s="65"/>
      <c r="UP51" s="65"/>
      <c r="UQ51" s="65"/>
      <c r="UR51" s="65"/>
      <c r="US51" s="65"/>
      <c r="UT51" s="65"/>
      <c r="UU51" s="65"/>
      <c r="UV51" s="65"/>
      <c r="UW51" s="65"/>
      <c r="UX51" s="65"/>
      <c r="UY51" s="65"/>
      <c r="UZ51" s="65"/>
      <c r="VA51" s="65"/>
      <c r="VB51" s="65"/>
      <c r="VC51" s="65"/>
      <c r="VD51" s="65"/>
      <c r="VE51" s="65"/>
      <c r="VF51" s="65"/>
      <c r="VG51" s="65"/>
      <c r="VH51" s="65"/>
      <c r="VI51" s="65"/>
      <c r="VJ51" s="65"/>
      <c r="VK51" s="65"/>
      <c r="VL51" s="65"/>
      <c r="VM51" s="65"/>
      <c r="VN51" s="65"/>
      <c r="VO51" s="65"/>
      <c r="VP51" s="65"/>
      <c r="VQ51" s="65"/>
      <c r="VR51" s="65"/>
      <c r="VS51" s="65"/>
      <c r="VT51" s="65"/>
      <c r="VU51" s="65"/>
      <c r="VV51" s="65"/>
      <c r="VW51" s="65"/>
      <c r="VX51" s="65"/>
      <c r="VY51" s="65"/>
      <c r="VZ51" s="65"/>
      <c r="WA51" s="65"/>
      <c r="WB51" s="65"/>
      <c r="WC51" s="65"/>
      <c r="WD51" s="65"/>
      <c r="WE51" s="65"/>
      <c r="WF51" s="65"/>
      <c r="WG51" s="65"/>
      <c r="WH51" s="65"/>
      <c r="WI51" s="65"/>
      <c r="WJ51" s="65"/>
      <c r="WK51" s="65"/>
      <c r="WL51" s="65"/>
      <c r="WM51" s="65"/>
      <c r="WN51" s="65"/>
      <c r="WO51" s="65"/>
      <c r="WP51" s="65"/>
      <c r="WQ51" s="65"/>
      <c r="WR51" s="65"/>
      <c r="WS51" s="65"/>
      <c r="WT51" s="65"/>
      <c r="WU51" s="65"/>
      <c r="WV51" s="65"/>
      <c r="WW51" s="65"/>
      <c r="WX51" s="65"/>
      <c r="WY51" s="65"/>
      <c r="WZ51" s="65"/>
      <c r="XA51" s="65"/>
      <c r="XB51" s="65"/>
      <c r="XC51" s="65"/>
      <c r="XD51" s="65"/>
      <c r="XE51" s="65"/>
      <c r="XF51" s="65"/>
      <c r="XG51" s="65"/>
      <c r="XH51" s="65"/>
      <c r="XI51" s="65"/>
      <c r="XJ51" s="65"/>
      <c r="XK51" s="65"/>
      <c r="XL51" s="65"/>
      <c r="XM51" s="65"/>
      <c r="XN51" s="65"/>
      <c r="XO51" s="65"/>
      <c r="XP51" s="65"/>
      <c r="XQ51" s="65"/>
      <c r="XR51" s="65"/>
      <c r="XS51" s="65"/>
      <c r="XT51" s="65"/>
      <c r="XU51" s="65"/>
      <c r="XV51" s="65"/>
      <c r="XW51" s="65"/>
      <c r="XX51" s="65"/>
      <c r="XY51" s="65"/>
      <c r="XZ51" s="65"/>
      <c r="YA51" s="65"/>
      <c r="YB51" s="65"/>
      <c r="YC51" s="65"/>
      <c r="YD51" s="65"/>
      <c r="YE51" s="65"/>
      <c r="YF51" s="65"/>
      <c r="YG51" s="65"/>
      <c r="YH51" s="65"/>
      <c r="YI51" s="65"/>
      <c r="YJ51" s="65"/>
      <c r="YK51" s="65"/>
      <c r="YL51" s="65"/>
      <c r="YM51" s="65"/>
      <c r="YN51" s="65"/>
      <c r="YO51" s="65"/>
      <c r="YP51" s="65"/>
      <c r="YQ51" s="65"/>
      <c r="YR51" s="65"/>
      <c r="YS51" s="65"/>
      <c r="YT51" s="65"/>
      <c r="YU51" s="65"/>
      <c r="YV51" s="65"/>
      <c r="YW51" s="65"/>
      <c r="YX51" s="65"/>
      <c r="YY51" s="65"/>
      <c r="YZ51" s="65"/>
      <c r="ZA51" s="65"/>
      <c r="ZB51" s="65"/>
      <c r="ZC51" s="65"/>
      <c r="ZD51" s="65"/>
      <c r="ZE51" s="65"/>
      <c r="ZF51" s="65"/>
      <c r="ZG51" s="65"/>
      <c r="ZH51" s="65"/>
      <c r="ZI51" s="65"/>
      <c r="ZJ51" s="65"/>
      <c r="ZK51" s="65"/>
      <c r="ZL51" s="65"/>
      <c r="ZM51" s="65"/>
      <c r="ZN51" s="65"/>
      <c r="ZO51" s="65"/>
      <c r="ZP51" s="65"/>
      <c r="ZQ51" s="65"/>
      <c r="ZR51" s="65"/>
      <c r="ZS51" s="65"/>
      <c r="ZT51" s="65"/>
      <c r="ZU51" s="65"/>
      <c r="ZV51" s="65"/>
      <c r="ZW51" s="65"/>
      <c r="ZX51" s="65"/>
      <c r="ZY51" s="65"/>
      <c r="ZZ51" s="65"/>
      <c r="AAA51" s="65"/>
      <c r="AAB51" s="65"/>
      <c r="AAC51" s="65"/>
      <c r="AAD51" s="65"/>
      <c r="AAE51" s="65"/>
      <c r="AAF51" s="65"/>
      <c r="AAG51" s="65"/>
      <c r="AAH51" s="65"/>
      <c r="AAI51" s="65"/>
      <c r="AAJ51" s="65"/>
      <c r="AAK51" s="65"/>
      <c r="AAL51" s="65"/>
      <c r="AAM51" s="65"/>
      <c r="AAN51" s="65"/>
      <c r="AAO51" s="65"/>
      <c r="AAP51" s="65"/>
      <c r="AAQ51" s="65"/>
      <c r="AAR51" s="65"/>
      <c r="AAS51" s="65"/>
      <c r="AAT51" s="65"/>
      <c r="AAU51" s="65"/>
      <c r="AAV51" s="65"/>
      <c r="AAW51" s="65"/>
      <c r="AAX51" s="65"/>
      <c r="AAY51" s="65"/>
      <c r="AAZ51" s="65"/>
      <c r="ABA51" s="65"/>
      <c r="ABB51" s="65"/>
      <c r="ABC51" s="65"/>
      <c r="ABD51" s="65"/>
      <c r="ABE51" s="65"/>
      <c r="ABF51" s="65"/>
      <c r="ABG51" s="65"/>
      <c r="ABH51" s="65"/>
      <c r="ABI51" s="65"/>
      <c r="ABJ51" s="65"/>
      <c r="ABK51" s="65"/>
      <c r="ABL51" s="65"/>
      <c r="ABM51" s="65"/>
      <c r="ABN51" s="65"/>
    </row>
    <row r="52" spans="1:742" ht="45" x14ac:dyDescent="0.25">
      <c r="A52" s="110">
        <v>2025</v>
      </c>
      <c r="B52" s="230">
        <v>4</v>
      </c>
      <c r="C52" s="152">
        <v>22559</v>
      </c>
      <c r="D52" s="277">
        <v>45758</v>
      </c>
      <c r="E52" s="111" t="s">
        <v>932</v>
      </c>
      <c r="F52" s="111" t="s">
        <v>933</v>
      </c>
      <c r="G52" s="110" t="s">
        <v>98</v>
      </c>
      <c r="H52" s="110">
        <v>3127794059</v>
      </c>
      <c r="I52" s="110">
        <v>3148889818</v>
      </c>
      <c r="J52" s="108">
        <v>45776</v>
      </c>
      <c r="K52" s="110" t="s">
        <v>88</v>
      </c>
      <c r="L52" s="112" t="s">
        <v>934</v>
      </c>
      <c r="M52" s="110" t="s">
        <v>136</v>
      </c>
      <c r="N52" s="110">
        <v>5872</v>
      </c>
      <c r="O52" s="110">
        <v>6118</v>
      </c>
      <c r="P52" s="110">
        <v>8831</v>
      </c>
      <c r="Q52" s="110">
        <v>5524</v>
      </c>
      <c r="R52" s="110" t="s">
        <v>136</v>
      </c>
      <c r="S52" s="110" t="s">
        <v>134</v>
      </c>
      <c r="T52" s="110" t="s">
        <v>134</v>
      </c>
      <c r="U52" s="110" t="s">
        <v>136</v>
      </c>
      <c r="V52" s="111" t="s">
        <v>87</v>
      </c>
      <c r="W52" s="108">
        <v>45776</v>
      </c>
      <c r="X52" s="108">
        <v>45776</v>
      </c>
      <c r="Y52" s="110"/>
      <c r="Z52" s="126" t="s">
        <v>85</v>
      </c>
      <c r="AA52" s="124">
        <v>0</v>
      </c>
      <c r="AB52" s="110">
        <v>5793</v>
      </c>
      <c r="AC52" s="114">
        <v>2787965</v>
      </c>
      <c r="AD52" s="212">
        <f t="shared" ref="AD52:AD78" si="5">+AC52*1.19</f>
        <v>3317678.3499999996</v>
      </c>
      <c r="AE52" s="114">
        <v>1658840</v>
      </c>
      <c r="AF52" s="110"/>
      <c r="AG52" s="142" t="s">
        <v>1035</v>
      </c>
      <c r="AH52" s="248">
        <v>45776</v>
      </c>
      <c r="AI52" s="108">
        <v>45777</v>
      </c>
      <c r="AJ52" s="110" t="s">
        <v>571</v>
      </c>
      <c r="AK52" s="110"/>
    </row>
    <row r="53" spans="1:742" ht="45" x14ac:dyDescent="0.25">
      <c r="A53" s="110">
        <v>2025</v>
      </c>
      <c r="B53" s="230">
        <v>4</v>
      </c>
      <c r="C53" s="152">
        <v>22560</v>
      </c>
      <c r="D53" s="277">
        <v>45759</v>
      </c>
      <c r="E53" s="111" t="s">
        <v>930</v>
      </c>
      <c r="F53" s="111" t="s">
        <v>930</v>
      </c>
      <c r="G53" s="110" t="s">
        <v>592</v>
      </c>
      <c r="H53" s="110">
        <v>3246274402</v>
      </c>
      <c r="I53" s="110">
        <v>3246274402</v>
      </c>
      <c r="J53" s="108">
        <v>45771</v>
      </c>
      <c r="K53" s="110" t="s">
        <v>94</v>
      </c>
      <c r="L53" s="112" t="s">
        <v>931</v>
      </c>
      <c r="M53" s="110" t="s">
        <v>136</v>
      </c>
      <c r="N53" s="110">
        <v>5876</v>
      </c>
      <c r="O53" s="110" t="s">
        <v>136</v>
      </c>
      <c r="P53" s="110" t="s">
        <v>136</v>
      </c>
      <c r="Q53" s="110" t="s">
        <v>136</v>
      </c>
      <c r="R53" s="110" t="s">
        <v>136</v>
      </c>
      <c r="S53" s="110" t="s">
        <v>136</v>
      </c>
      <c r="T53" s="110" t="s">
        <v>136</v>
      </c>
      <c r="U53" s="110" t="s">
        <v>136</v>
      </c>
      <c r="V53" s="111" t="s">
        <v>119</v>
      </c>
      <c r="W53" s="108">
        <v>45771</v>
      </c>
      <c r="X53" s="108">
        <v>45772</v>
      </c>
      <c r="Y53" s="110"/>
      <c r="Z53" s="126" t="s">
        <v>85</v>
      </c>
      <c r="AA53" s="130">
        <v>200000</v>
      </c>
      <c r="AB53" s="110">
        <v>5775</v>
      </c>
      <c r="AC53" s="114">
        <v>168067</v>
      </c>
      <c r="AD53" s="212">
        <f t="shared" si="5"/>
        <v>199999.72999999998</v>
      </c>
      <c r="AE53" s="114">
        <v>0</v>
      </c>
      <c r="AF53" s="110"/>
      <c r="AG53" s="142" t="s">
        <v>1005</v>
      </c>
      <c r="AH53" s="248">
        <v>45749</v>
      </c>
      <c r="AI53" s="108">
        <v>45777</v>
      </c>
      <c r="AJ53" s="110" t="s">
        <v>571</v>
      </c>
      <c r="AK53" s="110"/>
    </row>
    <row r="54" spans="1:742" s="155" customFormat="1" ht="45" x14ac:dyDescent="0.25">
      <c r="A54" s="110">
        <v>2025</v>
      </c>
      <c r="B54" s="230">
        <v>4</v>
      </c>
      <c r="C54" s="152">
        <v>22561</v>
      </c>
      <c r="D54" s="277">
        <v>45759</v>
      </c>
      <c r="E54" s="111" t="s">
        <v>943</v>
      </c>
      <c r="F54" s="111" t="s">
        <v>944</v>
      </c>
      <c r="G54" s="110" t="s">
        <v>98</v>
      </c>
      <c r="H54" s="110">
        <v>3147738326</v>
      </c>
      <c r="I54" s="111">
        <v>6042518300</v>
      </c>
      <c r="J54" s="108">
        <v>45776</v>
      </c>
      <c r="K54" s="110" t="s">
        <v>88</v>
      </c>
      <c r="L54" s="112" t="s">
        <v>945</v>
      </c>
      <c r="M54" s="110" t="s">
        <v>136</v>
      </c>
      <c r="N54" s="110">
        <v>5875</v>
      </c>
      <c r="O54" s="110">
        <v>6121</v>
      </c>
      <c r="P54" s="110">
        <v>8868</v>
      </c>
      <c r="Q54" s="110">
        <v>5525</v>
      </c>
      <c r="R54" s="110" t="s">
        <v>136</v>
      </c>
      <c r="S54" s="110" t="s">
        <v>134</v>
      </c>
      <c r="T54" s="110" t="s">
        <v>134</v>
      </c>
      <c r="U54" s="110" t="s">
        <v>136</v>
      </c>
      <c r="V54" s="111" t="s">
        <v>590</v>
      </c>
      <c r="W54" s="108">
        <v>45777</v>
      </c>
      <c r="X54" s="108">
        <v>45785</v>
      </c>
      <c r="Y54" s="110"/>
      <c r="Z54" s="126" t="s">
        <v>85</v>
      </c>
      <c r="AA54" s="124">
        <v>0</v>
      </c>
      <c r="AB54" s="110">
        <v>5803</v>
      </c>
      <c r="AC54" s="114">
        <v>3381179</v>
      </c>
      <c r="AD54" s="212">
        <f t="shared" si="5"/>
        <v>4023603.01</v>
      </c>
      <c r="AE54" s="114">
        <v>1500000</v>
      </c>
      <c r="AF54" s="110"/>
      <c r="AG54" s="142" t="s">
        <v>1548</v>
      </c>
      <c r="AH54" s="248">
        <v>45779</v>
      </c>
      <c r="AI54" s="108">
        <v>45785</v>
      </c>
      <c r="AJ54" s="110" t="s">
        <v>571</v>
      </c>
      <c r="AK54" s="110"/>
      <c r="AL54" s="65"/>
      <c r="AM54" s="65"/>
      <c r="AN54" s="65"/>
      <c r="AO54" s="65"/>
      <c r="AP54" s="65"/>
      <c r="AQ54" s="65"/>
      <c r="AR54" s="65"/>
      <c r="AS54" s="65"/>
      <c r="AT54" s="65"/>
      <c r="AU54" s="65"/>
      <c r="AV54" s="65"/>
      <c r="AW54" s="65"/>
      <c r="AX54" s="65"/>
      <c r="AY54" s="65"/>
      <c r="AZ54" s="65"/>
      <c r="BA54" s="65"/>
      <c r="BB54" s="65"/>
      <c r="BC54" s="65"/>
      <c r="BD54" s="65"/>
      <c r="BE54" s="65"/>
      <c r="BF54" s="65"/>
      <c r="BG54" s="65"/>
      <c r="BH54" s="65"/>
      <c r="BI54" s="65"/>
      <c r="BJ54" s="65"/>
      <c r="BK54" s="65"/>
      <c r="BL54" s="65"/>
      <c r="BM54" s="65"/>
      <c r="BN54" s="65"/>
      <c r="BO54" s="65"/>
      <c r="BP54" s="65"/>
      <c r="BQ54" s="65"/>
      <c r="BR54" s="65"/>
      <c r="BS54" s="65"/>
      <c r="BT54" s="65"/>
      <c r="BU54" s="65"/>
      <c r="BV54" s="65"/>
      <c r="BW54" s="65"/>
      <c r="BX54" s="65"/>
      <c r="BY54" s="65"/>
      <c r="BZ54" s="65"/>
      <c r="CA54" s="65"/>
      <c r="CB54" s="65"/>
      <c r="CC54" s="65"/>
      <c r="CD54" s="65"/>
      <c r="CE54" s="65"/>
      <c r="CF54" s="65"/>
      <c r="CG54" s="65"/>
      <c r="CH54" s="65"/>
      <c r="CI54" s="65"/>
      <c r="CJ54" s="65"/>
      <c r="CK54" s="65"/>
      <c r="CL54" s="65"/>
      <c r="CM54" s="65"/>
      <c r="CN54" s="65"/>
      <c r="CO54" s="65"/>
      <c r="CP54" s="65"/>
      <c r="CQ54" s="65"/>
      <c r="CR54" s="65"/>
      <c r="CS54" s="65"/>
      <c r="CT54" s="65"/>
      <c r="CU54" s="65"/>
      <c r="CV54" s="65"/>
      <c r="CW54" s="65"/>
      <c r="CX54" s="65"/>
      <c r="CY54" s="65"/>
      <c r="CZ54" s="65"/>
      <c r="DA54" s="65"/>
      <c r="DB54" s="65"/>
      <c r="DC54" s="65"/>
      <c r="DD54" s="65"/>
      <c r="DE54" s="65"/>
      <c r="DF54" s="65"/>
      <c r="DG54" s="65"/>
      <c r="DH54" s="65"/>
      <c r="DI54" s="65"/>
      <c r="DJ54" s="65"/>
      <c r="DK54" s="65"/>
      <c r="DL54" s="65"/>
      <c r="DM54" s="65"/>
      <c r="DN54" s="65"/>
      <c r="DO54" s="65"/>
      <c r="DP54" s="65"/>
      <c r="DQ54" s="65"/>
      <c r="DR54" s="65"/>
      <c r="DS54" s="65"/>
      <c r="DT54" s="65"/>
      <c r="DU54" s="65"/>
      <c r="DV54" s="65"/>
      <c r="DW54" s="65"/>
      <c r="DX54" s="65"/>
      <c r="DY54" s="65"/>
      <c r="DZ54" s="65"/>
      <c r="EA54" s="65"/>
      <c r="EB54" s="65"/>
      <c r="EC54" s="65"/>
      <c r="ED54" s="65"/>
      <c r="EE54" s="65"/>
      <c r="EF54" s="65"/>
      <c r="EG54" s="65"/>
      <c r="EH54" s="65"/>
      <c r="EI54" s="65"/>
      <c r="EJ54" s="65"/>
      <c r="EK54" s="65"/>
      <c r="EL54" s="65"/>
      <c r="EM54" s="65"/>
      <c r="EN54" s="65"/>
      <c r="EO54" s="65"/>
      <c r="EP54" s="65"/>
      <c r="EQ54" s="65"/>
      <c r="ER54" s="65"/>
      <c r="ES54" s="65"/>
      <c r="ET54" s="65"/>
      <c r="EU54" s="65"/>
      <c r="EV54" s="65"/>
      <c r="EW54" s="65"/>
      <c r="EX54" s="65"/>
      <c r="EY54" s="65"/>
      <c r="EZ54" s="65"/>
      <c r="FA54" s="65"/>
      <c r="FB54" s="65"/>
      <c r="FC54" s="65"/>
      <c r="FD54" s="65"/>
      <c r="FE54" s="65"/>
      <c r="FF54" s="65"/>
      <c r="FG54" s="65"/>
      <c r="FH54" s="65"/>
      <c r="FI54" s="65"/>
      <c r="FJ54" s="65"/>
      <c r="FK54" s="65"/>
      <c r="FL54" s="65"/>
      <c r="FM54" s="65"/>
      <c r="FN54" s="65"/>
      <c r="FO54" s="65"/>
      <c r="FP54" s="65"/>
      <c r="FQ54" s="65"/>
      <c r="FR54" s="65"/>
      <c r="FS54" s="65"/>
      <c r="FT54" s="65"/>
      <c r="FU54" s="65"/>
      <c r="FV54" s="65"/>
      <c r="FW54" s="65"/>
      <c r="FX54" s="65"/>
      <c r="FY54" s="65"/>
      <c r="FZ54" s="65"/>
      <c r="GA54" s="65"/>
      <c r="GB54" s="65"/>
      <c r="GC54" s="65"/>
      <c r="GD54" s="65"/>
      <c r="GE54" s="65"/>
      <c r="GF54" s="65"/>
      <c r="GG54" s="65"/>
      <c r="GH54" s="65"/>
      <c r="GI54" s="65"/>
      <c r="GJ54" s="65"/>
      <c r="GK54" s="65"/>
      <c r="GL54" s="65"/>
      <c r="GM54" s="65"/>
      <c r="GN54" s="65"/>
      <c r="GO54" s="65"/>
      <c r="GP54" s="65"/>
      <c r="GQ54" s="65"/>
      <c r="GR54" s="65"/>
      <c r="GS54" s="65"/>
      <c r="GT54" s="65"/>
      <c r="GU54" s="65"/>
      <c r="GV54" s="65"/>
      <c r="GW54" s="65"/>
      <c r="GX54" s="65"/>
      <c r="GY54" s="65"/>
      <c r="GZ54" s="65"/>
      <c r="HA54" s="65"/>
      <c r="HB54" s="65"/>
      <c r="HC54" s="65"/>
      <c r="HD54" s="65"/>
      <c r="HE54" s="65"/>
      <c r="HF54" s="65"/>
      <c r="HG54" s="65"/>
      <c r="HH54" s="65"/>
      <c r="HI54" s="65"/>
      <c r="HJ54" s="65"/>
      <c r="HK54" s="65"/>
      <c r="HL54" s="65"/>
      <c r="HM54" s="65"/>
      <c r="HN54" s="65"/>
      <c r="HO54" s="65"/>
      <c r="HP54" s="65"/>
      <c r="HQ54" s="65"/>
      <c r="HR54" s="65"/>
      <c r="HS54" s="65"/>
      <c r="HT54" s="65"/>
      <c r="HU54" s="65"/>
      <c r="HV54" s="65"/>
      <c r="HW54" s="65"/>
      <c r="HX54" s="65"/>
      <c r="HY54" s="65"/>
      <c r="HZ54" s="65"/>
      <c r="IA54" s="65"/>
      <c r="IB54" s="65"/>
      <c r="IC54" s="65"/>
      <c r="ID54" s="65"/>
      <c r="IE54" s="65"/>
      <c r="IF54" s="65"/>
      <c r="IG54" s="65"/>
      <c r="IH54" s="65"/>
      <c r="II54" s="65"/>
      <c r="IJ54" s="65"/>
      <c r="IK54" s="65"/>
      <c r="IL54" s="65"/>
      <c r="IM54" s="65"/>
      <c r="IN54" s="65"/>
      <c r="IO54" s="65"/>
      <c r="IP54" s="65"/>
      <c r="IQ54" s="65"/>
      <c r="IR54" s="65"/>
      <c r="IS54" s="65"/>
      <c r="IT54" s="65"/>
      <c r="IU54" s="65"/>
      <c r="IV54" s="65"/>
      <c r="IW54" s="65"/>
      <c r="IX54" s="65"/>
      <c r="IY54" s="65"/>
      <c r="IZ54" s="65"/>
      <c r="JA54" s="65"/>
      <c r="JB54" s="65"/>
      <c r="JC54" s="65"/>
      <c r="JD54" s="65"/>
      <c r="JE54" s="65"/>
      <c r="JF54" s="65"/>
      <c r="JG54" s="65"/>
      <c r="JH54" s="65"/>
      <c r="JI54" s="65"/>
      <c r="JJ54" s="65"/>
      <c r="JK54" s="65"/>
      <c r="JL54" s="65"/>
      <c r="JM54" s="65"/>
      <c r="JN54" s="65"/>
      <c r="JO54" s="65"/>
      <c r="JP54" s="65"/>
      <c r="JQ54" s="65"/>
      <c r="JR54" s="65"/>
      <c r="JS54" s="65"/>
      <c r="JT54" s="65"/>
      <c r="JU54" s="65"/>
      <c r="JV54" s="65"/>
      <c r="JW54" s="65"/>
      <c r="JX54" s="65"/>
      <c r="JY54" s="65"/>
      <c r="JZ54" s="65"/>
      <c r="KA54" s="65"/>
      <c r="KB54" s="65"/>
      <c r="KC54" s="65"/>
      <c r="KD54" s="65"/>
      <c r="KE54" s="65"/>
      <c r="KF54" s="65"/>
      <c r="KG54" s="65"/>
      <c r="KH54" s="65"/>
      <c r="KI54" s="65"/>
      <c r="KJ54" s="65"/>
      <c r="KK54" s="65"/>
      <c r="KL54" s="65"/>
      <c r="KM54" s="65"/>
      <c r="KN54" s="65"/>
      <c r="KO54" s="65"/>
      <c r="KP54" s="65"/>
      <c r="KQ54" s="65"/>
      <c r="KR54" s="65"/>
      <c r="KS54" s="65"/>
      <c r="KT54" s="65"/>
      <c r="KU54" s="65"/>
      <c r="KV54" s="65"/>
      <c r="KW54" s="65"/>
      <c r="KX54" s="65"/>
      <c r="KY54" s="65"/>
      <c r="KZ54" s="65"/>
      <c r="LA54" s="65"/>
      <c r="LB54" s="65"/>
      <c r="LC54" s="65"/>
      <c r="LD54" s="65"/>
      <c r="LE54" s="65"/>
      <c r="LF54" s="65"/>
      <c r="LG54" s="65"/>
      <c r="LH54" s="65"/>
      <c r="LI54" s="65"/>
      <c r="LJ54" s="65"/>
      <c r="LK54" s="65"/>
      <c r="LL54" s="65"/>
      <c r="LM54" s="65"/>
      <c r="LN54" s="65"/>
      <c r="LO54" s="65"/>
      <c r="LP54" s="65"/>
      <c r="LQ54" s="65"/>
      <c r="LR54" s="65"/>
      <c r="LS54" s="65"/>
      <c r="LT54" s="65"/>
      <c r="LU54" s="65"/>
      <c r="LV54" s="65"/>
      <c r="LW54" s="65"/>
      <c r="LX54" s="65"/>
      <c r="LY54" s="65"/>
      <c r="LZ54" s="65"/>
      <c r="MA54" s="65"/>
      <c r="MB54" s="65"/>
      <c r="MC54" s="65"/>
      <c r="MD54" s="65"/>
      <c r="ME54" s="65"/>
      <c r="MF54" s="65"/>
      <c r="MG54" s="65"/>
      <c r="MH54" s="65"/>
      <c r="MI54" s="65"/>
      <c r="MJ54" s="65"/>
      <c r="MK54" s="65"/>
      <c r="ML54" s="65"/>
      <c r="MM54" s="65"/>
      <c r="MN54" s="65"/>
      <c r="MO54" s="65"/>
      <c r="MP54" s="65"/>
      <c r="MQ54" s="65"/>
      <c r="MR54" s="65"/>
      <c r="MS54" s="65"/>
      <c r="MT54" s="65"/>
      <c r="MU54" s="65"/>
      <c r="MV54" s="65"/>
      <c r="MW54" s="65"/>
      <c r="MX54" s="65"/>
      <c r="MY54" s="65"/>
      <c r="MZ54" s="65"/>
      <c r="NA54" s="65"/>
      <c r="NB54" s="65"/>
      <c r="NC54" s="65"/>
      <c r="ND54" s="65"/>
      <c r="NE54" s="65"/>
      <c r="NF54" s="65"/>
      <c r="NG54" s="65"/>
      <c r="NH54" s="65"/>
      <c r="NI54" s="65"/>
      <c r="NJ54" s="65"/>
      <c r="NK54" s="65"/>
      <c r="NL54" s="65"/>
      <c r="NM54" s="65"/>
      <c r="NN54" s="65"/>
      <c r="NO54" s="65"/>
      <c r="NP54" s="65"/>
      <c r="NQ54" s="65"/>
      <c r="NR54" s="65"/>
      <c r="NS54" s="65"/>
      <c r="NT54" s="65"/>
      <c r="NU54" s="65"/>
      <c r="NV54" s="65"/>
      <c r="NW54" s="65"/>
      <c r="NX54" s="65"/>
      <c r="NY54" s="65"/>
      <c r="NZ54" s="65"/>
      <c r="OA54" s="65"/>
      <c r="OB54" s="65"/>
      <c r="OC54" s="65"/>
      <c r="OD54" s="65"/>
      <c r="OE54" s="65"/>
      <c r="OF54" s="65"/>
      <c r="OG54" s="65"/>
      <c r="OH54" s="65"/>
      <c r="OI54" s="65"/>
      <c r="OJ54" s="65"/>
      <c r="OK54" s="65"/>
      <c r="OL54" s="65"/>
      <c r="OM54" s="65"/>
      <c r="ON54" s="65"/>
      <c r="OO54" s="65"/>
      <c r="OP54" s="65"/>
      <c r="OQ54" s="65"/>
      <c r="OR54" s="65"/>
      <c r="OS54" s="65"/>
      <c r="OT54" s="65"/>
      <c r="OU54" s="65"/>
      <c r="OV54" s="65"/>
      <c r="OW54" s="65"/>
      <c r="OX54" s="65"/>
      <c r="OY54" s="65"/>
      <c r="OZ54" s="65"/>
      <c r="PA54" s="65"/>
      <c r="PB54" s="65"/>
      <c r="PC54" s="65"/>
      <c r="PD54" s="65"/>
      <c r="PE54" s="65"/>
      <c r="PF54" s="65"/>
      <c r="PG54" s="65"/>
      <c r="PH54" s="65"/>
      <c r="PI54" s="65"/>
      <c r="PJ54" s="65"/>
      <c r="PK54" s="65"/>
      <c r="PL54" s="65"/>
      <c r="PM54" s="65"/>
      <c r="PN54" s="65"/>
      <c r="PO54" s="65"/>
      <c r="PP54" s="65"/>
      <c r="PQ54" s="65"/>
      <c r="PR54" s="65"/>
      <c r="PS54" s="65"/>
      <c r="PT54" s="65"/>
      <c r="PU54" s="65"/>
      <c r="PV54" s="65"/>
      <c r="PW54" s="65"/>
      <c r="PX54" s="65"/>
      <c r="PY54" s="65"/>
      <c r="PZ54" s="65"/>
      <c r="QA54" s="65"/>
      <c r="QB54" s="65"/>
      <c r="QC54" s="65"/>
      <c r="QD54" s="65"/>
      <c r="QE54" s="65"/>
      <c r="QF54" s="65"/>
      <c r="QG54" s="65"/>
      <c r="QH54" s="65"/>
      <c r="QI54" s="65"/>
      <c r="QJ54" s="65"/>
      <c r="QK54" s="65"/>
      <c r="QL54" s="65"/>
      <c r="QM54" s="65"/>
      <c r="QN54" s="65"/>
      <c r="QO54" s="65"/>
      <c r="QP54" s="65"/>
      <c r="QQ54" s="65"/>
      <c r="QR54" s="65"/>
      <c r="QS54" s="65"/>
      <c r="QT54" s="65"/>
      <c r="QU54" s="65"/>
      <c r="QV54" s="65"/>
      <c r="QW54" s="65"/>
      <c r="QX54" s="65"/>
      <c r="QY54" s="65"/>
      <c r="QZ54" s="65"/>
      <c r="RA54" s="65"/>
      <c r="RB54" s="65"/>
      <c r="RC54" s="65"/>
      <c r="RD54" s="65"/>
      <c r="RE54" s="65"/>
      <c r="RF54" s="65"/>
      <c r="RG54" s="65"/>
      <c r="RH54" s="65"/>
      <c r="RI54" s="65"/>
      <c r="RJ54" s="65"/>
      <c r="RK54" s="65"/>
      <c r="RL54" s="65"/>
      <c r="RM54" s="65"/>
      <c r="RN54" s="65"/>
      <c r="RO54" s="65"/>
      <c r="RP54" s="65"/>
      <c r="RQ54" s="65"/>
      <c r="RR54" s="65"/>
      <c r="RS54" s="65"/>
      <c r="RT54" s="65"/>
      <c r="RU54" s="65"/>
      <c r="RV54" s="65"/>
      <c r="RW54" s="65"/>
      <c r="RX54" s="65"/>
      <c r="RY54" s="65"/>
      <c r="RZ54" s="65"/>
      <c r="SA54" s="65"/>
      <c r="SB54" s="65"/>
      <c r="SC54" s="65"/>
      <c r="SD54" s="65"/>
      <c r="SE54" s="65"/>
      <c r="SF54" s="65"/>
      <c r="SG54" s="65"/>
      <c r="SH54" s="65"/>
      <c r="SI54" s="65"/>
      <c r="SJ54" s="65"/>
      <c r="SK54" s="65"/>
      <c r="SL54" s="65"/>
      <c r="SM54" s="65"/>
      <c r="SN54" s="65"/>
      <c r="SO54" s="65"/>
      <c r="SP54" s="65"/>
      <c r="SQ54" s="65"/>
      <c r="SR54" s="65"/>
      <c r="SS54" s="65"/>
      <c r="ST54" s="65"/>
      <c r="SU54" s="65"/>
      <c r="SV54" s="65"/>
      <c r="SW54" s="65"/>
      <c r="SX54" s="65"/>
      <c r="SY54" s="65"/>
      <c r="SZ54" s="65"/>
      <c r="TA54" s="65"/>
      <c r="TB54" s="65"/>
      <c r="TC54" s="65"/>
      <c r="TD54" s="65"/>
      <c r="TE54" s="65"/>
      <c r="TF54" s="65"/>
      <c r="TG54" s="65"/>
      <c r="TH54" s="65"/>
      <c r="TI54" s="65"/>
      <c r="TJ54" s="65"/>
      <c r="TK54" s="65"/>
      <c r="TL54" s="65"/>
      <c r="TM54" s="65"/>
      <c r="TN54" s="65"/>
      <c r="TO54" s="65"/>
      <c r="TP54" s="65"/>
      <c r="TQ54" s="65"/>
      <c r="TR54" s="65"/>
      <c r="TS54" s="65"/>
      <c r="TT54" s="65"/>
      <c r="TU54" s="65"/>
      <c r="TV54" s="65"/>
      <c r="TW54" s="65"/>
      <c r="TX54" s="65"/>
      <c r="TY54" s="65"/>
      <c r="TZ54" s="65"/>
      <c r="UA54" s="65"/>
      <c r="UB54" s="65"/>
      <c r="UC54" s="65"/>
      <c r="UD54" s="65"/>
      <c r="UE54" s="65"/>
      <c r="UF54" s="65"/>
      <c r="UG54" s="65"/>
      <c r="UH54" s="65"/>
      <c r="UI54" s="65"/>
      <c r="UJ54" s="65"/>
      <c r="UK54" s="65"/>
      <c r="UL54" s="65"/>
      <c r="UM54" s="65"/>
      <c r="UN54" s="65"/>
      <c r="UO54" s="65"/>
      <c r="UP54" s="65"/>
      <c r="UQ54" s="65"/>
      <c r="UR54" s="65"/>
      <c r="US54" s="65"/>
      <c r="UT54" s="65"/>
      <c r="UU54" s="65"/>
      <c r="UV54" s="65"/>
      <c r="UW54" s="65"/>
      <c r="UX54" s="65"/>
      <c r="UY54" s="65"/>
      <c r="UZ54" s="65"/>
      <c r="VA54" s="65"/>
      <c r="VB54" s="65"/>
      <c r="VC54" s="65"/>
      <c r="VD54" s="65"/>
      <c r="VE54" s="65"/>
      <c r="VF54" s="65"/>
      <c r="VG54" s="65"/>
      <c r="VH54" s="65"/>
      <c r="VI54" s="65"/>
      <c r="VJ54" s="65"/>
      <c r="VK54" s="65"/>
      <c r="VL54" s="65"/>
      <c r="VM54" s="65"/>
      <c r="VN54" s="65"/>
      <c r="VO54" s="65"/>
      <c r="VP54" s="65"/>
      <c r="VQ54" s="65"/>
      <c r="VR54" s="65"/>
      <c r="VS54" s="65"/>
      <c r="VT54" s="65"/>
      <c r="VU54" s="65"/>
      <c r="VV54" s="65"/>
      <c r="VW54" s="65"/>
      <c r="VX54" s="65"/>
      <c r="VY54" s="65"/>
      <c r="VZ54" s="65"/>
      <c r="WA54" s="65"/>
      <c r="WB54" s="65"/>
      <c r="WC54" s="65"/>
      <c r="WD54" s="65"/>
      <c r="WE54" s="65"/>
      <c r="WF54" s="65"/>
      <c r="WG54" s="65"/>
      <c r="WH54" s="65"/>
      <c r="WI54" s="65"/>
      <c r="WJ54" s="65"/>
      <c r="WK54" s="65"/>
      <c r="WL54" s="65"/>
      <c r="WM54" s="65"/>
      <c r="WN54" s="65"/>
      <c r="WO54" s="65"/>
      <c r="WP54" s="65"/>
      <c r="WQ54" s="65"/>
      <c r="WR54" s="65"/>
      <c r="WS54" s="65"/>
      <c r="WT54" s="65"/>
      <c r="WU54" s="65"/>
      <c r="WV54" s="65"/>
      <c r="WW54" s="65"/>
      <c r="WX54" s="65"/>
      <c r="WY54" s="65"/>
      <c r="WZ54" s="65"/>
      <c r="XA54" s="65"/>
      <c r="XB54" s="65"/>
      <c r="XC54" s="65"/>
      <c r="XD54" s="65"/>
      <c r="XE54" s="65"/>
      <c r="XF54" s="65"/>
      <c r="XG54" s="65"/>
      <c r="XH54" s="65"/>
      <c r="XI54" s="65"/>
      <c r="XJ54" s="65"/>
      <c r="XK54" s="65"/>
      <c r="XL54" s="65"/>
      <c r="XM54" s="65"/>
      <c r="XN54" s="65"/>
      <c r="XO54" s="65"/>
      <c r="XP54" s="65"/>
      <c r="XQ54" s="65"/>
      <c r="XR54" s="65"/>
      <c r="XS54" s="65"/>
      <c r="XT54" s="65"/>
      <c r="XU54" s="65"/>
      <c r="XV54" s="65"/>
      <c r="XW54" s="65"/>
      <c r="XX54" s="65"/>
      <c r="XY54" s="65"/>
      <c r="XZ54" s="65"/>
      <c r="YA54" s="65"/>
      <c r="YB54" s="65"/>
      <c r="YC54" s="65"/>
      <c r="YD54" s="65"/>
      <c r="YE54" s="65"/>
      <c r="YF54" s="65"/>
      <c r="YG54" s="65"/>
      <c r="YH54" s="65"/>
      <c r="YI54" s="65"/>
      <c r="YJ54" s="65"/>
      <c r="YK54" s="65"/>
      <c r="YL54" s="65"/>
      <c r="YM54" s="65"/>
      <c r="YN54" s="65"/>
      <c r="YO54" s="65"/>
      <c r="YP54" s="65"/>
      <c r="YQ54" s="65"/>
      <c r="YR54" s="65"/>
      <c r="YS54" s="65"/>
      <c r="YT54" s="65"/>
      <c r="YU54" s="65"/>
      <c r="YV54" s="65"/>
      <c r="YW54" s="65"/>
      <c r="YX54" s="65"/>
      <c r="YY54" s="65"/>
      <c r="YZ54" s="65"/>
      <c r="ZA54" s="65"/>
      <c r="ZB54" s="65"/>
      <c r="ZC54" s="65"/>
      <c r="ZD54" s="65"/>
      <c r="ZE54" s="65"/>
      <c r="ZF54" s="65"/>
      <c r="ZG54" s="65"/>
      <c r="ZH54" s="65"/>
      <c r="ZI54" s="65"/>
      <c r="ZJ54" s="65"/>
      <c r="ZK54" s="65"/>
      <c r="ZL54" s="65"/>
      <c r="ZM54" s="65"/>
      <c r="ZN54" s="65"/>
      <c r="ZO54" s="65"/>
      <c r="ZP54" s="65"/>
      <c r="ZQ54" s="65"/>
      <c r="ZR54" s="65"/>
      <c r="ZS54" s="65"/>
      <c r="ZT54" s="65"/>
      <c r="ZU54" s="65"/>
      <c r="ZV54" s="65"/>
      <c r="ZW54" s="65"/>
      <c r="ZX54" s="65"/>
      <c r="ZY54" s="65"/>
      <c r="ZZ54" s="65"/>
      <c r="AAA54" s="65"/>
      <c r="AAB54" s="65"/>
      <c r="AAC54" s="65"/>
      <c r="AAD54" s="65"/>
      <c r="AAE54" s="65"/>
      <c r="AAF54" s="65"/>
      <c r="AAG54" s="65"/>
      <c r="AAH54" s="65"/>
      <c r="AAI54" s="65"/>
      <c r="AAJ54" s="65"/>
      <c r="AAK54" s="65"/>
      <c r="AAL54" s="65"/>
      <c r="AAM54" s="65"/>
      <c r="AAN54" s="65"/>
      <c r="AAO54" s="65"/>
      <c r="AAP54" s="65"/>
      <c r="AAQ54" s="65"/>
      <c r="AAR54" s="65"/>
      <c r="AAS54" s="65"/>
      <c r="AAT54" s="65"/>
      <c r="AAU54" s="65"/>
      <c r="AAV54" s="65"/>
      <c r="AAW54" s="65"/>
      <c r="AAX54" s="65"/>
      <c r="AAY54" s="65"/>
      <c r="AAZ54" s="65"/>
      <c r="ABA54" s="65"/>
      <c r="ABB54" s="65"/>
      <c r="ABC54" s="65"/>
      <c r="ABD54" s="65"/>
      <c r="ABE54" s="65"/>
      <c r="ABF54" s="65"/>
      <c r="ABG54" s="65"/>
      <c r="ABH54" s="65"/>
      <c r="ABI54" s="65"/>
      <c r="ABJ54" s="65"/>
      <c r="ABK54" s="65"/>
      <c r="ABL54" s="65"/>
      <c r="ABM54" s="65"/>
      <c r="ABN54" s="65"/>
    </row>
    <row r="55" spans="1:742" ht="30" x14ac:dyDescent="0.25">
      <c r="A55" s="110">
        <v>2025</v>
      </c>
      <c r="B55" s="230">
        <v>4</v>
      </c>
      <c r="C55" s="152">
        <v>22562</v>
      </c>
      <c r="D55" s="277">
        <v>45759</v>
      </c>
      <c r="E55" s="111" t="s">
        <v>948</v>
      </c>
      <c r="F55" s="111" t="s">
        <v>948</v>
      </c>
      <c r="G55" s="110" t="s">
        <v>785</v>
      </c>
      <c r="H55" s="110">
        <v>3006126310</v>
      </c>
      <c r="I55" s="110">
        <v>3006126310</v>
      </c>
      <c r="J55" s="108">
        <v>45776</v>
      </c>
      <c r="K55" s="110" t="s">
        <v>84</v>
      </c>
      <c r="L55" s="112" t="s">
        <v>949</v>
      </c>
      <c r="M55" s="110" t="s">
        <v>136</v>
      </c>
      <c r="N55" s="110">
        <v>5871</v>
      </c>
      <c r="O55" s="110">
        <v>6120</v>
      </c>
      <c r="P55" s="110">
        <v>8869</v>
      </c>
      <c r="Q55" s="110">
        <v>5523</v>
      </c>
      <c r="R55" s="110" t="s">
        <v>136</v>
      </c>
      <c r="S55" s="110" t="s">
        <v>134</v>
      </c>
      <c r="T55" s="110" t="s">
        <v>134</v>
      </c>
      <c r="U55" s="110" t="s">
        <v>136</v>
      </c>
      <c r="V55" s="111" t="s">
        <v>590</v>
      </c>
      <c r="W55" s="108">
        <v>45772</v>
      </c>
      <c r="X55" s="108">
        <v>45776</v>
      </c>
      <c r="Y55" s="110"/>
      <c r="Z55" s="126" t="s">
        <v>85</v>
      </c>
      <c r="AA55" s="124">
        <v>0</v>
      </c>
      <c r="AB55" s="110">
        <v>5784</v>
      </c>
      <c r="AC55" s="114">
        <v>1397227</v>
      </c>
      <c r="AD55" s="212">
        <f t="shared" si="5"/>
        <v>1662700.13</v>
      </c>
      <c r="AE55" s="114">
        <v>832000</v>
      </c>
      <c r="AF55" s="110"/>
      <c r="AG55" s="142" t="s">
        <v>1036</v>
      </c>
      <c r="AH55" s="248">
        <v>45776</v>
      </c>
      <c r="AI55" s="108">
        <v>45777</v>
      </c>
      <c r="AJ55" s="110" t="s">
        <v>571</v>
      </c>
      <c r="AK55" s="110"/>
    </row>
    <row r="56" spans="1:742" s="207" customFormat="1" ht="75" x14ac:dyDescent="0.25">
      <c r="A56" s="99">
        <v>2025</v>
      </c>
      <c r="B56" s="233">
        <v>4</v>
      </c>
      <c r="C56" s="356">
        <v>22563</v>
      </c>
      <c r="D56" s="278">
        <v>45768</v>
      </c>
      <c r="E56" s="100" t="s">
        <v>1051</v>
      </c>
      <c r="F56" s="100" t="s">
        <v>2228</v>
      </c>
      <c r="G56" s="99" t="s">
        <v>150</v>
      </c>
      <c r="H56" s="99">
        <v>3017633081</v>
      </c>
      <c r="I56" s="99">
        <v>6044442344</v>
      </c>
      <c r="J56" s="97">
        <v>45789</v>
      </c>
      <c r="K56" s="99" t="s">
        <v>88</v>
      </c>
      <c r="L56" s="101" t="s">
        <v>1052</v>
      </c>
      <c r="M56" s="99" t="s">
        <v>136</v>
      </c>
      <c r="N56" s="99">
        <v>5902</v>
      </c>
      <c r="O56" s="99">
        <v>6149</v>
      </c>
      <c r="P56" s="99">
        <v>8480</v>
      </c>
      <c r="Q56" s="99">
        <v>5432</v>
      </c>
      <c r="R56" s="99" t="s">
        <v>136</v>
      </c>
      <c r="S56" s="99" t="s">
        <v>134</v>
      </c>
      <c r="T56" s="99" t="s">
        <v>134</v>
      </c>
      <c r="U56" s="99" t="s">
        <v>136</v>
      </c>
      <c r="V56" s="100" t="s">
        <v>119</v>
      </c>
      <c r="W56" s="97">
        <v>45785</v>
      </c>
      <c r="X56" s="97">
        <v>45794</v>
      </c>
      <c r="Y56" s="99"/>
      <c r="Z56" s="120" t="s">
        <v>85</v>
      </c>
      <c r="AA56" s="122">
        <v>0</v>
      </c>
      <c r="AB56" s="99" t="s">
        <v>2229</v>
      </c>
      <c r="AC56" s="103">
        <v>16664659</v>
      </c>
      <c r="AD56" s="198">
        <f t="shared" si="5"/>
        <v>19830944.210000001</v>
      </c>
      <c r="AE56" s="103">
        <v>4999398</v>
      </c>
      <c r="AF56" s="99"/>
      <c r="AG56" s="104" t="s">
        <v>2230</v>
      </c>
      <c r="AH56" s="440">
        <v>45821</v>
      </c>
      <c r="AI56" s="97">
        <v>45836</v>
      </c>
      <c r="AJ56" s="99" t="s">
        <v>571</v>
      </c>
      <c r="AK56" s="99"/>
      <c r="AL56" s="65"/>
      <c r="AM56" s="65"/>
      <c r="AN56" s="65"/>
      <c r="AO56" s="65"/>
      <c r="AP56" s="65"/>
      <c r="AQ56" s="65"/>
      <c r="AR56" s="65"/>
      <c r="AS56" s="65"/>
      <c r="AT56" s="65"/>
      <c r="AU56" s="65"/>
      <c r="AV56" s="65"/>
      <c r="AW56" s="65"/>
      <c r="AX56" s="65"/>
      <c r="AY56" s="65"/>
      <c r="AZ56" s="65"/>
      <c r="BA56" s="65"/>
      <c r="BB56" s="65"/>
      <c r="BC56" s="65"/>
      <c r="BD56" s="65"/>
      <c r="BE56" s="65"/>
      <c r="BF56" s="65"/>
      <c r="BG56" s="65"/>
      <c r="BH56" s="65"/>
      <c r="BI56" s="65"/>
      <c r="BJ56" s="65"/>
      <c r="BK56" s="65"/>
      <c r="BL56" s="65"/>
      <c r="BM56" s="65"/>
      <c r="BN56" s="65"/>
      <c r="BO56" s="65"/>
      <c r="BP56" s="65"/>
      <c r="BQ56" s="65"/>
      <c r="BR56" s="65"/>
      <c r="BS56" s="65"/>
      <c r="BT56" s="65"/>
      <c r="BU56" s="65"/>
      <c r="BV56" s="65"/>
      <c r="BW56" s="65"/>
      <c r="BX56" s="65"/>
      <c r="BY56" s="65"/>
      <c r="BZ56" s="65"/>
      <c r="CA56" s="65"/>
      <c r="CB56" s="65"/>
      <c r="CC56" s="65"/>
      <c r="CD56" s="65"/>
      <c r="CE56" s="65"/>
      <c r="CF56" s="65"/>
      <c r="CG56" s="65"/>
      <c r="CH56" s="65"/>
      <c r="CI56" s="65"/>
      <c r="CJ56" s="65"/>
      <c r="CK56" s="65"/>
      <c r="CL56" s="65"/>
      <c r="CM56" s="65"/>
      <c r="CN56" s="65"/>
      <c r="CO56" s="65"/>
      <c r="CP56" s="65"/>
      <c r="CQ56" s="65"/>
      <c r="CR56" s="65"/>
      <c r="CS56" s="65"/>
      <c r="CT56" s="65"/>
      <c r="CU56" s="65"/>
      <c r="CV56" s="65"/>
      <c r="CW56" s="65"/>
      <c r="CX56" s="65"/>
      <c r="CY56" s="65"/>
      <c r="CZ56" s="65"/>
      <c r="DA56" s="65"/>
      <c r="DB56" s="65"/>
      <c r="DC56" s="65"/>
      <c r="DD56" s="65"/>
      <c r="DE56" s="65"/>
      <c r="DF56" s="65"/>
      <c r="DG56" s="65"/>
      <c r="DH56" s="65"/>
      <c r="DI56" s="65"/>
      <c r="DJ56" s="65"/>
      <c r="DK56" s="65"/>
      <c r="DL56" s="65"/>
      <c r="DM56" s="65"/>
      <c r="DN56" s="65"/>
      <c r="DO56" s="65"/>
      <c r="DP56" s="65"/>
      <c r="DQ56" s="65"/>
      <c r="DR56" s="65"/>
      <c r="DS56" s="65"/>
      <c r="DT56" s="65"/>
      <c r="DU56" s="65"/>
      <c r="DV56" s="65"/>
      <c r="DW56" s="65"/>
      <c r="DX56" s="65"/>
      <c r="DY56" s="65"/>
      <c r="DZ56" s="65"/>
      <c r="EA56" s="65"/>
      <c r="EB56" s="65"/>
      <c r="EC56" s="65"/>
      <c r="ED56" s="65"/>
      <c r="EE56" s="65"/>
      <c r="EF56" s="65"/>
      <c r="EG56" s="65"/>
      <c r="EH56" s="65"/>
      <c r="EI56" s="65"/>
      <c r="EJ56" s="65"/>
      <c r="EK56" s="65"/>
      <c r="EL56" s="65"/>
      <c r="EM56" s="65"/>
      <c r="EN56" s="65"/>
      <c r="EO56" s="65"/>
      <c r="EP56" s="65"/>
      <c r="EQ56" s="65"/>
      <c r="ER56" s="65"/>
      <c r="ES56" s="65"/>
      <c r="ET56" s="65"/>
      <c r="EU56" s="65"/>
      <c r="EV56" s="65"/>
      <c r="EW56" s="65"/>
      <c r="EX56" s="65"/>
      <c r="EY56" s="65"/>
      <c r="EZ56" s="65"/>
      <c r="FA56" s="65"/>
      <c r="FB56" s="65"/>
      <c r="FC56" s="65"/>
      <c r="FD56" s="65"/>
      <c r="FE56" s="65"/>
      <c r="FF56" s="65"/>
      <c r="FG56" s="65"/>
      <c r="FH56" s="65"/>
      <c r="FI56" s="65"/>
      <c r="FJ56" s="65"/>
      <c r="FK56" s="65"/>
      <c r="FL56" s="65"/>
      <c r="FM56" s="65"/>
      <c r="FN56" s="65"/>
      <c r="FO56" s="65"/>
      <c r="FP56" s="65"/>
      <c r="FQ56" s="65"/>
      <c r="FR56" s="65"/>
      <c r="FS56" s="65"/>
      <c r="FT56" s="65"/>
      <c r="FU56" s="65"/>
      <c r="FV56" s="65"/>
      <c r="FW56" s="65"/>
      <c r="FX56" s="65"/>
      <c r="FY56" s="65"/>
      <c r="FZ56" s="65"/>
      <c r="GA56" s="65"/>
      <c r="GB56" s="65"/>
      <c r="GC56" s="65"/>
      <c r="GD56" s="65"/>
      <c r="GE56" s="65"/>
      <c r="GF56" s="65"/>
      <c r="GG56" s="65"/>
      <c r="GH56" s="65"/>
      <c r="GI56" s="65"/>
      <c r="GJ56" s="65"/>
      <c r="GK56" s="65"/>
      <c r="GL56" s="65"/>
      <c r="GM56" s="65"/>
      <c r="GN56" s="65"/>
      <c r="GO56" s="65"/>
      <c r="GP56" s="65"/>
      <c r="GQ56" s="65"/>
      <c r="GR56" s="65"/>
      <c r="GS56" s="65"/>
      <c r="GT56" s="65"/>
      <c r="GU56" s="65"/>
      <c r="GV56" s="65"/>
      <c r="GW56" s="65"/>
      <c r="GX56" s="65"/>
      <c r="GY56" s="65"/>
      <c r="GZ56" s="65"/>
      <c r="HA56" s="65"/>
      <c r="HB56" s="65"/>
      <c r="HC56" s="65"/>
      <c r="HD56" s="65"/>
      <c r="HE56" s="65"/>
      <c r="HF56" s="65"/>
      <c r="HG56" s="65"/>
      <c r="HH56" s="65"/>
      <c r="HI56" s="65"/>
      <c r="HJ56" s="65"/>
      <c r="HK56" s="65"/>
      <c r="HL56" s="65"/>
      <c r="HM56" s="65"/>
      <c r="HN56" s="65"/>
      <c r="HO56" s="65"/>
      <c r="HP56" s="65"/>
      <c r="HQ56" s="65"/>
      <c r="HR56" s="65"/>
      <c r="HS56" s="65"/>
      <c r="HT56" s="65"/>
      <c r="HU56" s="65"/>
      <c r="HV56" s="65"/>
      <c r="HW56" s="65"/>
      <c r="HX56" s="65"/>
      <c r="HY56" s="65"/>
      <c r="HZ56" s="65"/>
      <c r="IA56" s="65"/>
      <c r="IB56" s="65"/>
      <c r="IC56" s="65"/>
      <c r="ID56" s="65"/>
      <c r="IE56" s="65"/>
      <c r="IF56" s="65"/>
      <c r="IG56" s="65"/>
      <c r="IH56" s="65"/>
      <c r="II56" s="65"/>
      <c r="IJ56" s="65"/>
      <c r="IK56" s="65"/>
      <c r="IL56" s="65"/>
      <c r="IM56" s="65"/>
      <c r="IN56" s="65"/>
      <c r="IO56" s="65"/>
      <c r="IP56" s="65"/>
      <c r="IQ56" s="65"/>
      <c r="IR56" s="65"/>
      <c r="IS56" s="65"/>
      <c r="IT56" s="65"/>
      <c r="IU56" s="65"/>
      <c r="IV56" s="65"/>
      <c r="IW56" s="65"/>
      <c r="IX56" s="65"/>
      <c r="IY56" s="65"/>
      <c r="IZ56" s="65"/>
      <c r="JA56" s="65"/>
      <c r="JB56" s="65"/>
      <c r="JC56" s="65"/>
      <c r="JD56" s="65"/>
      <c r="JE56" s="65"/>
      <c r="JF56" s="65"/>
      <c r="JG56" s="65"/>
      <c r="JH56" s="65"/>
      <c r="JI56" s="65"/>
      <c r="JJ56" s="65"/>
      <c r="JK56" s="65"/>
      <c r="JL56" s="65"/>
      <c r="JM56" s="65"/>
      <c r="JN56" s="65"/>
      <c r="JO56" s="65"/>
      <c r="JP56" s="65"/>
      <c r="JQ56" s="65"/>
      <c r="JR56" s="65"/>
      <c r="JS56" s="65"/>
      <c r="JT56" s="65"/>
      <c r="JU56" s="65"/>
      <c r="JV56" s="65"/>
      <c r="JW56" s="65"/>
      <c r="JX56" s="65"/>
      <c r="JY56" s="65"/>
      <c r="JZ56" s="65"/>
      <c r="KA56" s="65"/>
      <c r="KB56" s="65"/>
      <c r="KC56" s="65"/>
      <c r="KD56" s="65"/>
      <c r="KE56" s="65"/>
      <c r="KF56" s="65"/>
      <c r="KG56" s="65"/>
      <c r="KH56" s="65"/>
      <c r="KI56" s="65"/>
      <c r="KJ56" s="65"/>
      <c r="KK56" s="65"/>
      <c r="KL56" s="65"/>
      <c r="KM56" s="65"/>
      <c r="KN56" s="65"/>
      <c r="KO56" s="65"/>
      <c r="KP56" s="65"/>
      <c r="KQ56" s="65"/>
      <c r="KR56" s="65"/>
      <c r="KS56" s="65"/>
      <c r="KT56" s="65"/>
      <c r="KU56" s="65"/>
      <c r="KV56" s="65"/>
      <c r="KW56" s="65"/>
      <c r="KX56" s="65"/>
      <c r="KY56" s="65"/>
      <c r="KZ56" s="65"/>
      <c r="LA56" s="65"/>
      <c r="LB56" s="65"/>
      <c r="LC56" s="65"/>
      <c r="LD56" s="65"/>
      <c r="LE56" s="65"/>
      <c r="LF56" s="65"/>
      <c r="LG56" s="65"/>
      <c r="LH56" s="65"/>
      <c r="LI56" s="65"/>
      <c r="LJ56" s="65"/>
      <c r="LK56" s="65"/>
      <c r="LL56" s="65"/>
      <c r="LM56" s="65"/>
      <c r="LN56" s="65"/>
      <c r="LO56" s="65"/>
      <c r="LP56" s="65"/>
      <c r="LQ56" s="65"/>
      <c r="LR56" s="65"/>
      <c r="LS56" s="65"/>
      <c r="LT56" s="65"/>
      <c r="LU56" s="65"/>
      <c r="LV56" s="65"/>
      <c r="LW56" s="65"/>
      <c r="LX56" s="65"/>
      <c r="LY56" s="65"/>
      <c r="LZ56" s="65"/>
      <c r="MA56" s="65"/>
      <c r="MB56" s="65"/>
      <c r="MC56" s="65"/>
      <c r="MD56" s="65"/>
      <c r="ME56" s="65"/>
      <c r="MF56" s="65"/>
      <c r="MG56" s="65"/>
      <c r="MH56" s="65"/>
      <c r="MI56" s="65"/>
      <c r="MJ56" s="65"/>
      <c r="MK56" s="65"/>
      <c r="ML56" s="65"/>
      <c r="MM56" s="65"/>
      <c r="MN56" s="65"/>
      <c r="MO56" s="65"/>
      <c r="MP56" s="65"/>
      <c r="MQ56" s="65"/>
      <c r="MR56" s="65"/>
      <c r="MS56" s="65"/>
      <c r="MT56" s="65"/>
      <c r="MU56" s="65"/>
      <c r="MV56" s="65"/>
      <c r="MW56" s="65"/>
      <c r="MX56" s="65"/>
      <c r="MY56" s="65"/>
      <c r="MZ56" s="65"/>
      <c r="NA56" s="65"/>
      <c r="NB56" s="65"/>
      <c r="NC56" s="65"/>
      <c r="ND56" s="65"/>
      <c r="NE56" s="65"/>
      <c r="NF56" s="65"/>
      <c r="NG56" s="65"/>
      <c r="NH56" s="65"/>
      <c r="NI56" s="65"/>
      <c r="NJ56" s="65"/>
      <c r="NK56" s="65"/>
      <c r="NL56" s="65"/>
      <c r="NM56" s="65"/>
      <c r="NN56" s="65"/>
      <c r="NO56" s="65"/>
      <c r="NP56" s="65"/>
      <c r="NQ56" s="65"/>
      <c r="NR56" s="65"/>
      <c r="NS56" s="65"/>
      <c r="NT56" s="65"/>
      <c r="NU56" s="65"/>
      <c r="NV56" s="65"/>
      <c r="NW56" s="65"/>
      <c r="NX56" s="65"/>
      <c r="NY56" s="65"/>
      <c r="NZ56" s="65"/>
      <c r="OA56" s="65"/>
      <c r="OB56" s="65"/>
      <c r="OC56" s="65"/>
      <c r="OD56" s="65"/>
      <c r="OE56" s="65"/>
      <c r="OF56" s="65"/>
      <c r="OG56" s="65"/>
      <c r="OH56" s="65"/>
      <c r="OI56" s="65"/>
      <c r="OJ56" s="65"/>
      <c r="OK56" s="65"/>
      <c r="OL56" s="65"/>
      <c r="OM56" s="65"/>
      <c r="ON56" s="65"/>
      <c r="OO56" s="65"/>
      <c r="OP56" s="65"/>
      <c r="OQ56" s="65"/>
      <c r="OR56" s="65"/>
      <c r="OS56" s="65"/>
      <c r="OT56" s="65"/>
      <c r="OU56" s="65"/>
      <c r="OV56" s="65"/>
      <c r="OW56" s="65"/>
      <c r="OX56" s="65"/>
      <c r="OY56" s="65"/>
      <c r="OZ56" s="65"/>
      <c r="PA56" s="65"/>
      <c r="PB56" s="65"/>
      <c r="PC56" s="65"/>
      <c r="PD56" s="65"/>
      <c r="PE56" s="65"/>
      <c r="PF56" s="65"/>
      <c r="PG56" s="65"/>
      <c r="PH56" s="65"/>
      <c r="PI56" s="65"/>
      <c r="PJ56" s="65"/>
      <c r="PK56" s="65"/>
      <c r="PL56" s="65"/>
      <c r="PM56" s="65"/>
      <c r="PN56" s="65"/>
      <c r="PO56" s="65"/>
      <c r="PP56" s="65"/>
      <c r="PQ56" s="65"/>
      <c r="PR56" s="65"/>
      <c r="PS56" s="65"/>
      <c r="PT56" s="65"/>
      <c r="PU56" s="65"/>
      <c r="PV56" s="65"/>
      <c r="PW56" s="65"/>
      <c r="PX56" s="65"/>
      <c r="PY56" s="65"/>
      <c r="PZ56" s="65"/>
      <c r="QA56" s="65"/>
      <c r="QB56" s="65"/>
      <c r="QC56" s="65"/>
      <c r="QD56" s="65"/>
      <c r="QE56" s="65"/>
      <c r="QF56" s="65"/>
      <c r="QG56" s="65"/>
      <c r="QH56" s="65"/>
      <c r="QI56" s="65"/>
      <c r="QJ56" s="65"/>
      <c r="QK56" s="65"/>
      <c r="QL56" s="65"/>
      <c r="QM56" s="65"/>
      <c r="QN56" s="65"/>
      <c r="QO56" s="65"/>
      <c r="QP56" s="65"/>
      <c r="QQ56" s="65"/>
      <c r="QR56" s="65"/>
      <c r="QS56" s="65"/>
      <c r="QT56" s="65"/>
      <c r="QU56" s="65"/>
      <c r="QV56" s="65"/>
      <c r="QW56" s="65"/>
      <c r="QX56" s="65"/>
      <c r="QY56" s="65"/>
      <c r="QZ56" s="65"/>
      <c r="RA56" s="65"/>
      <c r="RB56" s="65"/>
      <c r="RC56" s="65"/>
      <c r="RD56" s="65"/>
      <c r="RE56" s="65"/>
      <c r="RF56" s="65"/>
      <c r="RG56" s="65"/>
      <c r="RH56" s="65"/>
      <c r="RI56" s="65"/>
      <c r="RJ56" s="65"/>
      <c r="RK56" s="65"/>
      <c r="RL56" s="65"/>
      <c r="RM56" s="65"/>
      <c r="RN56" s="65"/>
      <c r="RO56" s="65"/>
      <c r="RP56" s="65"/>
      <c r="RQ56" s="65"/>
      <c r="RR56" s="65"/>
      <c r="RS56" s="65"/>
      <c r="RT56" s="65"/>
      <c r="RU56" s="65"/>
      <c r="RV56" s="65"/>
      <c r="RW56" s="65"/>
      <c r="RX56" s="65"/>
      <c r="RY56" s="65"/>
      <c r="RZ56" s="65"/>
      <c r="SA56" s="65"/>
      <c r="SB56" s="65"/>
      <c r="SC56" s="65"/>
      <c r="SD56" s="65"/>
      <c r="SE56" s="65"/>
      <c r="SF56" s="65"/>
      <c r="SG56" s="65"/>
      <c r="SH56" s="65"/>
      <c r="SI56" s="65"/>
      <c r="SJ56" s="65"/>
      <c r="SK56" s="65"/>
      <c r="SL56" s="65"/>
      <c r="SM56" s="65"/>
      <c r="SN56" s="65"/>
      <c r="SO56" s="65"/>
      <c r="SP56" s="65"/>
      <c r="SQ56" s="65"/>
      <c r="SR56" s="65"/>
      <c r="SS56" s="65"/>
      <c r="ST56" s="65"/>
      <c r="SU56" s="65"/>
      <c r="SV56" s="65"/>
      <c r="SW56" s="65"/>
      <c r="SX56" s="65"/>
      <c r="SY56" s="65"/>
      <c r="SZ56" s="65"/>
      <c r="TA56" s="65"/>
      <c r="TB56" s="65"/>
      <c r="TC56" s="65"/>
      <c r="TD56" s="65"/>
      <c r="TE56" s="65"/>
      <c r="TF56" s="65"/>
      <c r="TG56" s="65"/>
      <c r="TH56" s="65"/>
      <c r="TI56" s="65"/>
      <c r="TJ56" s="65"/>
      <c r="TK56" s="65"/>
      <c r="TL56" s="65"/>
      <c r="TM56" s="65"/>
      <c r="TN56" s="65"/>
      <c r="TO56" s="65"/>
      <c r="TP56" s="65"/>
      <c r="TQ56" s="65"/>
      <c r="TR56" s="65"/>
      <c r="TS56" s="65"/>
      <c r="TT56" s="65"/>
      <c r="TU56" s="65"/>
      <c r="TV56" s="65"/>
      <c r="TW56" s="65"/>
      <c r="TX56" s="65"/>
      <c r="TY56" s="65"/>
      <c r="TZ56" s="65"/>
      <c r="UA56" s="65"/>
      <c r="UB56" s="65"/>
      <c r="UC56" s="65"/>
      <c r="UD56" s="65"/>
      <c r="UE56" s="65"/>
      <c r="UF56" s="65"/>
      <c r="UG56" s="65"/>
      <c r="UH56" s="65"/>
      <c r="UI56" s="65"/>
      <c r="UJ56" s="65"/>
      <c r="UK56" s="65"/>
      <c r="UL56" s="65"/>
      <c r="UM56" s="65"/>
      <c r="UN56" s="65"/>
      <c r="UO56" s="65"/>
      <c r="UP56" s="65"/>
      <c r="UQ56" s="65"/>
      <c r="UR56" s="65"/>
      <c r="US56" s="65"/>
      <c r="UT56" s="65"/>
      <c r="UU56" s="65"/>
      <c r="UV56" s="65"/>
      <c r="UW56" s="65"/>
      <c r="UX56" s="65"/>
      <c r="UY56" s="65"/>
      <c r="UZ56" s="65"/>
      <c r="VA56" s="65"/>
      <c r="VB56" s="65"/>
      <c r="VC56" s="65"/>
      <c r="VD56" s="65"/>
      <c r="VE56" s="65"/>
      <c r="VF56" s="65"/>
      <c r="VG56" s="65"/>
      <c r="VH56" s="65"/>
      <c r="VI56" s="65"/>
      <c r="VJ56" s="65"/>
      <c r="VK56" s="65"/>
      <c r="VL56" s="65"/>
      <c r="VM56" s="65"/>
      <c r="VN56" s="65"/>
      <c r="VO56" s="65"/>
      <c r="VP56" s="65"/>
      <c r="VQ56" s="65"/>
      <c r="VR56" s="65"/>
      <c r="VS56" s="65"/>
      <c r="VT56" s="65"/>
      <c r="VU56" s="65"/>
      <c r="VV56" s="65"/>
      <c r="VW56" s="65"/>
      <c r="VX56" s="65"/>
      <c r="VY56" s="65"/>
      <c r="VZ56" s="65"/>
      <c r="WA56" s="65"/>
      <c r="WB56" s="65"/>
      <c r="WC56" s="65"/>
      <c r="WD56" s="65"/>
      <c r="WE56" s="65"/>
      <c r="WF56" s="65"/>
      <c r="WG56" s="65"/>
      <c r="WH56" s="65"/>
      <c r="WI56" s="65"/>
      <c r="WJ56" s="65"/>
      <c r="WK56" s="65"/>
      <c r="WL56" s="65"/>
      <c r="WM56" s="65"/>
      <c r="WN56" s="65"/>
      <c r="WO56" s="65"/>
      <c r="WP56" s="65"/>
      <c r="WQ56" s="65"/>
      <c r="WR56" s="65"/>
      <c r="WS56" s="65"/>
      <c r="WT56" s="65"/>
      <c r="WU56" s="65"/>
      <c r="WV56" s="65"/>
      <c r="WW56" s="65"/>
      <c r="WX56" s="65"/>
      <c r="WY56" s="65"/>
      <c r="WZ56" s="65"/>
      <c r="XA56" s="65"/>
      <c r="XB56" s="65"/>
      <c r="XC56" s="65"/>
      <c r="XD56" s="65"/>
      <c r="XE56" s="65"/>
      <c r="XF56" s="65"/>
      <c r="XG56" s="65"/>
      <c r="XH56" s="65"/>
      <c r="XI56" s="65"/>
      <c r="XJ56" s="65"/>
      <c r="XK56" s="65"/>
      <c r="XL56" s="65"/>
      <c r="XM56" s="65"/>
      <c r="XN56" s="65"/>
      <c r="XO56" s="65"/>
      <c r="XP56" s="65"/>
      <c r="XQ56" s="65"/>
      <c r="XR56" s="65"/>
      <c r="XS56" s="65"/>
      <c r="XT56" s="65"/>
      <c r="XU56" s="65"/>
      <c r="XV56" s="65"/>
      <c r="XW56" s="65"/>
      <c r="XX56" s="65"/>
      <c r="XY56" s="65"/>
      <c r="XZ56" s="65"/>
      <c r="YA56" s="65"/>
      <c r="YB56" s="65"/>
      <c r="YC56" s="65"/>
      <c r="YD56" s="65"/>
      <c r="YE56" s="65"/>
      <c r="YF56" s="65"/>
      <c r="YG56" s="65"/>
      <c r="YH56" s="65"/>
      <c r="YI56" s="65"/>
      <c r="YJ56" s="65"/>
      <c r="YK56" s="65"/>
      <c r="YL56" s="65"/>
      <c r="YM56" s="65"/>
      <c r="YN56" s="65"/>
      <c r="YO56" s="65"/>
      <c r="YP56" s="65"/>
      <c r="YQ56" s="65"/>
      <c r="YR56" s="65"/>
      <c r="YS56" s="65"/>
      <c r="YT56" s="65"/>
      <c r="YU56" s="65"/>
      <c r="YV56" s="65"/>
      <c r="YW56" s="65"/>
      <c r="YX56" s="65"/>
      <c r="YY56" s="65"/>
      <c r="YZ56" s="65"/>
      <c r="ZA56" s="65"/>
      <c r="ZB56" s="65"/>
      <c r="ZC56" s="65"/>
      <c r="ZD56" s="65"/>
      <c r="ZE56" s="65"/>
      <c r="ZF56" s="65"/>
      <c r="ZG56" s="65"/>
      <c r="ZH56" s="65"/>
      <c r="ZI56" s="65"/>
      <c r="ZJ56" s="65"/>
      <c r="ZK56" s="65"/>
      <c r="ZL56" s="65"/>
      <c r="ZM56" s="65"/>
      <c r="ZN56" s="65"/>
      <c r="ZO56" s="65"/>
      <c r="ZP56" s="65"/>
      <c r="ZQ56" s="65"/>
      <c r="ZR56" s="65"/>
      <c r="ZS56" s="65"/>
      <c r="ZT56" s="65"/>
      <c r="ZU56" s="65"/>
      <c r="ZV56" s="65"/>
      <c r="ZW56" s="65"/>
      <c r="ZX56" s="65"/>
      <c r="ZY56" s="65"/>
      <c r="ZZ56" s="65"/>
      <c r="AAA56" s="65"/>
      <c r="AAB56" s="65"/>
      <c r="AAC56" s="65"/>
      <c r="AAD56" s="65"/>
      <c r="AAE56" s="65"/>
      <c r="AAF56" s="65"/>
      <c r="AAG56" s="65"/>
      <c r="AAH56" s="65"/>
      <c r="AAI56" s="65"/>
      <c r="AAJ56" s="65"/>
      <c r="AAK56" s="65"/>
      <c r="AAL56" s="65"/>
      <c r="AAM56" s="65"/>
      <c r="AAN56" s="65"/>
      <c r="AAO56" s="65"/>
      <c r="AAP56" s="65"/>
      <c r="AAQ56" s="65"/>
      <c r="AAR56" s="65"/>
      <c r="AAS56" s="65"/>
      <c r="AAT56" s="65"/>
      <c r="AAU56" s="65"/>
      <c r="AAV56" s="65"/>
      <c r="AAW56" s="65"/>
      <c r="AAX56" s="65"/>
      <c r="AAY56" s="65"/>
      <c r="AAZ56" s="65"/>
      <c r="ABA56" s="65"/>
      <c r="ABB56" s="65"/>
      <c r="ABC56" s="65"/>
      <c r="ABD56" s="65"/>
      <c r="ABE56" s="65"/>
      <c r="ABF56" s="65"/>
      <c r="ABG56" s="65"/>
      <c r="ABH56" s="65"/>
      <c r="ABI56" s="65"/>
      <c r="ABJ56" s="65"/>
      <c r="ABK56" s="65"/>
      <c r="ABL56" s="65"/>
      <c r="ABM56" s="65"/>
      <c r="ABN56" s="65"/>
    </row>
    <row r="57" spans="1:742" ht="45" x14ac:dyDescent="0.25">
      <c r="A57" s="110">
        <v>2025</v>
      </c>
      <c r="B57" s="230">
        <v>4</v>
      </c>
      <c r="C57" s="152">
        <v>22564</v>
      </c>
      <c r="D57" s="277">
        <v>45752</v>
      </c>
      <c r="E57" s="111" t="s">
        <v>946</v>
      </c>
      <c r="F57" s="111" t="s">
        <v>946</v>
      </c>
      <c r="G57" s="110" t="s">
        <v>143</v>
      </c>
      <c r="H57" s="110">
        <v>3128400685</v>
      </c>
      <c r="I57" s="110">
        <v>3128400685</v>
      </c>
      <c r="J57" s="108">
        <v>45772</v>
      </c>
      <c r="K57" s="110" t="s">
        <v>84</v>
      </c>
      <c r="L57" s="112" t="s">
        <v>947</v>
      </c>
      <c r="M57" s="110" t="s">
        <v>136</v>
      </c>
      <c r="N57" s="110">
        <v>5878</v>
      </c>
      <c r="O57" s="110">
        <v>6119</v>
      </c>
      <c r="P57" s="110" t="s">
        <v>136</v>
      </c>
      <c r="Q57" s="110">
        <v>556</v>
      </c>
      <c r="R57" s="110" t="s">
        <v>136</v>
      </c>
      <c r="S57" s="110" t="s">
        <v>134</v>
      </c>
      <c r="T57" s="110" t="s">
        <v>134</v>
      </c>
      <c r="U57" s="110" t="s">
        <v>136</v>
      </c>
      <c r="V57" s="111" t="s">
        <v>119</v>
      </c>
      <c r="W57" s="108">
        <v>45772</v>
      </c>
      <c r="X57" s="108">
        <v>45772</v>
      </c>
      <c r="Y57" s="110"/>
      <c r="Z57" s="126" t="s">
        <v>85</v>
      </c>
      <c r="AA57" s="124">
        <v>0</v>
      </c>
      <c r="AB57" s="110">
        <v>5781</v>
      </c>
      <c r="AC57" s="114">
        <v>307227</v>
      </c>
      <c r="AD57" s="212">
        <f t="shared" si="5"/>
        <v>365600.13</v>
      </c>
      <c r="AE57" s="114">
        <v>182800</v>
      </c>
      <c r="AF57" s="110"/>
      <c r="AG57" s="142" t="s">
        <v>1129</v>
      </c>
      <c r="AH57" s="248">
        <v>45772</v>
      </c>
      <c r="AI57" s="108">
        <v>45773</v>
      </c>
      <c r="AJ57" s="110" t="s">
        <v>571</v>
      </c>
      <c r="AK57" s="110"/>
    </row>
    <row r="58" spans="1:742" ht="30" x14ac:dyDescent="0.25">
      <c r="A58" s="110">
        <v>2025</v>
      </c>
      <c r="B58" s="230">
        <v>4</v>
      </c>
      <c r="C58" s="152">
        <v>22565</v>
      </c>
      <c r="D58" s="277">
        <v>45763</v>
      </c>
      <c r="E58" s="111" t="s">
        <v>967</v>
      </c>
      <c r="F58" s="111" t="s">
        <v>967</v>
      </c>
      <c r="G58" s="110" t="s">
        <v>968</v>
      </c>
      <c r="H58" s="110">
        <v>317345805</v>
      </c>
      <c r="I58" s="110">
        <v>317345805</v>
      </c>
      <c r="J58" s="108">
        <v>45775</v>
      </c>
      <c r="K58" s="110" t="s">
        <v>94</v>
      </c>
      <c r="L58" s="112" t="s">
        <v>969</v>
      </c>
      <c r="M58" s="110" t="s">
        <v>136</v>
      </c>
      <c r="N58" s="110">
        <v>5883</v>
      </c>
      <c r="O58" s="110" t="s">
        <v>136</v>
      </c>
      <c r="P58" s="110">
        <v>8849</v>
      </c>
      <c r="Q58" s="110" t="s">
        <v>136</v>
      </c>
      <c r="R58" s="110" t="s">
        <v>136</v>
      </c>
      <c r="S58" s="110" t="s">
        <v>134</v>
      </c>
      <c r="T58" s="110" t="s">
        <v>136</v>
      </c>
      <c r="U58" s="110" t="s">
        <v>136</v>
      </c>
      <c r="V58" s="111" t="s">
        <v>119</v>
      </c>
      <c r="W58" s="108">
        <v>45775</v>
      </c>
      <c r="X58" s="108">
        <v>45775</v>
      </c>
      <c r="Y58" s="110"/>
      <c r="Z58" s="126" t="s">
        <v>85</v>
      </c>
      <c r="AA58" s="130">
        <v>5000000</v>
      </c>
      <c r="AB58" s="110">
        <v>5795</v>
      </c>
      <c r="AC58" s="114">
        <v>4201681</v>
      </c>
      <c r="AD58" s="212">
        <f t="shared" si="5"/>
        <v>5000000.3899999997</v>
      </c>
      <c r="AE58" s="114">
        <v>2400000</v>
      </c>
      <c r="AF58" s="110"/>
      <c r="AG58" s="142" t="s">
        <v>1029</v>
      </c>
      <c r="AH58" s="230"/>
      <c r="AI58" s="108">
        <v>45777</v>
      </c>
      <c r="AJ58" s="110" t="s">
        <v>571</v>
      </c>
      <c r="AK58" s="110"/>
    </row>
    <row r="59" spans="1:742" s="155" customFormat="1" ht="45" x14ac:dyDescent="0.25">
      <c r="A59" s="110">
        <v>2025</v>
      </c>
      <c r="B59" s="230">
        <v>4</v>
      </c>
      <c r="C59" s="152">
        <v>22566</v>
      </c>
      <c r="D59" s="277">
        <v>45761</v>
      </c>
      <c r="E59" s="111" t="s">
        <v>928</v>
      </c>
      <c r="F59" s="111" t="s">
        <v>936</v>
      </c>
      <c r="G59" s="110" t="s">
        <v>929</v>
      </c>
      <c r="H59" s="110">
        <v>3042017285</v>
      </c>
      <c r="I59" s="110">
        <v>3042017285</v>
      </c>
      <c r="J59" s="108">
        <v>45771</v>
      </c>
      <c r="K59" s="110" t="s">
        <v>84</v>
      </c>
      <c r="L59" s="112" t="s">
        <v>1690</v>
      </c>
      <c r="M59" s="110" t="s">
        <v>136</v>
      </c>
      <c r="N59" s="110">
        <v>5877</v>
      </c>
      <c r="O59" s="110" t="s">
        <v>136</v>
      </c>
      <c r="P59" s="110" t="s">
        <v>136</v>
      </c>
      <c r="Q59" s="110" t="s">
        <v>136</v>
      </c>
      <c r="R59" s="110" t="s">
        <v>136</v>
      </c>
      <c r="S59" s="110" t="s">
        <v>136</v>
      </c>
      <c r="T59" s="110" t="s">
        <v>136</v>
      </c>
      <c r="U59" s="110" t="s">
        <v>136</v>
      </c>
      <c r="V59" s="111" t="s">
        <v>87</v>
      </c>
      <c r="W59" s="108">
        <v>45772</v>
      </c>
      <c r="X59" s="108">
        <v>45786</v>
      </c>
      <c r="Y59" s="110"/>
      <c r="Z59" s="126" t="s">
        <v>85</v>
      </c>
      <c r="AA59" s="124">
        <v>75000</v>
      </c>
      <c r="AB59" s="110">
        <v>5789</v>
      </c>
      <c r="AC59" s="114">
        <v>63025</v>
      </c>
      <c r="AD59" s="212">
        <f t="shared" si="5"/>
        <v>74999.75</v>
      </c>
      <c r="AE59" s="114">
        <v>0</v>
      </c>
      <c r="AF59" s="110"/>
      <c r="AG59" s="142" t="s">
        <v>1585</v>
      </c>
      <c r="AH59" s="248">
        <v>45762</v>
      </c>
      <c r="AI59" s="108">
        <v>45786</v>
      </c>
      <c r="AJ59" s="110" t="s">
        <v>571</v>
      </c>
      <c r="AK59" s="110"/>
      <c r="AL59" s="65"/>
      <c r="AM59" s="65"/>
      <c r="AN59" s="65"/>
      <c r="AO59" s="65"/>
      <c r="AP59" s="65"/>
      <c r="AQ59" s="65"/>
      <c r="AR59" s="65"/>
      <c r="AS59" s="65"/>
      <c r="AT59" s="65"/>
      <c r="AU59" s="65"/>
      <c r="AV59" s="65"/>
      <c r="AW59" s="65"/>
      <c r="AX59" s="65"/>
      <c r="AY59" s="65"/>
      <c r="AZ59" s="65"/>
      <c r="BA59" s="65"/>
      <c r="BB59" s="65"/>
      <c r="BC59" s="65"/>
      <c r="BD59" s="65"/>
      <c r="BE59" s="65"/>
      <c r="BF59" s="65"/>
      <c r="BG59" s="65"/>
      <c r="BH59" s="65"/>
      <c r="BI59" s="65"/>
      <c r="BJ59" s="65"/>
      <c r="BK59" s="65"/>
      <c r="BL59" s="65"/>
      <c r="BM59" s="65"/>
      <c r="BN59" s="65"/>
      <c r="BO59" s="65"/>
      <c r="BP59" s="65"/>
      <c r="BQ59" s="65"/>
      <c r="BR59" s="65"/>
      <c r="BS59" s="65"/>
      <c r="BT59" s="65"/>
      <c r="BU59" s="65"/>
      <c r="BV59" s="65"/>
      <c r="BW59" s="65"/>
      <c r="BX59" s="65"/>
      <c r="BY59" s="65"/>
      <c r="BZ59" s="65"/>
      <c r="CA59" s="65"/>
      <c r="CB59" s="65"/>
      <c r="CC59" s="65"/>
      <c r="CD59" s="65"/>
      <c r="CE59" s="65"/>
      <c r="CF59" s="65"/>
      <c r="CG59" s="65"/>
      <c r="CH59" s="65"/>
      <c r="CI59" s="65"/>
      <c r="CJ59" s="65"/>
      <c r="CK59" s="65"/>
      <c r="CL59" s="65"/>
      <c r="CM59" s="65"/>
      <c r="CN59" s="65"/>
      <c r="CO59" s="65"/>
      <c r="CP59" s="65"/>
      <c r="CQ59" s="65"/>
      <c r="CR59" s="65"/>
      <c r="CS59" s="65"/>
      <c r="CT59" s="65"/>
      <c r="CU59" s="65"/>
      <c r="CV59" s="65"/>
      <c r="CW59" s="65"/>
      <c r="CX59" s="65"/>
      <c r="CY59" s="65"/>
      <c r="CZ59" s="65"/>
      <c r="DA59" s="65"/>
      <c r="DB59" s="65"/>
      <c r="DC59" s="65"/>
      <c r="DD59" s="65"/>
      <c r="DE59" s="65"/>
      <c r="DF59" s="65"/>
      <c r="DG59" s="65"/>
      <c r="DH59" s="65"/>
      <c r="DI59" s="65"/>
      <c r="DJ59" s="65"/>
      <c r="DK59" s="65"/>
      <c r="DL59" s="65"/>
      <c r="DM59" s="65"/>
      <c r="DN59" s="65"/>
      <c r="DO59" s="65"/>
      <c r="DP59" s="65"/>
      <c r="DQ59" s="65"/>
      <c r="DR59" s="65"/>
      <c r="DS59" s="65"/>
      <c r="DT59" s="65"/>
      <c r="DU59" s="65"/>
      <c r="DV59" s="65"/>
      <c r="DW59" s="65"/>
      <c r="DX59" s="65"/>
      <c r="DY59" s="65"/>
      <c r="DZ59" s="65"/>
      <c r="EA59" s="65"/>
      <c r="EB59" s="65"/>
      <c r="EC59" s="65"/>
      <c r="ED59" s="65"/>
      <c r="EE59" s="65"/>
      <c r="EF59" s="65"/>
      <c r="EG59" s="65"/>
      <c r="EH59" s="65"/>
      <c r="EI59" s="65"/>
      <c r="EJ59" s="65"/>
      <c r="EK59" s="65"/>
      <c r="EL59" s="65"/>
      <c r="EM59" s="65"/>
      <c r="EN59" s="65"/>
      <c r="EO59" s="65"/>
      <c r="EP59" s="65"/>
      <c r="EQ59" s="65"/>
      <c r="ER59" s="65"/>
      <c r="ES59" s="65"/>
      <c r="ET59" s="65"/>
      <c r="EU59" s="65"/>
      <c r="EV59" s="65"/>
      <c r="EW59" s="65"/>
      <c r="EX59" s="65"/>
      <c r="EY59" s="65"/>
      <c r="EZ59" s="65"/>
      <c r="FA59" s="65"/>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c r="GO59" s="65"/>
      <c r="GP59" s="65"/>
      <c r="GQ59" s="65"/>
      <c r="GR59" s="65"/>
      <c r="GS59" s="65"/>
      <c r="GT59" s="65"/>
      <c r="GU59" s="65"/>
      <c r="GV59" s="65"/>
      <c r="GW59" s="65"/>
      <c r="GX59" s="65"/>
      <c r="GY59" s="65"/>
      <c r="GZ59" s="65"/>
      <c r="HA59" s="65"/>
      <c r="HB59" s="65"/>
      <c r="HC59" s="65"/>
      <c r="HD59" s="65"/>
      <c r="HE59" s="65"/>
      <c r="HF59" s="65"/>
      <c r="HG59" s="65"/>
      <c r="HH59" s="65"/>
      <c r="HI59" s="65"/>
      <c r="HJ59" s="65"/>
      <c r="HK59" s="65"/>
      <c r="HL59" s="65"/>
      <c r="HM59" s="65"/>
      <c r="HN59" s="65"/>
      <c r="HO59" s="65"/>
      <c r="HP59" s="65"/>
      <c r="HQ59" s="65"/>
      <c r="HR59" s="65"/>
      <c r="HS59" s="65"/>
      <c r="HT59" s="65"/>
      <c r="HU59" s="65"/>
      <c r="HV59" s="65"/>
      <c r="HW59" s="65"/>
      <c r="HX59" s="65"/>
      <c r="HY59" s="65"/>
      <c r="HZ59" s="65"/>
      <c r="IA59" s="65"/>
      <c r="IB59" s="65"/>
      <c r="IC59" s="65"/>
      <c r="ID59" s="65"/>
      <c r="IE59" s="65"/>
      <c r="IF59" s="65"/>
      <c r="IG59" s="65"/>
      <c r="IH59" s="65"/>
      <c r="II59" s="65"/>
      <c r="IJ59" s="65"/>
      <c r="IK59" s="65"/>
      <c r="IL59" s="65"/>
      <c r="IM59" s="65"/>
      <c r="IN59" s="65"/>
      <c r="IO59" s="65"/>
      <c r="IP59" s="65"/>
      <c r="IQ59" s="65"/>
      <c r="IR59" s="65"/>
      <c r="IS59" s="65"/>
      <c r="IT59" s="65"/>
      <c r="IU59" s="65"/>
      <c r="IV59" s="65"/>
      <c r="IW59" s="65"/>
      <c r="IX59" s="65"/>
      <c r="IY59" s="65"/>
      <c r="IZ59" s="65"/>
      <c r="JA59" s="65"/>
      <c r="JB59" s="65"/>
      <c r="JC59" s="65"/>
      <c r="JD59" s="65"/>
      <c r="JE59" s="65"/>
      <c r="JF59" s="65"/>
      <c r="JG59" s="65"/>
      <c r="JH59" s="65"/>
      <c r="JI59" s="65"/>
      <c r="JJ59" s="65"/>
      <c r="JK59" s="65"/>
      <c r="JL59" s="65"/>
      <c r="JM59" s="65"/>
      <c r="JN59" s="65"/>
      <c r="JO59" s="65"/>
      <c r="JP59" s="65"/>
      <c r="JQ59" s="65"/>
      <c r="JR59" s="65"/>
      <c r="JS59" s="65"/>
      <c r="JT59" s="65"/>
      <c r="JU59" s="65"/>
      <c r="JV59" s="65"/>
      <c r="JW59" s="65"/>
      <c r="JX59" s="65"/>
      <c r="JY59" s="65"/>
      <c r="JZ59" s="65"/>
      <c r="KA59" s="65"/>
      <c r="KB59" s="65"/>
      <c r="KC59" s="65"/>
      <c r="KD59" s="65"/>
      <c r="KE59" s="65"/>
      <c r="KF59" s="65"/>
      <c r="KG59" s="65"/>
      <c r="KH59" s="65"/>
      <c r="KI59" s="65"/>
      <c r="KJ59" s="65"/>
      <c r="KK59" s="65"/>
      <c r="KL59" s="65"/>
      <c r="KM59" s="65"/>
      <c r="KN59" s="65"/>
      <c r="KO59" s="65"/>
      <c r="KP59" s="65"/>
      <c r="KQ59" s="65"/>
      <c r="KR59" s="65"/>
      <c r="KS59" s="65"/>
      <c r="KT59" s="65"/>
      <c r="KU59" s="65"/>
      <c r="KV59" s="65"/>
      <c r="KW59" s="65"/>
      <c r="KX59" s="65"/>
      <c r="KY59" s="65"/>
      <c r="KZ59" s="65"/>
      <c r="LA59" s="65"/>
      <c r="LB59" s="65"/>
      <c r="LC59" s="65"/>
      <c r="LD59" s="65"/>
      <c r="LE59" s="65"/>
      <c r="LF59" s="65"/>
      <c r="LG59" s="65"/>
      <c r="LH59" s="65"/>
      <c r="LI59" s="65"/>
      <c r="LJ59" s="65"/>
      <c r="LK59" s="65"/>
      <c r="LL59" s="65"/>
      <c r="LM59" s="65"/>
      <c r="LN59" s="65"/>
      <c r="LO59" s="65"/>
      <c r="LP59" s="65"/>
      <c r="LQ59" s="65"/>
      <c r="LR59" s="65"/>
      <c r="LS59" s="65"/>
      <c r="LT59" s="65"/>
      <c r="LU59" s="65"/>
      <c r="LV59" s="65"/>
      <c r="LW59" s="65"/>
      <c r="LX59" s="65"/>
      <c r="LY59" s="65"/>
      <c r="LZ59" s="65"/>
      <c r="MA59" s="65"/>
      <c r="MB59" s="65"/>
      <c r="MC59" s="65"/>
      <c r="MD59" s="65"/>
      <c r="ME59" s="65"/>
      <c r="MF59" s="65"/>
      <c r="MG59" s="65"/>
      <c r="MH59" s="65"/>
      <c r="MI59" s="65"/>
      <c r="MJ59" s="65"/>
      <c r="MK59" s="65"/>
      <c r="ML59" s="65"/>
      <c r="MM59" s="65"/>
      <c r="MN59" s="65"/>
      <c r="MO59" s="65"/>
      <c r="MP59" s="65"/>
      <c r="MQ59" s="65"/>
      <c r="MR59" s="65"/>
      <c r="MS59" s="65"/>
      <c r="MT59" s="65"/>
      <c r="MU59" s="65"/>
      <c r="MV59" s="65"/>
      <c r="MW59" s="65"/>
      <c r="MX59" s="65"/>
      <c r="MY59" s="65"/>
      <c r="MZ59" s="65"/>
      <c r="NA59" s="65"/>
      <c r="NB59" s="65"/>
      <c r="NC59" s="65"/>
      <c r="ND59" s="65"/>
      <c r="NE59" s="65"/>
      <c r="NF59" s="65"/>
      <c r="NG59" s="65"/>
      <c r="NH59" s="65"/>
      <c r="NI59" s="65"/>
      <c r="NJ59" s="65"/>
      <c r="NK59" s="65"/>
      <c r="NL59" s="65"/>
      <c r="NM59" s="65"/>
      <c r="NN59" s="65"/>
      <c r="NO59" s="65"/>
      <c r="NP59" s="65"/>
      <c r="NQ59" s="65"/>
      <c r="NR59" s="65"/>
      <c r="NS59" s="65"/>
      <c r="NT59" s="65"/>
      <c r="NU59" s="65"/>
      <c r="NV59" s="65"/>
      <c r="NW59" s="65"/>
      <c r="NX59" s="65"/>
      <c r="NY59" s="65"/>
      <c r="NZ59" s="65"/>
      <c r="OA59" s="65"/>
      <c r="OB59" s="65"/>
      <c r="OC59" s="65"/>
      <c r="OD59" s="65"/>
      <c r="OE59" s="65"/>
      <c r="OF59" s="65"/>
      <c r="OG59" s="65"/>
      <c r="OH59" s="65"/>
      <c r="OI59" s="65"/>
      <c r="OJ59" s="65"/>
      <c r="OK59" s="65"/>
      <c r="OL59" s="65"/>
      <c r="OM59" s="65"/>
      <c r="ON59" s="65"/>
      <c r="OO59" s="65"/>
      <c r="OP59" s="65"/>
      <c r="OQ59" s="65"/>
      <c r="OR59" s="65"/>
      <c r="OS59" s="65"/>
      <c r="OT59" s="65"/>
      <c r="OU59" s="65"/>
      <c r="OV59" s="65"/>
      <c r="OW59" s="65"/>
      <c r="OX59" s="65"/>
      <c r="OY59" s="65"/>
      <c r="OZ59" s="65"/>
      <c r="PA59" s="65"/>
      <c r="PB59" s="65"/>
      <c r="PC59" s="65"/>
      <c r="PD59" s="65"/>
      <c r="PE59" s="65"/>
      <c r="PF59" s="65"/>
      <c r="PG59" s="65"/>
      <c r="PH59" s="65"/>
      <c r="PI59" s="65"/>
      <c r="PJ59" s="65"/>
      <c r="PK59" s="65"/>
      <c r="PL59" s="65"/>
      <c r="PM59" s="65"/>
      <c r="PN59" s="65"/>
      <c r="PO59" s="65"/>
      <c r="PP59" s="65"/>
      <c r="PQ59" s="65"/>
      <c r="PR59" s="65"/>
      <c r="PS59" s="65"/>
      <c r="PT59" s="65"/>
      <c r="PU59" s="65"/>
      <c r="PV59" s="65"/>
      <c r="PW59" s="65"/>
      <c r="PX59" s="65"/>
      <c r="PY59" s="65"/>
      <c r="PZ59" s="65"/>
      <c r="QA59" s="65"/>
      <c r="QB59" s="65"/>
      <c r="QC59" s="65"/>
      <c r="QD59" s="65"/>
      <c r="QE59" s="65"/>
      <c r="QF59" s="65"/>
      <c r="QG59" s="65"/>
      <c r="QH59" s="65"/>
      <c r="QI59" s="65"/>
      <c r="QJ59" s="65"/>
      <c r="QK59" s="65"/>
      <c r="QL59" s="65"/>
      <c r="QM59" s="65"/>
      <c r="QN59" s="65"/>
      <c r="QO59" s="65"/>
      <c r="QP59" s="65"/>
      <c r="QQ59" s="65"/>
      <c r="QR59" s="65"/>
      <c r="QS59" s="65"/>
      <c r="QT59" s="65"/>
      <c r="QU59" s="65"/>
      <c r="QV59" s="65"/>
      <c r="QW59" s="65"/>
      <c r="QX59" s="65"/>
      <c r="QY59" s="65"/>
      <c r="QZ59" s="65"/>
      <c r="RA59" s="65"/>
      <c r="RB59" s="65"/>
      <c r="RC59" s="65"/>
      <c r="RD59" s="65"/>
      <c r="RE59" s="65"/>
      <c r="RF59" s="65"/>
      <c r="RG59" s="65"/>
      <c r="RH59" s="65"/>
      <c r="RI59" s="65"/>
      <c r="RJ59" s="65"/>
      <c r="RK59" s="65"/>
      <c r="RL59" s="65"/>
      <c r="RM59" s="65"/>
      <c r="RN59" s="65"/>
      <c r="RO59" s="65"/>
      <c r="RP59" s="65"/>
      <c r="RQ59" s="65"/>
      <c r="RR59" s="65"/>
      <c r="RS59" s="65"/>
      <c r="RT59" s="65"/>
      <c r="RU59" s="65"/>
      <c r="RV59" s="65"/>
      <c r="RW59" s="65"/>
      <c r="RX59" s="65"/>
      <c r="RY59" s="65"/>
      <c r="RZ59" s="65"/>
      <c r="SA59" s="65"/>
      <c r="SB59" s="65"/>
      <c r="SC59" s="65"/>
      <c r="SD59" s="65"/>
      <c r="SE59" s="65"/>
      <c r="SF59" s="65"/>
      <c r="SG59" s="65"/>
      <c r="SH59" s="65"/>
      <c r="SI59" s="65"/>
      <c r="SJ59" s="65"/>
      <c r="SK59" s="65"/>
      <c r="SL59" s="65"/>
      <c r="SM59" s="65"/>
      <c r="SN59" s="65"/>
      <c r="SO59" s="65"/>
      <c r="SP59" s="65"/>
      <c r="SQ59" s="65"/>
      <c r="SR59" s="65"/>
      <c r="SS59" s="65"/>
      <c r="ST59" s="65"/>
      <c r="SU59" s="65"/>
      <c r="SV59" s="65"/>
      <c r="SW59" s="65"/>
      <c r="SX59" s="65"/>
      <c r="SY59" s="65"/>
      <c r="SZ59" s="65"/>
      <c r="TA59" s="65"/>
      <c r="TB59" s="65"/>
      <c r="TC59" s="65"/>
      <c r="TD59" s="65"/>
      <c r="TE59" s="65"/>
      <c r="TF59" s="65"/>
      <c r="TG59" s="65"/>
      <c r="TH59" s="65"/>
      <c r="TI59" s="65"/>
      <c r="TJ59" s="65"/>
      <c r="TK59" s="65"/>
      <c r="TL59" s="65"/>
      <c r="TM59" s="65"/>
      <c r="TN59" s="65"/>
      <c r="TO59" s="65"/>
      <c r="TP59" s="65"/>
      <c r="TQ59" s="65"/>
      <c r="TR59" s="65"/>
      <c r="TS59" s="65"/>
      <c r="TT59" s="65"/>
      <c r="TU59" s="65"/>
      <c r="TV59" s="65"/>
      <c r="TW59" s="65"/>
      <c r="TX59" s="65"/>
      <c r="TY59" s="65"/>
      <c r="TZ59" s="65"/>
      <c r="UA59" s="65"/>
      <c r="UB59" s="65"/>
      <c r="UC59" s="65"/>
      <c r="UD59" s="65"/>
      <c r="UE59" s="65"/>
      <c r="UF59" s="65"/>
      <c r="UG59" s="65"/>
      <c r="UH59" s="65"/>
      <c r="UI59" s="65"/>
      <c r="UJ59" s="65"/>
      <c r="UK59" s="65"/>
      <c r="UL59" s="65"/>
      <c r="UM59" s="65"/>
      <c r="UN59" s="65"/>
      <c r="UO59" s="65"/>
      <c r="UP59" s="65"/>
      <c r="UQ59" s="65"/>
      <c r="UR59" s="65"/>
      <c r="US59" s="65"/>
      <c r="UT59" s="65"/>
      <c r="UU59" s="65"/>
      <c r="UV59" s="65"/>
      <c r="UW59" s="65"/>
      <c r="UX59" s="65"/>
      <c r="UY59" s="65"/>
      <c r="UZ59" s="65"/>
      <c r="VA59" s="65"/>
      <c r="VB59" s="65"/>
      <c r="VC59" s="65"/>
      <c r="VD59" s="65"/>
      <c r="VE59" s="65"/>
      <c r="VF59" s="65"/>
      <c r="VG59" s="65"/>
      <c r="VH59" s="65"/>
      <c r="VI59" s="65"/>
      <c r="VJ59" s="65"/>
      <c r="VK59" s="65"/>
      <c r="VL59" s="65"/>
      <c r="VM59" s="65"/>
      <c r="VN59" s="65"/>
      <c r="VO59" s="65"/>
      <c r="VP59" s="65"/>
      <c r="VQ59" s="65"/>
      <c r="VR59" s="65"/>
      <c r="VS59" s="65"/>
      <c r="VT59" s="65"/>
      <c r="VU59" s="65"/>
      <c r="VV59" s="65"/>
      <c r="VW59" s="65"/>
      <c r="VX59" s="65"/>
      <c r="VY59" s="65"/>
      <c r="VZ59" s="65"/>
      <c r="WA59" s="65"/>
      <c r="WB59" s="65"/>
      <c r="WC59" s="65"/>
      <c r="WD59" s="65"/>
      <c r="WE59" s="65"/>
      <c r="WF59" s="65"/>
      <c r="WG59" s="65"/>
      <c r="WH59" s="65"/>
      <c r="WI59" s="65"/>
      <c r="WJ59" s="65"/>
      <c r="WK59" s="65"/>
      <c r="WL59" s="65"/>
      <c r="WM59" s="65"/>
      <c r="WN59" s="65"/>
      <c r="WO59" s="65"/>
      <c r="WP59" s="65"/>
      <c r="WQ59" s="65"/>
      <c r="WR59" s="65"/>
      <c r="WS59" s="65"/>
      <c r="WT59" s="65"/>
      <c r="WU59" s="65"/>
      <c r="WV59" s="65"/>
      <c r="WW59" s="65"/>
      <c r="WX59" s="65"/>
      <c r="WY59" s="65"/>
      <c r="WZ59" s="65"/>
      <c r="XA59" s="65"/>
      <c r="XB59" s="65"/>
      <c r="XC59" s="65"/>
      <c r="XD59" s="65"/>
      <c r="XE59" s="65"/>
      <c r="XF59" s="65"/>
      <c r="XG59" s="65"/>
      <c r="XH59" s="65"/>
      <c r="XI59" s="65"/>
      <c r="XJ59" s="65"/>
      <c r="XK59" s="65"/>
      <c r="XL59" s="65"/>
      <c r="XM59" s="65"/>
      <c r="XN59" s="65"/>
      <c r="XO59" s="65"/>
      <c r="XP59" s="65"/>
      <c r="XQ59" s="65"/>
      <c r="XR59" s="65"/>
      <c r="XS59" s="65"/>
      <c r="XT59" s="65"/>
      <c r="XU59" s="65"/>
      <c r="XV59" s="65"/>
      <c r="XW59" s="65"/>
      <c r="XX59" s="65"/>
      <c r="XY59" s="65"/>
      <c r="XZ59" s="65"/>
      <c r="YA59" s="65"/>
      <c r="YB59" s="65"/>
      <c r="YC59" s="65"/>
      <c r="YD59" s="65"/>
      <c r="YE59" s="65"/>
      <c r="YF59" s="65"/>
      <c r="YG59" s="65"/>
      <c r="YH59" s="65"/>
      <c r="YI59" s="65"/>
      <c r="YJ59" s="65"/>
      <c r="YK59" s="65"/>
      <c r="YL59" s="65"/>
      <c r="YM59" s="65"/>
      <c r="YN59" s="65"/>
      <c r="YO59" s="65"/>
      <c r="YP59" s="65"/>
      <c r="YQ59" s="65"/>
      <c r="YR59" s="65"/>
      <c r="YS59" s="65"/>
      <c r="YT59" s="65"/>
      <c r="YU59" s="65"/>
      <c r="YV59" s="65"/>
      <c r="YW59" s="65"/>
      <c r="YX59" s="65"/>
      <c r="YY59" s="65"/>
      <c r="YZ59" s="65"/>
      <c r="ZA59" s="65"/>
      <c r="ZB59" s="65"/>
      <c r="ZC59" s="65"/>
      <c r="ZD59" s="65"/>
      <c r="ZE59" s="65"/>
      <c r="ZF59" s="65"/>
      <c r="ZG59" s="65"/>
      <c r="ZH59" s="65"/>
      <c r="ZI59" s="65"/>
      <c r="ZJ59" s="65"/>
      <c r="ZK59" s="65"/>
      <c r="ZL59" s="65"/>
      <c r="ZM59" s="65"/>
      <c r="ZN59" s="65"/>
      <c r="ZO59" s="65"/>
      <c r="ZP59" s="65"/>
      <c r="ZQ59" s="65"/>
      <c r="ZR59" s="65"/>
      <c r="ZS59" s="65"/>
      <c r="ZT59" s="65"/>
      <c r="ZU59" s="65"/>
      <c r="ZV59" s="65"/>
      <c r="ZW59" s="65"/>
      <c r="ZX59" s="65"/>
      <c r="ZY59" s="65"/>
      <c r="ZZ59" s="65"/>
      <c r="AAA59" s="65"/>
      <c r="AAB59" s="65"/>
      <c r="AAC59" s="65"/>
      <c r="AAD59" s="65"/>
      <c r="AAE59" s="65"/>
      <c r="AAF59" s="65"/>
      <c r="AAG59" s="65"/>
      <c r="AAH59" s="65"/>
      <c r="AAI59" s="65"/>
      <c r="AAJ59" s="65"/>
      <c r="AAK59" s="65"/>
      <c r="AAL59" s="65"/>
      <c r="AAM59" s="65"/>
      <c r="AAN59" s="65"/>
      <c r="AAO59" s="65"/>
      <c r="AAP59" s="65"/>
      <c r="AAQ59" s="65"/>
      <c r="AAR59" s="65"/>
      <c r="AAS59" s="65"/>
      <c r="AAT59" s="65"/>
      <c r="AAU59" s="65"/>
      <c r="AAV59" s="65"/>
      <c r="AAW59" s="65"/>
      <c r="AAX59" s="65"/>
      <c r="AAY59" s="65"/>
      <c r="AAZ59" s="65"/>
      <c r="ABA59" s="65"/>
      <c r="ABB59" s="65"/>
      <c r="ABC59" s="65"/>
      <c r="ABD59" s="65"/>
      <c r="ABE59" s="65"/>
      <c r="ABF59" s="65"/>
      <c r="ABG59" s="65"/>
      <c r="ABH59" s="65"/>
      <c r="ABI59" s="65"/>
      <c r="ABJ59" s="65"/>
      <c r="ABK59" s="65"/>
      <c r="ABL59" s="65"/>
      <c r="ABM59" s="65"/>
      <c r="ABN59" s="65"/>
    </row>
    <row r="60" spans="1:742" s="155" customFormat="1" ht="30" x14ac:dyDescent="0.25">
      <c r="A60" s="110">
        <v>2025</v>
      </c>
      <c r="B60" s="230">
        <v>4</v>
      </c>
      <c r="C60" s="152">
        <v>22567</v>
      </c>
      <c r="D60" s="277">
        <v>45761</v>
      </c>
      <c r="E60" s="111" t="s">
        <v>953</v>
      </c>
      <c r="F60" s="111" t="s">
        <v>953</v>
      </c>
      <c r="G60" s="110" t="s">
        <v>143</v>
      </c>
      <c r="H60" s="110">
        <v>3103144167</v>
      </c>
      <c r="I60" s="110">
        <v>3103144167</v>
      </c>
      <c r="J60" s="108">
        <v>45771</v>
      </c>
      <c r="K60" s="110" t="s">
        <v>84</v>
      </c>
      <c r="L60" s="112" t="s">
        <v>1689</v>
      </c>
      <c r="M60" s="110" t="s">
        <v>281</v>
      </c>
      <c r="N60" s="110" t="s">
        <v>136</v>
      </c>
      <c r="O60" s="110" t="s">
        <v>136</v>
      </c>
      <c r="P60" s="110" t="s">
        <v>136</v>
      </c>
      <c r="Q60" s="110">
        <v>5530</v>
      </c>
      <c r="R60" s="110" t="s">
        <v>134</v>
      </c>
      <c r="S60" s="110" t="s">
        <v>134</v>
      </c>
      <c r="T60" s="110" t="s">
        <v>134</v>
      </c>
      <c r="U60" s="110" t="s">
        <v>136</v>
      </c>
      <c r="V60" s="206" t="s">
        <v>590</v>
      </c>
      <c r="W60" s="108">
        <v>45786</v>
      </c>
      <c r="X60" s="108">
        <v>45789</v>
      </c>
      <c r="Y60" s="110"/>
      <c r="Z60" s="126" t="s">
        <v>85</v>
      </c>
      <c r="AA60" s="124">
        <v>0</v>
      </c>
      <c r="AB60" s="110">
        <v>5786</v>
      </c>
      <c r="AC60" s="114">
        <v>187083</v>
      </c>
      <c r="AD60" s="212">
        <f t="shared" si="5"/>
        <v>222628.77</v>
      </c>
      <c r="AE60" s="114">
        <v>111315</v>
      </c>
      <c r="AF60" s="110"/>
      <c r="AG60" s="142" t="s">
        <v>1691</v>
      </c>
      <c r="AH60" s="248">
        <v>45773</v>
      </c>
      <c r="AI60" s="108">
        <v>45789</v>
      </c>
      <c r="AJ60" s="110" t="s">
        <v>571</v>
      </c>
      <c r="AK60" s="110"/>
      <c r="AL60" s="65"/>
      <c r="AM60" s="65"/>
      <c r="AN60" s="65"/>
      <c r="AO60" s="65"/>
      <c r="AP60" s="65"/>
      <c r="AQ60" s="65"/>
      <c r="AR60" s="65"/>
      <c r="AS60" s="65"/>
      <c r="AT60" s="65"/>
      <c r="AU60" s="65"/>
      <c r="AV60" s="65"/>
      <c r="AW60" s="65"/>
      <c r="AX60" s="65"/>
      <c r="AY60" s="65"/>
      <c r="AZ60" s="65"/>
      <c r="BA60" s="65"/>
      <c r="BB60" s="65"/>
      <c r="BC60" s="65"/>
      <c r="BD60" s="65"/>
      <c r="BE60" s="65"/>
      <c r="BF60" s="65"/>
      <c r="BG60" s="65"/>
      <c r="BH60" s="65"/>
      <c r="BI60" s="65"/>
      <c r="BJ60" s="65"/>
      <c r="BK60" s="65"/>
      <c r="BL60" s="65"/>
      <c r="BM60" s="65"/>
      <c r="BN60" s="65"/>
      <c r="BO60" s="65"/>
      <c r="BP60" s="65"/>
      <c r="BQ60" s="65"/>
      <c r="BR60" s="65"/>
      <c r="BS60" s="65"/>
      <c r="BT60" s="65"/>
      <c r="BU60" s="65"/>
      <c r="BV60" s="65"/>
      <c r="BW60" s="65"/>
      <c r="BX60" s="65"/>
      <c r="BY60" s="65"/>
      <c r="BZ60" s="65"/>
      <c r="CA60" s="65"/>
      <c r="CB60" s="65"/>
      <c r="CC60" s="65"/>
      <c r="CD60" s="65"/>
      <c r="CE60" s="65"/>
      <c r="CF60" s="65"/>
      <c r="CG60" s="65"/>
      <c r="CH60" s="65"/>
      <c r="CI60" s="65"/>
      <c r="CJ60" s="65"/>
      <c r="CK60" s="65"/>
      <c r="CL60" s="65"/>
      <c r="CM60" s="65"/>
      <c r="CN60" s="65"/>
      <c r="CO60" s="65"/>
      <c r="CP60" s="65"/>
      <c r="CQ60" s="65"/>
      <c r="CR60" s="65"/>
      <c r="CS60" s="65"/>
      <c r="CT60" s="65"/>
      <c r="CU60" s="65"/>
      <c r="CV60" s="65"/>
      <c r="CW60" s="65"/>
      <c r="CX60" s="65"/>
      <c r="CY60" s="65"/>
      <c r="CZ60" s="65"/>
      <c r="DA60" s="65"/>
      <c r="DB60" s="65"/>
      <c r="DC60" s="65"/>
      <c r="DD60" s="65"/>
      <c r="DE60" s="65"/>
      <c r="DF60" s="65"/>
      <c r="DG60" s="65"/>
      <c r="DH60" s="65"/>
      <c r="DI60" s="65"/>
      <c r="DJ60" s="65"/>
      <c r="DK60" s="65"/>
      <c r="DL60" s="65"/>
      <c r="DM60" s="65"/>
      <c r="DN60" s="65"/>
      <c r="DO60" s="65"/>
      <c r="DP60" s="65"/>
      <c r="DQ60" s="65"/>
      <c r="DR60" s="65"/>
      <c r="DS60" s="65"/>
      <c r="DT60" s="65"/>
      <c r="DU60" s="65"/>
      <c r="DV60" s="65"/>
      <c r="DW60" s="65"/>
      <c r="DX60" s="65"/>
      <c r="DY60" s="65"/>
      <c r="DZ60" s="65"/>
      <c r="EA60" s="65"/>
      <c r="EB60" s="65"/>
      <c r="EC60" s="65"/>
      <c r="ED60" s="65"/>
      <c r="EE60" s="65"/>
      <c r="EF60" s="65"/>
      <c r="EG60" s="65"/>
      <c r="EH60" s="65"/>
      <c r="EI60" s="65"/>
      <c r="EJ60" s="65"/>
      <c r="EK60" s="65"/>
      <c r="EL60" s="65"/>
      <c r="EM60" s="65"/>
      <c r="EN60" s="65"/>
      <c r="EO60" s="65"/>
      <c r="EP60" s="65"/>
      <c r="EQ60" s="65"/>
      <c r="ER60" s="65"/>
      <c r="ES60" s="65"/>
      <c r="ET60" s="65"/>
      <c r="EU60" s="65"/>
      <c r="EV60" s="65"/>
      <c r="EW60" s="65"/>
      <c r="EX60" s="65"/>
      <c r="EY60" s="65"/>
      <c r="EZ60" s="65"/>
      <c r="FA60" s="65"/>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c r="GO60" s="65"/>
      <c r="GP60" s="65"/>
      <c r="GQ60" s="65"/>
      <c r="GR60" s="65"/>
      <c r="GS60" s="65"/>
      <c r="GT60" s="65"/>
      <c r="GU60" s="65"/>
      <c r="GV60" s="65"/>
      <c r="GW60" s="65"/>
      <c r="GX60" s="65"/>
      <c r="GY60" s="65"/>
      <c r="GZ60" s="65"/>
      <c r="HA60" s="65"/>
      <c r="HB60" s="65"/>
      <c r="HC60" s="65"/>
      <c r="HD60" s="65"/>
      <c r="HE60" s="65"/>
      <c r="HF60" s="65"/>
      <c r="HG60" s="65"/>
      <c r="HH60" s="65"/>
      <c r="HI60" s="65"/>
      <c r="HJ60" s="65"/>
      <c r="HK60" s="65"/>
      <c r="HL60" s="65"/>
      <c r="HM60" s="65"/>
      <c r="HN60" s="65"/>
      <c r="HO60" s="65"/>
      <c r="HP60" s="65"/>
      <c r="HQ60" s="65"/>
      <c r="HR60" s="65"/>
      <c r="HS60" s="65"/>
      <c r="HT60" s="65"/>
      <c r="HU60" s="65"/>
      <c r="HV60" s="65"/>
      <c r="HW60" s="65"/>
      <c r="HX60" s="65"/>
      <c r="HY60" s="65"/>
      <c r="HZ60" s="65"/>
      <c r="IA60" s="65"/>
      <c r="IB60" s="65"/>
      <c r="IC60" s="65"/>
      <c r="ID60" s="65"/>
      <c r="IE60" s="65"/>
      <c r="IF60" s="65"/>
      <c r="IG60" s="65"/>
      <c r="IH60" s="65"/>
      <c r="II60" s="65"/>
      <c r="IJ60" s="65"/>
      <c r="IK60" s="65"/>
      <c r="IL60" s="65"/>
      <c r="IM60" s="65"/>
      <c r="IN60" s="65"/>
      <c r="IO60" s="65"/>
      <c r="IP60" s="65"/>
      <c r="IQ60" s="65"/>
      <c r="IR60" s="65"/>
      <c r="IS60" s="65"/>
      <c r="IT60" s="65"/>
      <c r="IU60" s="65"/>
      <c r="IV60" s="65"/>
      <c r="IW60" s="65"/>
      <c r="IX60" s="65"/>
      <c r="IY60" s="65"/>
      <c r="IZ60" s="65"/>
      <c r="JA60" s="65"/>
      <c r="JB60" s="65"/>
      <c r="JC60" s="65"/>
      <c r="JD60" s="65"/>
      <c r="JE60" s="65"/>
      <c r="JF60" s="65"/>
      <c r="JG60" s="65"/>
      <c r="JH60" s="65"/>
      <c r="JI60" s="65"/>
      <c r="JJ60" s="65"/>
      <c r="JK60" s="65"/>
      <c r="JL60" s="65"/>
      <c r="JM60" s="65"/>
      <c r="JN60" s="65"/>
      <c r="JO60" s="65"/>
      <c r="JP60" s="65"/>
      <c r="JQ60" s="65"/>
      <c r="JR60" s="65"/>
      <c r="JS60" s="65"/>
      <c r="JT60" s="65"/>
      <c r="JU60" s="65"/>
      <c r="JV60" s="65"/>
      <c r="JW60" s="65"/>
      <c r="JX60" s="65"/>
      <c r="JY60" s="65"/>
      <c r="JZ60" s="65"/>
      <c r="KA60" s="65"/>
      <c r="KB60" s="65"/>
      <c r="KC60" s="65"/>
      <c r="KD60" s="65"/>
      <c r="KE60" s="65"/>
      <c r="KF60" s="65"/>
      <c r="KG60" s="65"/>
      <c r="KH60" s="65"/>
      <c r="KI60" s="65"/>
      <c r="KJ60" s="65"/>
      <c r="KK60" s="65"/>
      <c r="KL60" s="65"/>
      <c r="KM60" s="65"/>
      <c r="KN60" s="65"/>
      <c r="KO60" s="65"/>
      <c r="KP60" s="65"/>
      <c r="KQ60" s="65"/>
      <c r="KR60" s="65"/>
      <c r="KS60" s="65"/>
      <c r="KT60" s="65"/>
      <c r="KU60" s="65"/>
      <c r="KV60" s="65"/>
      <c r="KW60" s="65"/>
      <c r="KX60" s="65"/>
      <c r="KY60" s="65"/>
      <c r="KZ60" s="65"/>
      <c r="LA60" s="65"/>
      <c r="LB60" s="65"/>
      <c r="LC60" s="65"/>
      <c r="LD60" s="65"/>
      <c r="LE60" s="65"/>
      <c r="LF60" s="65"/>
      <c r="LG60" s="65"/>
      <c r="LH60" s="65"/>
      <c r="LI60" s="65"/>
      <c r="LJ60" s="65"/>
      <c r="LK60" s="65"/>
      <c r="LL60" s="65"/>
      <c r="LM60" s="65"/>
      <c r="LN60" s="65"/>
      <c r="LO60" s="65"/>
      <c r="LP60" s="65"/>
      <c r="LQ60" s="65"/>
      <c r="LR60" s="65"/>
      <c r="LS60" s="65"/>
      <c r="LT60" s="65"/>
      <c r="LU60" s="65"/>
      <c r="LV60" s="65"/>
      <c r="LW60" s="65"/>
      <c r="LX60" s="65"/>
      <c r="LY60" s="65"/>
      <c r="LZ60" s="65"/>
      <c r="MA60" s="65"/>
      <c r="MB60" s="65"/>
      <c r="MC60" s="65"/>
      <c r="MD60" s="65"/>
      <c r="ME60" s="65"/>
      <c r="MF60" s="65"/>
      <c r="MG60" s="65"/>
      <c r="MH60" s="65"/>
      <c r="MI60" s="65"/>
      <c r="MJ60" s="65"/>
      <c r="MK60" s="65"/>
      <c r="ML60" s="65"/>
      <c r="MM60" s="65"/>
      <c r="MN60" s="65"/>
      <c r="MO60" s="65"/>
      <c r="MP60" s="65"/>
      <c r="MQ60" s="65"/>
      <c r="MR60" s="65"/>
      <c r="MS60" s="65"/>
      <c r="MT60" s="65"/>
      <c r="MU60" s="65"/>
      <c r="MV60" s="65"/>
      <c r="MW60" s="65"/>
      <c r="MX60" s="65"/>
      <c r="MY60" s="65"/>
      <c r="MZ60" s="65"/>
      <c r="NA60" s="65"/>
      <c r="NB60" s="65"/>
      <c r="NC60" s="65"/>
      <c r="ND60" s="65"/>
      <c r="NE60" s="65"/>
      <c r="NF60" s="65"/>
      <c r="NG60" s="65"/>
      <c r="NH60" s="65"/>
      <c r="NI60" s="65"/>
      <c r="NJ60" s="65"/>
      <c r="NK60" s="65"/>
      <c r="NL60" s="65"/>
      <c r="NM60" s="65"/>
      <c r="NN60" s="65"/>
      <c r="NO60" s="65"/>
      <c r="NP60" s="65"/>
      <c r="NQ60" s="65"/>
      <c r="NR60" s="65"/>
      <c r="NS60" s="65"/>
      <c r="NT60" s="65"/>
      <c r="NU60" s="65"/>
      <c r="NV60" s="65"/>
      <c r="NW60" s="65"/>
      <c r="NX60" s="65"/>
      <c r="NY60" s="65"/>
      <c r="NZ60" s="65"/>
      <c r="OA60" s="65"/>
      <c r="OB60" s="65"/>
      <c r="OC60" s="65"/>
      <c r="OD60" s="65"/>
      <c r="OE60" s="65"/>
      <c r="OF60" s="65"/>
      <c r="OG60" s="65"/>
      <c r="OH60" s="65"/>
      <c r="OI60" s="65"/>
      <c r="OJ60" s="65"/>
      <c r="OK60" s="65"/>
      <c r="OL60" s="65"/>
      <c r="OM60" s="65"/>
      <c r="ON60" s="65"/>
      <c r="OO60" s="65"/>
      <c r="OP60" s="65"/>
      <c r="OQ60" s="65"/>
      <c r="OR60" s="65"/>
      <c r="OS60" s="65"/>
      <c r="OT60" s="65"/>
      <c r="OU60" s="65"/>
      <c r="OV60" s="65"/>
      <c r="OW60" s="65"/>
      <c r="OX60" s="65"/>
      <c r="OY60" s="65"/>
      <c r="OZ60" s="65"/>
      <c r="PA60" s="65"/>
      <c r="PB60" s="65"/>
      <c r="PC60" s="65"/>
      <c r="PD60" s="65"/>
      <c r="PE60" s="65"/>
      <c r="PF60" s="65"/>
      <c r="PG60" s="65"/>
      <c r="PH60" s="65"/>
      <c r="PI60" s="65"/>
      <c r="PJ60" s="65"/>
      <c r="PK60" s="65"/>
      <c r="PL60" s="65"/>
      <c r="PM60" s="65"/>
      <c r="PN60" s="65"/>
      <c r="PO60" s="65"/>
      <c r="PP60" s="65"/>
      <c r="PQ60" s="65"/>
      <c r="PR60" s="65"/>
      <c r="PS60" s="65"/>
      <c r="PT60" s="65"/>
      <c r="PU60" s="65"/>
      <c r="PV60" s="65"/>
      <c r="PW60" s="65"/>
      <c r="PX60" s="65"/>
      <c r="PY60" s="65"/>
      <c r="PZ60" s="65"/>
      <c r="QA60" s="65"/>
      <c r="QB60" s="65"/>
      <c r="QC60" s="65"/>
      <c r="QD60" s="65"/>
      <c r="QE60" s="65"/>
      <c r="QF60" s="65"/>
      <c r="QG60" s="65"/>
      <c r="QH60" s="65"/>
      <c r="QI60" s="65"/>
      <c r="QJ60" s="65"/>
      <c r="QK60" s="65"/>
      <c r="QL60" s="65"/>
      <c r="QM60" s="65"/>
      <c r="QN60" s="65"/>
      <c r="QO60" s="65"/>
      <c r="QP60" s="65"/>
      <c r="QQ60" s="65"/>
      <c r="QR60" s="65"/>
      <c r="QS60" s="65"/>
      <c r="QT60" s="65"/>
      <c r="QU60" s="65"/>
      <c r="QV60" s="65"/>
      <c r="QW60" s="65"/>
      <c r="QX60" s="65"/>
      <c r="QY60" s="65"/>
      <c r="QZ60" s="65"/>
      <c r="RA60" s="65"/>
      <c r="RB60" s="65"/>
      <c r="RC60" s="65"/>
      <c r="RD60" s="65"/>
      <c r="RE60" s="65"/>
      <c r="RF60" s="65"/>
      <c r="RG60" s="65"/>
      <c r="RH60" s="65"/>
      <c r="RI60" s="65"/>
      <c r="RJ60" s="65"/>
      <c r="RK60" s="65"/>
      <c r="RL60" s="65"/>
      <c r="RM60" s="65"/>
      <c r="RN60" s="65"/>
      <c r="RO60" s="65"/>
      <c r="RP60" s="65"/>
      <c r="RQ60" s="65"/>
      <c r="RR60" s="65"/>
      <c r="RS60" s="65"/>
      <c r="RT60" s="65"/>
      <c r="RU60" s="65"/>
      <c r="RV60" s="65"/>
      <c r="RW60" s="65"/>
      <c r="RX60" s="65"/>
      <c r="RY60" s="65"/>
      <c r="RZ60" s="65"/>
      <c r="SA60" s="65"/>
      <c r="SB60" s="65"/>
      <c r="SC60" s="65"/>
      <c r="SD60" s="65"/>
      <c r="SE60" s="65"/>
      <c r="SF60" s="65"/>
      <c r="SG60" s="65"/>
      <c r="SH60" s="65"/>
      <c r="SI60" s="65"/>
      <c r="SJ60" s="65"/>
      <c r="SK60" s="65"/>
      <c r="SL60" s="65"/>
      <c r="SM60" s="65"/>
      <c r="SN60" s="65"/>
      <c r="SO60" s="65"/>
      <c r="SP60" s="65"/>
      <c r="SQ60" s="65"/>
      <c r="SR60" s="65"/>
      <c r="SS60" s="65"/>
      <c r="ST60" s="65"/>
      <c r="SU60" s="65"/>
      <c r="SV60" s="65"/>
      <c r="SW60" s="65"/>
      <c r="SX60" s="65"/>
      <c r="SY60" s="65"/>
      <c r="SZ60" s="65"/>
      <c r="TA60" s="65"/>
      <c r="TB60" s="65"/>
      <c r="TC60" s="65"/>
      <c r="TD60" s="65"/>
      <c r="TE60" s="65"/>
      <c r="TF60" s="65"/>
      <c r="TG60" s="65"/>
      <c r="TH60" s="65"/>
      <c r="TI60" s="65"/>
      <c r="TJ60" s="65"/>
      <c r="TK60" s="65"/>
      <c r="TL60" s="65"/>
      <c r="TM60" s="65"/>
      <c r="TN60" s="65"/>
      <c r="TO60" s="65"/>
      <c r="TP60" s="65"/>
      <c r="TQ60" s="65"/>
      <c r="TR60" s="65"/>
      <c r="TS60" s="65"/>
      <c r="TT60" s="65"/>
      <c r="TU60" s="65"/>
      <c r="TV60" s="65"/>
      <c r="TW60" s="65"/>
      <c r="TX60" s="65"/>
      <c r="TY60" s="65"/>
      <c r="TZ60" s="65"/>
      <c r="UA60" s="65"/>
      <c r="UB60" s="65"/>
      <c r="UC60" s="65"/>
      <c r="UD60" s="65"/>
      <c r="UE60" s="65"/>
      <c r="UF60" s="65"/>
      <c r="UG60" s="65"/>
      <c r="UH60" s="65"/>
      <c r="UI60" s="65"/>
      <c r="UJ60" s="65"/>
      <c r="UK60" s="65"/>
      <c r="UL60" s="65"/>
      <c r="UM60" s="65"/>
      <c r="UN60" s="65"/>
      <c r="UO60" s="65"/>
      <c r="UP60" s="65"/>
      <c r="UQ60" s="65"/>
      <c r="UR60" s="65"/>
      <c r="US60" s="65"/>
      <c r="UT60" s="65"/>
      <c r="UU60" s="65"/>
      <c r="UV60" s="65"/>
      <c r="UW60" s="65"/>
      <c r="UX60" s="65"/>
      <c r="UY60" s="65"/>
      <c r="UZ60" s="65"/>
      <c r="VA60" s="65"/>
      <c r="VB60" s="65"/>
      <c r="VC60" s="65"/>
      <c r="VD60" s="65"/>
      <c r="VE60" s="65"/>
      <c r="VF60" s="65"/>
      <c r="VG60" s="65"/>
      <c r="VH60" s="65"/>
      <c r="VI60" s="65"/>
      <c r="VJ60" s="65"/>
      <c r="VK60" s="65"/>
      <c r="VL60" s="65"/>
      <c r="VM60" s="65"/>
      <c r="VN60" s="65"/>
      <c r="VO60" s="65"/>
      <c r="VP60" s="65"/>
      <c r="VQ60" s="65"/>
      <c r="VR60" s="65"/>
      <c r="VS60" s="65"/>
      <c r="VT60" s="65"/>
      <c r="VU60" s="65"/>
      <c r="VV60" s="65"/>
      <c r="VW60" s="65"/>
      <c r="VX60" s="65"/>
      <c r="VY60" s="65"/>
      <c r="VZ60" s="65"/>
      <c r="WA60" s="65"/>
      <c r="WB60" s="65"/>
      <c r="WC60" s="65"/>
      <c r="WD60" s="65"/>
      <c r="WE60" s="65"/>
      <c r="WF60" s="65"/>
      <c r="WG60" s="65"/>
      <c r="WH60" s="65"/>
      <c r="WI60" s="65"/>
      <c r="WJ60" s="65"/>
      <c r="WK60" s="65"/>
      <c r="WL60" s="65"/>
      <c r="WM60" s="65"/>
      <c r="WN60" s="65"/>
      <c r="WO60" s="65"/>
      <c r="WP60" s="65"/>
      <c r="WQ60" s="65"/>
      <c r="WR60" s="65"/>
      <c r="WS60" s="65"/>
      <c r="WT60" s="65"/>
      <c r="WU60" s="65"/>
      <c r="WV60" s="65"/>
      <c r="WW60" s="65"/>
      <c r="WX60" s="65"/>
      <c r="WY60" s="65"/>
      <c r="WZ60" s="65"/>
      <c r="XA60" s="65"/>
      <c r="XB60" s="65"/>
      <c r="XC60" s="65"/>
      <c r="XD60" s="65"/>
      <c r="XE60" s="65"/>
      <c r="XF60" s="65"/>
      <c r="XG60" s="65"/>
      <c r="XH60" s="65"/>
      <c r="XI60" s="65"/>
      <c r="XJ60" s="65"/>
      <c r="XK60" s="65"/>
      <c r="XL60" s="65"/>
      <c r="XM60" s="65"/>
      <c r="XN60" s="65"/>
      <c r="XO60" s="65"/>
      <c r="XP60" s="65"/>
      <c r="XQ60" s="65"/>
      <c r="XR60" s="65"/>
      <c r="XS60" s="65"/>
      <c r="XT60" s="65"/>
      <c r="XU60" s="65"/>
      <c r="XV60" s="65"/>
      <c r="XW60" s="65"/>
      <c r="XX60" s="65"/>
      <c r="XY60" s="65"/>
      <c r="XZ60" s="65"/>
      <c r="YA60" s="65"/>
      <c r="YB60" s="65"/>
      <c r="YC60" s="65"/>
      <c r="YD60" s="65"/>
      <c r="YE60" s="65"/>
      <c r="YF60" s="65"/>
      <c r="YG60" s="65"/>
      <c r="YH60" s="65"/>
      <c r="YI60" s="65"/>
      <c r="YJ60" s="65"/>
      <c r="YK60" s="65"/>
      <c r="YL60" s="65"/>
      <c r="YM60" s="65"/>
      <c r="YN60" s="65"/>
      <c r="YO60" s="65"/>
      <c r="YP60" s="65"/>
      <c r="YQ60" s="65"/>
      <c r="YR60" s="65"/>
      <c r="YS60" s="65"/>
      <c r="YT60" s="65"/>
      <c r="YU60" s="65"/>
      <c r="YV60" s="65"/>
      <c r="YW60" s="65"/>
      <c r="YX60" s="65"/>
      <c r="YY60" s="65"/>
      <c r="YZ60" s="65"/>
      <c r="ZA60" s="65"/>
      <c r="ZB60" s="65"/>
      <c r="ZC60" s="65"/>
      <c r="ZD60" s="65"/>
      <c r="ZE60" s="65"/>
      <c r="ZF60" s="65"/>
      <c r="ZG60" s="65"/>
      <c r="ZH60" s="65"/>
      <c r="ZI60" s="65"/>
      <c r="ZJ60" s="65"/>
      <c r="ZK60" s="65"/>
      <c r="ZL60" s="65"/>
      <c r="ZM60" s="65"/>
      <c r="ZN60" s="65"/>
      <c r="ZO60" s="65"/>
      <c r="ZP60" s="65"/>
      <c r="ZQ60" s="65"/>
      <c r="ZR60" s="65"/>
      <c r="ZS60" s="65"/>
      <c r="ZT60" s="65"/>
      <c r="ZU60" s="65"/>
      <c r="ZV60" s="65"/>
      <c r="ZW60" s="65"/>
      <c r="ZX60" s="65"/>
      <c r="ZY60" s="65"/>
      <c r="ZZ60" s="65"/>
      <c r="AAA60" s="65"/>
      <c r="AAB60" s="65"/>
      <c r="AAC60" s="65"/>
      <c r="AAD60" s="65"/>
      <c r="AAE60" s="65"/>
      <c r="AAF60" s="65"/>
      <c r="AAG60" s="65"/>
      <c r="AAH60" s="65"/>
      <c r="AAI60" s="65"/>
      <c r="AAJ60" s="65"/>
      <c r="AAK60" s="65"/>
      <c r="AAL60" s="65"/>
      <c r="AAM60" s="65"/>
      <c r="AAN60" s="65"/>
      <c r="AAO60" s="65"/>
      <c r="AAP60" s="65"/>
      <c r="AAQ60" s="65"/>
      <c r="AAR60" s="65"/>
      <c r="AAS60" s="65"/>
      <c r="AAT60" s="65"/>
      <c r="AAU60" s="65"/>
      <c r="AAV60" s="65"/>
      <c r="AAW60" s="65"/>
      <c r="AAX60" s="65"/>
      <c r="AAY60" s="65"/>
      <c r="AAZ60" s="65"/>
      <c r="ABA60" s="65"/>
      <c r="ABB60" s="65"/>
      <c r="ABC60" s="65"/>
      <c r="ABD60" s="65"/>
      <c r="ABE60" s="65"/>
      <c r="ABF60" s="65"/>
      <c r="ABG60" s="65"/>
      <c r="ABH60" s="65"/>
      <c r="ABI60" s="65"/>
      <c r="ABJ60" s="65"/>
      <c r="ABK60" s="65"/>
      <c r="ABL60" s="65"/>
      <c r="ABM60" s="65"/>
      <c r="ABN60" s="65"/>
    </row>
    <row r="61" spans="1:742" s="155" customFormat="1" ht="45" x14ac:dyDescent="0.25">
      <c r="A61" s="110">
        <v>2025</v>
      </c>
      <c r="B61" s="230">
        <v>4</v>
      </c>
      <c r="C61" s="152">
        <v>22568</v>
      </c>
      <c r="D61" s="277">
        <v>45762</v>
      </c>
      <c r="E61" s="111" t="s">
        <v>988</v>
      </c>
      <c r="F61" s="111" t="s">
        <v>989</v>
      </c>
      <c r="G61" s="110" t="s">
        <v>95</v>
      </c>
      <c r="H61" s="111" t="s">
        <v>990</v>
      </c>
      <c r="I61" s="110">
        <v>4026047389</v>
      </c>
      <c r="J61" s="108">
        <v>45776</v>
      </c>
      <c r="K61" s="110" t="s">
        <v>95</v>
      </c>
      <c r="L61" s="112" t="s">
        <v>1538</v>
      </c>
      <c r="M61" s="110" t="s">
        <v>136</v>
      </c>
      <c r="N61" s="110">
        <v>5889</v>
      </c>
      <c r="O61" s="110">
        <v>6127</v>
      </c>
      <c r="P61" s="110">
        <v>8909</v>
      </c>
      <c r="Q61" s="110" t="s">
        <v>136</v>
      </c>
      <c r="R61" s="110" t="s">
        <v>136</v>
      </c>
      <c r="S61" s="110" t="s">
        <v>136</v>
      </c>
      <c r="T61" s="110" t="s">
        <v>136</v>
      </c>
      <c r="U61" s="110" t="s">
        <v>136</v>
      </c>
      <c r="V61" s="111" t="s">
        <v>87</v>
      </c>
      <c r="W61" s="108">
        <v>45783</v>
      </c>
      <c r="X61" s="108">
        <v>45789</v>
      </c>
      <c r="Y61" s="110"/>
      <c r="Z61" s="126" t="s">
        <v>85</v>
      </c>
      <c r="AA61" s="124">
        <v>0</v>
      </c>
      <c r="AB61" s="110">
        <v>5826</v>
      </c>
      <c r="AC61" s="114">
        <v>866658</v>
      </c>
      <c r="AD61" s="212">
        <f t="shared" si="5"/>
        <v>1031323.0199999999</v>
      </c>
      <c r="AE61" s="114">
        <v>433329</v>
      </c>
      <c r="AF61" s="110"/>
      <c r="AG61" s="142" t="s">
        <v>1681</v>
      </c>
      <c r="AH61" s="248">
        <v>45786</v>
      </c>
      <c r="AI61" s="108">
        <v>45789</v>
      </c>
      <c r="AJ61" s="110" t="s">
        <v>571</v>
      </c>
      <c r="AK61" s="110"/>
      <c r="AL61" s="65"/>
      <c r="AM61" s="65"/>
      <c r="AN61" s="65"/>
      <c r="AO61" s="65"/>
      <c r="AP61" s="65"/>
      <c r="AQ61" s="65"/>
      <c r="AR61" s="65"/>
      <c r="AS61" s="65"/>
      <c r="AT61" s="65"/>
      <c r="AU61" s="65"/>
      <c r="AV61" s="65"/>
      <c r="AW61" s="65"/>
      <c r="AX61" s="65"/>
      <c r="AY61" s="65"/>
      <c r="AZ61" s="65"/>
      <c r="BA61" s="65"/>
      <c r="BB61" s="65"/>
      <c r="BC61" s="65"/>
      <c r="BD61" s="65"/>
      <c r="BE61" s="65"/>
      <c r="BF61" s="65"/>
      <c r="BG61" s="65"/>
      <c r="BH61" s="65"/>
      <c r="BI61" s="65"/>
      <c r="BJ61" s="65"/>
      <c r="BK61" s="65"/>
      <c r="BL61" s="65"/>
      <c r="BM61" s="65"/>
      <c r="BN61" s="65"/>
      <c r="BO61" s="65"/>
      <c r="BP61" s="65"/>
      <c r="BQ61" s="65"/>
      <c r="BR61" s="65"/>
      <c r="BS61" s="65"/>
      <c r="BT61" s="65"/>
      <c r="BU61" s="65"/>
      <c r="BV61" s="65"/>
      <c r="BW61" s="65"/>
      <c r="BX61" s="65"/>
      <c r="BY61" s="65"/>
      <c r="BZ61" s="65"/>
      <c r="CA61" s="65"/>
      <c r="CB61" s="65"/>
      <c r="CC61" s="65"/>
      <c r="CD61" s="65"/>
      <c r="CE61" s="65"/>
      <c r="CF61" s="65"/>
      <c r="CG61" s="65"/>
      <c r="CH61" s="65"/>
      <c r="CI61" s="65"/>
      <c r="CJ61" s="65"/>
      <c r="CK61" s="65"/>
      <c r="CL61" s="65"/>
      <c r="CM61" s="65"/>
      <c r="CN61" s="65"/>
      <c r="CO61" s="65"/>
      <c r="CP61" s="65"/>
      <c r="CQ61" s="65"/>
      <c r="CR61" s="65"/>
      <c r="CS61" s="65"/>
      <c r="CT61" s="65"/>
      <c r="CU61" s="65"/>
      <c r="CV61" s="65"/>
      <c r="CW61" s="65"/>
      <c r="CX61" s="65"/>
      <c r="CY61" s="65"/>
      <c r="CZ61" s="65"/>
      <c r="DA61" s="65"/>
      <c r="DB61" s="65"/>
      <c r="DC61" s="65"/>
      <c r="DD61" s="65"/>
      <c r="DE61" s="65"/>
      <c r="DF61" s="65"/>
      <c r="DG61" s="65"/>
      <c r="DH61" s="65"/>
      <c r="DI61" s="65"/>
      <c r="DJ61" s="65"/>
      <c r="DK61" s="65"/>
      <c r="DL61" s="65"/>
      <c r="DM61" s="65"/>
      <c r="DN61" s="65"/>
      <c r="DO61" s="65"/>
      <c r="DP61" s="65"/>
      <c r="DQ61" s="65"/>
      <c r="DR61" s="65"/>
      <c r="DS61" s="65"/>
      <c r="DT61" s="65"/>
      <c r="DU61" s="65"/>
      <c r="DV61" s="65"/>
      <c r="DW61" s="65"/>
      <c r="DX61" s="65"/>
      <c r="DY61" s="65"/>
      <c r="DZ61" s="65"/>
      <c r="EA61" s="65"/>
      <c r="EB61" s="65"/>
      <c r="EC61" s="65"/>
      <c r="ED61" s="65"/>
      <c r="EE61" s="65"/>
      <c r="EF61" s="65"/>
      <c r="EG61" s="65"/>
      <c r="EH61" s="65"/>
      <c r="EI61" s="65"/>
      <c r="EJ61" s="65"/>
      <c r="EK61" s="65"/>
      <c r="EL61" s="65"/>
      <c r="EM61" s="65"/>
      <c r="EN61" s="65"/>
      <c r="EO61" s="65"/>
      <c r="EP61" s="65"/>
      <c r="EQ61" s="65"/>
      <c r="ER61" s="65"/>
      <c r="ES61" s="65"/>
      <c r="ET61" s="65"/>
      <c r="EU61" s="65"/>
      <c r="EV61" s="65"/>
      <c r="EW61" s="65"/>
      <c r="EX61" s="65"/>
      <c r="EY61" s="65"/>
      <c r="EZ61" s="65"/>
      <c r="FA61" s="65"/>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c r="GO61" s="65"/>
      <c r="GP61" s="65"/>
      <c r="GQ61" s="65"/>
      <c r="GR61" s="65"/>
      <c r="GS61" s="65"/>
      <c r="GT61" s="65"/>
      <c r="GU61" s="65"/>
      <c r="GV61" s="65"/>
      <c r="GW61" s="65"/>
      <c r="GX61" s="65"/>
      <c r="GY61" s="65"/>
      <c r="GZ61" s="65"/>
      <c r="HA61" s="65"/>
      <c r="HB61" s="65"/>
      <c r="HC61" s="65"/>
      <c r="HD61" s="65"/>
      <c r="HE61" s="65"/>
      <c r="HF61" s="65"/>
      <c r="HG61" s="65"/>
      <c r="HH61" s="65"/>
      <c r="HI61" s="65"/>
      <c r="HJ61" s="65"/>
      <c r="HK61" s="65"/>
      <c r="HL61" s="65"/>
      <c r="HM61" s="65"/>
      <c r="HN61" s="65"/>
      <c r="HO61" s="65"/>
      <c r="HP61" s="65"/>
      <c r="HQ61" s="65"/>
      <c r="HR61" s="65"/>
      <c r="HS61" s="65"/>
      <c r="HT61" s="65"/>
      <c r="HU61" s="65"/>
      <c r="HV61" s="65"/>
      <c r="HW61" s="65"/>
      <c r="HX61" s="65"/>
      <c r="HY61" s="65"/>
      <c r="HZ61" s="65"/>
      <c r="IA61" s="65"/>
      <c r="IB61" s="65"/>
      <c r="IC61" s="65"/>
      <c r="ID61" s="65"/>
      <c r="IE61" s="65"/>
      <c r="IF61" s="65"/>
      <c r="IG61" s="65"/>
      <c r="IH61" s="65"/>
      <c r="II61" s="65"/>
      <c r="IJ61" s="65"/>
      <c r="IK61" s="65"/>
      <c r="IL61" s="65"/>
      <c r="IM61" s="65"/>
      <c r="IN61" s="65"/>
      <c r="IO61" s="65"/>
      <c r="IP61" s="65"/>
      <c r="IQ61" s="65"/>
      <c r="IR61" s="65"/>
      <c r="IS61" s="65"/>
      <c r="IT61" s="65"/>
      <c r="IU61" s="65"/>
      <c r="IV61" s="65"/>
      <c r="IW61" s="65"/>
      <c r="IX61" s="65"/>
      <c r="IY61" s="65"/>
      <c r="IZ61" s="65"/>
      <c r="JA61" s="65"/>
      <c r="JB61" s="65"/>
      <c r="JC61" s="65"/>
      <c r="JD61" s="65"/>
      <c r="JE61" s="65"/>
      <c r="JF61" s="65"/>
      <c r="JG61" s="65"/>
      <c r="JH61" s="65"/>
      <c r="JI61" s="65"/>
      <c r="JJ61" s="65"/>
      <c r="JK61" s="65"/>
      <c r="JL61" s="65"/>
      <c r="JM61" s="65"/>
      <c r="JN61" s="65"/>
      <c r="JO61" s="65"/>
      <c r="JP61" s="65"/>
      <c r="JQ61" s="65"/>
      <c r="JR61" s="65"/>
      <c r="JS61" s="65"/>
      <c r="JT61" s="65"/>
      <c r="JU61" s="65"/>
      <c r="JV61" s="65"/>
      <c r="JW61" s="65"/>
      <c r="JX61" s="65"/>
      <c r="JY61" s="65"/>
      <c r="JZ61" s="65"/>
      <c r="KA61" s="65"/>
      <c r="KB61" s="65"/>
      <c r="KC61" s="65"/>
      <c r="KD61" s="65"/>
      <c r="KE61" s="65"/>
      <c r="KF61" s="65"/>
      <c r="KG61" s="65"/>
      <c r="KH61" s="65"/>
      <c r="KI61" s="65"/>
      <c r="KJ61" s="65"/>
      <c r="KK61" s="65"/>
      <c r="KL61" s="65"/>
      <c r="KM61" s="65"/>
      <c r="KN61" s="65"/>
      <c r="KO61" s="65"/>
      <c r="KP61" s="65"/>
      <c r="KQ61" s="65"/>
      <c r="KR61" s="65"/>
      <c r="KS61" s="65"/>
      <c r="KT61" s="65"/>
      <c r="KU61" s="65"/>
      <c r="KV61" s="65"/>
      <c r="KW61" s="65"/>
      <c r="KX61" s="65"/>
      <c r="KY61" s="65"/>
      <c r="KZ61" s="65"/>
      <c r="LA61" s="65"/>
      <c r="LB61" s="65"/>
      <c r="LC61" s="65"/>
      <c r="LD61" s="65"/>
      <c r="LE61" s="65"/>
      <c r="LF61" s="65"/>
      <c r="LG61" s="65"/>
      <c r="LH61" s="65"/>
      <c r="LI61" s="65"/>
      <c r="LJ61" s="65"/>
      <c r="LK61" s="65"/>
      <c r="LL61" s="65"/>
      <c r="LM61" s="65"/>
      <c r="LN61" s="65"/>
      <c r="LO61" s="65"/>
      <c r="LP61" s="65"/>
      <c r="LQ61" s="65"/>
      <c r="LR61" s="65"/>
      <c r="LS61" s="65"/>
      <c r="LT61" s="65"/>
      <c r="LU61" s="65"/>
      <c r="LV61" s="65"/>
      <c r="LW61" s="65"/>
      <c r="LX61" s="65"/>
      <c r="LY61" s="65"/>
      <c r="LZ61" s="65"/>
      <c r="MA61" s="65"/>
      <c r="MB61" s="65"/>
      <c r="MC61" s="65"/>
      <c r="MD61" s="65"/>
      <c r="ME61" s="65"/>
      <c r="MF61" s="65"/>
      <c r="MG61" s="65"/>
      <c r="MH61" s="65"/>
      <c r="MI61" s="65"/>
      <c r="MJ61" s="65"/>
      <c r="MK61" s="65"/>
      <c r="ML61" s="65"/>
      <c r="MM61" s="65"/>
      <c r="MN61" s="65"/>
      <c r="MO61" s="65"/>
      <c r="MP61" s="65"/>
      <c r="MQ61" s="65"/>
      <c r="MR61" s="65"/>
      <c r="MS61" s="65"/>
      <c r="MT61" s="65"/>
      <c r="MU61" s="65"/>
      <c r="MV61" s="65"/>
      <c r="MW61" s="65"/>
      <c r="MX61" s="65"/>
      <c r="MY61" s="65"/>
      <c r="MZ61" s="65"/>
      <c r="NA61" s="65"/>
      <c r="NB61" s="65"/>
      <c r="NC61" s="65"/>
      <c r="ND61" s="65"/>
      <c r="NE61" s="65"/>
      <c r="NF61" s="65"/>
      <c r="NG61" s="65"/>
      <c r="NH61" s="65"/>
      <c r="NI61" s="65"/>
      <c r="NJ61" s="65"/>
      <c r="NK61" s="65"/>
      <c r="NL61" s="65"/>
      <c r="NM61" s="65"/>
      <c r="NN61" s="65"/>
      <c r="NO61" s="65"/>
      <c r="NP61" s="65"/>
      <c r="NQ61" s="65"/>
      <c r="NR61" s="65"/>
      <c r="NS61" s="65"/>
      <c r="NT61" s="65"/>
      <c r="NU61" s="65"/>
      <c r="NV61" s="65"/>
      <c r="NW61" s="65"/>
      <c r="NX61" s="65"/>
      <c r="NY61" s="65"/>
      <c r="NZ61" s="65"/>
      <c r="OA61" s="65"/>
      <c r="OB61" s="65"/>
      <c r="OC61" s="65"/>
      <c r="OD61" s="65"/>
      <c r="OE61" s="65"/>
      <c r="OF61" s="65"/>
      <c r="OG61" s="65"/>
      <c r="OH61" s="65"/>
      <c r="OI61" s="65"/>
      <c r="OJ61" s="65"/>
      <c r="OK61" s="65"/>
      <c r="OL61" s="65"/>
      <c r="OM61" s="65"/>
      <c r="ON61" s="65"/>
      <c r="OO61" s="65"/>
      <c r="OP61" s="65"/>
      <c r="OQ61" s="65"/>
      <c r="OR61" s="65"/>
      <c r="OS61" s="65"/>
      <c r="OT61" s="65"/>
      <c r="OU61" s="65"/>
      <c r="OV61" s="65"/>
      <c r="OW61" s="65"/>
      <c r="OX61" s="65"/>
      <c r="OY61" s="65"/>
      <c r="OZ61" s="65"/>
      <c r="PA61" s="65"/>
      <c r="PB61" s="65"/>
      <c r="PC61" s="65"/>
      <c r="PD61" s="65"/>
      <c r="PE61" s="65"/>
      <c r="PF61" s="65"/>
      <c r="PG61" s="65"/>
      <c r="PH61" s="65"/>
      <c r="PI61" s="65"/>
      <c r="PJ61" s="65"/>
      <c r="PK61" s="65"/>
      <c r="PL61" s="65"/>
      <c r="PM61" s="65"/>
      <c r="PN61" s="65"/>
      <c r="PO61" s="65"/>
      <c r="PP61" s="65"/>
      <c r="PQ61" s="65"/>
      <c r="PR61" s="65"/>
      <c r="PS61" s="65"/>
      <c r="PT61" s="65"/>
      <c r="PU61" s="65"/>
      <c r="PV61" s="65"/>
      <c r="PW61" s="65"/>
      <c r="PX61" s="65"/>
      <c r="PY61" s="65"/>
      <c r="PZ61" s="65"/>
      <c r="QA61" s="65"/>
      <c r="QB61" s="65"/>
      <c r="QC61" s="65"/>
      <c r="QD61" s="65"/>
      <c r="QE61" s="65"/>
      <c r="QF61" s="65"/>
      <c r="QG61" s="65"/>
      <c r="QH61" s="65"/>
      <c r="QI61" s="65"/>
      <c r="QJ61" s="65"/>
      <c r="QK61" s="65"/>
      <c r="QL61" s="65"/>
      <c r="QM61" s="65"/>
      <c r="QN61" s="65"/>
      <c r="QO61" s="65"/>
      <c r="QP61" s="65"/>
      <c r="QQ61" s="65"/>
      <c r="QR61" s="65"/>
      <c r="QS61" s="65"/>
      <c r="QT61" s="65"/>
      <c r="QU61" s="65"/>
      <c r="QV61" s="65"/>
      <c r="QW61" s="65"/>
      <c r="QX61" s="65"/>
      <c r="QY61" s="65"/>
      <c r="QZ61" s="65"/>
      <c r="RA61" s="65"/>
      <c r="RB61" s="65"/>
      <c r="RC61" s="65"/>
      <c r="RD61" s="65"/>
      <c r="RE61" s="65"/>
      <c r="RF61" s="65"/>
      <c r="RG61" s="65"/>
      <c r="RH61" s="65"/>
      <c r="RI61" s="65"/>
      <c r="RJ61" s="65"/>
      <c r="RK61" s="65"/>
      <c r="RL61" s="65"/>
      <c r="RM61" s="65"/>
      <c r="RN61" s="65"/>
      <c r="RO61" s="65"/>
      <c r="RP61" s="65"/>
      <c r="RQ61" s="65"/>
      <c r="RR61" s="65"/>
      <c r="RS61" s="65"/>
      <c r="RT61" s="65"/>
      <c r="RU61" s="65"/>
      <c r="RV61" s="65"/>
      <c r="RW61" s="65"/>
      <c r="RX61" s="65"/>
      <c r="RY61" s="65"/>
      <c r="RZ61" s="65"/>
      <c r="SA61" s="65"/>
      <c r="SB61" s="65"/>
      <c r="SC61" s="65"/>
      <c r="SD61" s="65"/>
      <c r="SE61" s="65"/>
      <c r="SF61" s="65"/>
      <c r="SG61" s="65"/>
      <c r="SH61" s="65"/>
      <c r="SI61" s="65"/>
      <c r="SJ61" s="65"/>
      <c r="SK61" s="65"/>
      <c r="SL61" s="65"/>
      <c r="SM61" s="65"/>
      <c r="SN61" s="65"/>
      <c r="SO61" s="65"/>
      <c r="SP61" s="65"/>
      <c r="SQ61" s="65"/>
      <c r="SR61" s="65"/>
      <c r="SS61" s="65"/>
      <c r="ST61" s="65"/>
      <c r="SU61" s="65"/>
      <c r="SV61" s="65"/>
      <c r="SW61" s="65"/>
      <c r="SX61" s="65"/>
      <c r="SY61" s="65"/>
      <c r="SZ61" s="65"/>
      <c r="TA61" s="65"/>
      <c r="TB61" s="65"/>
      <c r="TC61" s="65"/>
      <c r="TD61" s="65"/>
      <c r="TE61" s="65"/>
      <c r="TF61" s="65"/>
      <c r="TG61" s="65"/>
      <c r="TH61" s="65"/>
      <c r="TI61" s="65"/>
      <c r="TJ61" s="65"/>
      <c r="TK61" s="65"/>
      <c r="TL61" s="65"/>
      <c r="TM61" s="65"/>
      <c r="TN61" s="65"/>
      <c r="TO61" s="65"/>
      <c r="TP61" s="65"/>
      <c r="TQ61" s="65"/>
      <c r="TR61" s="65"/>
      <c r="TS61" s="65"/>
      <c r="TT61" s="65"/>
      <c r="TU61" s="65"/>
      <c r="TV61" s="65"/>
      <c r="TW61" s="65"/>
      <c r="TX61" s="65"/>
      <c r="TY61" s="65"/>
      <c r="TZ61" s="65"/>
      <c r="UA61" s="65"/>
      <c r="UB61" s="65"/>
      <c r="UC61" s="65"/>
      <c r="UD61" s="65"/>
      <c r="UE61" s="65"/>
      <c r="UF61" s="65"/>
      <c r="UG61" s="65"/>
      <c r="UH61" s="65"/>
      <c r="UI61" s="65"/>
      <c r="UJ61" s="65"/>
      <c r="UK61" s="65"/>
      <c r="UL61" s="65"/>
      <c r="UM61" s="65"/>
      <c r="UN61" s="65"/>
      <c r="UO61" s="65"/>
      <c r="UP61" s="65"/>
      <c r="UQ61" s="65"/>
      <c r="UR61" s="65"/>
      <c r="US61" s="65"/>
      <c r="UT61" s="65"/>
      <c r="UU61" s="65"/>
      <c r="UV61" s="65"/>
      <c r="UW61" s="65"/>
      <c r="UX61" s="65"/>
      <c r="UY61" s="65"/>
      <c r="UZ61" s="65"/>
      <c r="VA61" s="65"/>
      <c r="VB61" s="65"/>
      <c r="VC61" s="65"/>
      <c r="VD61" s="65"/>
      <c r="VE61" s="65"/>
      <c r="VF61" s="65"/>
      <c r="VG61" s="65"/>
      <c r="VH61" s="65"/>
      <c r="VI61" s="65"/>
      <c r="VJ61" s="65"/>
      <c r="VK61" s="65"/>
      <c r="VL61" s="65"/>
      <c r="VM61" s="65"/>
      <c r="VN61" s="65"/>
      <c r="VO61" s="65"/>
      <c r="VP61" s="65"/>
      <c r="VQ61" s="65"/>
      <c r="VR61" s="65"/>
      <c r="VS61" s="65"/>
      <c r="VT61" s="65"/>
      <c r="VU61" s="65"/>
      <c r="VV61" s="65"/>
      <c r="VW61" s="65"/>
      <c r="VX61" s="65"/>
      <c r="VY61" s="65"/>
      <c r="VZ61" s="65"/>
      <c r="WA61" s="65"/>
      <c r="WB61" s="65"/>
      <c r="WC61" s="65"/>
      <c r="WD61" s="65"/>
      <c r="WE61" s="65"/>
      <c r="WF61" s="65"/>
      <c r="WG61" s="65"/>
      <c r="WH61" s="65"/>
      <c r="WI61" s="65"/>
      <c r="WJ61" s="65"/>
      <c r="WK61" s="65"/>
      <c r="WL61" s="65"/>
      <c r="WM61" s="65"/>
      <c r="WN61" s="65"/>
      <c r="WO61" s="65"/>
      <c r="WP61" s="65"/>
      <c r="WQ61" s="65"/>
      <c r="WR61" s="65"/>
      <c r="WS61" s="65"/>
      <c r="WT61" s="65"/>
      <c r="WU61" s="65"/>
      <c r="WV61" s="65"/>
      <c r="WW61" s="65"/>
      <c r="WX61" s="65"/>
      <c r="WY61" s="65"/>
      <c r="WZ61" s="65"/>
      <c r="XA61" s="65"/>
      <c r="XB61" s="65"/>
      <c r="XC61" s="65"/>
      <c r="XD61" s="65"/>
      <c r="XE61" s="65"/>
      <c r="XF61" s="65"/>
      <c r="XG61" s="65"/>
      <c r="XH61" s="65"/>
      <c r="XI61" s="65"/>
      <c r="XJ61" s="65"/>
      <c r="XK61" s="65"/>
      <c r="XL61" s="65"/>
      <c r="XM61" s="65"/>
      <c r="XN61" s="65"/>
      <c r="XO61" s="65"/>
      <c r="XP61" s="65"/>
      <c r="XQ61" s="65"/>
      <c r="XR61" s="65"/>
      <c r="XS61" s="65"/>
      <c r="XT61" s="65"/>
      <c r="XU61" s="65"/>
      <c r="XV61" s="65"/>
      <c r="XW61" s="65"/>
      <c r="XX61" s="65"/>
      <c r="XY61" s="65"/>
      <c r="XZ61" s="65"/>
      <c r="YA61" s="65"/>
      <c r="YB61" s="65"/>
      <c r="YC61" s="65"/>
      <c r="YD61" s="65"/>
      <c r="YE61" s="65"/>
      <c r="YF61" s="65"/>
      <c r="YG61" s="65"/>
      <c r="YH61" s="65"/>
      <c r="YI61" s="65"/>
      <c r="YJ61" s="65"/>
      <c r="YK61" s="65"/>
      <c r="YL61" s="65"/>
      <c r="YM61" s="65"/>
      <c r="YN61" s="65"/>
      <c r="YO61" s="65"/>
      <c r="YP61" s="65"/>
      <c r="YQ61" s="65"/>
      <c r="YR61" s="65"/>
      <c r="YS61" s="65"/>
      <c r="YT61" s="65"/>
      <c r="YU61" s="65"/>
      <c r="YV61" s="65"/>
      <c r="YW61" s="65"/>
      <c r="YX61" s="65"/>
      <c r="YY61" s="65"/>
      <c r="YZ61" s="65"/>
      <c r="ZA61" s="65"/>
      <c r="ZB61" s="65"/>
      <c r="ZC61" s="65"/>
      <c r="ZD61" s="65"/>
      <c r="ZE61" s="65"/>
      <c r="ZF61" s="65"/>
      <c r="ZG61" s="65"/>
      <c r="ZH61" s="65"/>
      <c r="ZI61" s="65"/>
      <c r="ZJ61" s="65"/>
      <c r="ZK61" s="65"/>
      <c r="ZL61" s="65"/>
      <c r="ZM61" s="65"/>
      <c r="ZN61" s="65"/>
      <c r="ZO61" s="65"/>
      <c r="ZP61" s="65"/>
      <c r="ZQ61" s="65"/>
      <c r="ZR61" s="65"/>
      <c r="ZS61" s="65"/>
      <c r="ZT61" s="65"/>
      <c r="ZU61" s="65"/>
      <c r="ZV61" s="65"/>
      <c r="ZW61" s="65"/>
      <c r="ZX61" s="65"/>
      <c r="ZY61" s="65"/>
      <c r="ZZ61" s="65"/>
      <c r="AAA61" s="65"/>
      <c r="AAB61" s="65"/>
      <c r="AAC61" s="65"/>
      <c r="AAD61" s="65"/>
      <c r="AAE61" s="65"/>
      <c r="AAF61" s="65"/>
      <c r="AAG61" s="65"/>
      <c r="AAH61" s="65"/>
      <c r="AAI61" s="65"/>
      <c r="AAJ61" s="65"/>
      <c r="AAK61" s="65"/>
      <c r="AAL61" s="65"/>
      <c r="AAM61" s="65"/>
      <c r="AAN61" s="65"/>
      <c r="AAO61" s="65"/>
      <c r="AAP61" s="65"/>
      <c r="AAQ61" s="65"/>
      <c r="AAR61" s="65"/>
      <c r="AAS61" s="65"/>
      <c r="AAT61" s="65"/>
      <c r="AAU61" s="65"/>
      <c r="AAV61" s="65"/>
      <c r="AAW61" s="65"/>
      <c r="AAX61" s="65"/>
      <c r="AAY61" s="65"/>
      <c r="AAZ61" s="65"/>
      <c r="ABA61" s="65"/>
      <c r="ABB61" s="65"/>
      <c r="ABC61" s="65"/>
      <c r="ABD61" s="65"/>
      <c r="ABE61" s="65"/>
      <c r="ABF61" s="65"/>
      <c r="ABG61" s="65"/>
      <c r="ABH61" s="65"/>
      <c r="ABI61" s="65"/>
      <c r="ABJ61" s="65"/>
      <c r="ABK61" s="65"/>
      <c r="ABL61" s="65"/>
      <c r="ABM61" s="65"/>
      <c r="ABN61" s="65"/>
    </row>
    <row r="62" spans="1:742" ht="45" x14ac:dyDescent="0.25">
      <c r="A62" s="110">
        <v>2025</v>
      </c>
      <c r="B62" s="230">
        <v>4</v>
      </c>
      <c r="C62" s="152">
        <v>22569</v>
      </c>
      <c r="D62" s="277">
        <v>45762</v>
      </c>
      <c r="E62" s="111" t="s">
        <v>935</v>
      </c>
      <c r="F62" s="111" t="s">
        <v>937</v>
      </c>
      <c r="G62" s="110" t="s">
        <v>98</v>
      </c>
      <c r="H62" s="110">
        <v>3184920200</v>
      </c>
      <c r="I62" s="111" t="s">
        <v>938</v>
      </c>
      <c r="J62" s="108">
        <v>45771</v>
      </c>
      <c r="K62" s="110" t="s">
        <v>88</v>
      </c>
      <c r="L62" s="112" t="s">
        <v>939</v>
      </c>
      <c r="M62" s="110" t="s">
        <v>136</v>
      </c>
      <c r="N62" s="110">
        <v>5873</v>
      </c>
      <c r="O62" s="110" t="s">
        <v>136</v>
      </c>
      <c r="P62" s="110" t="s">
        <v>136</v>
      </c>
      <c r="Q62" s="110" t="s">
        <v>136</v>
      </c>
      <c r="R62" s="110" t="s">
        <v>136</v>
      </c>
      <c r="S62" s="110" t="s">
        <v>136</v>
      </c>
      <c r="T62" s="110" t="s">
        <v>136</v>
      </c>
      <c r="U62" s="110" t="s">
        <v>136</v>
      </c>
      <c r="V62" s="111" t="s">
        <v>119</v>
      </c>
      <c r="W62" s="108">
        <v>45771</v>
      </c>
      <c r="X62" s="108">
        <v>45772</v>
      </c>
      <c r="Y62" s="110"/>
      <c r="Z62" s="126" t="s">
        <v>85</v>
      </c>
      <c r="AA62" s="130">
        <v>120000</v>
      </c>
      <c r="AB62" s="110">
        <v>5172</v>
      </c>
      <c r="AC62" s="114">
        <v>100840</v>
      </c>
      <c r="AD62" s="212">
        <f t="shared" si="5"/>
        <v>119999.59999999999</v>
      </c>
      <c r="AE62" s="114">
        <v>0</v>
      </c>
      <c r="AF62" s="110"/>
      <c r="AG62" s="142" t="s">
        <v>1010</v>
      </c>
      <c r="AH62" s="248">
        <v>45757</v>
      </c>
      <c r="AI62" s="108">
        <v>45772</v>
      </c>
      <c r="AJ62" s="110" t="s">
        <v>571</v>
      </c>
      <c r="AK62" s="110"/>
    </row>
    <row r="63" spans="1:742" s="207" customFormat="1" ht="90" x14ac:dyDescent="0.25">
      <c r="A63" s="99">
        <v>2025</v>
      </c>
      <c r="B63" s="233">
        <v>4</v>
      </c>
      <c r="C63" s="356">
        <v>22570</v>
      </c>
      <c r="D63" s="278">
        <v>45762</v>
      </c>
      <c r="E63" s="100" t="s">
        <v>1053</v>
      </c>
      <c r="F63" s="100" t="s">
        <v>1054</v>
      </c>
      <c r="G63" s="99" t="s">
        <v>265</v>
      </c>
      <c r="H63" s="99">
        <v>335475045</v>
      </c>
      <c r="I63" s="99">
        <v>3148732062</v>
      </c>
      <c r="J63" s="97">
        <v>45778</v>
      </c>
      <c r="K63" s="99" t="s">
        <v>88</v>
      </c>
      <c r="L63" s="101" t="s">
        <v>1055</v>
      </c>
      <c r="M63" s="99" t="s">
        <v>136</v>
      </c>
      <c r="N63" s="99">
        <v>5901</v>
      </c>
      <c r="O63" s="99">
        <v>6145</v>
      </c>
      <c r="P63" s="99">
        <v>8449</v>
      </c>
      <c r="Q63" s="99">
        <v>5434</v>
      </c>
      <c r="R63" s="99" t="s">
        <v>136</v>
      </c>
      <c r="S63" s="99" t="s">
        <v>134</v>
      </c>
      <c r="T63" s="99" t="s">
        <v>134</v>
      </c>
      <c r="U63" s="99" t="s">
        <v>136</v>
      </c>
      <c r="V63" s="100" t="s">
        <v>87</v>
      </c>
      <c r="W63" s="97">
        <v>45786</v>
      </c>
      <c r="X63" s="97">
        <v>45800</v>
      </c>
      <c r="Y63" s="99"/>
      <c r="Z63" s="120" t="s">
        <v>21</v>
      </c>
      <c r="AA63" s="117">
        <v>2252524</v>
      </c>
      <c r="AB63" s="99">
        <v>5841</v>
      </c>
      <c r="AC63" s="103">
        <v>1892877</v>
      </c>
      <c r="AD63" s="198">
        <f t="shared" si="5"/>
        <v>2252523.63</v>
      </c>
      <c r="AE63" s="103">
        <v>1126262</v>
      </c>
      <c r="AF63" s="99"/>
      <c r="AG63" s="104" t="s">
        <v>1893</v>
      </c>
      <c r="AH63" s="258">
        <v>45792</v>
      </c>
      <c r="AI63" s="97">
        <v>45807</v>
      </c>
      <c r="AJ63" s="99" t="s">
        <v>1705</v>
      </c>
      <c r="AK63" s="99"/>
      <c r="AL63" s="65"/>
      <c r="AM63" s="65"/>
      <c r="AN63" s="65"/>
      <c r="AO63" s="65"/>
      <c r="AP63" s="65"/>
      <c r="AQ63" s="65"/>
      <c r="AR63" s="65"/>
      <c r="AS63" s="65"/>
      <c r="AT63" s="65"/>
      <c r="AU63" s="65"/>
      <c r="AV63" s="65"/>
      <c r="AW63" s="65"/>
      <c r="AX63" s="65"/>
      <c r="AY63" s="65"/>
      <c r="AZ63" s="65"/>
      <c r="BA63" s="65"/>
      <c r="BB63" s="65"/>
      <c r="BC63" s="65"/>
      <c r="BD63" s="65"/>
      <c r="BE63" s="65"/>
      <c r="BF63" s="65"/>
      <c r="BG63" s="65"/>
      <c r="BH63" s="65"/>
      <c r="BI63" s="65"/>
      <c r="BJ63" s="65"/>
      <c r="BK63" s="65"/>
      <c r="BL63" s="65"/>
      <c r="BM63" s="65"/>
      <c r="BN63" s="65"/>
      <c r="BO63" s="65"/>
      <c r="BP63" s="65"/>
      <c r="BQ63" s="65"/>
      <c r="BR63" s="65"/>
      <c r="BS63" s="65"/>
      <c r="BT63" s="65"/>
      <c r="BU63" s="65"/>
      <c r="BV63" s="65"/>
      <c r="BW63" s="65"/>
      <c r="BX63" s="65"/>
      <c r="BY63" s="65"/>
      <c r="BZ63" s="65"/>
      <c r="CA63" s="65"/>
      <c r="CB63" s="65"/>
      <c r="CC63" s="65"/>
      <c r="CD63" s="65"/>
      <c r="CE63" s="65"/>
      <c r="CF63" s="65"/>
      <c r="CG63" s="65"/>
      <c r="CH63" s="65"/>
      <c r="CI63" s="65"/>
      <c r="CJ63" s="65"/>
      <c r="CK63" s="65"/>
      <c r="CL63" s="65"/>
      <c r="CM63" s="65"/>
      <c r="CN63" s="65"/>
      <c r="CO63" s="65"/>
      <c r="CP63" s="65"/>
      <c r="CQ63" s="65"/>
      <c r="CR63" s="65"/>
      <c r="CS63" s="65"/>
      <c r="CT63" s="65"/>
      <c r="CU63" s="65"/>
      <c r="CV63" s="65"/>
      <c r="CW63" s="65"/>
      <c r="CX63" s="65"/>
      <c r="CY63" s="65"/>
      <c r="CZ63" s="65"/>
      <c r="DA63" s="65"/>
      <c r="DB63" s="65"/>
      <c r="DC63" s="65"/>
      <c r="DD63" s="65"/>
      <c r="DE63" s="65"/>
      <c r="DF63" s="65"/>
      <c r="DG63" s="65"/>
      <c r="DH63" s="65"/>
      <c r="DI63" s="65"/>
      <c r="DJ63" s="65"/>
      <c r="DK63" s="65"/>
      <c r="DL63" s="65"/>
      <c r="DM63" s="65"/>
      <c r="DN63" s="65"/>
      <c r="DO63" s="65"/>
      <c r="DP63" s="65"/>
      <c r="DQ63" s="65"/>
      <c r="DR63" s="65"/>
      <c r="DS63" s="65"/>
      <c r="DT63" s="65"/>
      <c r="DU63" s="65"/>
      <c r="DV63" s="65"/>
      <c r="DW63" s="65"/>
      <c r="DX63" s="65"/>
      <c r="DY63" s="65"/>
      <c r="DZ63" s="65"/>
      <c r="EA63" s="65"/>
      <c r="EB63" s="65"/>
      <c r="EC63" s="65"/>
      <c r="ED63" s="65"/>
      <c r="EE63" s="65"/>
      <c r="EF63" s="65"/>
      <c r="EG63" s="65"/>
      <c r="EH63" s="65"/>
      <c r="EI63" s="65"/>
      <c r="EJ63" s="65"/>
      <c r="EK63" s="65"/>
      <c r="EL63" s="65"/>
      <c r="EM63" s="65"/>
      <c r="EN63" s="65"/>
      <c r="EO63" s="65"/>
      <c r="EP63" s="65"/>
      <c r="EQ63" s="65"/>
      <c r="ER63" s="65"/>
      <c r="ES63" s="65"/>
      <c r="ET63" s="65"/>
      <c r="EU63" s="65"/>
      <c r="EV63" s="65"/>
      <c r="EW63" s="65"/>
      <c r="EX63" s="65"/>
      <c r="EY63" s="65"/>
      <c r="EZ63" s="65"/>
      <c r="FA63" s="65"/>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c r="GO63" s="65"/>
      <c r="GP63" s="65"/>
      <c r="GQ63" s="65"/>
      <c r="GR63" s="65"/>
      <c r="GS63" s="65"/>
      <c r="GT63" s="65"/>
      <c r="GU63" s="65"/>
      <c r="GV63" s="65"/>
      <c r="GW63" s="65"/>
      <c r="GX63" s="65"/>
      <c r="GY63" s="65"/>
      <c r="GZ63" s="65"/>
      <c r="HA63" s="65"/>
      <c r="HB63" s="65"/>
      <c r="HC63" s="65"/>
      <c r="HD63" s="65"/>
      <c r="HE63" s="65"/>
      <c r="HF63" s="65"/>
      <c r="HG63" s="65"/>
      <c r="HH63" s="65"/>
      <c r="HI63" s="65"/>
      <c r="HJ63" s="65"/>
      <c r="HK63" s="65"/>
      <c r="HL63" s="65"/>
      <c r="HM63" s="65"/>
      <c r="HN63" s="65"/>
      <c r="HO63" s="65"/>
      <c r="HP63" s="65"/>
      <c r="HQ63" s="65"/>
      <c r="HR63" s="65"/>
      <c r="HS63" s="65"/>
      <c r="HT63" s="65"/>
      <c r="HU63" s="65"/>
      <c r="HV63" s="65"/>
      <c r="HW63" s="65"/>
      <c r="HX63" s="65"/>
      <c r="HY63" s="65"/>
      <c r="HZ63" s="65"/>
      <c r="IA63" s="65"/>
      <c r="IB63" s="65"/>
      <c r="IC63" s="65"/>
      <c r="ID63" s="65"/>
      <c r="IE63" s="65"/>
      <c r="IF63" s="65"/>
      <c r="IG63" s="65"/>
      <c r="IH63" s="65"/>
      <c r="II63" s="65"/>
      <c r="IJ63" s="65"/>
      <c r="IK63" s="65"/>
      <c r="IL63" s="65"/>
      <c r="IM63" s="65"/>
      <c r="IN63" s="65"/>
      <c r="IO63" s="65"/>
      <c r="IP63" s="65"/>
      <c r="IQ63" s="65"/>
      <c r="IR63" s="65"/>
      <c r="IS63" s="65"/>
      <c r="IT63" s="65"/>
      <c r="IU63" s="65"/>
      <c r="IV63" s="65"/>
      <c r="IW63" s="65"/>
      <c r="IX63" s="65"/>
      <c r="IY63" s="65"/>
      <c r="IZ63" s="65"/>
      <c r="JA63" s="65"/>
      <c r="JB63" s="65"/>
      <c r="JC63" s="65"/>
      <c r="JD63" s="65"/>
      <c r="JE63" s="65"/>
      <c r="JF63" s="65"/>
      <c r="JG63" s="65"/>
      <c r="JH63" s="65"/>
      <c r="JI63" s="65"/>
      <c r="JJ63" s="65"/>
      <c r="JK63" s="65"/>
      <c r="JL63" s="65"/>
      <c r="JM63" s="65"/>
      <c r="JN63" s="65"/>
      <c r="JO63" s="65"/>
      <c r="JP63" s="65"/>
      <c r="JQ63" s="65"/>
      <c r="JR63" s="65"/>
      <c r="JS63" s="65"/>
      <c r="JT63" s="65"/>
      <c r="JU63" s="65"/>
      <c r="JV63" s="65"/>
      <c r="JW63" s="65"/>
      <c r="JX63" s="65"/>
      <c r="JY63" s="65"/>
      <c r="JZ63" s="65"/>
      <c r="KA63" s="65"/>
      <c r="KB63" s="65"/>
      <c r="KC63" s="65"/>
      <c r="KD63" s="65"/>
      <c r="KE63" s="65"/>
      <c r="KF63" s="65"/>
      <c r="KG63" s="65"/>
      <c r="KH63" s="65"/>
      <c r="KI63" s="65"/>
      <c r="KJ63" s="65"/>
      <c r="KK63" s="65"/>
      <c r="KL63" s="65"/>
      <c r="KM63" s="65"/>
      <c r="KN63" s="65"/>
      <c r="KO63" s="65"/>
      <c r="KP63" s="65"/>
      <c r="KQ63" s="65"/>
      <c r="KR63" s="65"/>
      <c r="KS63" s="65"/>
      <c r="KT63" s="65"/>
      <c r="KU63" s="65"/>
      <c r="KV63" s="65"/>
      <c r="KW63" s="65"/>
      <c r="KX63" s="65"/>
      <c r="KY63" s="65"/>
      <c r="KZ63" s="65"/>
      <c r="LA63" s="65"/>
      <c r="LB63" s="65"/>
      <c r="LC63" s="65"/>
      <c r="LD63" s="65"/>
      <c r="LE63" s="65"/>
      <c r="LF63" s="65"/>
      <c r="LG63" s="65"/>
      <c r="LH63" s="65"/>
      <c r="LI63" s="65"/>
      <c r="LJ63" s="65"/>
      <c r="LK63" s="65"/>
      <c r="LL63" s="65"/>
      <c r="LM63" s="65"/>
      <c r="LN63" s="65"/>
      <c r="LO63" s="65"/>
      <c r="LP63" s="65"/>
      <c r="LQ63" s="65"/>
      <c r="LR63" s="65"/>
      <c r="LS63" s="65"/>
      <c r="LT63" s="65"/>
      <c r="LU63" s="65"/>
      <c r="LV63" s="65"/>
      <c r="LW63" s="65"/>
      <c r="LX63" s="65"/>
      <c r="LY63" s="65"/>
      <c r="LZ63" s="65"/>
      <c r="MA63" s="65"/>
      <c r="MB63" s="65"/>
      <c r="MC63" s="65"/>
      <c r="MD63" s="65"/>
      <c r="ME63" s="65"/>
      <c r="MF63" s="65"/>
      <c r="MG63" s="65"/>
      <c r="MH63" s="65"/>
      <c r="MI63" s="65"/>
      <c r="MJ63" s="65"/>
      <c r="MK63" s="65"/>
      <c r="ML63" s="65"/>
      <c r="MM63" s="65"/>
      <c r="MN63" s="65"/>
      <c r="MO63" s="65"/>
      <c r="MP63" s="65"/>
      <c r="MQ63" s="65"/>
      <c r="MR63" s="65"/>
      <c r="MS63" s="65"/>
      <c r="MT63" s="65"/>
      <c r="MU63" s="65"/>
      <c r="MV63" s="65"/>
      <c r="MW63" s="65"/>
      <c r="MX63" s="65"/>
      <c r="MY63" s="65"/>
      <c r="MZ63" s="65"/>
      <c r="NA63" s="65"/>
      <c r="NB63" s="65"/>
      <c r="NC63" s="65"/>
      <c r="ND63" s="65"/>
      <c r="NE63" s="65"/>
      <c r="NF63" s="65"/>
      <c r="NG63" s="65"/>
      <c r="NH63" s="65"/>
      <c r="NI63" s="65"/>
      <c r="NJ63" s="65"/>
      <c r="NK63" s="65"/>
      <c r="NL63" s="65"/>
      <c r="NM63" s="65"/>
      <c r="NN63" s="65"/>
      <c r="NO63" s="65"/>
      <c r="NP63" s="65"/>
      <c r="NQ63" s="65"/>
      <c r="NR63" s="65"/>
      <c r="NS63" s="65"/>
      <c r="NT63" s="65"/>
      <c r="NU63" s="65"/>
      <c r="NV63" s="65"/>
      <c r="NW63" s="65"/>
      <c r="NX63" s="65"/>
      <c r="NY63" s="65"/>
      <c r="NZ63" s="65"/>
      <c r="OA63" s="65"/>
      <c r="OB63" s="65"/>
      <c r="OC63" s="65"/>
      <c r="OD63" s="65"/>
      <c r="OE63" s="65"/>
      <c r="OF63" s="65"/>
      <c r="OG63" s="65"/>
      <c r="OH63" s="65"/>
      <c r="OI63" s="65"/>
      <c r="OJ63" s="65"/>
      <c r="OK63" s="65"/>
      <c r="OL63" s="65"/>
      <c r="OM63" s="65"/>
      <c r="ON63" s="65"/>
      <c r="OO63" s="65"/>
      <c r="OP63" s="65"/>
      <c r="OQ63" s="65"/>
      <c r="OR63" s="65"/>
      <c r="OS63" s="65"/>
      <c r="OT63" s="65"/>
      <c r="OU63" s="65"/>
      <c r="OV63" s="65"/>
      <c r="OW63" s="65"/>
      <c r="OX63" s="65"/>
      <c r="OY63" s="65"/>
      <c r="OZ63" s="65"/>
      <c r="PA63" s="65"/>
      <c r="PB63" s="65"/>
      <c r="PC63" s="65"/>
      <c r="PD63" s="65"/>
      <c r="PE63" s="65"/>
      <c r="PF63" s="65"/>
      <c r="PG63" s="65"/>
      <c r="PH63" s="65"/>
      <c r="PI63" s="65"/>
      <c r="PJ63" s="65"/>
      <c r="PK63" s="65"/>
      <c r="PL63" s="65"/>
      <c r="PM63" s="65"/>
      <c r="PN63" s="65"/>
      <c r="PO63" s="65"/>
      <c r="PP63" s="65"/>
      <c r="PQ63" s="65"/>
      <c r="PR63" s="65"/>
      <c r="PS63" s="65"/>
      <c r="PT63" s="65"/>
      <c r="PU63" s="65"/>
      <c r="PV63" s="65"/>
      <c r="PW63" s="65"/>
      <c r="PX63" s="65"/>
      <c r="PY63" s="65"/>
      <c r="PZ63" s="65"/>
      <c r="QA63" s="65"/>
      <c r="QB63" s="65"/>
      <c r="QC63" s="65"/>
      <c r="QD63" s="65"/>
      <c r="QE63" s="65"/>
      <c r="QF63" s="65"/>
      <c r="QG63" s="65"/>
      <c r="QH63" s="65"/>
      <c r="QI63" s="65"/>
      <c r="QJ63" s="65"/>
      <c r="QK63" s="65"/>
      <c r="QL63" s="65"/>
      <c r="QM63" s="65"/>
      <c r="QN63" s="65"/>
      <c r="QO63" s="65"/>
      <c r="QP63" s="65"/>
      <c r="QQ63" s="65"/>
      <c r="QR63" s="65"/>
      <c r="QS63" s="65"/>
      <c r="QT63" s="65"/>
      <c r="QU63" s="65"/>
      <c r="QV63" s="65"/>
      <c r="QW63" s="65"/>
      <c r="QX63" s="65"/>
      <c r="QY63" s="65"/>
      <c r="QZ63" s="65"/>
      <c r="RA63" s="65"/>
      <c r="RB63" s="65"/>
      <c r="RC63" s="65"/>
      <c r="RD63" s="65"/>
      <c r="RE63" s="65"/>
      <c r="RF63" s="65"/>
      <c r="RG63" s="65"/>
      <c r="RH63" s="65"/>
      <c r="RI63" s="65"/>
      <c r="RJ63" s="65"/>
      <c r="RK63" s="65"/>
      <c r="RL63" s="65"/>
      <c r="RM63" s="65"/>
      <c r="RN63" s="65"/>
      <c r="RO63" s="65"/>
      <c r="RP63" s="65"/>
      <c r="RQ63" s="65"/>
      <c r="RR63" s="65"/>
      <c r="RS63" s="65"/>
      <c r="RT63" s="65"/>
      <c r="RU63" s="65"/>
      <c r="RV63" s="65"/>
      <c r="RW63" s="65"/>
      <c r="RX63" s="65"/>
      <c r="RY63" s="65"/>
      <c r="RZ63" s="65"/>
      <c r="SA63" s="65"/>
      <c r="SB63" s="65"/>
      <c r="SC63" s="65"/>
      <c r="SD63" s="65"/>
      <c r="SE63" s="65"/>
      <c r="SF63" s="65"/>
      <c r="SG63" s="65"/>
      <c r="SH63" s="65"/>
      <c r="SI63" s="65"/>
      <c r="SJ63" s="65"/>
      <c r="SK63" s="65"/>
      <c r="SL63" s="65"/>
      <c r="SM63" s="65"/>
      <c r="SN63" s="65"/>
      <c r="SO63" s="65"/>
      <c r="SP63" s="65"/>
      <c r="SQ63" s="65"/>
      <c r="SR63" s="65"/>
      <c r="SS63" s="65"/>
      <c r="ST63" s="65"/>
      <c r="SU63" s="65"/>
      <c r="SV63" s="65"/>
      <c r="SW63" s="65"/>
      <c r="SX63" s="65"/>
      <c r="SY63" s="65"/>
      <c r="SZ63" s="65"/>
      <c r="TA63" s="65"/>
      <c r="TB63" s="65"/>
      <c r="TC63" s="65"/>
      <c r="TD63" s="65"/>
      <c r="TE63" s="65"/>
      <c r="TF63" s="65"/>
      <c r="TG63" s="65"/>
      <c r="TH63" s="65"/>
      <c r="TI63" s="65"/>
      <c r="TJ63" s="65"/>
      <c r="TK63" s="65"/>
      <c r="TL63" s="65"/>
      <c r="TM63" s="65"/>
      <c r="TN63" s="65"/>
      <c r="TO63" s="65"/>
      <c r="TP63" s="65"/>
      <c r="TQ63" s="65"/>
      <c r="TR63" s="65"/>
      <c r="TS63" s="65"/>
      <c r="TT63" s="65"/>
      <c r="TU63" s="65"/>
      <c r="TV63" s="65"/>
      <c r="TW63" s="65"/>
      <c r="TX63" s="65"/>
      <c r="TY63" s="65"/>
      <c r="TZ63" s="65"/>
      <c r="UA63" s="65"/>
      <c r="UB63" s="65"/>
      <c r="UC63" s="65"/>
      <c r="UD63" s="65"/>
      <c r="UE63" s="65"/>
      <c r="UF63" s="65"/>
      <c r="UG63" s="65"/>
      <c r="UH63" s="65"/>
      <c r="UI63" s="65"/>
      <c r="UJ63" s="65"/>
      <c r="UK63" s="65"/>
      <c r="UL63" s="65"/>
      <c r="UM63" s="65"/>
      <c r="UN63" s="65"/>
      <c r="UO63" s="65"/>
      <c r="UP63" s="65"/>
      <c r="UQ63" s="65"/>
      <c r="UR63" s="65"/>
      <c r="US63" s="65"/>
      <c r="UT63" s="65"/>
      <c r="UU63" s="65"/>
      <c r="UV63" s="65"/>
      <c r="UW63" s="65"/>
      <c r="UX63" s="65"/>
      <c r="UY63" s="65"/>
      <c r="UZ63" s="65"/>
      <c r="VA63" s="65"/>
      <c r="VB63" s="65"/>
      <c r="VC63" s="65"/>
      <c r="VD63" s="65"/>
      <c r="VE63" s="65"/>
      <c r="VF63" s="65"/>
      <c r="VG63" s="65"/>
      <c r="VH63" s="65"/>
      <c r="VI63" s="65"/>
      <c r="VJ63" s="65"/>
      <c r="VK63" s="65"/>
      <c r="VL63" s="65"/>
      <c r="VM63" s="65"/>
      <c r="VN63" s="65"/>
      <c r="VO63" s="65"/>
      <c r="VP63" s="65"/>
      <c r="VQ63" s="65"/>
      <c r="VR63" s="65"/>
      <c r="VS63" s="65"/>
      <c r="VT63" s="65"/>
      <c r="VU63" s="65"/>
      <c r="VV63" s="65"/>
      <c r="VW63" s="65"/>
      <c r="VX63" s="65"/>
      <c r="VY63" s="65"/>
      <c r="VZ63" s="65"/>
      <c r="WA63" s="65"/>
      <c r="WB63" s="65"/>
      <c r="WC63" s="65"/>
      <c r="WD63" s="65"/>
      <c r="WE63" s="65"/>
      <c r="WF63" s="65"/>
      <c r="WG63" s="65"/>
      <c r="WH63" s="65"/>
      <c r="WI63" s="65"/>
      <c r="WJ63" s="65"/>
      <c r="WK63" s="65"/>
      <c r="WL63" s="65"/>
      <c r="WM63" s="65"/>
      <c r="WN63" s="65"/>
      <c r="WO63" s="65"/>
      <c r="WP63" s="65"/>
      <c r="WQ63" s="65"/>
      <c r="WR63" s="65"/>
      <c r="WS63" s="65"/>
      <c r="WT63" s="65"/>
      <c r="WU63" s="65"/>
      <c r="WV63" s="65"/>
      <c r="WW63" s="65"/>
      <c r="WX63" s="65"/>
      <c r="WY63" s="65"/>
      <c r="WZ63" s="65"/>
      <c r="XA63" s="65"/>
      <c r="XB63" s="65"/>
      <c r="XC63" s="65"/>
      <c r="XD63" s="65"/>
      <c r="XE63" s="65"/>
      <c r="XF63" s="65"/>
      <c r="XG63" s="65"/>
      <c r="XH63" s="65"/>
      <c r="XI63" s="65"/>
      <c r="XJ63" s="65"/>
      <c r="XK63" s="65"/>
      <c r="XL63" s="65"/>
      <c r="XM63" s="65"/>
      <c r="XN63" s="65"/>
      <c r="XO63" s="65"/>
      <c r="XP63" s="65"/>
      <c r="XQ63" s="65"/>
      <c r="XR63" s="65"/>
      <c r="XS63" s="65"/>
      <c r="XT63" s="65"/>
      <c r="XU63" s="65"/>
      <c r="XV63" s="65"/>
      <c r="XW63" s="65"/>
      <c r="XX63" s="65"/>
      <c r="XY63" s="65"/>
      <c r="XZ63" s="65"/>
      <c r="YA63" s="65"/>
      <c r="YB63" s="65"/>
      <c r="YC63" s="65"/>
      <c r="YD63" s="65"/>
      <c r="YE63" s="65"/>
      <c r="YF63" s="65"/>
      <c r="YG63" s="65"/>
      <c r="YH63" s="65"/>
      <c r="YI63" s="65"/>
      <c r="YJ63" s="65"/>
      <c r="YK63" s="65"/>
      <c r="YL63" s="65"/>
      <c r="YM63" s="65"/>
      <c r="YN63" s="65"/>
      <c r="YO63" s="65"/>
      <c r="YP63" s="65"/>
      <c r="YQ63" s="65"/>
      <c r="YR63" s="65"/>
      <c r="YS63" s="65"/>
      <c r="YT63" s="65"/>
      <c r="YU63" s="65"/>
      <c r="YV63" s="65"/>
      <c r="YW63" s="65"/>
      <c r="YX63" s="65"/>
      <c r="YY63" s="65"/>
      <c r="YZ63" s="65"/>
      <c r="ZA63" s="65"/>
      <c r="ZB63" s="65"/>
      <c r="ZC63" s="65"/>
      <c r="ZD63" s="65"/>
      <c r="ZE63" s="65"/>
      <c r="ZF63" s="65"/>
      <c r="ZG63" s="65"/>
      <c r="ZH63" s="65"/>
      <c r="ZI63" s="65"/>
      <c r="ZJ63" s="65"/>
      <c r="ZK63" s="65"/>
      <c r="ZL63" s="65"/>
      <c r="ZM63" s="65"/>
      <c r="ZN63" s="65"/>
      <c r="ZO63" s="65"/>
      <c r="ZP63" s="65"/>
      <c r="ZQ63" s="65"/>
      <c r="ZR63" s="65"/>
      <c r="ZS63" s="65"/>
      <c r="ZT63" s="65"/>
      <c r="ZU63" s="65"/>
      <c r="ZV63" s="65"/>
      <c r="ZW63" s="65"/>
      <c r="ZX63" s="65"/>
      <c r="ZY63" s="65"/>
      <c r="ZZ63" s="65"/>
      <c r="AAA63" s="65"/>
      <c r="AAB63" s="65"/>
      <c r="AAC63" s="65"/>
      <c r="AAD63" s="65"/>
      <c r="AAE63" s="65"/>
      <c r="AAF63" s="65"/>
      <c r="AAG63" s="65"/>
      <c r="AAH63" s="65"/>
      <c r="AAI63" s="65"/>
      <c r="AAJ63" s="65"/>
      <c r="AAK63" s="65"/>
      <c r="AAL63" s="65"/>
      <c r="AAM63" s="65"/>
      <c r="AAN63" s="65"/>
      <c r="AAO63" s="65"/>
      <c r="AAP63" s="65"/>
      <c r="AAQ63" s="65"/>
      <c r="AAR63" s="65"/>
      <c r="AAS63" s="65"/>
      <c r="AAT63" s="65"/>
      <c r="AAU63" s="65"/>
      <c r="AAV63" s="65"/>
      <c r="AAW63" s="65"/>
      <c r="AAX63" s="65"/>
      <c r="AAY63" s="65"/>
      <c r="AAZ63" s="65"/>
      <c r="ABA63" s="65"/>
      <c r="ABB63" s="65"/>
      <c r="ABC63" s="65"/>
      <c r="ABD63" s="65"/>
      <c r="ABE63" s="65"/>
      <c r="ABF63" s="65"/>
      <c r="ABG63" s="65"/>
      <c r="ABH63" s="65"/>
      <c r="ABI63" s="65"/>
      <c r="ABJ63" s="65"/>
      <c r="ABK63" s="65"/>
      <c r="ABL63" s="65"/>
      <c r="ABM63" s="65"/>
      <c r="ABN63" s="65"/>
    </row>
    <row r="64" spans="1:742" ht="75" x14ac:dyDescent="0.25">
      <c r="A64" s="110">
        <v>2025</v>
      </c>
      <c r="B64" s="230">
        <v>4</v>
      </c>
      <c r="C64" s="152">
        <v>22571</v>
      </c>
      <c r="D64" s="277">
        <v>45763</v>
      </c>
      <c r="E64" s="111" t="s">
        <v>970</v>
      </c>
      <c r="F64" s="111" t="s">
        <v>971</v>
      </c>
      <c r="G64" s="110" t="s">
        <v>98</v>
      </c>
      <c r="H64" s="110">
        <v>3107818213</v>
      </c>
      <c r="I64" s="110">
        <v>6049156373</v>
      </c>
      <c r="J64" s="108">
        <v>45776</v>
      </c>
      <c r="K64" s="110" t="s">
        <v>88</v>
      </c>
      <c r="L64" s="112" t="s">
        <v>972</v>
      </c>
      <c r="M64" s="110" t="s">
        <v>136</v>
      </c>
      <c r="N64" s="110">
        <v>5882</v>
      </c>
      <c r="O64" s="110">
        <v>6123</v>
      </c>
      <c r="P64" s="110">
        <v>8827</v>
      </c>
      <c r="Q64" s="110" t="s">
        <v>136</v>
      </c>
      <c r="R64" s="110" t="s">
        <v>134</v>
      </c>
      <c r="S64" s="110" t="s">
        <v>134</v>
      </c>
      <c r="T64" s="110" t="s">
        <v>134</v>
      </c>
      <c r="U64" s="110" t="s">
        <v>136</v>
      </c>
      <c r="V64" s="111" t="s">
        <v>119</v>
      </c>
      <c r="W64" s="108">
        <v>45777</v>
      </c>
      <c r="X64" s="108">
        <v>45749</v>
      </c>
      <c r="Y64" s="110"/>
      <c r="Z64" s="126" t="s">
        <v>85</v>
      </c>
      <c r="AA64" s="130">
        <v>640123</v>
      </c>
      <c r="AB64" s="110">
        <v>5802</v>
      </c>
      <c r="AC64" s="114">
        <v>537918</v>
      </c>
      <c r="AD64" s="212">
        <f t="shared" si="5"/>
        <v>640122.41999999993</v>
      </c>
      <c r="AE64" s="114">
        <v>0</v>
      </c>
      <c r="AF64" s="110"/>
      <c r="AG64" s="142" t="s">
        <v>1107</v>
      </c>
      <c r="AH64" s="248">
        <v>45757</v>
      </c>
      <c r="AI64" s="108">
        <v>45749</v>
      </c>
      <c r="AJ64" s="110" t="s">
        <v>571</v>
      </c>
      <c r="AK64" s="110"/>
    </row>
    <row r="65" spans="1:742" ht="135" x14ac:dyDescent="0.25">
      <c r="A65" s="94">
        <v>2025</v>
      </c>
      <c r="B65" s="234">
        <v>4</v>
      </c>
      <c r="C65" s="351">
        <v>22572</v>
      </c>
      <c r="D65" s="274">
        <v>45763</v>
      </c>
      <c r="E65" s="90" t="s">
        <v>235</v>
      </c>
      <c r="F65" s="90" t="s">
        <v>960</v>
      </c>
      <c r="G65" s="94" t="s">
        <v>570</v>
      </c>
      <c r="H65" s="94">
        <v>3185608945</v>
      </c>
      <c r="I65" s="94">
        <v>6046796985</v>
      </c>
      <c r="J65" s="89">
        <v>45778</v>
      </c>
      <c r="K65" s="94" t="s">
        <v>95</v>
      </c>
      <c r="L65" s="91" t="s">
        <v>961</v>
      </c>
      <c r="M65" s="94" t="s">
        <v>136</v>
      </c>
      <c r="N65" s="90" t="s">
        <v>979</v>
      </c>
      <c r="O65" s="94">
        <v>6126</v>
      </c>
      <c r="P65" s="90" t="s">
        <v>962</v>
      </c>
      <c r="Q65" s="90" t="s">
        <v>963</v>
      </c>
      <c r="R65" s="94" t="s">
        <v>136</v>
      </c>
      <c r="S65" s="94" t="s">
        <v>134</v>
      </c>
      <c r="T65" s="94" t="s">
        <v>134</v>
      </c>
      <c r="U65" s="94" t="s">
        <v>136</v>
      </c>
      <c r="V65" s="90" t="s">
        <v>89</v>
      </c>
      <c r="W65" s="89">
        <v>45800</v>
      </c>
      <c r="X65" s="89">
        <v>45813</v>
      </c>
      <c r="Y65" s="94"/>
      <c r="Z65" s="134" t="s">
        <v>90</v>
      </c>
      <c r="AA65" s="213">
        <v>0</v>
      </c>
      <c r="AB65" s="94">
        <v>5801</v>
      </c>
      <c r="AC65" s="92">
        <v>14578397</v>
      </c>
      <c r="AD65" s="235">
        <f t="shared" si="5"/>
        <v>17348292.43</v>
      </c>
      <c r="AE65" s="92">
        <v>15540033</v>
      </c>
      <c r="AF65" s="94"/>
      <c r="AG65" s="214" t="s">
        <v>1914</v>
      </c>
      <c r="AH65" s="234"/>
      <c r="AI65" s="89">
        <v>45813</v>
      </c>
      <c r="AJ65" s="94" t="s">
        <v>1705</v>
      </c>
      <c r="AK65" s="94"/>
    </row>
    <row r="66" spans="1:742" s="155" customFormat="1" ht="90" x14ac:dyDescent="0.25">
      <c r="A66" s="110">
        <v>2025</v>
      </c>
      <c r="B66" s="230">
        <v>4</v>
      </c>
      <c r="C66" s="152">
        <v>22573</v>
      </c>
      <c r="D66" s="277">
        <v>45768</v>
      </c>
      <c r="E66" s="111" t="s">
        <v>1056</v>
      </c>
      <c r="F66" s="111" t="s">
        <v>1057</v>
      </c>
      <c r="G66" s="110" t="s">
        <v>148</v>
      </c>
      <c r="H66" s="110">
        <v>3122266661</v>
      </c>
      <c r="I66" s="110">
        <v>3122266661</v>
      </c>
      <c r="J66" s="108">
        <v>45783</v>
      </c>
      <c r="K66" s="110" t="s">
        <v>88</v>
      </c>
      <c r="L66" s="112" t="s">
        <v>1058</v>
      </c>
      <c r="M66" s="110" t="s">
        <v>136</v>
      </c>
      <c r="N66" s="110">
        <v>5896</v>
      </c>
      <c r="O66" s="110">
        <v>6134</v>
      </c>
      <c r="P66" s="110">
        <v>8888</v>
      </c>
      <c r="Q66" s="110">
        <v>5517</v>
      </c>
      <c r="R66" s="110" t="s">
        <v>136</v>
      </c>
      <c r="S66" s="110" t="s">
        <v>134</v>
      </c>
      <c r="T66" s="110" t="s">
        <v>134</v>
      </c>
      <c r="U66" s="110" t="s">
        <v>136</v>
      </c>
      <c r="V66" s="111" t="s">
        <v>119</v>
      </c>
      <c r="W66" s="108">
        <v>45783</v>
      </c>
      <c r="X66" s="108">
        <v>45787</v>
      </c>
      <c r="Y66" s="110"/>
      <c r="Z66" s="126" t="s">
        <v>85</v>
      </c>
      <c r="AA66" s="124">
        <v>0</v>
      </c>
      <c r="AB66" s="110">
        <v>5825</v>
      </c>
      <c r="AC66" s="114">
        <v>12188624</v>
      </c>
      <c r="AD66" s="212">
        <f t="shared" si="5"/>
        <v>14504462.559999999</v>
      </c>
      <c r="AE66" s="114">
        <v>7252232</v>
      </c>
      <c r="AF66" s="110"/>
      <c r="AG66" s="142" t="s">
        <v>1688</v>
      </c>
      <c r="AH66" s="248">
        <v>45785</v>
      </c>
      <c r="AI66" s="108">
        <v>45789</v>
      </c>
      <c r="AJ66" s="110" t="s">
        <v>571</v>
      </c>
      <c r="AK66" s="110"/>
      <c r="AL66" s="65"/>
      <c r="AM66" s="65"/>
      <c r="AN66" s="65"/>
      <c r="AO66" s="65"/>
      <c r="AP66" s="65"/>
      <c r="AQ66" s="65"/>
      <c r="AR66" s="65"/>
      <c r="AS66" s="65"/>
      <c r="AT66" s="65"/>
      <c r="AU66" s="65"/>
      <c r="AV66" s="65"/>
      <c r="AW66" s="65"/>
      <c r="AX66" s="65"/>
      <c r="AY66" s="65"/>
      <c r="AZ66" s="65"/>
      <c r="BA66" s="65"/>
      <c r="BB66" s="65"/>
      <c r="BC66" s="65"/>
      <c r="BD66" s="65"/>
      <c r="BE66" s="65"/>
      <c r="BF66" s="65"/>
      <c r="BG66" s="65"/>
      <c r="BH66" s="65"/>
      <c r="BI66" s="65"/>
      <c r="BJ66" s="65"/>
      <c r="BK66" s="65"/>
      <c r="BL66" s="65"/>
      <c r="BM66" s="65"/>
      <c r="BN66" s="65"/>
      <c r="BO66" s="65"/>
      <c r="BP66" s="65"/>
      <c r="BQ66" s="65"/>
      <c r="BR66" s="65"/>
      <c r="BS66" s="65"/>
      <c r="BT66" s="65"/>
      <c r="BU66" s="65"/>
      <c r="BV66" s="65"/>
      <c r="BW66" s="65"/>
      <c r="BX66" s="65"/>
      <c r="BY66" s="65"/>
      <c r="BZ66" s="65"/>
      <c r="CA66" s="65"/>
      <c r="CB66" s="65"/>
      <c r="CC66" s="65"/>
      <c r="CD66" s="65"/>
      <c r="CE66" s="65"/>
      <c r="CF66" s="65"/>
      <c r="CG66" s="65"/>
      <c r="CH66" s="65"/>
      <c r="CI66" s="65"/>
      <c r="CJ66" s="65"/>
      <c r="CK66" s="65"/>
      <c r="CL66" s="65"/>
      <c r="CM66" s="65"/>
      <c r="CN66" s="65"/>
      <c r="CO66" s="65"/>
      <c r="CP66" s="65"/>
      <c r="CQ66" s="65"/>
      <c r="CR66" s="65"/>
      <c r="CS66" s="65"/>
      <c r="CT66" s="65"/>
      <c r="CU66" s="65"/>
      <c r="CV66" s="65"/>
      <c r="CW66" s="65"/>
      <c r="CX66" s="65"/>
      <c r="CY66" s="65"/>
      <c r="CZ66" s="65"/>
      <c r="DA66" s="65"/>
      <c r="DB66" s="65"/>
      <c r="DC66" s="65"/>
      <c r="DD66" s="65"/>
      <c r="DE66" s="65"/>
      <c r="DF66" s="65"/>
      <c r="DG66" s="65"/>
      <c r="DH66" s="65"/>
      <c r="DI66" s="65"/>
      <c r="DJ66" s="65"/>
      <c r="DK66" s="65"/>
      <c r="DL66" s="65"/>
      <c r="DM66" s="65"/>
      <c r="DN66" s="65"/>
      <c r="DO66" s="65"/>
      <c r="DP66" s="65"/>
      <c r="DQ66" s="65"/>
      <c r="DR66" s="65"/>
      <c r="DS66" s="65"/>
      <c r="DT66" s="65"/>
      <c r="DU66" s="65"/>
      <c r="DV66" s="65"/>
      <c r="DW66" s="65"/>
      <c r="DX66" s="65"/>
      <c r="DY66" s="65"/>
      <c r="DZ66" s="65"/>
      <c r="EA66" s="65"/>
      <c r="EB66" s="65"/>
      <c r="EC66" s="65"/>
      <c r="ED66" s="65"/>
      <c r="EE66" s="65"/>
      <c r="EF66" s="65"/>
      <c r="EG66" s="65"/>
      <c r="EH66" s="65"/>
      <c r="EI66" s="65"/>
      <c r="EJ66" s="65"/>
      <c r="EK66" s="65"/>
      <c r="EL66" s="65"/>
      <c r="EM66" s="65"/>
      <c r="EN66" s="65"/>
      <c r="EO66" s="65"/>
      <c r="EP66" s="65"/>
      <c r="EQ66" s="65"/>
      <c r="ER66" s="65"/>
      <c r="ES66" s="65"/>
      <c r="ET66" s="65"/>
      <c r="EU66" s="65"/>
      <c r="EV66" s="65"/>
      <c r="EW66" s="65"/>
      <c r="EX66" s="65"/>
      <c r="EY66" s="65"/>
      <c r="EZ66" s="65"/>
      <c r="FA66" s="65"/>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c r="GO66" s="65"/>
      <c r="GP66" s="65"/>
      <c r="GQ66" s="65"/>
      <c r="GR66" s="65"/>
      <c r="GS66" s="65"/>
      <c r="GT66" s="65"/>
      <c r="GU66" s="65"/>
      <c r="GV66" s="65"/>
      <c r="GW66" s="65"/>
      <c r="GX66" s="65"/>
      <c r="GY66" s="65"/>
      <c r="GZ66" s="65"/>
      <c r="HA66" s="65"/>
      <c r="HB66" s="65"/>
      <c r="HC66" s="65"/>
      <c r="HD66" s="65"/>
      <c r="HE66" s="65"/>
      <c r="HF66" s="65"/>
      <c r="HG66" s="65"/>
      <c r="HH66" s="65"/>
      <c r="HI66" s="65"/>
      <c r="HJ66" s="65"/>
      <c r="HK66" s="65"/>
      <c r="HL66" s="65"/>
      <c r="HM66" s="65"/>
      <c r="HN66" s="65"/>
      <c r="HO66" s="65"/>
      <c r="HP66" s="65"/>
      <c r="HQ66" s="65"/>
      <c r="HR66" s="65"/>
      <c r="HS66" s="65"/>
      <c r="HT66" s="65"/>
      <c r="HU66" s="65"/>
      <c r="HV66" s="65"/>
      <c r="HW66" s="65"/>
      <c r="HX66" s="65"/>
      <c r="HY66" s="65"/>
      <c r="HZ66" s="65"/>
      <c r="IA66" s="65"/>
      <c r="IB66" s="65"/>
      <c r="IC66" s="65"/>
      <c r="ID66" s="65"/>
      <c r="IE66" s="65"/>
      <c r="IF66" s="65"/>
      <c r="IG66" s="65"/>
      <c r="IH66" s="65"/>
      <c r="II66" s="65"/>
      <c r="IJ66" s="65"/>
      <c r="IK66" s="65"/>
      <c r="IL66" s="65"/>
      <c r="IM66" s="65"/>
      <c r="IN66" s="65"/>
      <c r="IO66" s="65"/>
      <c r="IP66" s="65"/>
      <c r="IQ66" s="65"/>
      <c r="IR66" s="65"/>
      <c r="IS66" s="65"/>
      <c r="IT66" s="65"/>
      <c r="IU66" s="65"/>
      <c r="IV66" s="65"/>
      <c r="IW66" s="65"/>
      <c r="IX66" s="65"/>
      <c r="IY66" s="65"/>
      <c r="IZ66" s="65"/>
      <c r="JA66" s="65"/>
      <c r="JB66" s="65"/>
      <c r="JC66" s="65"/>
      <c r="JD66" s="65"/>
      <c r="JE66" s="65"/>
      <c r="JF66" s="65"/>
      <c r="JG66" s="65"/>
      <c r="JH66" s="65"/>
      <c r="JI66" s="65"/>
      <c r="JJ66" s="65"/>
      <c r="JK66" s="65"/>
      <c r="JL66" s="65"/>
      <c r="JM66" s="65"/>
      <c r="JN66" s="65"/>
      <c r="JO66" s="65"/>
      <c r="JP66" s="65"/>
      <c r="JQ66" s="65"/>
      <c r="JR66" s="65"/>
      <c r="JS66" s="65"/>
      <c r="JT66" s="65"/>
      <c r="JU66" s="65"/>
      <c r="JV66" s="65"/>
      <c r="JW66" s="65"/>
      <c r="JX66" s="65"/>
      <c r="JY66" s="65"/>
      <c r="JZ66" s="65"/>
      <c r="KA66" s="65"/>
      <c r="KB66" s="65"/>
      <c r="KC66" s="65"/>
      <c r="KD66" s="65"/>
      <c r="KE66" s="65"/>
      <c r="KF66" s="65"/>
      <c r="KG66" s="65"/>
      <c r="KH66" s="65"/>
      <c r="KI66" s="65"/>
      <c r="KJ66" s="65"/>
      <c r="KK66" s="65"/>
      <c r="KL66" s="65"/>
      <c r="KM66" s="65"/>
      <c r="KN66" s="65"/>
      <c r="KO66" s="65"/>
      <c r="KP66" s="65"/>
      <c r="KQ66" s="65"/>
      <c r="KR66" s="65"/>
      <c r="KS66" s="65"/>
      <c r="KT66" s="65"/>
      <c r="KU66" s="65"/>
      <c r="KV66" s="65"/>
      <c r="KW66" s="65"/>
      <c r="KX66" s="65"/>
      <c r="KY66" s="65"/>
      <c r="KZ66" s="65"/>
      <c r="LA66" s="65"/>
      <c r="LB66" s="65"/>
      <c r="LC66" s="65"/>
      <c r="LD66" s="65"/>
      <c r="LE66" s="65"/>
      <c r="LF66" s="65"/>
      <c r="LG66" s="65"/>
      <c r="LH66" s="65"/>
      <c r="LI66" s="65"/>
      <c r="LJ66" s="65"/>
      <c r="LK66" s="65"/>
      <c r="LL66" s="65"/>
      <c r="LM66" s="65"/>
      <c r="LN66" s="65"/>
      <c r="LO66" s="65"/>
      <c r="LP66" s="65"/>
      <c r="LQ66" s="65"/>
      <c r="LR66" s="65"/>
      <c r="LS66" s="65"/>
      <c r="LT66" s="65"/>
      <c r="LU66" s="65"/>
      <c r="LV66" s="65"/>
      <c r="LW66" s="65"/>
      <c r="LX66" s="65"/>
      <c r="LY66" s="65"/>
      <c r="LZ66" s="65"/>
      <c r="MA66" s="65"/>
      <c r="MB66" s="65"/>
      <c r="MC66" s="65"/>
      <c r="MD66" s="65"/>
      <c r="ME66" s="65"/>
      <c r="MF66" s="65"/>
      <c r="MG66" s="65"/>
      <c r="MH66" s="65"/>
      <c r="MI66" s="65"/>
      <c r="MJ66" s="65"/>
      <c r="MK66" s="65"/>
      <c r="ML66" s="65"/>
      <c r="MM66" s="65"/>
      <c r="MN66" s="65"/>
      <c r="MO66" s="65"/>
      <c r="MP66" s="65"/>
      <c r="MQ66" s="65"/>
      <c r="MR66" s="65"/>
      <c r="MS66" s="65"/>
      <c r="MT66" s="65"/>
      <c r="MU66" s="65"/>
      <c r="MV66" s="65"/>
      <c r="MW66" s="65"/>
      <c r="MX66" s="65"/>
      <c r="MY66" s="65"/>
      <c r="MZ66" s="65"/>
      <c r="NA66" s="65"/>
      <c r="NB66" s="65"/>
      <c r="NC66" s="65"/>
      <c r="ND66" s="65"/>
      <c r="NE66" s="65"/>
      <c r="NF66" s="65"/>
      <c r="NG66" s="65"/>
      <c r="NH66" s="65"/>
      <c r="NI66" s="65"/>
      <c r="NJ66" s="65"/>
      <c r="NK66" s="65"/>
      <c r="NL66" s="65"/>
      <c r="NM66" s="65"/>
      <c r="NN66" s="65"/>
      <c r="NO66" s="65"/>
      <c r="NP66" s="65"/>
      <c r="NQ66" s="65"/>
      <c r="NR66" s="65"/>
      <c r="NS66" s="65"/>
      <c r="NT66" s="65"/>
      <c r="NU66" s="65"/>
      <c r="NV66" s="65"/>
      <c r="NW66" s="65"/>
      <c r="NX66" s="65"/>
      <c r="NY66" s="65"/>
      <c r="NZ66" s="65"/>
      <c r="OA66" s="65"/>
      <c r="OB66" s="65"/>
      <c r="OC66" s="65"/>
      <c r="OD66" s="65"/>
      <c r="OE66" s="65"/>
      <c r="OF66" s="65"/>
      <c r="OG66" s="65"/>
      <c r="OH66" s="65"/>
      <c r="OI66" s="65"/>
      <c r="OJ66" s="65"/>
      <c r="OK66" s="65"/>
      <c r="OL66" s="65"/>
      <c r="OM66" s="65"/>
      <c r="ON66" s="65"/>
      <c r="OO66" s="65"/>
      <c r="OP66" s="65"/>
      <c r="OQ66" s="65"/>
      <c r="OR66" s="65"/>
      <c r="OS66" s="65"/>
      <c r="OT66" s="65"/>
      <c r="OU66" s="65"/>
      <c r="OV66" s="65"/>
      <c r="OW66" s="65"/>
      <c r="OX66" s="65"/>
      <c r="OY66" s="65"/>
      <c r="OZ66" s="65"/>
      <c r="PA66" s="65"/>
      <c r="PB66" s="65"/>
      <c r="PC66" s="65"/>
      <c r="PD66" s="65"/>
      <c r="PE66" s="65"/>
      <c r="PF66" s="65"/>
      <c r="PG66" s="65"/>
      <c r="PH66" s="65"/>
      <c r="PI66" s="65"/>
      <c r="PJ66" s="65"/>
      <c r="PK66" s="65"/>
      <c r="PL66" s="65"/>
      <c r="PM66" s="65"/>
      <c r="PN66" s="65"/>
      <c r="PO66" s="65"/>
      <c r="PP66" s="65"/>
      <c r="PQ66" s="65"/>
      <c r="PR66" s="65"/>
      <c r="PS66" s="65"/>
      <c r="PT66" s="65"/>
      <c r="PU66" s="65"/>
      <c r="PV66" s="65"/>
      <c r="PW66" s="65"/>
      <c r="PX66" s="65"/>
      <c r="PY66" s="65"/>
      <c r="PZ66" s="65"/>
      <c r="QA66" s="65"/>
      <c r="QB66" s="65"/>
      <c r="QC66" s="65"/>
      <c r="QD66" s="65"/>
      <c r="QE66" s="65"/>
      <c r="QF66" s="65"/>
      <c r="QG66" s="65"/>
      <c r="QH66" s="65"/>
      <c r="QI66" s="65"/>
      <c r="QJ66" s="65"/>
      <c r="QK66" s="65"/>
      <c r="QL66" s="65"/>
      <c r="QM66" s="65"/>
      <c r="QN66" s="65"/>
      <c r="QO66" s="65"/>
      <c r="QP66" s="65"/>
      <c r="QQ66" s="65"/>
      <c r="QR66" s="65"/>
      <c r="QS66" s="65"/>
      <c r="QT66" s="65"/>
      <c r="QU66" s="65"/>
      <c r="QV66" s="65"/>
      <c r="QW66" s="65"/>
      <c r="QX66" s="65"/>
      <c r="QY66" s="65"/>
      <c r="QZ66" s="65"/>
      <c r="RA66" s="65"/>
      <c r="RB66" s="65"/>
      <c r="RC66" s="65"/>
      <c r="RD66" s="65"/>
      <c r="RE66" s="65"/>
      <c r="RF66" s="65"/>
      <c r="RG66" s="65"/>
      <c r="RH66" s="65"/>
      <c r="RI66" s="65"/>
      <c r="RJ66" s="65"/>
      <c r="RK66" s="65"/>
      <c r="RL66" s="65"/>
      <c r="RM66" s="65"/>
      <c r="RN66" s="65"/>
      <c r="RO66" s="65"/>
      <c r="RP66" s="65"/>
      <c r="RQ66" s="65"/>
      <c r="RR66" s="65"/>
      <c r="RS66" s="65"/>
      <c r="RT66" s="65"/>
      <c r="RU66" s="65"/>
      <c r="RV66" s="65"/>
      <c r="RW66" s="65"/>
      <c r="RX66" s="65"/>
      <c r="RY66" s="65"/>
      <c r="RZ66" s="65"/>
      <c r="SA66" s="65"/>
      <c r="SB66" s="65"/>
      <c r="SC66" s="65"/>
      <c r="SD66" s="65"/>
      <c r="SE66" s="65"/>
      <c r="SF66" s="65"/>
      <c r="SG66" s="65"/>
      <c r="SH66" s="65"/>
      <c r="SI66" s="65"/>
      <c r="SJ66" s="65"/>
      <c r="SK66" s="65"/>
      <c r="SL66" s="65"/>
      <c r="SM66" s="65"/>
      <c r="SN66" s="65"/>
      <c r="SO66" s="65"/>
      <c r="SP66" s="65"/>
      <c r="SQ66" s="65"/>
      <c r="SR66" s="65"/>
      <c r="SS66" s="65"/>
      <c r="ST66" s="65"/>
      <c r="SU66" s="65"/>
      <c r="SV66" s="65"/>
      <c r="SW66" s="65"/>
      <c r="SX66" s="65"/>
      <c r="SY66" s="65"/>
      <c r="SZ66" s="65"/>
      <c r="TA66" s="65"/>
      <c r="TB66" s="65"/>
      <c r="TC66" s="65"/>
      <c r="TD66" s="65"/>
      <c r="TE66" s="65"/>
      <c r="TF66" s="65"/>
      <c r="TG66" s="65"/>
      <c r="TH66" s="65"/>
      <c r="TI66" s="65"/>
      <c r="TJ66" s="65"/>
      <c r="TK66" s="65"/>
      <c r="TL66" s="65"/>
      <c r="TM66" s="65"/>
      <c r="TN66" s="65"/>
      <c r="TO66" s="65"/>
      <c r="TP66" s="65"/>
      <c r="TQ66" s="65"/>
      <c r="TR66" s="65"/>
      <c r="TS66" s="65"/>
      <c r="TT66" s="65"/>
      <c r="TU66" s="65"/>
      <c r="TV66" s="65"/>
      <c r="TW66" s="65"/>
      <c r="TX66" s="65"/>
      <c r="TY66" s="65"/>
      <c r="TZ66" s="65"/>
      <c r="UA66" s="65"/>
      <c r="UB66" s="65"/>
      <c r="UC66" s="65"/>
      <c r="UD66" s="65"/>
      <c r="UE66" s="65"/>
      <c r="UF66" s="65"/>
      <c r="UG66" s="65"/>
      <c r="UH66" s="65"/>
      <c r="UI66" s="65"/>
      <c r="UJ66" s="65"/>
      <c r="UK66" s="65"/>
      <c r="UL66" s="65"/>
      <c r="UM66" s="65"/>
      <c r="UN66" s="65"/>
      <c r="UO66" s="65"/>
      <c r="UP66" s="65"/>
      <c r="UQ66" s="65"/>
      <c r="UR66" s="65"/>
      <c r="US66" s="65"/>
      <c r="UT66" s="65"/>
      <c r="UU66" s="65"/>
      <c r="UV66" s="65"/>
      <c r="UW66" s="65"/>
      <c r="UX66" s="65"/>
      <c r="UY66" s="65"/>
      <c r="UZ66" s="65"/>
      <c r="VA66" s="65"/>
      <c r="VB66" s="65"/>
      <c r="VC66" s="65"/>
      <c r="VD66" s="65"/>
      <c r="VE66" s="65"/>
      <c r="VF66" s="65"/>
      <c r="VG66" s="65"/>
      <c r="VH66" s="65"/>
      <c r="VI66" s="65"/>
      <c r="VJ66" s="65"/>
      <c r="VK66" s="65"/>
      <c r="VL66" s="65"/>
      <c r="VM66" s="65"/>
      <c r="VN66" s="65"/>
      <c r="VO66" s="65"/>
      <c r="VP66" s="65"/>
      <c r="VQ66" s="65"/>
      <c r="VR66" s="65"/>
      <c r="VS66" s="65"/>
      <c r="VT66" s="65"/>
      <c r="VU66" s="65"/>
      <c r="VV66" s="65"/>
      <c r="VW66" s="65"/>
      <c r="VX66" s="65"/>
      <c r="VY66" s="65"/>
      <c r="VZ66" s="65"/>
      <c r="WA66" s="65"/>
      <c r="WB66" s="65"/>
      <c r="WC66" s="65"/>
      <c r="WD66" s="65"/>
      <c r="WE66" s="65"/>
      <c r="WF66" s="65"/>
      <c r="WG66" s="65"/>
      <c r="WH66" s="65"/>
      <c r="WI66" s="65"/>
      <c r="WJ66" s="65"/>
      <c r="WK66" s="65"/>
      <c r="WL66" s="65"/>
      <c r="WM66" s="65"/>
      <c r="WN66" s="65"/>
      <c r="WO66" s="65"/>
      <c r="WP66" s="65"/>
      <c r="WQ66" s="65"/>
      <c r="WR66" s="65"/>
      <c r="WS66" s="65"/>
      <c r="WT66" s="65"/>
      <c r="WU66" s="65"/>
      <c r="WV66" s="65"/>
      <c r="WW66" s="65"/>
      <c r="WX66" s="65"/>
      <c r="WY66" s="65"/>
      <c r="WZ66" s="65"/>
      <c r="XA66" s="65"/>
      <c r="XB66" s="65"/>
      <c r="XC66" s="65"/>
      <c r="XD66" s="65"/>
      <c r="XE66" s="65"/>
      <c r="XF66" s="65"/>
      <c r="XG66" s="65"/>
      <c r="XH66" s="65"/>
      <c r="XI66" s="65"/>
      <c r="XJ66" s="65"/>
      <c r="XK66" s="65"/>
      <c r="XL66" s="65"/>
      <c r="XM66" s="65"/>
      <c r="XN66" s="65"/>
      <c r="XO66" s="65"/>
      <c r="XP66" s="65"/>
      <c r="XQ66" s="65"/>
      <c r="XR66" s="65"/>
      <c r="XS66" s="65"/>
      <c r="XT66" s="65"/>
      <c r="XU66" s="65"/>
      <c r="XV66" s="65"/>
      <c r="XW66" s="65"/>
      <c r="XX66" s="65"/>
      <c r="XY66" s="65"/>
      <c r="XZ66" s="65"/>
      <c r="YA66" s="65"/>
      <c r="YB66" s="65"/>
      <c r="YC66" s="65"/>
      <c r="YD66" s="65"/>
      <c r="YE66" s="65"/>
      <c r="YF66" s="65"/>
      <c r="YG66" s="65"/>
      <c r="YH66" s="65"/>
      <c r="YI66" s="65"/>
      <c r="YJ66" s="65"/>
      <c r="YK66" s="65"/>
      <c r="YL66" s="65"/>
      <c r="YM66" s="65"/>
      <c r="YN66" s="65"/>
      <c r="YO66" s="65"/>
      <c r="YP66" s="65"/>
      <c r="YQ66" s="65"/>
      <c r="YR66" s="65"/>
      <c r="YS66" s="65"/>
      <c r="YT66" s="65"/>
      <c r="YU66" s="65"/>
      <c r="YV66" s="65"/>
      <c r="YW66" s="65"/>
      <c r="YX66" s="65"/>
      <c r="YY66" s="65"/>
      <c r="YZ66" s="65"/>
      <c r="ZA66" s="65"/>
      <c r="ZB66" s="65"/>
      <c r="ZC66" s="65"/>
      <c r="ZD66" s="65"/>
      <c r="ZE66" s="65"/>
      <c r="ZF66" s="65"/>
      <c r="ZG66" s="65"/>
      <c r="ZH66" s="65"/>
      <c r="ZI66" s="65"/>
      <c r="ZJ66" s="65"/>
      <c r="ZK66" s="65"/>
      <c r="ZL66" s="65"/>
      <c r="ZM66" s="65"/>
      <c r="ZN66" s="65"/>
      <c r="ZO66" s="65"/>
      <c r="ZP66" s="65"/>
      <c r="ZQ66" s="65"/>
      <c r="ZR66" s="65"/>
      <c r="ZS66" s="65"/>
      <c r="ZT66" s="65"/>
      <c r="ZU66" s="65"/>
      <c r="ZV66" s="65"/>
      <c r="ZW66" s="65"/>
      <c r="ZX66" s="65"/>
      <c r="ZY66" s="65"/>
      <c r="ZZ66" s="65"/>
      <c r="AAA66" s="65"/>
      <c r="AAB66" s="65"/>
      <c r="AAC66" s="65"/>
      <c r="AAD66" s="65"/>
      <c r="AAE66" s="65"/>
      <c r="AAF66" s="65"/>
      <c r="AAG66" s="65"/>
      <c r="AAH66" s="65"/>
      <c r="AAI66" s="65"/>
      <c r="AAJ66" s="65"/>
      <c r="AAK66" s="65"/>
      <c r="AAL66" s="65"/>
      <c r="AAM66" s="65"/>
      <c r="AAN66" s="65"/>
      <c r="AAO66" s="65"/>
      <c r="AAP66" s="65"/>
      <c r="AAQ66" s="65"/>
      <c r="AAR66" s="65"/>
      <c r="AAS66" s="65"/>
      <c r="AAT66" s="65"/>
      <c r="AAU66" s="65"/>
      <c r="AAV66" s="65"/>
      <c r="AAW66" s="65"/>
      <c r="AAX66" s="65"/>
      <c r="AAY66" s="65"/>
      <c r="AAZ66" s="65"/>
      <c r="ABA66" s="65"/>
      <c r="ABB66" s="65"/>
      <c r="ABC66" s="65"/>
      <c r="ABD66" s="65"/>
      <c r="ABE66" s="65"/>
      <c r="ABF66" s="65"/>
      <c r="ABG66" s="65"/>
      <c r="ABH66" s="65"/>
      <c r="ABI66" s="65"/>
      <c r="ABJ66" s="65"/>
      <c r="ABK66" s="65"/>
      <c r="ABL66" s="65"/>
      <c r="ABM66" s="65"/>
      <c r="ABN66" s="65"/>
    </row>
    <row r="67" spans="1:742" ht="45" x14ac:dyDescent="0.25">
      <c r="A67" s="110">
        <v>2025</v>
      </c>
      <c r="B67" s="230">
        <v>4</v>
      </c>
      <c r="C67" s="152">
        <v>22574</v>
      </c>
      <c r="D67" s="277">
        <v>45763</v>
      </c>
      <c r="E67" s="111" t="s">
        <v>964</v>
      </c>
      <c r="F67" s="111" t="s">
        <v>965</v>
      </c>
      <c r="G67" s="110" t="s">
        <v>98</v>
      </c>
      <c r="H67" s="110">
        <v>3185491374</v>
      </c>
      <c r="I67" s="110">
        <v>3185491374</v>
      </c>
      <c r="J67" s="108">
        <v>45775</v>
      </c>
      <c r="K67" s="110" t="s">
        <v>88</v>
      </c>
      <c r="L67" s="112" t="s">
        <v>966</v>
      </c>
      <c r="M67" s="110" t="s">
        <v>136</v>
      </c>
      <c r="N67" s="110">
        <v>5884</v>
      </c>
      <c r="O67" s="110" t="s">
        <v>136</v>
      </c>
      <c r="P67" s="110" t="s">
        <v>136</v>
      </c>
      <c r="Q67" s="110" t="s">
        <v>136</v>
      </c>
      <c r="R67" s="110" t="s">
        <v>136</v>
      </c>
      <c r="S67" s="110" t="s">
        <v>136</v>
      </c>
      <c r="T67" s="110" t="s">
        <v>136</v>
      </c>
      <c r="U67" s="110" t="s">
        <v>136</v>
      </c>
      <c r="V67" s="111" t="s">
        <v>119</v>
      </c>
      <c r="W67" s="108">
        <v>45776</v>
      </c>
      <c r="X67" s="108">
        <v>45776</v>
      </c>
      <c r="Y67" s="110"/>
      <c r="Z67" s="126" t="s">
        <v>85</v>
      </c>
      <c r="AA67" s="130">
        <v>178279</v>
      </c>
      <c r="AB67" s="110">
        <v>5792</v>
      </c>
      <c r="AC67" s="114">
        <v>149814</v>
      </c>
      <c r="AD67" s="212">
        <f t="shared" si="5"/>
        <v>178278.66</v>
      </c>
      <c r="AE67" s="114">
        <v>0</v>
      </c>
      <c r="AF67" s="110"/>
      <c r="AG67" s="142" t="s">
        <v>1102</v>
      </c>
      <c r="AH67" s="248">
        <v>45762</v>
      </c>
      <c r="AI67" s="108">
        <v>45777</v>
      </c>
      <c r="AJ67" s="110" t="s">
        <v>571</v>
      </c>
      <c r="AK67" s="110"/>
    </row>
    <row r="68" spans="1:742" ht="75" x14ac:dyDescent="0.25">
      <c r="A68" s="110">
        <v>2025</v>
      </c>
      <c r="B68" s="230">
        <v>4</v>
      </c>
      <c r="C68" s="152">
        <v>22575</v>
      </c>
      <c r="D68" s="277">
        <v>45762</v>
      </c>
      <c r="E68" s="111" t="s">
        <v>1142</v>
      </c>
      <c r="F68" s="111" t="s">
        <v>1142</v>
      </c>
      <c r="G68" s="110" t="s">
        <v>143</v>
      </c>
      <c r="H68" s="110">
        <v>3126685913</v>
      </c>
      <c r="I68" s="110">
        <v>3126685913</v>
      </c>
      <c r="J68" s="108">
        <v>45776</v>
      </c>
      <c r="K68" s="110" t="s">
        <v>84</v>
      </c>
      <c r="L68" s="112" t="s">
        <v>950</v>
      </c>
      <c r="M68" s="110" t="s">
        <v>136</v>
      </c>
      <c r="N68" s="110" t="s">
        <v>136</v>
      </c>
      <c r="O68" s="110" t="s">
        <v>136</v>
      </c>
      <c r="P68" s="110" t="s">
        <v>136</v>
      </c>
      <c r="Q68" s="110" t="s">
        <v>136</v>
      </c>
      <c r="R68" s="110" t="s">
        <v>136</v>
      </c>
      <c r="S68" s="110" t="s">
        <v>136</v>
      </c>
      <c r="T68" s="110" t="s">
        <v>134</v>
      </c>
      <c r="U68" s="110" t="s">
        <v>136</v>
      </c>
      <c r="V68" s="111" t="s">
        <v>119</v>
      </c>
      <c r="W68" s="108">
        <v>45776</v>
      </c>
      <c r="X68" s="108">
        <v>45752</v>
      </c>
      <c r="Y68" s="110"/>
      <c r="Z68" s="126" t="s">
        <v>85</v>
      </c>
      <c r="AA68" s="124">
        <v>0</v>
      </c>
      <c r="AB68" s="110">
        <v>5799</v>
      </c>
      <c r="AC68" s="114">
        <v>1050420</v>
      </c>
      <c r="AD68" s="212">
        <f t="shared" si="5"/>
        <v>1249999.8</v>
      </c>
      <c r="AE68" s="114">
        <v>650000</v>
      </c>
      <c r="AF68" s="110"/>
      <c r="AG68" s="142" t="s">
        <v>1156</v>
      </c>
      <c r="AH68" s="248">
        <v>45779</v>
      </c>
      <c r="AI68" s="108">
        <v>45782</v>
      </c>
      <c r="AJ68" s="110" t="s">
        <v>571</v>
      </c>
      <c r="AK68" s="110"/>
    </row>
    <row r="69" spans="1:742" ht="34.5" customHeight="1" x14ac:dyDescent="0.25">
      <c r="A69" s="99">
        <v>2025</v>
      </c>
      <c r="B69" s="233">
        <v>4</v>
      </c>
      <c r="C69" s="356">
        <v>22576</v>
      </c>
      <c r="D69" s="278">
        <v>45771</v>
      </c>
      <c r="E69" s="100" t="s">
        <v>1059</v>
      </c>
      <c r="F69" s="100" t="s">
        <v>1059</v>
      </c>
      <c r="G69" s="99" t="s">
        <v>143</v>
      </c>
      <c r="H69" s="99">
        <v>3206264770</v>
      </c>
      <c r="I69" s="99">
        <v>3206264770</v>
      </c>
      <c r="J69" s="97">
        <v>45786</v>
      </c>
      <c r="K69" s="99" t="s">
        <v>84</v>
      </c>
      <c r="L69" s="101" t="s">
        <v>1536</v>
      </c>
      <c r="M69" s="99" t="s">
        <v>136</v>
      </c>
      <c r="N69" s="99">
        <v>5900</v>
      </c>
      <c r="O69" s="99" t="s">
        <v>136</v>
      </c>
      <c r="P69" s="99" t="s">
        <v>136</v>
      </c>
      <c r="Q69" s="99" t="s">
        <v>136</v>
      </c>
      <c r="R69" s="99" t="s">
        <v>136</v>
      </c>
      <c r="S69" s="99" t="s">
        <v>134</v>
      </c>
      <c r="T69" s="99" t="s">
        <v>136</v>
      </c>
      <c r="U69" s="99" t="s">
        <v>136</v>
      </c>
      <c r="V69" s="100" t="s">
        <v>119</v>
      </c>
      <c r="W69" s="97">
        <v>45780</v>
      </c>
      <c r="X69" s="97">
        <v>45803</v>
      </c>
      <c r="Y69" s="99"/>
      <c r="Z69" s="120" t="s">
        <v>85</v>
      </c>
      <c r="AA69" s="117">
        <v>500000</v>
      </c>
      <c r="AB69" s="99" t="s">
        <v>136</v>
      </c>
      <c r="AC69" s="103">
        <v>0</v>
      </c>
      <c r="AD69" s="198">
        <v>500000</v>
      </c>
      <c r="AE69" s="103">
        <v>0</v>
      </c>
      <c r="AF69" s="99"/>
      <c r="AG69" s="104" t="s">
        <v>1894</v>
      </c>
      <c r="AH69" s="258">
        <v>45786</v>
      </c>
      <c r="AI69" s="97">
        <v>45807</v>
      </c>
      <c r="AJ69" s="99" t="s">
        <v>1705</v>
      </c>
      <c r="AK69" s="99" t="s">
        <v>1537</v>
      </c>
    </row>
    <row r="70" spans="1:742" ht="90" x14ac:dyDescent="0.25">
      <c r="A70" s="99">
        <v>2025</v>
      </c>
      <c r="B70" s="233">
        <v>4</v>
      </c>
      <c r="C70" s="356">
        <v>22577</v>
      </c>
      <c r="D70" s="278">
        <v>45771</v>
      </c>
      <c r="E70" s="100" t="s">
        <v>1460</v>
      </c>
      <c r="F70" s="100" t="s">
        <v>1460</v>
      </c>
      <c r="G70" s="99" t="s">
        <v>143</v>
      </c>
      <c r="H70" s="99">
        <v>3127726127</v>
      </c>
      <c r="I70" s="99">
        <v>6042300744</v>
      </c>
      <c r="J70" s="97">
        <v>45779</v>
      </c>
      <c r="K70" s="99" t="s">
        <v>84</v>
      </c>
      <c r="L70" s="101" t="s">
        <v>991</v>
      </c>
      <c r="M70" s="99" t="s">
        <v>136</v>
      </c>
      <c r="N70" s="99" t="s">
        <v>136</v>
      </c>
      <c r="O70" s="99">
        <v>6137</v>
      </c>
      <c r="P70" s="99">
        <v>8885</v>
      </c>
      <c r="Q70" s="99" t="s">
        <v>136</v>
      </c>
      <c r="R70" s="99" t="s">
        <v>136</v>
      </c>
      <c r="S70" s="99" t="s">
        <v>136</v>
      </c>
      <c r="T70" s="99" t="s">
        <v>136</v>
      </c>
      <c r="U70" s="99" t="s">
        <v>134</v>
      </c>
      <c r="V70" s="100" t="s">
        <v>119</v>
      </c>
      <c r="W70" s="97">
        <v>45784</v>
      </c>
      <c r="X70" s="97"/>
      <c r="Y70" s="99"/>
      <c r="Z70" s="120" t="s">
        <v>90</v>
      </c>
      <c r="AA70" s="122">
        <v>0</v>
      </c>
      <c r="AB70" s="99">
        <v>5824</v>
      </c>
      <c r="AC70" s="103">
        <v>500000</v>
      </c>
      <c r="AD70" s="198">
        <f>+AC70*1.19</f>
        <v>595000</v>
      </c>
      <c r="AE70" s="103">
        <v>0</v>
      </c>
      <c r="AF70" s="99"/>
      <c r="AG70" s="104"/>
      <c r="AH70" s="258">
        <v>45762</v>
      </c>
      <c r="AI70" s="97">
        <v>45785</v>
      </c>
      <c r="AJ70" s="99" t="s">
        <v>571</v>
      </c>
      <c r="AK70" s="99"/>
    </row>
    <row r="71" spans="1:742" s="155" customFormat="1" ht="45" x14ac:dyDescent="0.25">
      <c r="A71" s="110">
        <v>2025</v>
      </c>
      <c r="B71" s="230">
        <v>4</v>
      </c>
      <c r="C71" s="152">
        <v>22578</v>
      </c>
      <c r="D71" s="277">
        <v>45771</v>
      </c>
      <c r="E71" s="111" t="s">
        <v>1060</v>
      </c>
      <c r="F71" s="111" t="s">
        <v>1061</v>
      </c>
      <c r="G71" s="110" t="s">
        <v>98</v>
      </c>
      <c r="H71" s="110">
        <v>3137042903</v>
      </c>
      <c r="I71" s="110">
        <v>4063508866</v>
      </c>
      <c r="J71" s="108">
        <v>45784</v>
      </c>
      <c r="K71" s="110" t="s">
        <v>88</v>
      </c>
      <c r="L71" s="112" t="s">
        <v>1062</v>
      </c>
      <c r="M71" s="110" t="s">
        <v>136</v>
      </c>
      <c r="N71" s="110">
        <v>5898</v>
      </c>
      <c r="O71" s="110">
        <v>6136</v>
      </c>
      <c r="P71" s="110">
        <v>8828</v>
      </c>
      <c r="Q71" s="110" t="s">
        <v>136</v>
      </c>
      <c r="R71" s="110" t="s">
        <v>134</v>
      </c>
      <c r="S71" s="110" t="s">
        <v>134</v>
      </c>
      <c r="T71" s="110" t="s">
        <v>134</v>
      </c>
      <c r="U71" s="110" t="s">
        <v>136</v>
      </c>
      <c r="V71" s="111" t="s">
        <v>119</v>
      </c>
      <c r="W71" s="108">
        <v>45783</v>
      </c>
      <c r="X71" s="108">
        <v>45785</v>
      </c>
      <c r="Y71" s="110"/>
      <c r="Z71" s="126" t="s">
        <v>85</v>
      </c>
      <c r="AA71" s="124">
        <v>0</v>
      </c>
      <c r="AB71" s="110">
        <v>5823</v>
      </c>
      <c r="AC71" s="114">
        <v>350150</v>
      </c>
      <c r="AD71" s="212">
        <f t="shared" si="5"/>
        <v>416678.5</v>
      </c>
      <c r="AE71" s="114">
        <v>407924</v>
      </c>
      <c r="AF71" s="110"/>
      <c r="AG71" s="142" t="s">
        <v>1547</v>
      </c>
      <c r="AH71" s="248">
        <v>45788</v>
      </c>
      <c r="AI71" s="108">
        <v>45785</v>
      </c>
      <c r="AJ71" s="110" t="s">
        <v>571</v>
      </c>
      <c r="AK71" s="110"/>
      <c r="AL71" s="65"/>
      <c r="AM71" s="65"/>
      <c r="AN71" s="65"/>
      <c r="AO71" s="65"/>
      <c r="AP71" s="65"/>
      <c r="AQ71" s="65"/>
      <c r="AR71" s="65"/>
      <c r="AS71" s="65"/>
      <c r="AT71" s="65"/>
      <c r="AU71" s="65"/>
      <c r="AV71" s="65"/>
      <c r="AW71" s="65"/>
      <c r="AX71" s="65"/>
      <c r="AY71" s="65"/>
      <c r="AZ71" s="65"/>
      <c r="BA71" s="65"/>
      <c r="BB71" s="65"/>
      <c r="BC71" s="65"/>
      <c r="BD71" s="65"/>
      <c r="BE71" s="65"/>
      <c r="BF71" s="65"/>
      <c r="BG71" s="65"/>
      <c r="BH71" s="65"/>
      <c r="BI71" s="65"/>
      <c r="BJ71" s="65"/>
      <c r="BK71" s="65"/>
      <c r="BL71" s="65"/>
      <c r="BM71" s="65"/>
      <c r="BN71" s="65"/>
      <c r="BO71" s="65"/>
      <c r="BP71" s="65"/>
      <c r="BQ71" s="65"/>
      <c r="BR71" s="65"/>
      <c r="BS71" s="65"/>
      <c r="BT71" s="65"/>
      <c r="BU71" s="65"/>
      <c r="BV71" s="65"/>
      <c r="BW71" s="65"/>
      <c r="BX71" s="65"/>
      <c r="BY71" s="65"/>
      <c r="BZ71" s="65"/>
      <c r="CA71" s="65"/>
      <c r="CB71" s="65"/>
      <c r="CC71" s="65"/>
      <c r="CD71" s="65"/>
      <c r="CE71" s="65"/>
      <c r="CF71" s="65"/>
      <c r="CG71" s="65"/>
      <c r="CH71" s="65"/>
      <c r="CI71" s="65"/>
      <c r="CJ71" s="65"/>
      <c r="CK71" s="65"/>
      <c r="CL71" s="65"/>
      <c r="CM71" s="65"/>
      <c r="CN71" s="65"/>
      <c r="CO71" s="65"/>
      <c r="CP71" s="6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c r="GO71" s="65"/>
      <c r="GP71" s="65"/>
      <c r="GQ71" s="65"/>
      <c r="GR71" s="65"/>
      <c r="GS71" s="65"/>
      <c r="GT71" s="65"/>
      <c r="GU71" s="65"/>
      <c r="GV71" s="65"/>
      <c r="GW71" s="65"/>
      <c r="GX71" s="65"/>
      <c r="GY71" s="65"/>
      <c r="GZ71" s="65"/>
      <c r="HA71" s="65"/>
      <c r="HB71" s="65"/>
      <c r="HC71" s="65"/>
      <c r="HD71" s="65"/>
      <c r="HE71" s="65"/>
      <c r="HF71" s="65"/>
      <c r="HG71" s="65"/>
      <c r="HH71" s="65"/>
      <c r="HI71" s="65"/>
      <c r="HJ71" s="65"/>
      <c r="HK71" s="65"/>
      <c r="HL71" s="65"/>
      <c r="HM71" s="65"/>
      <c r="HN71" s="65"/>
      <c r="HO71" s="65"/>
      <c r="HP71" s="65"/>
      <c r="HQ71" s="65"/>
      <c r="HR71" s="65"/>
      <c r="HS71" s="65"/>
      <c r="HT71" s="65"/>
      <c r="HU71" s="65"/>
      <c r="HV71" s="65"/>
      <c r="HW71" s="65"/>
      <c r="HX71" s="65"/>
      <c r="HY71" s="65"/>
      <c r="HZ71" s="65"/>
      <c r="IA71" s="65"/>
      <c r="IB71" s="65"/>
      <c r="IC71" s="65"/>
      <c r="ID71" s="65"/>
      <c r="IE71" s="65"/>
      <c r="IF71" s="65"/>
      <c r="IG71" s="65"/>
      <c r="IH71" s="65"/>
      <c r="II71" s="65"/>
      <c r="IJ71" s="65"/>
      <c r="IK71" s="65"/>
      <c r="IL71" s="65"/>
      <c r="IM71" s="65"/>
      <c r="IN71" s="65"/>
      <c r="IO71" s="65"/>
      <c r="IP71" s="65"/>
      <c r="IQ71" s="65"/>
      <c r="IR71" s="65"/>
      <c r="IS71" s="65"/>
      <c r="IT71" s="65"/>
      <c r="IU71" s="65"/>
      <c r="IV71" s="65"/>
      <c r="IW71" s="65"/>
      <c r="IX71" s="65"/>
      <c r="IY71" s="65"/>
      <c r="IZ71" s="65"/>
      <c r="JA71" s="65"/>
      <c r="JB71" s="65"/>
      <c r="JC71" s="65"/>
      <c r="JD71" s="65"/>
      <c r="JE71" s="65"/>
      <c r="JF71" s="65"/>
      <c r="JG71" s="65"/>
      <c r="JH71" s="65"/>
      <c r="JI71" s="65"/>
      <c r="JJ71" s="65"/>
      <c r="JK71" s="65"/>
      <c r="JL71" s="65"/>
      <c r="JM71" s="65"/>
      <c r="JN71" s="65"/>
      <c r="JO71" s="65"/>
      <c r="JP71" s="65"/>
      <c r="JQ71" s="65"/>
      <c r="JR71" s="65"/>
      <c r="JS71" s="65"/>
      <c r="JT71" s="65"/>
      <c r="JU71" s="65"/>
      <c r="JV71" s="65"/>
      <c r="JW71" s="65"/>
      <c r="JX71" s="65"/>
      <c r="JY71" s="65"/>
      <c r="JZ71" s="65"/>
      <c r="KA71" s="65"/>
      <c r="KB71" s="65"/>
      <c r="KC71" s="65"/>
      <c r="KD71" s="65"/>
      <c r="KE71" s="65"/>
      <c r="KF71" s="65"/>
      <c r="KG71" s="65"/>
      <c r="KH71" s="65"/>
      <c r="KI71" s="65"/>
      <c r="KJ71" s="65"/>
      <c r="KK71" s="65"/>
      <c r="KL71" s="65"/>
      <c r="KM71" s="65"/>
      <c r="KN71" s="65"/>
      <c r="KO71" s="65"/>
      <c r="KP71" s="65"/>
      <c r="KQ71" s="65"/>
      <c r="KR71" s="65"/>
      <c r="KS71" s="65"/>
      <c r="KT71" s="65"/>
      <c r="KU71" s="65"/>
      <c r="KV71" s="65"/>
      <c r="KW71" s="65"/>
      <c r="KX71" s="65"/>
      <c r="KY71" s="65"/>
      <c r="KZ71" s="65"/>
      <c r="LA71" s="65"/>
      <c r="LB71" s="65"/>
      <c r="LC71" s="65"/>
      <c r="LD71" s="65"/>
      <c r="LE71" s="65"/>
      <c r="LF71" s="65"/>
      <c r="LG71" s="65"/>
      <c r="LH71" s="65"/>
      <c r="LI71" s="65"/>
      <c r="LJ71" s="65"/>
      <c r="LK71" s="65"/>
      <c r="LL71" s="65"/>
      <c r="LM71" s="65"/>
      <c r="LN71" s="65"/>
      <c r="LO71" s="65"/>
      <c r="LP71" s="65"/>
      <c r="LQ71" s="65"/>
      <c r="LR71" s="65"/>
      <c r="LS71" s="65"/>
      <c r="LT71" s="65"/>
      <c r="LU71" s="65"/>
      <c r="LV71" s="65"/>
      <c r="LW71" s="65"/>
      <c r="LX71" s="65"/>
      <c r="LY71" s="65"/>
      <c r="LZ71" s="65"/>
      <c r="MA71" s="65"/>
      <c r="MB71" s="65"/>
      <c r="MC71" s="65"/>
      <c r="MD71" s="65"/>
      <c r="ME71" s="65"/>
      <c r="MF71" s="65"/>
      <c r="MG71" s="65"/>
      <c r="MH71" s="65"/>
      <c r="MI71" s="65"/>
      <c r="MJ71" s="65"/>
      <c r="MK71" s="65"/>
      <c r="ML71" s="65"/>
      <c r="MM71" s="65"/>
      <c r="MN71" s="65"/>
      <c r="MO71" s="65"/>
      <c r="MP71" s="65"/>
      <c r="MQ71" s="65"/>
      <c r="MR71" s="65"/>
      <c r="MS71" s="65"/>
      <c r="MT71" s="65"/>
      <c r="MU71" s="65"/>
      <c r="MV71" s="65"/>
      <c r="MW71" s="65"/>
      <c r="MX71" s="65"/>
      <c r="MY71" s="65"/>
      <c r="MZ71" s="65"/>
      <c r="NA71" s="65"/>
      <c r="NB71" s="65"/>
      <c r="NC71" s="65"/>
      <c r="ND71" s="65"/>
      <c r="NE71" s="65"/>
      <c r="NF71" s="65"/>
      <c r="NG71" s="65"/>
      <c r="NH71" s="65"/>
      <c r="NI71" s="65"/>
      <c r="NJ71" s="65"/>
      <c r="NK71" s="65"/>
      <c r="NL71" s="65"/>
      <c r="NM71" s="65"/>
      <c r="NN71" s="65"/>
      <c r="NO71" s="65"/>
      <c r="NP71" s="65"/>
      <c r="NQ71" s="65"/>
      <c r="NR71" s="65"/>
      <c r="NS71" s="65"/>
      <c r="NT71" s="65"/>
      <c r="NU71" s="65"/>
      <c r="NV71" s="65"/>
      <c r="NW71" s="65"/>
      <c r="NX71" s="65"/>
      <c r="NY71" s="65"/>
      <c r="NZ71" s="65"/>
      <c r="OA71" s="65"/>
      <c r="OB71" s="65"/>
      <c r="OC71" s="65"/>
      <c r="OD71" s="65"/>
      <c r="OE71" s="65"/>
      <c r="OF71" s="65"/>
      <c r="OG71" s="65"/>
      <c r="OH71" s="65"/>
      <c r="OI71" s="65"/>
      <c r="OJ71" s="65"/>
      <c r="OK71" s="65"/>
      <c r="OL71" s="65"/>
      <c r="OM71" s="65"/>
      <c r="ON71" s="65"/>
      <c r="OO71" s="65"/>
      <c r="OP71" s="65"/>
      <c r="OQ71" s="65"/>
      <c r="OR71" s="65"/>
      <c r="OS71" s="65"/>
      <c r="OT71" s="65"/>
      <c r="OU71" s="65"/>
      <c r="OV71" s="65"/>
      <c r="OW71" s="65"/>
      <c r="OX71" s="65"/>
      <c r="OY71" s="65"/>
      <c r="OZ71" s="65"/>
      <c r="PA71" s="65"/>
      <c r="PB71" s="65"/>
      <c r="PC71" s="65"/>
      <c r="PD71" s="65"/>
      <c r="PE71" s="65"/>
      <c r="PF71" s="65"/>
      <c r="PG71" s="65"/>
      <c r="PH71" s="65"/>
      <c r="PI71" s="65"/>
      <c r="PJ71" s="65"/>
      <c r="PK71" s="65"/>
      <c r="PL71" s="65"/>
      <c r="PM71" s="65"/>
      <c r="PN71" s="65"/>
      <c r="PO71" s="65"/>
      <c r="PP71" s="65"/>
      <c r="PQ71" s="65"/>
      <c r="PR71" s="65"/>
      <c r="PS71" s="65"/>
      <c r="PT71" s="65"/>
      <c r="PU71" s="65"/>
      <c r="PV71" s="65"/>
      <c r="PW71" s="65"/>
      <c r="PX71" s="65"/>
      <c r="PY71" s="65"/>
      <c r="PZ71" s="65"/>
      <c r="QA71" s="65"/>
      <c r="QB71" s="65"/>
      <c r="QC71" s="65"/>
      <c r="QD71" s="65"/>
      <c r="QE71" s="65"/>
      <c r="QF71" s="65"/>
      <c r="QG71" s="65"/>
      <c r="QH71" s="65"/>
      <c r="QI71" s="65"/>
      <c r="QJ71" s="65"/>
      <c r="QK71" s="65"/>
      <c r="QL71" s="65"/>
      <c r="QM71" s="65"/>
      <c r="QN71" s="65"/>
      <c r="QO71" s="65"/>
      <c r="QP71" s="65"/>
      <c r="QQ71" s="65"/>
      <c r="QR71" s="65"/>
      <c r="QS71" s="65"/>
      <c r="QT71" s="65"/>
      <c r="QU71" s="65"/>
      <c r="QV71" s="65"/>
      <c r="QW71" s="65"/>
      <c r="QX71" s="65"/>
      <c r="QY71" s="65"/>
      <c r="QZ71" s="65"/>
      <c r="RA71" s="65"/>
      <c r="RB71" s="65"/>
      <c r="RC71" s="65"/>
      <c r="RD71" s="65"/>
      <c r="RE71" s="65"/>
      <c r="RF71" s="65"/>
      <c r="RG71" s="65"/>
      <c r="RH71" s="65"/>
      <c r="RI71" s="65"/>
      <c r="RJ71" s="65"/>
      <c r="RK71" s="65"/>
      <c r="RL71" s="65"/>
      <c r="RM71" s="65"/>
      <c r="RN71" s="65"/>
      <c r="RO71" s="65"/>
      <c r="RP71" s="65"/>
      <c r="RQ71" s="65"/>
      <c r="RR71" s="65"/>
      <c r="RS71" s="65"/>
      <c r="RT71" s="65"/>
      <c r="RU71" s="65"/>
      <c r="RV71" s="65"/>
      <c r="RW71" s="65"/>
      <c r="RX71" s="65"/>
      <c r="RY71" s="65"/>
      <c r="RZ71" s="65"/>
      <c r="SA71" s="65"/>
      <c r="SB71" s="65"/>
      <c r="SC71" s="65"/>
      <c r="SD71" s="65"/>
      <c r="SE71" s="65"/>
      <c r="SF71" s="65"/>
      <c r="SG71" s="65"/>
      <c r="SH71" s="65"/>
      <c r="SI71" s="65"/>
      <c r="SJ71" s="65"/>
      <c r="SK71" s="65"/>
      <c r="SL71" s="65"/>
      <c r="SM71" s="65"/>
      <c r="SN71" s="65"/>
      <c r="SO71" s="65"/>
      <c r="SP71" s="65"/>
      <c r="SQ71" s="65"/>
      <c r="SR71" s="65"/>
      <c r="SS71" s="65"/>
      <c r="ST71" s="65"/>
      <c r="SU71" s="65"/>
      <c r="SV71" s="65"/>
      <c r="SW71" s="65"/>
      <c r="SX71" s="65"/>
      <c r="SY71" s="65"/>
      <c r="SZ71" s="65"/>
      <c r="TA71" s="65"/>
      <c r="TB71" s="65"/>
      <c r="TC71" s="65"/>
      <c r="TD71" s="65"/>
      <c r="TE71" s="65"/>
      <c r="TF71" s="65"/>
      <c r="TG71" s="65"/>
      <c r="TH71" s="65"/>
      <c r="TI71" s="65"/>
      <c r="TJ71" s="65"/>
      <c r="TK71" s="65"/>
      <c r="TL71" s="65"/>
      <c r="TM71" s="65"/>
      <c r="TN71" s="65"/>
      <c r="TO71" s="65"/>
      <c r="TP71" s="65"/>
      <c r="TQ71" s="65"/>
      <c r="TR71" s="65"/>
      <c r="TS71" s="65"/>
      <c r="TT71" s="65"/>
      <c r="TU71" s="65"/>
      <c r="TV71" s="65"/>
      <c r="TW71" s="65"/>
      <c r="TX71" s="65"/>
      <c r="TY71" s="65"/>
      <c r="TZ71" s="65"/>
      <c r="UA71" s="65"/>
      <c r="UB71" s="65"/>
      <c r="UC71" s="65"/>
      <c r="UD71" s="65"/>
      <c r="UE71" s="65"/>
      <c r="UF71" s="65"/>
      <c r="UG71" s="65"/>
      <c r="UH71" s="65"/>
      <c r="UI71" s="65"/>
      <c r="UJ71" s="65"/>
      <c r="UK71" s="65"/>
      <c r="UL71" s="65"/>
      <c r="UM71" s="65"/>
      <c r="UN71" s="65"/>
      <c r="UO71" s="65"/>
      <c r="UP71" s="65"/>
      <c r="UQ71" s="65"/>
      <c r="UR71" s="65"/>
      <c r="US71" s="65"/>
      <c r="UT71" s="65"/>
      <c r="UU71" s="65"/>
      <c r="UV71" s="65"/>
      <c r="UW71" s="65"/>
      <c r="UX71" s="65"/>
      <c r="UY71" s="65"/>
      <c r="UZ71" s="65"/>
      <c r="VA71" s="65"/>
      <c r="VB71" s="65"/>
      <c r="VC71" s="65"/>
      <c r="VD71" s="65"/>
      <c r="VE71" s="65"/>
      <c r="VF71" s="65"/>
      <c r="VG71" s="65"/>
      <c r="VH71" s="65"/>
      <c r="VI71" s="65"/>
      <c r="VJ71" s="65"/>
      <c r="VK71" s="65"/>
      <c r="VL71" s="65"/>
      <c r="VM71" s="65"/>
      <c r="VN71" s="65"/>
      <c r="VO71" s="65"/>
      <c r="VP71" s="65"/>
      <c r="VQ71" s="65"/>
      <c r="VR71" s="65"/>
      <c r="VS71" s="65"/>
      <c r="VT71" s="65"/>
      <c r="VU71" s="65"/>
      <c r="VV71" s="65"/>
      <c r="VW71" s="65"/>
      <c r="VX71" s="65"/>
      <c r="VY71" s="65"/>
      <c r="VZ71" s="65"/>
      <c r="WA71" s="65"/>
      <c r="WB71" s="65"/>
      <c r="WC71" s="65"/>
      <c r="WD71" s="65"/>
      <c r="WE71" s="65"/>
      <c r="WF71" s="65"/>
      <c r="WG71" s="65"/>
      <c r="WH71" s="65"/>
      <c r="WI71" s="65"/>
      <c r="WJ71" s="65"/>
      <c r="WK71" s="65"/>
      <c r="WL71" s="65"/>
      <c r="WM71" s="65"/>
      <c r="WN71" s="65"/>
      <c r="WO71" s="65"/>
      <c r="WP71" s="65"/>
      <c r="WQ71" s="65"/>
      <c r="WR71" s="65"/>
      <c r="WS71" s="65"/>
      <c r="WT71" s="65"/>
      <c r="WU71" s="65"/>
      <c r="WV71" s="65"/>
      <c r="WW71" s="65"/>
      <c r="WX71" s="65"/>
      <c r="WY71" s="65"/>
      <c r="WZ71" s="65"/>
      <c r="XA71" s="65"/>
      <c r="XB71" s="65"/>
      <c r="XC71" s="65"/>
      <c r="XD71" s="65"/>
      <c r="XE71" s="65"/>
      <c r="XF71" s="65"/>
      <c r="XG71" s="65"/>
      <c r="XH71" s="65"/>
      <c r="XI71" s="65"/>
      <c r="XJ71" s="65"/>
      <c r="XK71" s="65"/>
      <c r="XL71" s="65"/>
      <c r="XM71" s="65"/>
      <c r="XN71" s="65"/>
      <c r="XO71" s="65"/>
      <c r="XP71" s="65"/>
      <c r="XQ71" s="65"/>
      <c r="XR71" s="65"/>
      <c r="XS71" s="65"/>
      <c r="XT71" s="65"/>
      <c r="XU71" s="65"/>
      <c r="XV71" s="65"/>
      <c r="XW71" s="65"/>
      <c r="XX71" s="65"/>
      <c r="XY71" s="65"/>
      <c r="XZ71" s="65"/>
      <c r="YA71" s="65"/>
      <c r="YB71" s="65"/>
      <c r="YC71" s="65"/>
      <c r="YD71" s="65"/>
      <c r="YE71" s="65"/>
      <c r="YF71" s="65"/>
      <c r="YG71" s="65"/>
      <c r="YH71" s="65"/>
      <c r="YI71" s="65"/>
      <c r="YJ71" s="65"/>
      <c r="YK71" s="65"/>
      <c r="YL71" s="65"/>
      <c r="YM71" s="65"/>
      <c r="YN71" s="65"/>
      <c r="YO71" s="65"/>
      <c r="YP71" s="65"/>
      <c r="YQ71" s="65"/>
      <c r="YR71" s="65"/>
      <c r="YS71" s="65"/>
      <c r="YT71" s="65"/>
      <c r="YU71" s="65"/>
      <c r="YV71" s="65"/>
      <c r="YW71" s="65"/>
      <c r="YX71" s="65"/>
      <c r="YY71" s="65"/>
      <c r="YZ71" s="65"/>
      <c r="ZA71" s="65"/>
      <c r="ZB71" s="65"/>
      <c r="ZC71" s="65"/>
      <c r="ZD71" s="65"/>
      <c r="ZE71" s="65"/>
      <c r="ZF71" s="65"/>
      <c r="ZG71" s="65"/>
      <c r="ZH71" s="65"/>
      <c r="ZI71" s="65"/>
      <c r="ZJ71" s="65"/>
      <c r="ZK71" s="65"/>
      <c r="ZL71" s="65"/>
      <c r="ZM71" s="65"/>
      <c r="ZN71" s="65"/>
      <c r="ZO71" s="65"/>
      <c r="ZP71" s="65"/>
      <c r="ZQ71" s="65"/>
      <c r="ZR71" s="65"/>
      <c r="ZS71" s="65"/>
      <c r="ZT71" s="65"/>
      <c r="ZU71" s="65"/>
      <c r="ZV71" s="65"/>
      <c r="ZW71" s="65"/>
      <c r="ZX71" s="65"/>
      <c r="ZY71" s="65"/>
      <c r="ZZ71" s="65"/>
      <c r="AAA71" s="65"/>
      <c r="AAB71" s="65"/>
      <c r="AAC71" s="65"/>
      <c r="AAD71" s="65"/>
      <c r="AAE71" s="65"/>
      <c r="AAF71" s="65"/>
      <c r="AAG71" s="65"/>
      <c r="AAH71" s="65"/>
      <c r="AAI71" s="65"/>
      <c r="AAJ71" s="65"/>
      <c r="AAK71" s="65"/>
      <c r="AAL71" s="65"/>
      <c r="AAM71" s="65"/>
      <c r="AAN71" s="65"/>
      <c r="AAO71" s="65"/>
      <c r="AAP71" s="65"/>
      <c r="AAQ71" s="65"/>
      <c r="AAR71" s="65"/>
      <c r="AAS71" s="65"/>
      <c r="AAT71" s="65"/>
      <c r="AAU71" s="65"/>
      <c r="AAV71" s="65"/>
      <c r="AAW71" s="65"/>
      <c r="AAX71" s="65"/>
      <c r="AAY71" s="65"/>
      <c r="AAZ71" s="65"/>
      <c r="ABA71" s="65"/>
      <c r="ABB71" s="65"/>
      <c r="ABC71" s="65"/>
      <c r="ABD71" s="65"/>
      <c r="ABE71" s="65"/>
      <c r="ABF71" s="65"/>
      <c r="ABG71" s="65"/>
      <c r="ABH71" s="65"/>
      <c r="ABI71" s="65"/>
      <c r="ABJ71" s="65"/>
      <c r="ABK71" s="65"/>
      <c r="ABL71" s="65"/>
      <c r="ABM71" s="65"/>
      <c r="ABN71" s="65"/>
    </row>
    <row r="72" spans="1:742" ht="34.5" customHeight="1" x14ac:dyDescent="0.25">
      <c r="A72" s="110">
        <v>2025</v>
      </c>
      <c r="B72" s="230">
        <v>4</v>
      </c>
      <c r="C72" s="152">
        <v>22579</v>
      </c>
      <c r="D72" s="277">
        <v>45763</v>
      </c>
      <c r="E72" s="111" t="s">
        <v>808</v>
      </c>
      <c r="F72" s="111" t="s">
        <v>977</v>
      </c>
      <c r="G72" s="110" t="s">
        <v>99</v>
      </c>
      <c r="H72" s="110">
        <v>3104986267</v>
      </c>
      <c r="I72" s="110">
        <v>3104986267</v>
      </c>
      <c r="J72" s="108">
        <v>45777</v>
      </c>
      <c r="K72" s="110" t="s">
        <v>99</v>
      </c>
      <c r="L72" s="112" t="s">
        <v>975</v>
      </c>
      <c r="M72" s="110" t="s">
        <v>136</v>
      </c>
      <c r="N72" s="110">
        <v>5879</v>
      </c>
      <c r="O72" s="110" t="s">
        <v>136</v>
      </c>
      <c r="P72" s="110" t="s">
        <v>136</v>
      </c>
      <c r="Q72" s="110" t="s">
        <v>136</v>
      </c>
      <c r="R72" s="110" t="s">
        <v>136</v>
      </c>
      <c r="S72" s="110" t="s">
        <v>134</v>
      </c>
      <c r="T72" s="110" t="s">
        <v>134</v>
      </c>
      <c r="U72" s="110" t="s">
        <v>136</v>
      </c>
      <c r="V72" s="111" t="s">
        <v>89</v>
      </c>
      <c r="W72" s="108">
        <v>45776</v>
      </c>
      <c r="X72" s="108"/>
      <c r="Y72" s="110"/>
      <c r="Z72" s="126" t="s">
        <v>85</v>
      </c>
      <c r="AA72" s="124">
        <v>0</v>
      </c>
      <c r="AB72" s="110" t="s">
        <v>136</v>
      </c>
      <c r="AC72" s="114">
        <v>0</v>
      </c>
      <c r="AD72" s="212">
        <f t="shared" si="5"/>
        <v>0</v>
      </c>
      <c r="AE72" s="114">
        <v>0</v>
      </c>
      <c r="AF72" s="110"/>
      <c r="AG72" s="142" t="s">
        <v>978</v>
      </c>
      <c r="AH72" s="230" t="s">
        <v>136</v>
      </c>
      <c r="AI72" s="108">
        <v>45777</v>
      </c>
      <c r="AJ72" s="110" t="s">
        <v>571</v>
      </c>
      <c r="AK72" s="110"/>
    </row>
    <row r="73" spans="1:742" ht="45" x14ac:dyDescent="0.25">
      <c r="A73" s="110">
        <v>2025</v>
      </c>
      <c r="B73" s="230">
        <v>4</v>
      </c>
      <c r="C73" s="152">
        <v>22580</v>
      </c>
      <c r="D73" s="277">
        <v>45763</v>
      </c>
      <c r="E73" s="111" t="s">
        <v>973</v>
      </c>
      <c r="F73" s="111" t="s">
        <v>973</v>
      </c>
      <c r="G73" s="110" t="s">
        <v>143</v>
      </c>
      <c r="H73" s="110">
        <v>3136554947</v>
      </c>
      <c r="I73" s="110">
        <v>3136554947</v>
      </c>
      <c r="J73" s="108">
        <v>45776</v>
      </c>
      <c r="K73" s="110" t="s">
        <v>84</v>
      </c>
      <c r="L73" s="112" t="s">
        <v>974</v>
      </c>
      <c r="M73" s="110" t="s">
        <v>136</v>
      </c>
      <c r="N73" s="110">
        <v>5881</v>
      </c>
      <c r="O73" s="110" t="s">
        <v>136</v>
      </c>
      <c r="P73" s="110">
        <v>8903</v>
      </c>
      <c r="Q73" s="110" t="s">
        <v>136</v>
      </c>
      <c r="R73" s="110" t="s">
        <v>136</v>
      </c>
      <c r="S73" s="110" t="s">
        <v>136</v>
      </c>
      <c r="T73" s="110" t="s">
        <v>136</v>
      </c>
      <c r="U73" s="110" t="s">
        <v>136</v>
      </c>
      <c r="V73" s="110" t="s">
        <v>590</v>
      </c>
      <c r="W73" s="108">
        <v>45772</v>
      </c>
      <c r="X73" s="108">
        <v>45776</v>
      </c>
      <c r="Y73" s="110"/>
      <c r="Z73" s="126" t="s">
        <v>85</v>
      </c>
      <c r="AA73" s="130">
        <v>68000</v>
      </c>
      <c r="AB73" s="110">
        <v>5785</v>
      </c>
      <c r="AC73" s="114">
        <v>57143</v>
      </c>
      <c r="AD73" s="212">
        <f t="shared" si="5"/>
        <v>68000.17</v>
      </c>
      <c r="AE73" s="114">
        <v>0</v>
      </c>
      <c r="AF73" s="110"/>
      <c r="AG73" s="142" t="s">
        <v>1032</v>
      </c>
      <c r="AH73" s="248">
        <v>45763</v>
      </c>
      <c r="AI73" s="108">
        <v>45777</v>
      </c>
      <c r="AJ73" s="110" t="s">
        <v>571</v>
      </c>
      <c r="AK73" s="110"/>
    </row>
    <row r="74" spans="1:742" ht="45" x14ac:dyDescent="0.25">
      <c r="A74" s="110">
        <v>2025</v>
      </c>
      <c r="B74" s="230">
        <v>4</v>
      </c>
      <c r="C74" s="152">
        <v>22581</v>
      </c>
      <c r="D74" s="277">
        <v>45763</v>
      </c>
      <c r="E74" s="111" t="s">
        <v>951</v>
      </c>
      <c r="F74" s="111" t="s">
        <v>349</v>
      </c>
      <c r="G74" s="110" t="s">
        <v>98</v>
      </c>
      <c r="H74" s="110">
        <v>3164075555</v>
      </c>
      <c r="I74" s="110">
        <v>6044236170</v>
      </c>
      <c r="J74" s="108">
        <v>45776</v>
      </c>
      <c r="K74" s="110" t="s">
        <v>88</v>
      </c>
      <c r="L74" s="112" t="s">
        <v>952</v>
      </c>
      <c r="M74" s="110" t="s">
        <v>136</v>
      </c>
      <c r="N74" s="110" t="s">
        <v>136</v>
      </c>
      <c r="O74" s="110">
        <v>6122</v>
      </c>
      <c r="P74" s="110" t="s">
        <v>136</v>
      </c>
      <c r="Q74" s="110" t="s">
        <v>136</v>
      </c>
      <c r="R74" s="110" t="s">
        <v>136</v>
      </c>
      <c r="S74" s="110" t="s">
        <v>134</v>
      </c>
      <c r="T74" s="110" t="s">
        <v>134</v>
      </c>
      <c r="U74" s="110" t="s">
        <v>136</v>
      </c>
      <c r="V74" s="247" t="s">
        <v>590</v>
      </c>
      <c r="W74" s="108">
        <v>45770</v>
      </c>
      <c r="X74" s="108">
        <v>45770</v>
      </c>
      <c r="Y74" s="110"/>
      <c r="Z74" s="126" t="s">
        <v>85</v>
      </c>
      <c r="AA74" s="124">
        <v>0</v>
      </c>
      <c r="AB74" s="110">
        <v>5769</v>
      </c>
      <c r="AC74" s="114">
        <v>140000</v>
      </c>
      <c r="AD74" s="212">
        <f t="shared" si="5"/>
        <v>166600</v>
      </c>
      <c r="AE74" s="114">
        <v>0</v>
      </c>
      <c r="AF74" s="110"/>
      <c r="AG74" s="142" t="s">
        <v>1045</v>
      </c>
      <c r="AH74" s="248">
        <v>45772</v>
      </c>
      <c r="AI74" s="108">
        <v>45777</v>
      </c>
      <c r="AJ74" s="110" t="s">
        <v>571</v>
      </c>
      <c r="AK74" s="110"/>
    </row>
    <row r="75" spans="1:742" s="207" customFormat="1" ht="210" x14ac:dyDescent="0.25">
      <c r="A75" s="99">
        <v>2025</v>
      </c>
      <c r="B75" s="233">
        <v>4</v>
      </c>
      <c r="C75" s="356">
        <v>22582</v>
      </c>
      <c r="D75" s="278">
        <v>45772</v>
      </c>
      <c r="E75" s="100" t="s">
        <v>686</v>
      </c>
      <c r="F75" s="100" t="s">
        <v>769</v>
      </c>
      <c r="G75" s="99" t="s">
        <v>143</v>
      </c>
      <c r="H75" s="99">
        <v>3003750531</v>
      </c>
      <c r="I75" s="99">
        <v>6044441770</v>
      </c>
      <c r="J75" s="97">
        <v>45787</v>
      </c>
      <c r="K75" s="99" t="s">
        <v>88</v>
      </c>
      <c r="L75" s="101" t="s">
        <v>1006</v>
      </c>
      <c r="M75" s="99" t="s">
        <v>281</v>
      </c>
      <c r="N75" s="99">
        <v>5818</v>
      </c>
      <c r="O75" s="99">
        <v>6070</v>
      </c>
      <c r="P75" s="99">
        <v>8675</v>
      </c>
      <c r="Q75" s="99">
        <v>5491</v>
      </c>
      <c r="R75" s="99" t="s">
        <v>134</v>
      </c>
      <c r="S75" s="99" t="s">
        <v>134</v>
      </c>
      <c r="T75" s="99" t="s">
        <v>134</v>
      </c>
      <c r="U75" s="99" t="s">
        <v>136</v>
      </c>
      <c r="V75" s="100" t="s">
        <v>89</v>
      </c>
      <c r="W75" s="97">
        <v>45756</v>
      </c>
      <c r="X75" s="97">
        <v>45786</v>
      </c>
      <c r="Y75" s="99"/>
      <c r="Z75" s="120" t="s">
        <v>85</v>
      </c>
      <c r="AA75" s="122">
        <v>0</v>
      </c>
      <c r="AB75" s="99" t="s">
        <v>136</v>
      </c>
      <c r="AC75" s="103">
        <v>10843479</v>
      </c>
      <c r="AD75" s="198">
        <f>+AC75*1.19</f>
        <v>12903740.01</v>
      </c>
      <c r="AE75" s="103">
        <v>6451870</v>
      </c>
      <c r="AF75" s="99"/>
      <c r="AG75" s="104" t="s">
        <v>1779</v>
      </c>
      <c r="AH75" s="233" t="s">
        <v>136</v>
      </c>
      <c r="AI75" s="97">
        <v>45772</v>
      </c>
      <c r="AJ75" s="99" t="s">
        <v>571</v>
      </c>
      <c r="AK75" s="99" t="s">
        <v>236</v>
      </c>
      <c r="AL75" s="65"/>
      <c r="AM75" s="65"/>
      <c r="AN75" s="65"/>
      <c r="AO75" s="65"/>
      <c r="AP75" s="65"/>
      <c r="AQ75" s="65"/>
      <c r="AR75" s="65"/>
      <c r="AS75" s="65"/>
      <c r="AT75" s="65"/>
      <c r="AU75" s="65"/>
      <c r="AV75" s="65"/>
      <c r="AW75" s="65"/>
      <c r="AX75" s="65"/>
      <c r="AY75" s="65"/>
      <c r="AZ75" s="65"/>
      <c r="BA75" s="65"/>
      <c r="BB75" s="65"/>
      <c r="BC75" s="65"/>
      <c r="BD75" s="65"/>
      <c r="BE75" s="65"/>
      <c r="BF75" s="65"/>
      <c r="BG75" s="65"/>
      <c r="BH75" s="65"/>
      <c r="BI75" s="65"/>
      <c r="BJ75" s="65"/>
      <c r="BK75" s="65"/>
      <c r="BL75" s="65"/>
      <c r="BM75" s="65"/>
      <c r="BN75" s="65"/>
      <c r="BO75" s="65"/>
      <c r="BP75" s="65"/>
      <c r="BQ75" s="65"/>
      <c r="BR75" s="65"/>
      <c r="BS75" s="65"/>
      <c r="BT75" s="65"/>
      <c r="BU75" s="65"/>
      <c r="BV75" s="65"/>
      <c r="BW75" s="65"/>
      <c r="BX75" s="65"/>
      <c r="BY75" s="65"/>
      <c r="BZ75" s="65"/>
      <c r="CA75" s="65"/>
      <c r="CB75" s="65"/>
      <c r="CC75" s="65"/>
      <c r="CD75" s="65"/>
      <c r="CE75" s="65"/>
      <c r="CF75" s="65"/>
      <c r="CG75" s="65"/>
      <c r="CH75" s="65"/>
      <c r="CI75" s="65"/>
      <c r="CJ75" s="65"/>
      <c r="CK75" s="65"/>
      <c r="CL75" s="65"/>
      <c r="CM75" s="65"/>
      <c r="CN75" s="65"/>
      <c r="CO75" s="65"/>
      <c r="CP75" s="65"/>
      <c r="CQ75" s="65"/>
      <c r="CR75" s="65"/>
      <c r="CS75" s="65"/>
      <c r="CT75" s="65"/>
      <c r="CU75" s="65"/>
      <c r="CV75" s="65"/>
      <c r="CW75" s="65"/>
      <c r="CX75" s="65"/>
      <c r="CY75" s="65"/>
      <c r="CZ75" s="65"/>
      <c r="DA75" s="65"/>
      <c r="DB75" s="65"/>
      <c r="DC75" s="65"/>
      <c r="DD75" s="65"/>
      <c r="DE75" s="65"/>
      <c r="DF75" s="65"/>
      <c r="DG75" s="65"/>
      <c r="DH75" s="65"/>
      <c r="DI75" s="65"/>
      <c r="DJ75" s="65"/>
      <c r="DK75" s="65"/>
      <c r="DL75" s="65"/>
      <c r="DM75" s="65"/>
      <c r="DN75" s="65"/>
      <c r="DO75" s="65"/>
      <c r="DP75" s="65"/>
      <c r="DQ75" s="65"/>
      <c r="DR75" s="65"/>
      <c r="DS75" s="65"/>
      <c r="DT75" s="65"/>
      <c r="DU75" s="65"/>
      <c r="DV75" s="65"/>
      <c r="DW75" s="65"/>
      <c r="DX75" s="65"/>
      <c r="DY75" s="65"/>
      <c r="DZ75" s="65"/>
      <c r="EA75" s="65"/>
      <c r="EB75" s="65"/>
      <c r="EC75" s="65"/>
      <c r="ED75" s="65"/>
      <c r="EE75" s="65"/>
      <c r="EF75" s="65"/>
      <c r="EG75" s="65"/>
      <c r="EH75" s="65"/>
      <c r="EI75" s="65"/>
      <c r="EJ75" s="65"/>
      <c r="EK75" s="65"/>
      <c r="EL75" s="65"/>
      <c r="EM75" s="65"/>
      <c r="EN75" s="65"/>
      <c r="EO75" s="65"/>
      <c r="EP75" s="65"/>
      <c r="EQ75" s="65"/>
      <c r="ER75" s="65"/>
      <c r="ES75" s="65"/>
      <c r="ET75" s="65"/>
      <c r="EU75" s="65"/>
      <c r="EV75" s="65"/>
      <c r="EW75" s="65"/>
      <c r="EX75" s="65"/>
      <c r="EY75" s="65"/>
      <c r="EZ75" s="65"/>
      <c r="FA75" s="65"/>
      <c r="FB75" s="65"/>
      <c r="FC75" s="65"/>
      <c r="FD75" s="65"/>
      <c r="FE75" s="65"/>
      <c r="FF75" s="65"/>
      <c r="FG75" s="65"/>
      <c r="FH75" s="65"/>
      <c r="FI75" s="65"/>
      <c r="FJ75" s="65"/>
      <c r="FK75" s="65"/>
      <c r="FL75" s="65"/>
      <c r="FM75" s="65"/>
      <c r="FN75" s="65"/>
      <c r="FO75" s="65"/>
      <c r="FP75" s="65"/>
      <c r="FQ75" s="65"/>
      <c r="FR75" s="65"/>
      <c r="FS75" s="65"/>
      <c r="FT75" s="65"/>
      <c r="FU75" s="65"/>
      <c r="FV75" s="65"/>
      <c r="FW75" s="65"/>
      <c r="FX75" s="65"/>
      <c r="FY75" s="65"/>
      <c r="FZ75" s="65"/>
      <c r="GA75" s="65"/>
      <c r="GB75" s="65"/>
      <c r="GC75" s="65"/>
      <c r="GD75" s="65"/>
      <c r="GE75" s="65"/>
      <c r="GF75" s="65"/>
      <c r="GG75" s="65"/>
      <c r="GH75" s="65"/>
      <c r="GI75" s="65"/>
      <c r="GJ75" s="65"/>
      <c r="GK75" s="65"/>
      <c r="GL75" s="65"/>
      <c r="GM75" s="65"/>
      <c r="GN75" s="65"/>
      <c r="GO75" s="65"/>
      <c r="GP75" s="65"/>
      <c r="GQ75" s="65"/>
      <c r="GR75" s="65"/>
      <c r="GS75" s="65"/>
      <c r="GT75" s="65"/>
      <c r="GU75" s="65"/>
      <c r="GV75" s="65"/>
      <c r="GW75" s="65"/>
      <c r="GX75" s="65"/>
      <c r="GY75" s="65"/>
      <c r="GZ75" s="65"/>
      <c r="HA75" s="65"/>
      <c r="HB75" s="65"/>
      <c r="HC75" s="65"/>
      <c r="HD75" s="65"/>
      <c r="HE75" s="65"/>
      <c r="HF75" s="65"/>
      <c r="HG75" s="65"/>
      <c r="HH75" s="65"/>
      <c r="HI75" s="65"/>
      <c r="HJ75" s="65"/>
      <c r="HK75" s="65"/>
      <c r="HL75" s="65"/>
      <c r="HM75" s="65"/>
      <c r="HN75" s="65"/>
      <c r="HO75" s="65"/>
      <c r="HP75" s="65"/>
      <c r="HQ75" s="65"/>
      <c r="HR75" s="65"/>
      <c r="HS75" s="65"/>
      <c r="HT75" s="65"/>
      <c r="HU75" s="65"/>
      <c r="HV75" s="65"/>
      <c r="HW75" s="65"/>
      <c r="HX75" s="65"/>
      <c r="HY75" s="65"/>
      <c r="HZ75" s="65"/>
      <c r="IA75" s="65"/>
      <c r="IB75" s="65"/>
      <c r="IC75" s="65"/>
      <c r="ID75" s="65"/>
      <c r="IE75" s="65"/>
      <c r="IF75" s="65"/>
      <c r="IG75" s="65"/>
      <c r="IH75" s="65"/>
      <c r="II75" s="65"/>
      <c r="IJ75" s="65"/>
      <c r="IK75" s="65"/>
      <c r="IL75" s="65"/>
      <c r="IM75" s="65"/>
      <c r="IN75" s="65"/>
      <c r="IO75" s="65"/>
      <c r="IP75" s="65"/>
      <c r="IQ75" s="65"/>
      <c r="IR75" s="65"/>
      <c r="IS75" s="65"/>
      <c r="IT75" s="65"/>
      <c r="IU75" s="65"/>
      <c r="IV75" s="65"/>
      <c r="IW75" s="65"/>
      <c r="IX75" s="65"/>
      <c r="IY75" s="65"/>
      <c r="IZ75" s="65"/>
      <c r="JA75" s="65"/>
      <c r="JB75" s="65"/>
      <c r="JC75" s="65"/>
      <c r="JD75" s="65"/>
      <c r="JE75" s="65"/>
      <c r="JF75" s="65"/>
      <c r="JG75" s="65"/>
      <c r="JH75" s="65"/>
      <c r="JI75" s="65"/>
      <c r="JJ75" s="65"/>
      <c r="JK75" s="65"/>
      <c r="JL75" s="65"/>
      <c r="JM75" s="65"/>
      <c r="JN75" s="65"/>
      <c r="JO75" s="65"/>
      <c r="JP75" s="65"/>
      <c r="JQ75" s="65"/>
      <c r="JR75" s="65"/>
      <c r="JS75" s="65"/>
      <c r="JT75" s="65"/>
      <c r="JU75" s="65"/>
      <c r="JV75" s="65"/>
      <c r="JW75" s="65"/>
      <c r="JX75" s="65"/>
      <c r="JY75" s="65"/>
      <c r="JZ75" s="65"/>
      <c r="KA75" s="65"/>
      <c r="KB75" s="65"/>
      <c r="KC75" s="65"/>
      <c r="KD75" s="65"/>
      <c r="KE75" s="65"/>
      <c r="KF75" s="65"/>
      <c r="KG75" s="65"/>
      <c r="KH75" s="65"/>
      <c r="KI75" s="65"/>
      <c r="KJ75" s="65"/>
      <c r="KK75" s="65"/>
      <c r="KL75" s="65"/>
      <c r="KM75" s="65"/>
      <c r="KN75" s="65"/>
      <c r="KO75" s="65"/>
      <c r="KP75" s="65"/>
      <c r="KQ75" s="65"/>
      <c r="KR75" s="65"/>
      <c r="KS75" s="65"/>
      <c r="KT75" s="65"/>
      <c r="KU75" s="65"/>
      <c r="KV75" s="65"/>
      <c r="KW75" s="65"/>
      <c r="KX75" s="65"/>
      <c r="KY75" s="65"/>
      <c r="KZ75" s="65"/>
      <c r="LA75" s="65"/>
      <c r="LB75" s="65"/>
      <c r="LC75" s="65"/>
      <c r="LD75" s="65"/>
      <c r="LE75" s="65"/>
      <c r="LF75" s="65"/>
      <c r="LG75" s="65"/>
      <c r="LH75" s="65"/>
      <c r="LI75" s="65"/>
      <c r="LJ75" s="65"/>
      <c r="LK75" s="65"/>
      <c r="LL75" s="65"/>
      <c r="LM75" s="65"/>
      <c r="LN75" s="65"/>
      <c r="LO75" s="65"/>
      <c r="LP75" s="65"/>
      <c r="LQ75" s="65"/>
      <c r="LR75" s="65"/>
      <c r="LS75" s="65"/>
      <c r="LT75" s="65"/>
      <c r="LU75" s="65"/>
      <c r="LV75" s="65"/>
      <c r="LW75" s="65"/>
      <c r="LX75" s="65"/>
      <c r="LY75" s="65"/>
      <c r="LZ75" s="65"/>
      <c r="MA75" s="65"/>
      <c r="MB75" s="65"/>
      <c r="MC75" s="65"/>
      <c r="MD75" s="65"/>
      <c r="ME75" s="65"/>
      <c r="MF75" s="65"/>
      <c r="MG75" s="65"/>
      <c r="MH75" s="65"/>
      <c r="MI75" s="65"/>
      <c r="MJ75" s="65"/>
      <c r="MK75" s="65"/>
      <c r="ML75" s="65"/>
      <c r="MM75" s="65"/>
      <c r="MN75" s="65"/>
      <c r="MO75" s="65"/>
      <c r="MP75" s="65"/>
      <c r="MQ75" s="65"/>
      <c r="MR75" s="65"/>
      <c r="MS75" s="65"/>
      <c r="MT75" s="65"/>
      <c r="MU75" s="65"/>
      <c r="MV75" s="65"/>
      <c r="MW75" s="65"/>
      <c r="MX75" s="65"/>
      <c r="MY75" s="65"/>
      <c r="MZ75" s="65"/>
      <c r="NA75" s="65"/>
      <c r="NB75" s="65"/>
      <c r="NC75" s="65"/>
      <c r="ND75" s="65"/>
      <c r="NE75" s="65"/>
      <c r="NF75" s="65"/>
      <c r="NG75" s="65"/>
      <c r="NH75" s="65"/>
      <c r="NI75" s="65"/>
      <c r="NJ75" s="65"/>
      <c r="NK75" s="65"/>
      <c r="NL75" s="65"/>
      <c r="NM75" s="65"/>
      <c r="NN75" s="65"/>
      <c r="NO75" s="65"/>
      <c r="NP75" s="65"/>
      <c r="NQ75" s="65"/>
      <c r="NR75" s="65"/>
      <c r="NS75" s="65"/>
      <c r="NT75" s="65"/>
      <c r="NU75" s="65"/>
      <c r="NV75" s="65"/>
      <c r="NW75" s="65"/>
      <c r="NX75" s="65"/>
      <c r="NY75" s="65"/>
      <c r="NZ75" s="65"/>
      <c r="OA75" s="65"/>
      <c r="OB75" s="65"/>
      <c r="OC75" s="65"/>
      <c r="OD75" s="65"/>
      <c r="OE75" s="65"/>
      <c r="OF75" s="65"/>
      <c r="OG75" s="65"/>
      <c r="OH75" s="65"/>
      <c r="OI75" s="65"/>
      <c r="OJ75" s="65"/>
      <c r="OK75" s="65"/>
      <c r="OL75" s="65"/>
      <c r="OM75" s="65"/>
      <c r="ON75" s="65"/>
      <c r="OO75" s="65"/>
      <c r="OP75" s="65"/>
      <c r="OQ75" s="65"/>
      <c r="OR75" s="65"/>
      <c r="OS75" s="65"/>
      <c r="OT75" s="65"/>
      <c r="OU75" s="65"/>
      <c r="OV75" s="65"/>
      <c r="OW75" s="65"/>
      <c r="OX75" s="65"/>
      <c r="OY75" s="65"/>
      <c r="OZ75" s="65"/>
      <c r="PA75" s="65"/>
      <c r="PB75" s="65"/>
      <c r="PC75" s="65"/>
      <c r="PD75" s="65"/>
      <c r="PE75" s="65"/>
      <c r="PF75" s="65"/>
      <c r="PG75" s="65"/>
      <c r="PH75" s="65"/>
      <c r="PI75" s="65"/>
      <c r="PJ75" s="65"/>
      <c r="PK75" s="65"/>
      <c r="PL75" s="65"/>
      <c r="PM75" s="65"/>
      <c r="PN75" s="65"/>
      <c r="PO75" s="65"/>
      <c r="PP75" s="65"/>
      <c r="PQ75" s="65"/>
      <c r="PR75" s="65"/>
      <c r="PS75" s="65"/>
      <c r="PT75" s="65"/>
      <c r="PU75" s="65"/>
      <c r="PV75" s="65"/>
      <c r="PW75" s="65"/>
      <c r="PX75" s="65"/>
      <c r="PY75" s="65"/>
      <c r="PZ75" s="65"/>
      <c r="QA75" s="65"/>
      <c r="QB75" s="65"/>
      <c r="QC75" s="65"/>
      <c r="QD75" s="65"/>
      <c r="QE75" s="65"/>
      <c r="QF75" s="65"/>
      <c r="QG75" s="65"/>
      <c r="QH75" s="65"/>
      <c r="QI75" s="65"/>
      <c r="QJ75" s="65"/>
      <c r="QK75" s="65"/>
      <c r="QL75" s="65"/>
      <c r="QM75" s="65"/>
      <c r="QN75" s="65"/>
      <c r="QO75" s="65"/>
      <c r="QP75" s="65"/>
      <c r="QQ75" s="65"/>
      <c r="QR75" s="65"/>
      <c r="QS75" s="65"/>
      <c r="QT75" s="65"/>
      <c r="QU75" s="65"/>
      <c r="QV75" s="65"/>
      <c r="QW75" s="65"/>
      <c r="QX75" s="65"/>
      <c r="QY75" s="65"/>
      <c r="QZ75" s="65"/>
      <c r="RA75" s="65"/>
      <c r="RB75" s="65"/>
      <c r="RC75" s="65"/>
      <c r="RD75" s="65"/>
      <c r="RE75" s="65"/>
      <c r="RF75" s="65"/>
      <c r="RG75" s="65"/>
      <c r="RH75" s="65"/>
      <c r="RI75" s="65"/>
      <c r="RJ75" s="65"/>
      <c r="RK75" s="65"/>
      <c r="RL75" s="65"/>
      <c r="RM75" s="65"/>
      <c r="RN75" s="65"/>
      <c r="RO75" s="65"/>
      <c r="RP75" s="65"/>
      <c r="RQ75" s="65"/>
      <c r="RR75" s="65"/>
      <c r="RS75" s="65"/>
      <c r="RT75" s="65"/>
      <c r="RU75" s="65"/>
      <c r="RV75" s="65"/>
      <c r="RW75" s="65"/>
      <c r="RX75" s="65"/>
      <c r="RY75" s="65"/>
      <c r="RZ75" s="65"/>
      <c r="SA75" s="65"/>
      <c r="SB75" s="65"/>
      <c r="SC75" s="65"/>
      <c r="SD75" s="65"/>
      <c r="SE75" s="65"/>
      <c r="SF75" s="65"/>
      <c r="SG75" s="65"/>
      <c r="SH75" s="65"/>
      <c r="SI75" s="65"/>
      <c r="SJ75" s="65"/>
      <c r="SK75" s="65"/>
      <c r="SL75" s="65"/>
      <c r="SM75" s="65"/>
      <c r="SN75" s="65"/>
      <c r="SO75" s="65"/>
      <c r="SP75" s="65"/>
      <c r="SQ75" s="65"/>
      <c r="SR75" s="65"/>
      <c r="SS75" s="65"/>
      <c r="ST75" s="65"/>
      <c r="SU75" s="65"/>
      <c r="SV75" s="65"/>
      <c r="SW75" s="65"/>
      <c r="SX75" s="65"/>
      <c r="SY75" s="65"/>
      <c r="SZ75" s="65"/>
      <c r="TA75" s="65"/>
      <c r="TB75" s="65"/>
      <c r="TC75" s="65"/>
      <c r="TD75" s="65"/>
      <c r="TE75" s="65"/>
      <c r="TF75" s="65"/>
      <c r="TG75" s="65"/>
      <c r="TH75" s="65"/>
      <c r="TI75" s="65"/>
      <c r="TJ75" s="65"/>
      <c r="TK75" s="65"/>
      <c r="TL75" s="65"/>
      <c r="TM75" s="65"/>
      <c r="TN75" s="65"/>
      <c r="TO75" s="65"/>
      <c r="TP75" s="65"/>
      <c r="TQ75" s="65"/>
      <c r="TR75" s="65"/>
      <c r="TS75" s="65"/>
      <c r="TT75" s="65"/>
      <c r="TU75" s="65"/>
      <c r="TV75" s="65"/>
      <c r="TW75" s="65"/>
      <c r="TX75" s="65"/>
      <c r="TY75" s="65"/>
      <c r="TZ75" s="65"/>
      <c r="UA75" s="65"/>
      <c r="UB75" s="65"/>
      <c r="UC75" s="65"/>
      <c r="UD75" s="65"/>
      <c r="UE75" s="65"/>
      <c r="UF75" s="65"/>
      <c r="UG75" s="65"/>
      <c r="UH75" s="65"/>
      <c r="UI75" s="65"/>
      <c r="UJ75" s="65"/>
      <c r="UK75" s="65"/>
      <c r="UL75" s="65"/>
      <c r="UM75" s="65"/>
      <c r="UN75" s="65"/>
      <c r="UO75" s="65"/>
      <c r="UP75" s="65"/>
      <c r="UQ75" s="65"/>
      <c r="UR75" s="65"/>
      <c r="US75" s="65"/>
      <c r="UT75" s="65"/>
      <c r="UU75" s="65"/>
      <c r="UV75" s="65"/>
      <c r="UW75" s="65"/>
      <c r="UX75" s="65"/>
      <c r="UY75" s="65"/>
      <c r="UZ75" s="65"/>
      <c r="VA75" s="65"/>
      <c r="VB75" s="65"/>
      <c r="VC75" s="65"/>
      <c r="VD75" s="65"/>
      <c r="VE75" s="65"/>
      <c r="VF75" s="65"/>
      <c r="VG75" s="65"/>
      <c r="VH75" s="65"/>
      <c r="VI75" s="65"/>
      <c r="VJ75" s="65"/>
      <c r="VK75" s="65"/>
      <c r="VL75" s="65"/>
      <c r="VM75" s="65"/>
      <c r="VN75" s="65"/>
      <c r="VO75" s="65"/>
      <c r="VP75" s="65"/>
      <c r="VQ75" s="65"/>
      <c r="VR75" s="65"/>
      <c r="VS75" s="65"/>
      <c r="VT75" s="65"/>
      <c r="VU75" s="65"/>
      <c r="VV75" s="65"/>
      <c r="VW75" s="65"/>
      <c r="VX75" s="65"/>
      <c r="VY75" s="65"/>
      <c r="VZ75" s="65"/>
      <c r="WA75" s="65"/>
      <c r="WB75" s="65"/>
      <c r="WC75" s="65"/>
      <c r="WD75" s="65"/>
      <c r="WE75" s="65"/>
      <c r="WF75" s="65"/>
      <c r="WG75" s="65"/>
      <c r="WH75" s="65"/>
      <c r="WI75" s="65"/>
      <c r="WJ75" s="65"/>
      <c r="WK75" s="65"/>
      <c r="WL75" s="65"/>
      <c r="WM75" s="65"/>
      <c r="WN75" s="65"/>
      <c r="WO75" s="65"/>
      <c r="WP75" s="65"/>
      <c r="WQ75" s="65"/>
      <c r="WR75" s="65"/>
      <c r="WS75" s="65"/>
      <c r="WT75" s="65"/>
      <c r="WU75" s="65"/>
      <c r="WV75" s="65"/>
      <c r="WW75" s="65"/>
      <c r="WX75" s="65"/>
      <c r="WY75" s="65"/>
      <c r="WZ75" s="65"/>
      <c r="XA75" s="65"/>
      <c r="XB75" s="65"/>
      <c r="XC75" s="65"/>
      <c r="XD75" s="65"/>
      <c r="XE75" s="65"/>
      <c r="XF75" s="65"/>
      <c r="XG75" s="65"/>
      <c r="XH75" s="65"/>
      <c r="XI75" s="65"/>
      <c r="XJ75" s="65"/>
      <c r="XK75" s="65"/>
      <c r="XL75" s="65"/>
      <c r="XM75" s="65"/>
      <c r="XN75" s="65"/>
      <c r="XO75" s="65"/>
      <c r="XP75" s="65"/>
      <c r="XQ75" s="65"/>
      <c r="XR75" s="65"/>
      <c r="XS75" s="65"/>
      <c r="XT75" s="65"/>
      <c r="XU75" s="65"/>
      <c r="XV75" s="65"/>
      <c r="XW75" s="65"/>
      <c r="XX75" s="65"/>
      <c r="XY75" s="65"/>
      <c r="XZ75" s="65"/>
      <c r="YA75" s="65"/>
      <c r="YB75" s="65"/>
      <c r="YC75" s="65"/>
      <c r="YD75" s="65"/>
      <c r="YE75" s="65"/>
      <c r="YF75" s="65"/>
      <c r="YG75" s="65"/>
      <c r="YH75" s="65"/>
      <c r="YI75" s="65"/>
      <c r="YJ75" s="65"/>
      <c r="YK75" s="65"/>
      <c r="YL75" s="65"/>
      <c r="YM75" s="65"/>
      <c r="YN75" s="65"/>
      <c r="YO75" s="65"/>
      <c r="YP75" s="65"/>
      <c r="YQ75" s="65"/>
      <c r="YR75" s="65"/>
      <c r="YS75" s="65"/>
      <c r="YT75" s="65"/>
      <c r="YU75" s="65"/>
      <c r="YV75" s="65"/>
      <c r="YW75" s="65"/>
      <c r="YX75" s="65"/>
      <c r="YY75" s="65"/>
      <c r="YZ75" s="65"/>
      <c r="ZA75" s="65"/>
      <c r="ZB75" s="65"/>
      <c r="ZC75" s="65"/>
      <c r="ZD75" s="65"/>
      <c r="ZE75" s="65"/>
      <c r="ZF75" s="65"/>
      <c r="ZG75" s="65"/>
      <c r="ZH75" s="65"/>
      <c r="ZI75" s="65"/>
      <c r="ZJ75" s="65"/>
      <c r="ZK75" s="65"/>
      <c r="ZL75" s="65"/>
      <c r="ZM75" s="65"/>
      <c r="ZN75" s="65"/>
      <c r="ZO75" s="65"/>
      <c r="ZP75" s="65"/>
      <c r="ZQ75" s="65"/>
      <c r="ZR75" s="65"/>
      <c r="ZS75" s="65"/>
      <c r="ZT75" s="65"/>
      <c r="ZU75" s="65"/>
      <c r="ZV75" s="65"/>
      <c r="ZW75" s="65"/>
      <c r="ZX75" s="65"/>
      <c r="ZY75" s="65"/>
      <c r="ZZ75" s="65"/>
      <c r="AAA75" s="65"/>
      <c r="AAB75" s="65"/>
      <c r="AAC75" s="65"/>
      <c r="AAD75" s="65"/>
      <c r="AAE75" s="65"/>
      <c r="AAF75" s="65"/>
      <c r="AAG75" s="65"/>
      <c r="AAH75" s="65"/>
      <c r="AAI75" s="65"/>
      <c r="AAJ75" s="65"/>
      <c r="AAK75" s="65"/>
      <c r="AAL75" s="65"/>
      <c r="AAM75" s="65"/>
      <c r="AAN75" s="65"/>
      <c r="AAO75" s="65"/>
      <c r="AAP75" s="65"/>
      <c r="AAQ75" s="65"/>
      <c r="AAR75" s="65"/>
      <c r="AAS75" s="65"/>
      <c r="AAT75" s="65"/>
      <c r="AAU75" s="65"/>
      <c r="AAV75" s="65"/>
      <c r="AAW75" s="65"/>
      <c r="AAX75" s="65"/>
      <c r="AAY75" s="65"/>
      <c r="AAZ75" s="65"/>
      <c r="ABA75" s="65"/>
      <c r="ABB75" s="65"/>
      <c r="ABC75" s="65"/>
      <c r="ABD75" s="65"/>
      <c r="ABE75" s="65"/>
      <c r="ABF75" s="65"/>
      <c r="ABG75" s="65"/>
      <c r="ABH75" s="65"/>
      <c r="ABI75" s="65"/>
      <c r="ABJ75" s="65"/>
      <c r="ABK75" s="65"/>
      <c r="ABL75" s="65"/>
      <c r="ABM75" s="65"/>
      <c r="ABN75" s="65"/>
    </row>
    <row r="76" spans="1:742" ht="30" x14ac:dyDescent="0.25">
      <c r="A76" s="99">
        <v>2025</v>
      </c>
      <c r="B76" s="233">
        <v>4</v>
      </c>
      <c r="C76" s="356">
        <v>22583</v>
      </c>
      <c r="D76" s="278">
        <v>45763</v>
      </c>
      <c r="E76" s="100" t="s">
        <v>808</v>
      </c>
      <c r="F76" s="100" t="s">
        <v>808</v>
      </c>
      <c r="G76" s="99" t="s">
        <v>143</v>
      </c>
      <c r="H76" s="99">
        <v>320275120</v>
      </c>
      <c r="I76" s="99">
        <v>320275120</v>
      </c>
      <c r="J76" s="97">
        <v>45779</v>
      </c>
      <c r="K76" s="99" t="s">
        <v>99</v>
      </c>
      <c r="L76" s="101" t="s">
        <v>976</v>
      </c>
      <c r="M76" s="99" t="s">
        <v>136</v>
      </c>
      <c r="N76" s="99">
        <v>5880</v>
      </c>
      <c r="O76" s="99" t="s">
        <v>136</v>
      </c>
      <c r="P76" s="99" t="s">
        <v>136</v>
      </c>
      <c r="Q76" s="99" t="s">
        <v>136</v>
      </c>
      <c r="R76" s="99" t="s">
        <v>136</v>
      </c>
      <c r="S76" s="99" t="s">
        <v>134</v>
      </c>
      <c r="T76" s="99" t="s">
        <v>134</v>
      </c>
      <c r="U76" s="99" t="s">
        <v>136</v>
      </c>
      <c r="V76" s="100" t="s">
        <v>89</v>
      </c>
      <c r="W76" s="97">
        <v>45784</v>
      </c>
      <c r="X76" s="97">
        <v>45784</v>
      </c>
      <c r="Y76" s="99"/>
      <c r="Z76" s="120" t="s">
        <v>122</v>
      </c>
      <c r="AA76" s="122">
        <v>0</v>
      </c>
      <c r="AB76" s="99">
        <v>5822</v>
      </c>
      <c r="AC76" s="103">
        <v>2317126</v>
      </c>
      <c r="AD76" s="198">
        <f t="shared" si="5"/>
        <v>2757379.94</v>
      </c>
      <c r="AE76" s="103">
        <v>0</v>
      </c>
      <c r="AF76" s="99"/>
      <c r="AG76" s="104" t="s">
        <v>1446</v>
      </c>
      <c r="AH76" s="233"/>
      <c r="AI76" s="97">
        <v>45785</v>
      </c>
      <c r="AJ76" s="99" t="s">
        <v>571</v>
      </c>
      <c r="AK76" s="99"/>
    </row>
    <row r="77" spans="1:742" s="207" customFormat="1" ht="135" x14ac:dyDescent="0.25">
      <c r="A77" s="99">
        <v>2025</v>
      </c>
      <c r="B77" s="233">
        <v>4</v>
      </c>
      <c r="C77" s="356">
        <v>22584</v>
      </c>
      <c r="D77" s="278">
        <v>45768</v>
      </c>
      <c r="E77" s="100" t="s">
        <v>1698</v>
      </c>
      <c r="F77" s="100" t="s">
        <v>1063</v>
      </c>
      <c r="G77" s="99" t="s">
        <v>143</v>
      </c>
      <c r="H77" s="99">
        <v>3104497422</v>
      </c>
      <c r="I77" s="99">
        <v>3104497422</v>
      </c>
      <c r="J77" s="97">
        <v>45786</v>
      </c>
      <c r="K77" s="99" t="s">
        <v>84</v>
      </c>
      <c r="L77" s="101" t="s">
        <v>1064</v>
      </c>
      <c r="M77" s="99" t="s">
        <v>136</v>
      </c>
      <c r="N77" s="99">
        <v>5907</v>
      </c>
      <c r="O77" s="99">
        <v>6144</v>
      </c>
      <c r="P77" s="100" t="s">
        <v>1065</v>
      </c>
      <c r="Q77" s="99">
        <v>5537</v>
      </c>
      <c r="R77" s="99" t="s">
        <v>134</v>
      </c>
      <c r="S77" s="99" t="s">
        <v>134</v>
      </c>
      <c r="T77" s="99" t="s">
        <v>134</v>
      </c>
      <c r="U77" s="99" t="s">
        <v>136</v>
      </c>
      <c r="V77" s="100" t="s">
        <v>89</v>
      </c>
      <c r="W77" s="97">
        <v>45793</v>
      </c>
      <c r="X77" s="97">
        <v>45799</v>
      </c>
      <c r="Y77" s="99"/>
      <c r="Z77" s="120" t="s">
        <v>85</v>
      </c>
      <c r="AA77" s="122">
        <v>11845962</v>
      </c>
      <c r="AB77" s="99">
        <v>5842</v>
      </c>
      <c r="AC77" s="103">
        <v>9954590</v>
      </c>
      <c r="AD77" s="198">
        <f t="shared" si="5"/>
        <v>11845962.1</v>
      </c>
      <c r="AE77" s="103">
        <v>5460123</v>
      </c>
      <c r="AF77" s="99"/>
      <c r="AG77" s="104" t="s">
        <v>1892</v>
      </c>
      <c r="AH77" s="258">
        <v>45790</v>
      </c>
      <c r="AI77" s="97">
        <v>45814</v>
      </c>
      <c r="AJ77" s="99" t="s">
        <v>1705</v>
      </c>
      <c r="AK77" s="99"/>
      <c r="AL77" s="65"/>
      <c r="AM77" s="65"/>
      <c r="AN77" s="65"/>
      <c r="AO77" s="65"/>
      <c r="AP77" s="65"/>
      <c r="AQ77" s="65"/>
      <c r="AR77" s="65"/>
      <c r="AS77" s="65"/>
      <c r="AT77" s="65"/>
      <c r="AU77" s="65"/>
      <c r="AV77" s="65"/>
      <c r="AW77" s="65"/>
      <c r="AX77" s="65"/>
      <c r="AY77" s="65"/>
      <c r="AZ77" s="65"/>
      <c r="BA77" s="65"/>
      <c r="BB77" s="65"/>
      <c r="BC77" s="65"/>
      <c r="BD77" s="65"/>
      <c r="BE77" s="65"/>
      <c r="BF77" s="65"/>
      <c r="BG77" s="65"/>
      <c r="BH77" s="65"/>
      <c r="BI77" s="65"/>
      <c r="BJ77" s="65"/>
      <c r="BK77" s="65"/>
      <c r="BL77" s="65"/>
      <c r="BM77" s="65"/>
      <c r="BN77" s="65"/>
      <c r="BO77" s="65"/>
      <c r="BP77" s="65"/>
      <c r="BQ77" s="65"/>
      <c r="BR77" s="65"/>
      <c r="BS77" s="65"/>
      <c r="BT77" s="65"/>
      <c r="BU77" s="65"/>
      <c r="BV77" s="65"/>
      <c r="BW77" s="65"/>
      <c r="BX77" s="65"/>
      <c r="BY77" s="65"/>
      <c r="BZ77" s="65"/>
      <c r="CA77" s="65"/>
      <c r="CB77" s="65"/>
      <c r="CC77" s="65"/>
      <c r="CD77" s="65"/>
      <c r="CE77" s="65"/>
      <c r="CF77" s="65"/>
      <c r="CG77" s="65"/>
      <c r="CH77" s="65"/>
      <c r="CI77" s="65"/>
      <c r="CJ77" s="65"/>
      <c r="CK77" s="65"/>
      <c r="CL77" s="65"/>
      <c r="CM77" s="65"/>
      <c r="CN77" s="65"/>
      <c r="CO77" s="65"/>
      <c r="CP77" s="65"/>
      <c r="CQ77" s="65"/>
      <c r="CR77" s="65"/>
      <c r="CS77" s="65"/>
      <c r="CT77" s="65"/>
      <c r="CU77" s="65"/>
      <c r="CV77" s="65"/>
      <c r="CW77" s="65"/>
      <c r="CX77" s="65"/>
      <c r="CY77" s="65"/>
      <c r="CZ77" s="65"/>
      <c r="DA77" s="65"/>
      <c r="DB77" s="65"/>
      <c r="DC77" s="65"/>
      <c r="DD77" s="65"/>
      <c r="DE77" s="65"/>
      <c r="DF77" s="65"/>
      <c r="DG77" s="65"/>
      <c r="DH77" s="65"/>
      <c r="DI77" s="65"/>
      <c r="DJ77" s="65"/>
      <c r="DK77" s="65"/>
      <c r="DL77" s="65"/>
      <c r="DM77" s="65"/>
      <c r="DN77" s="65"/>
      <c r="DO77" s="65"/>
      <c r="DP77" s="65"/>
      <c r="DQ77" s="65"/>
      <c r="DR77" s="65"/>
      <c r="DS77" s="65"/>
      <c r="DT77" s="65"/>
      <c r="DU77" s="65"/>
      <c r="DV77" s="65"/>
      <c r="DW77" s="65"/>
      <c r="DX77" s="65"/>
      <c r="DY77" s="65"/>
      <c r="DZ77" s="65"/>
      <c r="EA77" s="65"/>
      <c r="EB77" s="65"/>
      <c r="EC77" s="65"/>
      <c r="ED77" s="65"/>
      <c r="EE77" s="65"/>
      <c r="EF77" s="65"/>
      <c r="EG77" s="65"/>
      <c r="EH77" s="65"/>
      <c r="EI77" s="65"/>
      <c r="EJ77" s="65"/>
      <c r="EK77" s="65"/>
      <c r="EL77" s="65"/>
      <c r="EM77" s="65"/>
      <c r="EN77" s="65"/>
      <c r="EO77" s="65"/>
      <c r="EP77" s="65"/>
      <c r="EQ77" s="65"/>
      <c r="ER77" s="65"/>
      <c r="ES77" s="65"/>
      <c r="ET77" s="65"/>
      <c r="EU77" s="65"/>
      <c r="EV77" s="65"/>
      <c r="EW77" s="65"/>
      <c r="EX77" s="65"/>
      <c r="EY77" s="65"/>
      <c r="EZ77" s="65"/>
      <c r="FA77" s="65"/>
      <c r="FB77" s="65"/>
      <c r="FC77" s="65"/>
      <c r="FD77" s="65"/>
      <c r="FE77" s="65"/>
      <c r="FF77" s="65"/>
      <c r="FG77" s="65"/>
      <c r="FH77" s="65"/>
      <c r="FI77" s="65"/>
      <c r="FJ77" s="65"/>
      <c r="FK77" s="65"/>
      <c r="FL77" s="65"/>
      <c r="FM77" s="65"/>
      <c r="FN77" s="65"/>
      <c r="FO77" s="65"/>
      <c r="FP77" s="65"/>
      <c r="FQ77" s="65"/>
      <c r="FR77" s="65"/>
      <c r="FS77" s="65"/>
      <c r="FT77" s="65"/>
      <c r="FU77" s="65"/>
      <c r="FV77" s="65"/>
      <c r="FW77" s="65"/>
      <c r="FX77" s="65"/>
      <c r="FY77" s="65"/>
      <c r="FZ77" s="65"/>
      <c r="GA77" s="65"/>
      <c r="GB77" s="65"/>
      <c r="GC77" s="65"/>
      <c r="GD77" s="65"/>
      <c r="GE77" s="65"/>
      <c r="GF77" s="65"/>
      <c r="GG77" s="65"/>
      <c r="GH77" s="65"/>
      <c r="GI77" s="65"/>
      <c r="GJ77" s="65"/>
      <c r="GK77" s="65"/>
      <c r="GL77" s="65"/>
      <c r="GM77" s="65"/>
      <c r="GN77" s="65"/>
      <c r="GO77" s="65"/>
      <c r="GP77" s="65"/>
      <c r="GQ77" s="65"/>
      <c r="GR77" s="65"/>
      <c r="GS77" s="65"/>
      <c r="GT77" s="65"/>
      <c r="GU77" s="65"/>
      <c r="GV77" s="65"/>
      <c r="GW77" s="65"/>
      <c r="GX77" s="65"/>
      <c r="GY77" s="65"/>
      <c r="GZ77" s="65"/>
      <c r="HA77" s="65"/>
      <c r="HB77" s="65"/>
      <c r="HC77" s="65"/>
      <c r="HD77" s="65"/>
      <c r="HE77" s="65"/>
      <c r="HF77" s="65"/>
      <c r="HG77" s="65"/>
      <c r="HH77" s="65"/>
      <c r="HI77" s="65"/>
      <c r="HJ77" s="65"/>
      <c r="HK77" s="65"/>
      <c r="HL77" s="65"/>
      <c r="HM77" s="65"/>
      <c r="HN77" s="65"/>
      <c r="HO77" s="65"/>
      <c r="HP77" s="65"/>
      <c r="HQ77" s="65"/>
      <c r="HR77" s="65"/>
      <c r="HS77" s="65"/>
      <c r="HT77" s="65"/>
      <c r="HU77" s="65"/>
      <c r="HV77" s="65"/>
      <c r="HW77" s="65"/>
      <c r="HX77" s="65"/>
      <c r="HY77" s="65"/>
      <c r="HZ77" s="65"/>
      <c r="IA77" s="65"/>
      <c r="IB77" s="65"/>
      <c r="IC77" s="65"/>
      <c r="ID77" s="65"/>
      <c r="IE77" s="65"/>
      <c r="IF77" s="65"/>
      <c r="IG77" s="65"/>
      <c r="IH77" s="65"/>
      <c r="II77" s="65"/>
      <c r="IJ77" s="65"/>
      <c r="IK77" s="65"/>
      <c r="IL77" s="65"/>
      <c r="IM77" s="65"/>
      <c r="IN77" s="65"/>
      <c r="IO77" s="65"/>
      <c r="IP77" s="65"/>
      <c r="IQ77" s="65"/>
      <c r="IR77" s="65"/>
      <c r="IS77" s="65"/>
      <c r="IT77" s="65"/>
      <c r="IU77" s="65"/>
      <c r="IV77" s="65"/>
      <c r="IW77" s="65"/>
      <c r="IX77" s="65"/>
      <c r="IY77" s="65"/>
      <c r="IZ77" s="65"/>
      <c r="JA77" s="65"/>
      <c r="JB77" s="65"/>
      <c r="JC77" s="65"/>
      <c r="JD77" s="65"/>
      <c r="JE77" s="65"/>
      <c r="JF77" s="65"/>
      <c r="JG77" s="65"/>
      <c r="JH77" s="65"/>
      <c r="JI77" s="65"/>
      <c r="JJ77" s="65"/>
      <c r="JK77" s="65"/>
      <c r="JL77" s="65"/>
      <c r="JM77" s="65"/>
      <c r="JN77" s="65"/>
      <c r="JO77" s="65"/>
      <c r="JP77" s="65"/>
      <c r="JQ77" s="65"/>
      <c r="JR77" s="65"/>
      <c r="JS77" s="65"/>
      <c r="JT77" s="65"/>
      <c r="JU77" s="65"/>
      <c r="JV77" s="65"/>
      <c r="JW77" s="65"/>
      <c r="JX77" s="65"/>
      <c r="JY77" s="65"/>
      <c r="JZ77" s="65"/>
      <c r="KA77" s="65"/>
      <c r="KB77" s="65"/>
      <c r="KC77" s="65"/>
      <c r="KD77" s="65"/>
      <c r="KE77" s="65"/>
      <c r="KF77" s="65"/>
      <c r="KG77" s="65"/>
      <c r="KH77" s="65"/>
      <c r="KI77" s="65"/>
      <c r="KJ77" s="65"/>
      <c r="KK77" s="65"/>
      <c r="KL77" s="65"/>
      <c r="KM77" s="65"/>
      <c r="KN77" s="65"/>
      <c r="KO77" s="65"/>
      <c r="KP77" s="65"/>
      <c r="KQ77" s="65"/>
      <c r="KR77" s="65"/>
      <c r="KS77" s="65"/>
      <c r="KT77" s="65"/>
      <c r="KU77" s="65"/>
      <c r="KV77" s="65"/>
      <c r="KW77" s="65"/>
      <c r="KX77" s="65"/>
      <c r="KY77" s="65"/>
      <c r="KZ77" s="65"/>
      <c r="LA77" s="65"/>
      <c r="LB77" s="65"/>
      <c r="LC77" s="65"/>
      <c r="LD77" s="65"/>
      <c r="LE77" s="65"/>
      <c r="LF77" s="65"/>
      <c r="LG77" s="65"/>
      <c r="LH77" s="65"/>
      <c r="LI77" s="65"/>
      <c r="LJ77" s="65"/>
      <c r="LK77" s="65"/>
      <c r="LL77" s="65"/>
      <c r="LM77" s="65"/>
      <c r="LN77" s="65"/>
      <c r="LO77" s="65"/>
      <c r="LP77" s="65"/>
      <c r="LQ77" s="65"/>
      <c r="LR77" s="65"/>
      <c r="LS77" s="65"/>
      <c r="LT77" s="65"/>
      <c r="LU77" s="65"/>
      <c r="LV77" s="65"/>
      <c r="LW77" s="65"/>
      <c r="LX77" s="65"/>
      <c r="LY77" s="65"/>
      <c r="LZ77" s="65"/>
      <c r="MA77" s="65"/>
      <c r="MB77" s="65"/>
      <c r="MC77" s="65"/>
      <c r="MD77" s="65"/>
      <c r="ME77" s="65"/>
      <c r="MF77" s="65"/>
      <c r="MG77" s="65"/>
      <c r="MH77" s="65"/>
      <c r="MI77" s="65"/>
      <c r="MJ77" s="65"/>
      <c r="MK77" s="65"/>
      <c r="ML77" s="65"/>
      <c r="MM77" s="65"/>
      <c r="MN77" s="65"/>
      <c r="MO77" s="65"/>
      <c r="MP77" s="65"/>
      <c r="MQ77" s="65"/>
      <c r="MR77" s="65"/>
      <c r="MS77" s="65"/>
      <c r="MT77" s="65"/>
      <c r="MU77" s="65"/>
      <c r="MV77" s="65"/>
      <c r="MW77" s="65"/>
      <c r="MX77" s="65"/>
      <c r="MY77" s="65"/>
      <c r="MZ77" s="65"/>
      <c r="NA77" s="65"/>
      <c r="NB77" s="65"/>
      <c r="NC77" s="65"/>
      <c r="ND77" s="65"/>
      <c r="NE77" s="65"/>
      <c r="NF77" s="65"/>
      <c r="NG77" s="65"/>
      <c r="NH77" s="65"/>
      <c r="NI77" s="65"/>
      <c r="NJ77" s="65"/>
      <c r="NK77" s="65"/>
      <c r="NL77" s="65"/>
      <c r="NM77" s="65"/>
      <c r="NN77" s="65"/>
      <c r="NO77" s="65"/>
      <c r="NP77" s="65"/>
      <c r="NQ77" s="65"/>
      <c r="NR77" s="65"/>
      <c r="NS77" s="65"/>
      <c r="NT77" s="65"/>
      <c r="NU77" s="65"/>
      <c r="NV77" s="65"/>
      <c r="NW77" s="65"/>
      <c r="NX77" s="65"/>
      <c r="NY77" s="65"/>
      <c r="NZ77" s="65"/>
      <c r="OA77" s="65"/>
      <c r="OB77" s="65"/>
      <c r="OC77" s="65"/>
      <c r="OD77" s="65"/>
      <c r="OE77" s="65"/>
      <c r="OF77" s="65"/>
      <c r="OG77" s="65"/>
      <c r="OH77" s="65"/>
      <c r="OI77" s="65"/>
      <c r="OJ77" s="65"/>
      <c r="OK77" s="65"/>
      <c r="OL77" s="65"/>
      <c r="OM77" s="65"/>
      <c r="ON77" s="65"/>
      <c r="OO77" s="65"/>
      <c r="OP77" s="65"/>
      <c r="OQ77" s="65"/>
      <c r="OR77" s="65"/>
      <c r="OS77" s="65"/>
      <c r="OT77" s="65"/>
      <c r="OU77" s="65"/>
      <c r="OV77" s="65"/>
      <c r="OW77" s="65"/>
      <c r="OX77" s="65"/>
      <c r="OY77" s="65"/>
      <c r="OZ77" s="65"/>
      <c r="PA77" s="65"/>
      <c r="PB77" s="65"/>
      <c r="PC77" s="65"/>
      <c r="PD77" s="65"/>
      <c r="PE77" s="65"/>
      <c r="PF77" s="65"/>
      <c r="PG77" s="65"/>
      <c r="PH77" s="65"/>
      <c r="PI77" s="65"/>
      <c r="PJ77" s="65"/>
      <c r="PK77" s="65"/>
      <c r="PL77" s="65"/>
      <c r="PM77" s="65"/>
      <c r="PN77" s="65"/>
      <c r="PO77" s="65"/>
      <c r="PP77" s="65"/>
      <c r="PQ77" s="65"/>
      <c r="PR77" s="65"/>
      <c r="PS77" s="65"/>
      <c r="PT77" s="65"/>
      <c r="PU77" s="65"/>
      <c r="PV77" s="65"/>
      <c r="PW77" s="65"/>
      <c r="PX77" s="65"/>
      <c r="PY77" s="65"/>
      <c r="PZ77" s="65"/>
      <c r="QA77" s="65"/>
      <c r="QB77" s="65"/>
      <c r="QC77" s="65"/>
      <c r="QD77" s="65"/>
      <c r="QE77" s="65"/>
      <c r="QF77" s="65"/>
      <c r="QG77" s="65"/>
      <c r="QH77" s="65"/>
      <c r="QI77" s="65"/>
      <c r="QJ77" s="65"/>
      <c r="QK77" s="65"/>
      <c r="QL77" s="65"/>
      <c r="QM77" s="65"/>
      <c r="QN77" s="65"/>
      <c r="QO77" s="65"/>
      <c r="QP77" s="65"/>
      <c r="QQ77" s="65"/>
      <c r="QR77" s="65"/>
      <c r="QS77" s="65"/>
      <c r="QT77" s="65"/>
      <c r="QU77" s="65"/>
      <c r="QV77" s="65"/>
      <c r="QW77" s="65"/>
      <c r="QX77" s="65"/>
      <c r="QY77" s="65"/>
      <c r="QZ77" s="65"/>
      <c r="RA77" s="65"/>
      <c r="RB77" s="65"/>
      <c r="RC77" s="65"/>
      <c r="RD77" s="65"/>
      <c r="RE77" s="65"/>
      <c r="RF77" s="65"/>
      <c r="RG77" s="65"/>
      <c r="RH77" s="65"/>
      <c r="RI77" s="65"/>
      <c r="RJ77" s="65"/>
      <c r="RK77" s="65"/>
      <c r="RL77" s="65"/>
      <c r="RM77" s="65"/>
      <c r="RN77" s="65"/>
      <c r="RO77" s="65"/>
      <c r="RP77" s="65"/>
      <c r="RQ77" s="65"/>
      <c r="RR77" s="65"/>
      <c r="RS77" s="65"/>
      <c r="RT77" s="65"/>
      <c r="RU77" s="65"/>
      <c r="RV77" s="65"/>
      <c r="RW77" s="65"/>
      <c r="RX77" s="65"/>
      <c r="RY77" s="65"/>
      <c r="RZ77" s="65"/>
      <c r="SA77" s="65"/>
      <c r="SB77" s="65"/>
      <c r="SC77" s="65"/>
      <c r="SD77" s="65"/>
      <c r="SE77" s="65"/>
      <c r="SF77" s="65"/>
      <c r="SG77" s="65"/>
      <c r="SH77" s="65"/>
      <c r="SI77" s="65"/>
      <c r="SJ77" s="65"/>
      <c r="SK77" s="65"/>
      <c r="SL77" s="65"/>
      <c r="SM77" s="65"/>
      <c r="SN77" s="65"/>
      <c r="SO77" s="65"/>
      <c r="SP77" s="65"/>
      <c r="SQ77" s="65"/>
      <c r="SR77" s="65"/>
      <c r="SS77" s="65"/>
      <c r="ST77" s="65"/>
      <c r="SU77" s="65"/>
      <c r="SV77" s="65"/>
      <c r="SW77" s="65"/>
      <c r="SX77" s="65"/>
      <c r="SY77" s="65"/>
      <c r="SZ77" s="65"/>
      <c r="TA77" s="65"/>
      <c r="TB77" s="65"/>
      <c r="TC77" s="65"/>
      <c r="TD77" s="65"/>
      <c r="TE77" s="65"/>
      <c r="TF77" s="65"/>
      <c r="TG77" s="65"/>
      <c r="TH77" s="65"/>
      <c r="TI77" s="65"/>
      <c r="TJ77" s="65"/>
      <c r="TK77" s="65"/>
      <c r="TL77" s="65"/>
      <c r="TM77" s="65"/>
      <c r="TN77" s="65"/>
      <c r="TO77" s="65"/>
      <c r="TP77" s="65"/>
      <c r="TQ77" s="65"/>
      <c r="TR77" s="65"/>
      <c r="TS77" s="65"/>
      <c r="TT77" s="65"/>
      <c r="TU77" s="65"/>
      <c r="TV77" s="65"/>
      <c r="TW77" s="65"/>
      <c r="TX77" s="65"/>
      <c r="TY77" s="65"/>
      <c r="TZ77" s="65"/>
      <c r="UA77" s="65"/>
      <c r="UB77" s="65"/>
      <c r="UC77" s="65"/>
      <c r="UD77" s="65"/>
      <c r="UE77" s="65"/>
      <c r="UF77" s="65"/>
      <c r="UG77" s="65"/>
      <c r="UH77" s="65"/>
      <c r="UI77" s="65"/>
      <c r="UJ77" s="65"/>
      <c r="UK77" s="65"/>
      <c r="UL77" s="65"/>
      <c r="UM77" s="65"/>
      <c r="UN77" s="65"/>
      <c r="UO77" s="65"/>
      <c r="UP77" s="65"/>
      <c r="UQ77" s="65"/>
      <c r="UR77" s="65"/>
      <c r="US77" s="65"/>
      <c r="UT77" s="65"/>
      <c r="UU77" s="65"/>
      <c r="UV77" s="65"/>
      <c r="UW77" s="65"/>
      <c r="UX77" s="65"/>
      <c r="UY77" s="65"/>
      <c r="UZ77" s="65"/>
      <c r="VA77" s="65"/>
      <c r="VB77" s="65"/>
      <c r="VC77" s="65"/>
      <c r="VD77" s="65"/>
      <c r="VE77" s="65"/>
      <c r="VF77" s="65"/>
      <c r="VG77" s="65"/>
      <c r="VH77" s="65"/>
      <c r="VI77" s="65"/>
      <c r="VJ77" s="65"/>
      <c r="VK77" s="65"/>
      <c r="VL77" s="65"/>
      <c r="VM77" s="65"/>
      <c r="VN77" s="65"/>
      <c r="VO77" s="65"/>
      <c r="VP77" s="65"/>
      <c r="VQ77" s="65"/>
      <c r="VR77" s="65"/>
      <c r="VS77" s="65"/>
      <c r="VT77" s="65"/>
      <c r="VU77" s="65"/>
      <c r="VV77" s="65"/>
      <c r="VW77" s="65"/>
      <c r="VX77" s="65"/>
      <c r="VY77" s="65"/>
      <c r="VZ77" s="65"/>
      <c r="WA77" s="65"/>
      <c r="WB77" s="65"/>
      <c r="WC77" s="65"/>
      <c r="WD77" s="65"/>
      <c r="WE77" s="65"/>
      <c r="WF77" s="65"/>
      <c r="WG77" s="65"/>
      <c r="WH77" s="65"/>
      <c r="WI77" s="65"/>
      <c r="WJ77" s="65"/>
      <c r="WK77" s="65"/>
      <c r="WL77" s="65"/>
      <c r="WM77" s="65"/>
      <c r="WN77" s="65"/>
      <c r="WO77" s="65"/>
      <c r="WP77" s="65"/>
      <c r="WQ77" s="65"/>
      <c r="WR77" s="65"/>
      <c r="WS77" s="65"/>
      <c r="WT77" s="65"/>
      <c r="WU77" s="65"/>
      <c r="WV77" s="65"/>
      <c r="WW77" s="65"/>
      <c r="WX77" s="65"/>
      <c r="WY77" s="65"/>
      <c r="WZ77" s="65"/>
      <c r="XA77" s="65"/>
      <c r="XB77" s="65"/>
      <c r="XC77" s="65"/>
      <c r="XD77" s="65"/>
      <c r="XE77" s="65"/>
      <c r="XF77" s="65"/>
      <c r="XG77" s="65"/>
      <c r="XH77" s="65"/>
      <c r="XI77" s="65"/>
      <c r="XJ77" s="65"/>
      <c r="XK77" s="65"/>
      <c r="XL77" s="65"/>
      <c r="XM77" s="65"/>
      <c r="XN77" s="65"/>
      <c r="XO77" s="65"/>
      <c r="XP77" s="65"/>
      <c r="XQ77" s="65"/>
      <c r="XR77" s="65"/>
      <c r="XS77" s="65"/>
      <c r="XT77" s="65"/>
      <c r="XU77" s="65"/>
      <c r="XV77" s="65"/>
      <c r="XW77" s="65"/>
      <c r="XX77" s="65"/>
      <c r="XY77" s="65"/>
      <c r="XZ77" s="65"/>
      <c r="YA77" s="65"/>
      <c r="YB77" s="65"/>
      <c r="YC77" s="65"/>
      <c r="YD77" s="65"/>
      <c r="YE77" s="65"/>
      <c r="YF77" s="65"/>
      <c r="YG77" s="65"/>
      <c r="YH77" s="65"/>
      <c r="YI77" s="65"/>
      <c r="YJ77" s="65"/>
      <c r="YK77" s="65"/>
      <c r="YL77" s="65"/>
      <c r="YM77" s="65"/>
      <c r="YN77" s="65"/>
      <c r="YO77" s="65"/>
      <c r="YP77" s="65"/>
      <c r="YQ77" s="65"/>
      <c r="YR77" s="65"/>
      <c r="YS77" s="65"/>
      <c r="YT77" s="65"/>
      <c r="YU77" s="65"/>
      <c r="YV77" s="65"/>
      <c r="YW77" s="65"/>
      <c r="YX77" s="65"/>
      <c r="YY77" s="65"/>
      <c r="YZ77" s="65"/>
      <c r="ZA77" s="65"/>
      <c r="ZB77" s="65"/>
      <c r="ZC77" s="65"/>
      <c r="ZD77" s="65"/>
      <c r="ZE77" s="65"/>
      <c r="ZF77" s="65"/>
      <c r="ZG77" s="65"/>
      <c r="ZH77" s="65"/>
      <c r="ZI77" s="65"/>
      <c r="ZJ77" s="65"/>
      <c r="ZK77" s="65"/>
      <c r="ZL77" s="65"/>
      <c r="ZM77" s="65"/>
      <c r="ZN77" s="65"/>
      <c r="ZO77" s="65"/>
      <c r="ZP77" s="65"/>
      <c r="ZQ77" s="65"/>
      <c r="ZR77" s="65"/>
      <c r="ZS77" s="65"/>
      <c r="ZT77" s="65"/>
      <c r="ZU77" s="65"/>
      <c r="ZV77" s="65"/>
      <c r="ZW77" s="65"/>
      <c r="ZX77" s="65"/>
      <c r="ZY77" s="65"/>
      <c r="ZZ77" s="65"/>
      <c r="AAA77" s="65"/>
      <c r="AAB77" s="65"/>
      <c r="AAC77" s="65"/>
      <c r="AAD77" s="65"/>
      <c r="AAE77" s="65"/>
      <c r="AAF77" s="65"/>
      <c r="AAG77" s="65"/>
      <c r="AAH77" s="65"/>
      <c r="AAI77" s="65"/>
      <c r="AAJ77" s="65"/>
      <c r="AAK77" s="65"/>
      <c r="AAL77" s="65"/>
      <c r="AAM77" s="65"/>
      <c r="AAN77" s="65"/>
      <c r="AAO77" s="65"/>
      <c r="AAP77" s="65"/>
      <c r="AAQ77" s="65"/>
      <c r="AAR77" s="65"/>
      <c r="AAS77" s="65"/>
      <c r="AAT77" s="65"/>
      <c r="AAU77" s="65"/>
      <c r="AAV77" s="65"/>
      <c r="AAW77" s="65"/>
      <c r="AAX77" s="65"/>
      <c r="AAY77" s="65"/>
      <c r="AAZ77" s="65"/>
      <c r="ABA77" s="65"/>
      <c r="ABB77" s="65"/>
      <c r="ABC77" s="65"/>
      <c r="ABD77" s="65"/>
      <c r="ABE77" s="65"/>
      <c r="ABF77" s="65"/>
      <c r="ABG77" s="65"/>
      <c r="ABH77" s="65"/>
      <c r="ABI77" s="65"/>
      <c r="ABJ77" s="65"/>
      <c r="ABK77" s="65"/>
      <c r="ABL77" s="65"/>
      <c r="ABM77" s="65"/>
      <c r="ABN77" s="65"/>
    </row>
    <row r="78" spans="1:742" s="155" customFormat="1" ht="30" x14ac:dyDescent="0.25">
      <c r="A78" s="110">
        <v>2025</v>
      </c>
      <c r="B78" s="230">
        <v>4</v>
      </c>
      <c r="C78" s="152">
        <v>22585</v>
      </c>
      <c r="D78" s="277">
        <v>45768</v>
      </c>
      <c r="E78" s="111" t="s">
        <v>992</v>
      </c>
      <c r="F78" s="111" t="s">
        <v>993</v>
      </c>
      <c r="G78" s="110" t="s">
        <v>143</v>
      </c>
      <c r="H78" s="110">
        <v>3016934912</v>
      </c>
      <c r="I78" s="110">
        <v>3016934912</v>
      </c>
      <c r="J78" s="108">
        <v>45749</v>
      </c>
      <c r="K78" s="110" t="s">
        <v>84</v>
      </c>
      <c r="L78" s="112" t="s">
        <v>994</v>
      </c>
      <c r="M78" s="110" t="s">
        <v>136</v>
      </c>
      <c r="N78" s="110">
        <v>5890</v>
      </c>
      <c r="O78" s="110" t="s">
        <v>136</v>
      </c>
      <c r="P78" s="110" t="s">
        <v>136</v>
      </c>
      <c r="Q78" s="110">
        <v>5531</v>
      </c>
      <c r="R78" s="110" t="s">
        <v>136</v>
      </c>
      <c r="S78" s="110" t="s">
        <v>134</v>
      </c>
      <c r="T78" s="110" t="s">
        <v>134</v>
      </c>
      <c r="U78" s="110" t="s">
        <v>136</v>
      </c>
      <c r="V78" s="111" t="s">
        <v>87</v>
      </c>
      <c r="W78" s="108">
        <v>45783</v>
      </c>
      <c r="X78" s="108">
        <v>45784</v>
      </c>
      <c r="Y78" s="110"/>
      <c r="Z78" s="126" t="s">
        <v>85</v>
      </c>
      <c r="AA78" s="124">
        <v>0</v>
      </c>
      <c r="AB78" s="110">
        <v>5821</v>
      </c>
      <c r="AC78" s="114">
        <v>701680</v>
      </c>
      <c r="AD78" s="212">
        <f t="shared" si="5"/>
        <v>834999.2</v>
      </c>
      <c r="AE78" s="114">
        <f>397500+40000</f>
        <v>437500</v>
      </c>
      <c r="AF78" s="110"/>
      <c r="AG78" s="142" t="s">
        <v>1445</v>
      </c>
      <c r="AH78" s="248">
        <v>45783</v>
      </c>
      <c r="AI78" s="108">
        <v>45817</v>
      </c>
      <c r="AJ78" s="110" t="s">
        <v>1705</v>
      </c>
      <c r="AK78" s="110"/>
      <c r="AL78" s="65"/>
      <c r="AM78" s="65"/>
      <c r="AN78" s="65"/>
      <c r="AO78" s="65"/>
      <c r="AP78" s="65"/>
      <c r="AQ78" s="65"/>
      <c r="AR78" s="65"/>
      <c r="AS78" s="65"/>
      <c r="AT78" s="65"/>
      <c r="AU78" s="65"/>
      <c r="AV78" s="65"/>
      <c r="AW78" s="65"/>
      <c r="AX78" s="65"/>
      <c r="AY78" s="65"/>
      <c r="AZ78" s="65"/>
      <c r="BA78" s="65"/>
      <c r="BB78" s="65"/>
      <c r="BC78" s="65"/>
      <c r="BD78" s="65"/>
      <c r="BE78" s="65"/>
      <c r="BF78" s="65"/>
      <c r="BG78" s="65"/>
      <c r="BH78" s="65"/>
      <c r="BI78" s="65"/>
      <c r="BJ78" s="65"/>
      <c r="BK78" s="65"/>
      <c r="BL78" s="65"/>
      <c r="BM78" s="65"/>
      <c r="BN78" s="65"/>
      <c r="BO78" s="65"/>
      <c r="BP78" s="65"/>
      <c r="BQ78" s="65"/>
      <c r="BR78" s="65"/>
      <c r="BS78" s="65"/>
      <c r="BT78" s="65"/>
      <c r="BU78" s="65"/>
      <c r="BV78" s="65"/>
      <c r="BW78" s="65"/>
      <c r="BX78" s="65"/>
      <c r="BY78" s="65"/>
      <c r="BZ78" s="65"/>
      <c r="CA78" s="65"/>
      <c r="CB78" s="65"/>
      <c r="CC78" s="65"/>
      <c r="CD78" s="65"/>
      <c r="CE78" s="65"/>
      <c r="CF78" s="65"/>
      <c r="CG78" s="65"/>
      <c r="CH78" s="65"/>
      <c r="CI78" s="65"/>
      <c r="CJ78" s="65"/>
      <c r="CK78" s="65"/>
      <c r="CL78" s="65"/>
      <c r="CM78" s="65"/>
      <c r="CN78" s="65"/>
      <c r="CO78" s="65"/>
      <c r="CP78" s="65"/>
      <c r="CQ78" s="65"/>
      <c r="CR78" s="65"/>
      <c r="CS78" s="65"/>
      <c r="CT78" s="65"/>
      <c r="CU78" s="65"/>
      <c r="CV78" s="65"/>
      <c r="CW78" s="65"/>
      <c r="CX78" s="65"/>
      <c r="CY78" s="65"/>
      <c r="CZ78" s="65"/>
      <c r="DA78" s="65"/>
      <c r="DB78" s="65"/>
      <c r="DC78" s="65"/>
      <c r="DD78" s="65"/>
      <c r="DE78" s="65"/>
      <c r="DF78" s="65"/>
      <c r="DG78" s="65"/>
      <c r="DH78" s="65"/>
      <c r="DI78" s="65"/>
      <c r="DJ78" s="65"/>
      <c r="DK78" s="65"/>
      <c r="DL78" s="65"/>
      <c r="DM78" s="65"/>
      <c r="DN78" s="65"/>
      <c r="DO78" s="65"/>
      <c r="DP78" s="65"/>
      <c r="DQ78" s="65"/>
      <c r="DR78" s="65"/>
      <c r="DS78" s="65"/>
      <c r="DT78" s="65"/>
      <c r="DU78" s="65"/>
      <c r="DV78" s="65"/>
      <c r="DW78" s="65"/>
      <c r="DX78" s="65"/>
      <c r="DY78" s="65"/>
      <c r="DZ78" s="65"/>
      <c r="EA78" s="65"/>
      <c r="EB78" s="65"/>
      <c r="EC78" s="65"/>
      <c r="ED78" s="65"/>
      <c r="EE78" s="65"/>
      <c r="EF78" s="65"/>
      <c r="EG78" s="65"/>
      <c r="EH78" s="65"/>
      <c r="EI78" s="65"/>
      <c r="EJ78" s="65"/>
      <c r="EK78" s="65"/>
      <c r="EL78" s="65"/>
      <c r="EM78" s="65"/>
      <c r="EN78" s="65"/>
      <c r="EO78" s="65"/>
      <c r="EP78" s="65"/>
      <c r="EQ78" s="65"/>
      <c r="ER78" s="65"/>
      <c r="ES78" s="65"/>
      <c r="ET78" s="65"/>
      <c r="EU78" s="65"/>
      <c r="EV78" s="65"/>
      <c r="EW78" s="65"/>
      <c r="EX78" s="65"/>
      <c r="EY78" s="65"/>
      <c r="EZ78" s="65"/>
      <c r="FA78" s="65"/>
      <c r="FB78" s="65"/>
      <c r="FC78" s="65"/>
      <c r="FD78" s="65"/>
      <c r="FE78" s="65"/>
      <c r="FF78" s="65"/>
      <c r="FG78" s="65"/>
      <c r="FH78" s="65"/>
      <c r="FI78" s="65"/>
      <c r="FJ78" s="65"/>
      <c r="FK78" s="65"/>
      <c r="FL78" s="65"/>
      <c r="FM78" s="65"/>
      <c r="FN78" s="65"/>
      <c r="FO78" s="65"/>
      <c r="FP78" s="65"/>
      <c r="FQ78" s="65"/>
      <c r="FR78" s="65"/>
      <c r="FS78" s="65"/>
      <c r="FT78" s="65"/>
      <c r="FU78" s="65"/>
      <c r="FV78" s="65"/>
      <c r="FW78" s="65"/>
      <c r="FX78" s="65"/>
      <c r="FY78" s="65"/>
      <c r="FZ78" s="65"/>
      <c r="GA78" s="65"/>
      <c r="GB78" s="65"/>
      <c r="GC78" s="65"/>
      <c r="GD78" s="65"/>
      <c r="GE78" s="65"/>
      <c r="GF78" s="65"/>
      <c r="GG78" s="65"/>
      <c r="GH78" s="65"/>
      <c r="GI78" s="65"/>
      <c r="GJ78" s="65"/>
      <c r="GK78" s="65"/>
      <c r="GL78" s="65"/>
      <c r="GM78" s="65"/>
      <c r="GN78" s="65"/>
      <c r="GO78" s="65"/>
      <c r="GP78" s="65"/>
      <c r="GQ78" s="65"/>
      <c r="GR78" s="65"/>
      <c r="GS78" s="65"/>
      <c r="GT78" s="65"/>
      <c r="GU78" s="65"/>
      <c r="GV78" s="65"/>
      <c r="GW78" s="65"/>
      <c r="GX78" s="65"/>
      <c r="GY78" s="65"/>
      <c r="GZ78" s="65"/>
      <c r="HA78" s="65"/>
      <c r="HB78" s="65"/>
      <c r="HC78" s="65"/>
      <c r="HD78" s="65"/>
      <c r="HE78" s="65"/>
      <c r="HF78" s="65"/>
      <c r="HG78" s="65"/>
      <c r="HH78" s="65"/>
      <c r="HI78" s="65"/>
      <c r="HJ78" s="65"/>
      <c r="HK78" s="65"/>
      <c r="HL78" s="65"/>
      <c r="HM78" s="65"/>
      <c r="HN78" s="65"/>
      <c r="HO78" s="65"/>
      <c r="HP78" s="65"/>
      <c r="HQ78" s="65"/>
      <c r="HR78" s="65"/>
      <c r="HS78" s="65"/>
      <c r="HT78" s="65"/>
      <c r="HU78" s="65"/>
      <c r="HV78" s="65"/>
      <c r="HW78" s="65"/>
      <c r="HX78" s="65"/>
      <c r="HY78" s="65"/>
      <c r="HZ78" s="65"/>
      <c r="IA78" s="65"/>
      <c r="IB78" s="65"/>
      <c r="IC78" s="65"/>
      <c r="ID78" s="65"/>
      <c r="IE78" s="65"/>
      <c r="IF78" s="65"/>
      <c r="IG78" s="65"/>
      <c r="IH78" s="65"/>
      <c r="II78" s="65"/>
      <c r="IJ78" s="65"/>
      <c r="IK78" s="65"/>
      <c r="IL78" s="65"/>
      <c r="IM78" s="65"/>
      <c r="IN78" s="65"/>
      <c r="IO78" s="65"/>
      <c r="IP78" s="65"/>
      <c r="IQ78" s="65"/>
      <c r="IR78" s="65"/>
      <c r="IS78" s="65"/>
      <c r="IT78" s="65"/>
      <c r="IU78" s="65"/>
      <c r="IV78" s="65"/>
      <c r="IW78" s="65"/>
      <c r="IX78" s="65"/>
      <c r="IY78" s="65"/>
      <c r="IZ78" s="65"/>
      <c r="JA78" s="65"/>
      <c r="JB78" s="65"/>
      <c r="JC78" s="65"/>
      <c r="JD78" s="65"/>
      <c r="JE78" s="65"/>
      <c r="JF78" s="65"/>
      <c r="JG78" s="65"/>
      <c r="JH78" s="65"/>
      <c r="JI78" s="65"/>
      <c r="JJ78" s="65"/>
      <c r="JK78" s="65"/>
      <c r="JL78" s="65"/>
      <c r="JM78" s="65"/>
      <c r="JN78" s="65"/>
      <c r="JO78" s="65"/>
      <c r="JP78" s="65"/>
      <c r="JQ78" s="65"/>
      <c r="JR78" s="65"/>
      <c r="JS78" s="65"/>
      <c r="JT78" s="65"/>
      <c r="JU78" s="65"/>
      <c r="JV78" s="65"/>
      <c r="JW78" s="65"/>
      <c r="JX78" s="65"/>
      <c r="JY78" s="65"/>
      <c r="JZ78" s="65"/>
      <c r="KA78" s="65"/>
      <c r="KB78" s="65"/>
      <c r="KC78" s="65"/>
      <c r="KD78" s="65"/>
      <c r="KE78" s="65"/>
      <c r="KF78" s="65"/>
      <c r="KG78" s="65"/>
      <c r="KH78" s="65"/>
      <c r="KI78" s="65"/>
      <c r="KJ78" s="65"/>
      <c r="KK78" s="65"/>
      <c r="KL78" s="65"/>
      <c r="KM78" s="65"/>
      <c r="KN78" s="65"/>
      <c r="KO78" s="65"/>
      <c r="KP78" s="65"/>
      <c r="KQ78" s="65"/>
      <c r="KR78" s="65"/>
      <c r="KS78" s="65"/>
      <c r="KT78" s="65"/>
      <c r="KU78" s="65"/>
      <c r="KV78" s="65"/>
      <c r="KW78" s="65"/>
      <c r="KX78" s="65"/>
      <c r="KY78" s="65"/>
      <c r="KZ78" s="65"/>
      <c r="LA78" s="65"/>
      <c r="LB78" s="65"/>
      <c r="LC78" s="65"/>
      <c r="LD78" s="65"/>
      <c r="LE78" s="65"/>
      <c r="LF78" s="65"/>
      <c r="LG78" s="65"/>
      <c r="LH78" s="65"/>
      <c r="LI78" s="65"/>
      <c r="LJ78" s="65"/>
      <c r="LK78" s="65"/>
      <c r="LL78" s="65"/>
      <c r="LM78" s="65"/>
      <c r="LN78" s="65"/>
      <c r="LO78" s="65"/>
      <c r="LP78" s="65"/>
      <c r="LQ78" s="65"/>
      <c r="LR78" s="65"/>
      <c r="LS78" s="65"/>
      <c r="LT78" s="65"/>
      <c r="LU78" s="65"/>
      <c r="LV78" s="65"/>
      <c r="LW78" s="65"/>
      <c r="LX78" s="65"/>
      <c r="LY78" s="65"/>
      <c r="LZ78" s="65"/>
      <c r="MA78" s="65"/>
      <c r="MB78" s="65"/>
      <c r="MC78" s="65"/>
      <c r="MD78" s="65"/>
      <c r="ME78" s="65"/>
      <c r="MF78" s="65"/>
      <c r="MG78" s="65"/>
      <c r="MH78" s="65"/>
      <c r="MI78" s="65"/>
      <c r="MJ78" s="65"/>
      <c r="MK78" s="65"/>
      <c r="ML78" s="65"/>
      <c r="MM78" s="65"/>
      <c r="MN78" s="65"/>
      <c r="MO78" s="65"/>
      <c r="MP78" s="65"/>
      <c r="MQ78" s="65"/>
      <c r="MR78" s="65"/>
      <c r="MS78" s="65"/>
      <c r="MT78" s="65"/>
      <c r="MU78" s="65"/>
      <c r="MV78" s="65"/>
      <c r="MW78" s="65"/>
      <c r="MX78" s="65"/>
      <c r="MY78" s="65"/>
      <c r="MZ78" s="65"/>
      <c r="NA78" s="65"/>
      <c r="NB78" s="65"/>
      <c r="NC78" s="65"/>
      <c r="ND78" s="65"/>
      <c r="NE78" s="65"/>
      <c r="NF78" s="65"/>
      <c r="NG78" s="65"/>
      <c r="NH78" s="65"/>
      <c r="NI78" s="65"/>
      <c r="NJ78" s="65"/>
      <c r="NK78" s="65"/>
      <c r="NL78" s="65"/>
      <c r="NM78" s="65"/>
      <c r="NN78" s="65"/>
      <c r="NO78" s="65"/>
      <c r="NP78" s="65"/>
      <c r="NQ78" s="65"/>
      <c r="NR78" s="65"/>
      <c r="NS78" s="65"/>
      <c r="NT78" s="65"/>
      <c r="NU78" s="65"/>
      <c r="NV78" s="65"/>
      <c r="NW78" s="65"/>
      <c r="NX78" s="65"/>
      <c r="NY78" s="65"/>
      <c r="NZ78" s="65"/>
      <c r="OA78" s="65"/>
      <c r="OB78" s="65"/>
      <c r="OC78" s="65"/>
      <c r="OD78" s="65"/>
      <c r="OE78" s="65"/>
      <c r="OF78" s="65"/>
      <c r="OG78" s="65"/>
      <c r="OH78" s="65"/>
      <c r="OI78" s="65"/>
      <c r="OJ78" s="65"/>
      <c r="OK78" s="65"/>
      <c r="OL78" s="65"/>
      <c r="OM78" s="65"/>
      <c r="ON78" s="65"/>
      <c r="OO78" s="65"/>
      <c r="OP78" s="65"/>
      <c r="OQ78" s="65"/>
      <c r="OR78" s="65"/>
      <c r="OS78" s="65"/>
      <c r="OT78" s="65"/>
      <c r="OU78" s="65"/>
      <c r="OV78" s="65"/>
      <c r="OW78" s="65"/>
      <c r="OX78" s="65"/>
      <c r="OY78" s="65"/>
      <c r="OZ78" s="65"/>
      <c r="PA78" s="65"/>
      <c r="PB78" s="65"/>
      <c r="PC78" s="65"/>
      <c r="PD78" s="65"/>
      <c r="PE78" s="65"/>
      <c r="PF78" s="65"/>
      <c r="PG78" s="65"/>
      <c r="PH78" s="65"/>
      <c r="PI78" s="65"/>
      <c r="PJ78" s="65"/>
      <c r="PK78" s="65"/>
      <c r="PL78" s="65"/>
      <c r="PM78" s="65"/>
      <c r="PN78" s="65"/>
      <c r="PO78" s="65"/>
      <c r="PP78" s="65"/>
      <c r="PQ78" s="65"/>
      <c r="PR78" s="65"/>
      <c r="PS78" s="65"/>
      <c r="PT78" s="65"/>
      <c r="PU78" s="65"/>
      <c r="PV78" s="65"/>
      <c r="PW78" s="65"/>
      <c r="PX78" s="65"/>
      <c r="PY78" s="65"/>
      <c r="PZ78" s="65"/>
      <c r="QA78" s="65"/>
      <c r="QB78" s="65"/>
      <c r="QC78" s="65"/>
      <c r="QD78" s="65"/>
      <c r="QE78" s="65"/>
      <c r="QF78" s="65"/>
      <c r="QG78" s="65"/>
      <c r="QH78" s="65"/>
      <c r="QI78" s="65"/>
      <c r="QJ78" s="65"/>
      <c r="QK78" s="65"/>
      <c r="QL78" s="65"/>
      <c r="QM78" s="65"/>
      <c r="QN78" s="65"/>
      <c r="QO78" s="65"/>
      <c r="QP78" s="65"/>
      <c r="QQ78" s="65"/>
      <c r="QR78" s="65"/>
      <c r="QS78" s="65"/>
      <c r="QT78" s="65"/>
      <c r="QU78" s="65"/>
      <c r="QV78" s="65"/>
      <c r="QW78" s="65"/>
      <c r="QX78" s="65"/>
      <c r="QY78" s="65"/>
      <c r="QZ78" s="65"/>
      <c r="RA78" s="65"/>
      <c r="RB78" s="65"/>
      <c r="RC78" s="65"/>
      <c r="RD78" s="65"/>
      <c r="RE78" s="65"/>
      <c r="RF78" s="65"/>
      <c r="RG78" s="65"/>
      <c r="RH78" s="65"/>
      <c r="RI78" s="65"/>
      <c r="RJ78" s="65"/>
      <c r="RK78" s="65"/>
      <c r="RL78" s="65"/>
      <c r="RM78" s="65"/>
      <c r="RN78" s="65"/>
      <c r="RO78" s="65"/>
      <c r="RP78" s="65"/>
      <c r="RQ78" s="65"/>
      <c r="RR78" s="65"/>
      <c r="RS78" s="65"/>
      <c r="RT78" s="65"/>
      <c r="RU78" s="65"/>
      <c r="RV78" s="65"/>
      <c r="RW78" s="65"/>
      <c r="RX78" s="65"/>
      <c r="RY78" s="65"/>
      <c r="RZ78" s="65"/>
      <c r="SA78" s="65"/>
      <c r="SB78" s="65"/>
      <c r="SC78" s="65"/>
      <c r="SD78" s="65"/>
      <c r="SE78" s="65"/>
      <c r="SF78" s="65"/>
      <c r="SG78" s="65"/>
      <c r="SH78" s="65"/>
      <c r="SI78" s="65"/>
      <c r="SJ78" s="65"/>
      <c r="SK78" s="65"/>
      <c r="SL78" s="65"/>
      <c r="SM78" s="65"/>
      <c r="SN78" s="65"/>
      <c r="SO78" s="65"/>
      <c r="SP78" s="65"/>
      <c r="SQ78" s="65"/>
      <c r="SR78" s="65"/>
      <c r="SS78" s="65"/>
      <c r="ST78" s="65"/>
      <c r="SU78" s="65"/>
      <c r="SV78" s="65"/>
      <c r="SW78" s="65"/>
      <c r="SX78" s="65"/>
      <c r="SY78" s="65"/>
      <c r="SZ78" s="65"/>
      <c r="TA78" s="65"/>
      <c r="TB78" s="65"/>
      <c r="TC78" s="65"/>
      <c r="TD78" s="65"/>
      <c r="TE78" s="65"/>
      <c r="TF78" s="65"/>
      <c r="TG78" s="65"/>
      <c r="TH78" s="65"/>
      <c r="TI78" s="65"/>
      <c r="TJ78" s="65"/>
      <c r="TK78" s="65"/>
      <c r="TL78" s="65"/>
      <c r="TM78" s="65"/>
      <c r="TN78" s="65"/>
      <c r="TO78" s="65"/>
      <c r="TP78" s="65"/>
      <c r="TQ78" s="65"/>
      <c r="TR78" s="65"/>
      <c r="TS78" s="65"/>
      <c r="TT78" s="65"/>
      <c r="TU78" s="65"/>
      <c r="TV78" s="65"/>
      <c r="TW78" s="65"/>
      <c r="TX78" s="65"/>
      <c r="TY78" s="65"/>
      <c r="TZ78" s="65"/>
      <c r="UA78" s="65"/>
      <c r="UB78" s="65"/>
      <c r="UC78" s="65"/>
      <c r="UD78" s="65"/>
      <c r="UE78" s="65"/>
      <c r="UF78" s="65"/>
      <c r="UG78" s="65"/>
      <c r="UH78" s="65"/>
      <c r="UI78" s="65"/>
      <c r="UJ78" s="65"/>
      <c r="UK78" s="65"/>
      <c r="UL78" s="65"/>
      <c r="UM78" s="65"/>
      <c r="UN78" s="65"/>
      <c r="UO78" s="65"/>
      <c r="UP78" s="65"/>
      <c r="UQ78" s="65"/>
      <c r="UR78" s="65"/>
      <c r="US78" s="65"/>
      <c r="UT78" s="65"/>
      <c r="UU78" s="65"/>
      <c r="UV78" s="65"/>
      <c r="UW78" s="65"/>
      <c r="UX78" s="65"/>
      <c r="UY78" s="65"/>
      <c r="UZ78" s="65"/>
      <c r="VA78" s="65"/>
      <c r="VB78" s="65"/>
      <c r="VC78" s="65"/>
      <c r="VD78" s="65"/>
      <c r="VE78" s="65"/>
      <c r="VF78" s="65"/>
      <c r="VG78" s="65"/>
      <c r="VH78" s="65"/>
      <c r="VI78" s="65"/>
      <c r="VJ78" s="65"/>
      <c r="VK78" s="65"/>
      <c r="VL78" s="65"/>
      <c r="VM78" s="65"/>
      <c r="VN78" s="65"/>
      <c r="VO78" s="65"/>
      <c r="VP78" s="65"/>
      <c r="VQ78" s="65"/>
      <c r="VR78" s="65"/>
      <c r="VS78" s="65"/>
      <c r="VT78" s="65"/>
      <c r="VU78" s="65"/>
      <c r="VV78" s="65"/>
      <c r="VW78" s="65"/>
      <c r="VX78" s="65"/>
      <c r="VY78" s="65"/>
      <c r="VZ78" s="65"/>
      <c r="WA78" s="65"/>
      <c r="WB78" s="65"/>
      <c r="WC78" s="65"/>
      <c r="WD78" s="65"/>
      <c r="WE78" s="65"/>
      <c r="WF78" s="65"/>
      <c r="WG78" s="65"/>
      <c r="WH78" s="65"/>
      <c r="WI78" s="65"/>
      <c r="WJ78" s="65"/>
      <c r="WK78" s="65"/>
      <c r="WL78" s="65"/>
      <c r="WM78" s="65"/>
      <c r="WN78" s="65"/>
      <c r="WO78" s="65"/>
      <c r="WP78" s="65"/>
      <c r="WQ78" s="65"/>
      <c r="WR78" s="65"/>
      <c r="WS78" s="65"/>
      <c r="WT78" s="65"/>
      <c r="WU78" s="65"/>
      <c r="WV78" s="65"/>
      <c r="WW78" s="65"/>
      <c r="WX78" s="65"/>
      <c r="WY78" s="65"/>
      <c r="WZ78" s="65"/>
      <c r="XA78" s="65"/>
      <c r="XB78" s="65"/>
      <c r="XC78" s="65"/>
      <c r="XD78" s="65"/>
      <c r="XE78" s="65"/>
      <c r="XF78" s="65"/>
      <c r="XG78" s="65"/>
      <c r="XH78" s="65"/>
      <c r="XI78" s="65"/>
      <c r="XJ78" s="65"/>
      <c r="XK78" s="65"/>
      <c r="XL78" s="65"/>
      <c r="XM78" s="65"/>
      <c r="XN78" s="65"/>
      <c r="XO78" s="65"/>
      <c r="XP78" s="65"/>
      <c r="XQ78" s="65"/>
      <c r="XR78" s="65"/>
      <c r="XS78" s="65"/>
      <c r="XT78" s="65"/>
      <c r="XU78" s="65"/>
      <c r="XV78" s="65"/>
      <c r="XW78" s="65"/>
      <c r="XX78" s="65"/>
      <c r="XY78" s="65"/>
      <c r="XZ78" s="65"/>
      <c r="YA78" s="65"/>
      <c r="YB78" s="65"/>
      <c r="YC78" s="65"/>
      <c r="YD78" s="65"/>
      <c r="YE78" s="65"/>
      <c r="YF78" s="65"/>
      <c r="YG78" s="65"/>
      <c r="YH78" s="65"/>
      <c r="YI78" s="65"/>
      <c r="YJ78" s="65"/>
      <c r="YK78" s="65"/>
      <c r="YL78" s="65"/>
      <c r="YM78" s="65"/>
      <c r="YN78" s="65"/>
      <c r="YO78" s="65"/>
      <c r="YP78" s="65"/>
      <c r="YQ78" s="65"/>
      <c r="YR78" s="65"/>
      <c r="YS78" s="65"/>
      <c r="YT78" s="65"/>
      <c r="YU78" s="65"/>
      <c r="YV78" s="65"/>
      <c r="YW78" s="65"/>
      <c r="YX78" s="65"/>
      <c r="YY78" s="65"/>
      <c r="YZ78" s="65"/>
      <c r="ZA78" s="65"/>
      <c r="ZB78" s="65"/>
      <c r="ZC78" s="65"/>
      <c r="ZD78" s="65"/>
      <c r="ZE78" s="65"/>
      <c r="ZF78" s="65"/>
      <c r="ZG78" s="65"/>
      <c r="ZH78" s="65"/>
      <c r="ZI78" s="65"/>
      <c r="ZJ78" s="65"/>
      <c r="ZK78" s="65"/>
      <c r="ZL78" s="65"/>
      <c r="ZM78" s="65"/>
      <c r="ZN78" s="65"/>
      <c r="ZO78" s="65"/>
      <c r="ZP78" s="65"/>
      <c r="ZQ78" s="65"/>
      <c r="ZR78" s="65"/>
      <c r="ZS78" s="65"/>
      <c r="ZT78" s="65"/>
      <c r="ZU78" s="65"/>
      <c r="ZV78" s="65"/>
      <c r="ZW78" s="65"/>
      <c r="ZX78" s="65"/>
      <c r="ZY78" s="65"/>
      <c r="ZZ78" s="65"/>
      <c r="AAA78" s="65"/>
      <c r="AAB78" s="65"/>
      <c r="AAC78" s="65"/>
      <c r="AAD78" s="65"/>
      <c r="AAE78" s="65"/>
      <c r="AAF78" s="65"/>
      <c r="AAG78" s="65"/>
      <c r="AAH78" s="65"/>
      <c r="AAI78" s="65"/>
      <c r="AAJ78" s="65"/>
      <c r="AAK78" s="65"/>
      <c r="AAL78" s="65"/>
      <c r="AAM78" s="65"/>
      <c r="AAN78" s="65"/>
      <c r="AAO78" s="65"/>
      <c r="AAP78" s="65"/>
      <c r="AAQ78" s="65"/>
      <c r="AAR78" s="65"/>
      <c r="AAS78" s="65"/>
      <c r="AAT78" s="65"/>
      <c r="AAU78" s="65"/>
      <c r="AAV78" s="65"/>
      <c r="AAW78" s="65"/>
      <c r="AAX78" s="65"/>
      <c r="AAY78" s="65"/>
      <c r="AAZ78" s="65"/>
      <c r="ABA78" s="65"/>
      <c r="ABB78" s="65"/>
      <c r="ABC78" s="65"/>
      <c r="ABD78" s="65"/>
      <c r="ABE78" s="65"/>
      <c r="ABF78" s="65"/>
      <c r="ABG78" s="65"/>
      <c r="ABH78" s="65"/>
      <c r="ABI78" s="65"/>
      <c r="ABJ78" s="65"/>
      <c r="ABK78" s="65"/>
      <c r="ABL78" s="65"/>
      <c r="ABM78" s="65"/>
      <c r="ABN78" s="65"/>
    </row>
    <row r="79" spans="1:742" ht="30" x14ac:dyDescent="0.25">
      <c r="A79" s="110">
        <v>2025</v>
      </c>
      <c r="B79" s="230">
        <v>4</v>
      </c>
      <c r="C79" s="152">
        <v>22586</v>
      </c>
      <c r="D79" s="277">
        <v>45768</v>
      </c>
      <c r="E79" s="111" t="s">
        <v>149</v>
      </c>
      <c r="F79" s="110" t="s">
        <v>166</v>
      </c>
      <c r="G79" s="110" t="s">
        <v>150</v>
      </c>
      <c r="H79" s="111">
        <v>3153406315</v>
      </c>
      <c r="I79" s="111">
        <v>3153406315</v>
      </c>
      <c r="J79" s="108">
        <v>45782</v>
      </c>
      <c r="K79" s="110" t="s">
        <v>88</v>
      </c>
      <c r="L79" s="112" t="s">
        <v>995</v>
      </c>
      <c r="M79" s="110" t="s">
        <v>136</v>
      </c>
      <c r="N79" s="110" t="s">
        <v>136</v>
      </c>
      <c r="O79" s="110">
        <v>6128</v>
      </c>
      <c r="P79" s="110" t="s">
        <v>136</v>
      </c>
      <c r="Q79" s="110" t="s">
        <v>136</v>
      </c>
      <c r="R79" s="110" t="s">
        <v>136</v>
      </c>
      <c r="S79" s="110" t="s">
        <v>134</v>
      </c>
      <c r="T79" s="110" t="s">
        <v>134</v>
      </c>
      <c r="U79" s="110" t="s">
        <v>136</v>
      </c>
      <c r="V79" s="111" t="s">
        <v>89</v>
      </c>
      <c r="W79" s="108">
        <v>45772</v>
      </c>
      <c r="X79" s="108">
        <v>45779</v>
      </c>
      <c r="Y79" s="110"/>
      <c r="Z79" s="126" t="s">
        <v>85</v>
      </c>
      <c r="AA79" s="130">
        <v>562216</v>
      </c>
      <c r="AB79" s="110">
        <v>5810</v>
      </c>
      <c r="AC79" s="114">
        <v>402451</v>
      </c>
      <c r="AD79" s="212">
        <f t="shared" ref="AD79:AD106" si="6">+AC79*1.19</f>
        <v>478916.69</v>
      </c>
      <c r="AE79" s="114">
        <v>0</v>
      </c>
      <c r="AF79" s="110"/>
      <c r="AG79" s="142" t="s">
        <v>1108</v>
      </c>
      <c r="AH79" s="248">
        <v>45793</v>
      </c>
      <c r="AI79" s="108">
        <v>45782</v>
      </c>
      <c r="AJ79" s="110" t="s">
        <v>571</v>
      </c>
      <c r="AK79" s="110"/>
    </row>
    <row r="80" spans="1:742" ht="75" x14ac:dyDescent="0.25">
      <c r="A80" s="110">
        <v>2025</v>
      </c>
      <c r="B80" s="230">
        <v>4</v>
      </c>
      <c r="C80" s="152">
        <v>22587</v>
      </c>
      <c r="D80" s="277">
        <v>45768</v>
      </c>
      <c r="E80" s="111" t="s">
        <v>1000</v>
      </c>
      <c r="F80" s="111" t="s">
        <v>583</v>
      </c>
      <c r="G80" s="110" t="s">
        <v>143</v>
      </c>
      <c r="H80" s="110">
        <v>3103968158</v>
      </c>
      <c r="I80" s="110">
        <v>6044448838</v>
      </c>
      <c r="J80" s="108">
        <v>45779</v>
      </c>
      <c r="K80" s="110" t="s">
        <v>99</v>
      </c>
      <c r="L80" s="112" t="s">
        <v>1001</v>
      </c>
      <c r="M80" s="110" t="s">
        <v>136</v>
      </c>
      <c r="N80" s="110">
        <v>5891</v>
      </c>
      <c r="O80" s="110">
        <v>6129</v>
      </c>
      <c r="P80" s="110">
        <v>8495</v>
      </c>
      <c r="Q80" s="110" t="s">
        <v>136</v>
      </c>
      <c r="R80" s="110" t="s">
        <v>136</v>
      </c>
      <c r="S80" s="110" t="s">
        <v>134</v>
      </c>
      <c r="T80" s="110" t="s">
        <v>136</v>
      </c>
      <c r="U80" s="110" t="s">
        <v>136</v>
      </c>
      <c r="V80" s="111" t="s">
        <v>87</v>
      </c>
      <c r="W80" s="108">
        <v>45777</v>
      </c>
      <c r="X80" s="108">
        <v>45784</v>
      </c>
      <c r="Y80" s="110"/>
      <c r="Z80" s="126" t="s">
        <v>85</v>
      </c>
      <c r="AA80" s="124">
        <v>0</v>
      </c>
      <c r="AB80" s="110">
        <v>5814</v>
      </c>
      <c r="AC80" s="114">
        <v>1502448</v>
      </c>
      <c r="AD80" s="212">
        <f t="shared" si="6"/>
        <v>1787913.1199999999</v>
      </c>
      <c r="AE80" s="114">
        <v>750000</v>
      </c>
      <c r="AF80" s="110"/>
      <c r="AG80" s="142" t="s">
        <v>1445</v>
      </c>
      <c r="AH80" s="248">
        <v>45782</v>
      </c>
      <c r="AI80" s="108">
        <v>45784</v>
      </c>
      <c r="AJ80" s="110" t="s">
        <v>571</v>
      </c>
      <c r="AK80" s="110"/>
    </row>
    <row r="81" spans="1:742" s="155" customFormat="1" ht="75" x14ac:dyDescent="0.25">
      <c r="A81" s="110">
        <v>2025</v>
      </c>
      <c r="B81" s="230">
        <v>4</v>
      </c>
      <c r="C81" s="152">
        <v>22588</v>
      </c>
      <c r="D81" s="277">
        <v>45768</v>
      </c>
      <c r="E81" s="111" t="s">
        <v>1002</v>
      </c>
      <c r="F81" s="111" t="s">
        <v>1002</v>
      </c>
      <c r="G81" s="110" t="s">
        <v>143</v>
      </c>
      <c r="H81" s="110">
        <v>3122048225</v>
      </c>
      <c r="I81" s="110">
        <v>3122048225</v>
      </c>
      <c r="J81" s="108">
        <v>45749</v>
      </c>
      <c r="K81" s="110" t="s">
        <v>84</v>
      </c>
      <c r="L81" s="112" t="s">
        <v>1003</v>
      </c>
      <c r="M81" s="110" t="s">
        <v>136</v>
      </c>
      <c r="N81" s="110">
        <v>5894</v>
      </c>
      <c r="O81" s="110">
        <v>6131</v>
      </c>
      <c r="P81" s="110">
        <v>8839</v>
      </c>
      <c r="Q81" s="110">
        <v>5534</v>
      </c>
      <c r="R81" s="110" t="s">
        <v>136</v>
      </c>
      <c r="S81" s="110" t="s">
        <v>134</v>
      </c>
      <c r="T81" s="110" t="s">
        <v>134</v>
      </c>
      <c r="U81" s="110" t="s">
        <v>136</v>
      </c>
      <c r="V81" s="206" t="s">
        <v>590</v>
      </c>
      <c r="W81" s="108">
        <v>45780</v>
      </c>
      <c r="X81" s="108">
        <v>45785</v>
      </c>
      <c r="Y81" s="110"/>
      <c r="Z81" s="126" t="s">
        <v>85</v>
      </c>
      <c r="AA81" s="124">
        <v>0</v>
      </c>
      <c r="AB81" s="110">
        <v>5806</v>
      </c>
      <c r="AC81" s="114">
        <v>1260554</v>
      </c>
      <c r="AD81" s="212">
        <f t="shared" si="6"/>
        <v>1500059.26</v>
      </c>
      <c r="AE81" s="114">
        <v>750000</v>
      </c>
      <c r="AF81" s="110"/>
      <c r="AG81" s="142" t="s">
        <v>1546</v>
      </c>
      <c r="AH81" s="248">
        <v>45782</v>
      </c>
      <c r="AI81" s="108">
        <v>45785</v>
      </c>
      <c r="AJ81" s="110" t="s">
        <v>571</v>
      </c>
      <c r="AK81" s="110"/>
      <c r="AL81" s="65"/>
      <c r="AM81" s="65"/>
      <c r="AN81" s="65"/>
      <c r="AO81" s="65"/>
      <c r="AP81" s="65"/>
      <c r="AQ81" s="65"/>
      <c r="AR81" s="65"/>
      <c r="AS81" s="65"/>
      <c r="AT81" s="65"/>
      <c r="AU81" s="65"/>
      <c r="AV81" s="65"/>
      <c r="AW81" s="65"/>
      <c r="AX81" s="65"/>
      <c r="AY81" s="65"/>
      <c r="AZ81" s="65"/>
      <c r="BA81" s="65"/>
      <c r="BB81" s="65"/>
      <c r="BC81" s="65"/>
      <c r="BD81" s="65"/>
      <c r="BE81" s="65"/>
      <c r="BF81" s="65"/>
      <c r="BG81" s="65"/>
      <c r="BH81" s="65"/>
      <c r="BI81" s="65"/>
      <c r="BJ81" s="65"/>
      <c r="BK81" s="65"/>
      <c r="BL81" s="65"/>
      <c r="BM81" s="65"/>
      <c r="BN81" s="65"/>
      <c r="BO81" s="65"/>
      <c r="BP81" s="65"/>
      <c r="BQ81" s="65"/>
      <c r="BR81" s="65"/>
      <c r="BS81" s="65"/>
      <c r="BT81" s="65"/>
      <c r="BU81" s="65"/>
      <c r="BV81" s="65"/>
      <c r="BW81" s="65"/>
      <c r="BX81" s="65"/>
      <c r="BY81" s="65"/>
      <c r="BZ81" s="65"/>
      <c r="CA81" s="65"/>
      <c r="CB81" s="65"/>
      <c r="CC81" s="65"/>
      <c r="CD81" s="65"/>
      <c r="CE81" s="65"/>
      <c r="CF81" s="65"/>
      <c r="CG81" s="65"/>
      <c r="CH81" s="65"/>
      <c r="CI81" s="65"/>
      <c r="CJ81" s="65"/>
      <c r="CK81" s="65"/>
      <c r="CL81" s="65"/>
      <c r="CM81" s="65"/>
      <c r="CN81" s="65"/>
      <c r="CO81" s="65"/>
      <c r="CP81" s="65"/>
      <c r="CQ81" s="65"/>
      <c r="CR81" s="65"/>
      <c r="CS81" s="65"/>
      <c r="CT81" s="65"/>
      <c r="CU81" s="65"/>
      <c r="CV81" s="65"/>
      <c r="CW81" s="65"/>
      <c r="CX81" s="65"/>
      <c r="CY81" s="65"/>
      <c r="CZ81" s="65"/>
      <c r="DA81" s="65"/>
      <c r="DB81" s="65"/>
      <c r="DC81" s="65"/>
      <c r="DD81" s="65"/>
      <c r="DE81" s="65"/>
      <c r="DF81" s="65"/>
      <c r="DG81" s="65"/>
      <c r="DH81" s="65"/>
      <c r="DI81" s="65"/>
      <c r="DJ81" s="65"/>
      <c r="DK81" s="65"/>
      <c r="DL81" s="65"/>
      <c r="DM81" s="65"/>
      <c r="DN81" s="65"/>
      <c r="DO81" s="65"/>
      <c r="DP81" s="65"/>
      <c r="DQ81" s="65"/>
      <c r="DR81" s="65"/>
      <c r="DS81" s="65"/>
      <c r="DT81" s="65"/>
      <c r="DU81" s="65"/>
      <c r="DV81" s="65"/>
      <c r="DW81" s="65"/>
      <c r="DX81" s="65"/>
      <c r="DY81" s="65"/>
      <c r="DZ81" s="65"/>
      <c r="EA81" s="65"/>
      <c r="EB81" s="65"/>
      <c r="EC81" s="65"/>
      <c r="ED81" s="65"/>
      <c r="EE81" s="65"/>
      <c r="EF81" s="65"/>
      <c r="EG81" s="65"/>
      <c r="EH81" s="65"/>
      <c r="EI81" s="65"/>
      <c r="EJ81" s="65"/>
      <c r="EK81" s="65"/>
      <c r="EL81" s="65"/>
      <c r="EM81" s="65"/>
      <c r="EN81" s="65"/>
      <c r="EO81" s="65"/>
      <c r="EP81" s="65"/>
      <c r="EQ81" s="65"/>
      <c r="ER81" s="65"/>
      <c r="ES81" s="65"/>
      <c r="ET81" s="65"/>
      <c r="EU81" s="65"/>
      <c r="EV81" s="65"/>
      <c r="EW81" s="65"/>
      <c r="EX81" s="65"/>
      <c r="EY81" s="65"/>
      <c r="EZ81" s="65"/>
      <c r="FA81" s="65"/>
      <c r="FB81" s="65"/>
      <c r="FC81" s="65"/>
      <c r="FD81" s="65"/>
      <c r="FE81" s="65"/>
      <c r="FF81" s="65"/>
      <c r="FG81" s="65"/>
      <c r="FH81" s="65"/>
      <c r="FI81" s="65"/>
      <c r="FJ81" s="65"/>
      <c r="FK81" s="65"/>
      <c r="FL81" s="65"/>
      <c r="FM81" s="65"/>
      <c r="FN81" s="65"/>
      <c r="FO81" s="65"/>
      <c r="FP81" s="65"/>
      <c r="FQ81" s="65"/>
      <c r="FR81" s="65"/>
      <c r="FS81" s="65"/>
      <c r="FT81" s="65"/>
      <c r="FU81" s="65"/>
      <c r="FV81" s="65"/>
      <c r="FW81" s="65"/>
      <c r="FX81" s="65"/>
      <c r="FY81" s="65"/>
      <c r="FZ81" s="65"/>
      <c r="GA81" s="65"/>
      <c r="GB81" s="65"/>
      <c r="GC81" s="65"/>
      <c r="GD81" s="65"/>
      <c r="GE81" s="65"/>
      <c r="GF81" s="65"/>
      <c r="GG81" s="65"/>
      <c r="GH81" s="65"/>
      <c r="GI81" s="65"/>
      <c r="GJ81" s="65"/>
      <c r="GK81" s="65"/>
      <c r="GL81" s="65"/>
      <c r="GM81" s="65"/>
      <c r="GN81" s="65"/>
      <c r="GO81" s="65"/>
      <c r="GP81" s="65"/>
      <c r="GQ81" s="65"/>
      <c r="GR81" s="65"/>
      <c r="GS81" s="65"/>
      <c r="GT81" s="65"/>
      <c r="GU81" s="65"/>
      <c r="GV81" s="65"/>
      <c r="GW81" s="65"/>
      <c r="GX81" s="65"/>
      <c r="GY81" s="65"/>
      <c r="GZ81" s="65"/>
      <c r="HA81" s="65"/>
      <c r="HB81" s="65"/>
      <c r="HC81" s="65"/>
      <c r="HD81" s="65"/>
      <c r="HE81" s="65"/>
      <c r="HF81" s="65"/>
      <c r="HG81" s="65"/>
      <c r="HH81" s="65"/>
      <c r="HI81" s="65"/>
      <c r="HJ81" s="65"/>
      <c r="HK81" s="65"/>
      <c r="HL81" s="65"/>
      <c r="HM81" s="65"/>
      <c r="HN81" s="65"/>
      <c r="HO81" s="65"/>
      <c r="HP81" s="65"/>
      <c r="HQ81" s="65"/>
      <c r="HR81" s="65"/>
      <c r="HS81" s="65"/>
      <c r="HT81" s="65"/>
      <c r="HU81" s="65"/>
      <c r="HV81" s="65"/>
      <c r="HW81" s="65"/>
      <c r="HX81" s="65"/>
      <c r="HY81" s="65"/>
      <c r="HZ81" s="65"/>
      <c r="IA81" s="65"/>
      <c r="IB81" s="65"/>
      <c r="IC81" s="65"/>
      <c r="ID81" s="65"/>
      <c r="IE81" s="65"/>
      <c r="IF81" s="65"/>
      <c r="IG81" s="65"/>
      <c r="IH81" s="65"/>
      <c r="II81" s="65"/>
      <c r="IJ81" s="65"/>
      <c r="IK81" s="65"/>
      <c r="IL81" s="65"/>
      <c r="IM81" s="65"/>
      <c r="IN81" s="65"/>
      <c r="IO81" s="65"/>
      <c r="IP81" s="65"/>
      <c r="IQ81" s="65"/>
      <c r="IR81" s="65"/>
      <c r="IS81" s="65"/>
      <c r="IT81" s="65"/>
      <c r="IU81" s="65"/>
      <c r="IV81" s="65"/>
      <c r="IW81" s="65"/>
      <c r="IX81" s="65"/>
      <c r="IY81" s="65"/>
      <c r="IZ81" s="65"/>
      <c r="JA81" s="65"/>
      <c r="JB81" s="65"/>
      <c r="JC81" s="65"/>
      <c r="JD81" s="65"/>
      <c r="JE81" s="65"/>
      <c r="JF81" s="65"/>
      <c r="JG81" s="65"/>
      <c r="JH81" s="65"/>
      <c r="JI81" s="65"/>
      <c r="JJ81" s="65"/>
      <c r="JK81" s="65"/>
      <c r="JL81" s="65"/>
      <c r="JM81" s="65"/>
      <c r="JN81" s="65"/>
      <c r="JO81" s="65"/>
      <c r="JP81" s="65"/>
      <c r="JQ81" s="65"/>
      <c r="JR81" s="65"/>
      <c r="JS81" s="65"/>
      <c r="JT81" s="65"/>
      <c r="JU81" s="65"/>
      <c r="JV81" s="65"/>
      <c r="JW81" s="65"/>
      <c r="JX81" s="65"/>
      <c r="JY81" s="65"/>
      <c r="JZ81" s="65"/>
      <c r="KA81" s="65"/>
      <c r="KB81" s="65"/>
      <c r="KC81" s="65"/>
      <c r="KD81" s="65"/>
      <c r="KE81" s="65"/>
      <c r="KF81" s="65"/>
      <c r="KG81" s="65"/>
      <c r="KH81" s="65"/>
      <c r="KI81" s="65"/>
      <c r="KJ81" s="65"/>
      <c r="KK81" s="65"/>
      <c r="KL81" s="65"/>
      <c r="KM81" s="65"/>
      <c r="KN81" s="65"/>
      <c r="KO81" s="65"/>
      <c r="KP81" s="65"/>
      <c r="KQ81" s="65"/>
      <c r="KR81" s="65"/>
      <c r="KS81" s="65"/>
      <c r="KT81" s="65"/>
      <c r="KU81" s="65"/>
      <c r="KV81" s="65"/>
      <c r="KW81" s="65"/>
      <c r="KX81" s="65"/>
      <c r="KY81" s="65"/>
      <c r="KZ81" s="65"/>
      <c r="LA81" s="65"/>
      <c r="LB81" s="65"/>
      <c r="LC81" s="65"/>
      <c r="LD81" s="65"/>
      <c r="LE81" s="65"/>
      <c r="LF81" s="65"/>
      <c r="LG81" s="65"/>
      <c r="LH81" s="65"/>
      <c r="LI81" s="65"/>
      <c r="LJ81" s="65"/>
      <c r="LK81" s="65"/>
      <c r="LL81" s="65"/>
      <c r="LM81" s="65"/>
      <c r="LN81" s="65"/>
      <c r="LO81" s="65"/>
      <c r="LP81" s="65"/>
      <c r="LQ81" s="65"/>
      <c r="LR81" s="65"/>
      <c r="LS81" s="65"/>
      <c r="LT81" s="65"/>
      <c r="LU81" s="65"/>
      <c r="LV81" s="65"/>
      <c r="LW81" s="65"/>
      <c r="LX81" s="65"/>
      <c r="LY81" s="65"/>
      <c r="LZ81" s="65"/>
      <c r="MA81" s="65"/>
      <c r="MB81" s="65"/>
      <c r="MC81" s="65"/>
      <c r="MD81" s="65"/>
      <c r="ME81" s="65"/>
      <c r="MF81" s="65"/>
      <c r="MG81" s="65"/>
      <c r="MH81" s="65"/>
      <c r="MI81" s="65"/>
      <c r="MJ81" s="65"/>
      <c r="MK81" s="65"/>
      <c r="ML81" s="65"/>
      <c r="MM81" s="65"/>
      <c r="MN81" s="65"/>
      <c r="MO81" s="65"/>
      <c r="MP81" s="65"/>
      <c r="MQ81" s="65"/>
      <c r="MR81" s="65"/>
      <c r="MS81" s="65"/>
      <c r="MT81" s="65"/>
      <c r="MU81" s="65"/>
      <c r="MV81" s="65"/>
      <c r="MW81" s="65"/>
      <c r="MX81" s="65"/>
      <c r="MY81" s="65"/>
      <c r="MZ81" s="65"/>
      <c r="NA81" s="65"/>
      <c r="NB81" s="65"/>
      <c r="NC81" s="65"/>
      <c r="ND81" s="65"/>
      <c r="NE81" s="65"/>
      <c r="NF81" s="65"/>
      <c r="NG81" s="65"/>
      <c r="NH81" s="65"/>
      <c r="NI81" s="65"/>
      <c r="NJ81" s="65"/>
      <c r="NK81" s="65"/>
      <c r="NL81" s="65"/>
      <c r="NM81" s="65"/>
      <c r="NN81" s="65"/>
      <c r="NO81" s="65"/>
      <c r="NP81" s="65"/>
      <c r="NQ81" s="65"/>
      <c r="NR81" s="65"/>
      <c r="NS81" s="65"/>
      <c r="NT81" s="65"/>
      <c r="NU81" s="65"/>
      <c r="NV81" s="65"/>
      <c r="NW81" s="65"/>
      <c r="NX81" s="65"/>
      <c r="NY81" s="65"/>
      <c r="NZ81" s="65"/>
      <c r="OA81" s="65"/>
      <c r="OB81" s="65"/>
      <c r="OC81" s="65"/>
      <c r="OD81" s="65"/>
      <c r="OE81" s="65"/>
      <c r="OF81" s="65"/>
      <c r="OG81" s="65"/>
      <c r="OH81" s="65"/>
      <c r="OI81" s="65"/>
      <c r="OJ81" s="65"/>
      <c r="OK81" s="65"/>
      <c r="OL81" s="65"/>
      <c r="OM81" s="65"/>
      <c r="ON81" s="65"/>
      <c r="OO81" s="65"/>
      <c r="OP81" s="65"/>
      <c r="OQ81" s="65"/>
      <c r="OR81" s="65"/>
      <c r="OS81" s="65"/>
      <c r="OT81" s="65"/>
      <c r="OU81" s="65"/>
      <c r="OV81" s="65"/>
      <c r="OW81" s="65"/>
      <c r="OX81" s="65"/>
      <c r="OY81" s="65"/>
      <c r="OZ81" s="65"/>
      <c r="PA81" s="65"/>
      <c r="PB81" s="65"/>
      <c r="PC81" s="65"/>
      <c r="PD81" s="65"/>
      <c r="PE81" s="65"/>
      <c r="PF81" s="65"/>
      <c r="PG81" s="65"/>
      <c r="PH81" s="65"/>
      <c r="PI81" s="65"/>
      <c r="PJ81" s="65"/>
      <c r="PK81" s="65"/>
      <c r="PL81" s="65"/>
      <c r="PM81" s="65"/>
      <c r="PN81" s="65"/>
      <c r="PO81" s="65"/>
      <c r="PP81" s="65"/>
      <c r="PQ81" s="65"/>
      <c r="PR81" s="65"/>
      <c r="PS81" s="65"/>
      <c r="PT81" s="65"/>
      <c r="PU81" s="65"/>
      <c r="PV81" s="65"/>
      <c r="PW81" s="65"/>
      <c r="PX81" s="65"/>
      <c r="PY81" s="65"/>
      <c r="PZ81" s="65"/>
      <c r="QA81" s="65"/>
      <c r="QB81" s="65"/>
      <c r="QC81" s="65"/>
      <c r="QD81" s="65"/>
      <c r="QE81" s="65"/>
      <c r="QF81" s="65"/>
      <c r="QG81" s="65"/>
      <c r="QH81" s="65"/>
      <c r="QI81" s="65"/>
      <c r="QJ81" s="65"/>
      <c r="QK81" s="65"/>
      <c r="QL81" s="65"/>
      <c r="QM81" s="65"/>
      <c r="QN81" s="65"/>
      <c r="QO81" s="65"/>
      <c r="QP81" s="65"/>
      <c r="QQ81" s="65"/>
      <c r="QR81" s="65"/>
      <c r="QS81" s="65"/>
      <c r="QT81" s="65"/>
      <c r="QU81" s="65"/>
      <c r="QV81" s="65"/>
      <c r="QW81" s="65"/>
      <c r="QX81" s="65"/>
      <c r="QY81" s="65"/>
      <c r="QZ81" s="65"/>
      <c r="RA81" s="65"/>
      <c r="RB81" s="65"/>
      <c r="RC81" s="65"/>
      <c r="RD81" s="65"/>
      <c r="RE81" s="65"/>
      <c r="RF81" s="65"/>
      <c r="RG81" s="65"/>
      <c r="RH81" s="65"/>
      <c r="RI81" s="65"/>
      <c r="RJ81" s="65"/>
      <c r="RK81" s="65"/>
      <c r="RL81" s="65"/>
      <c r="RM81" s="65"/>
      <c r="RN81" s="65"/>
      <c r="RO81" s="65"/>
      <c r="RP81" s="65"/>
      <c r="RQ81" s="65"/>
      <c r="RR81" s="65"/>
      <c r="RS81" s="65"/>
      <c r="RT81" s="65"/>
      <c r="RU81" s="65"/>
      <c r="RV81" s="65"/>
      <c r="RW81" s="65"/>
      <c r="RX81" s="65"/>
      <c r="RY81" s="65"/>
      <c r="RZ81" s="65"/>
      <c r="SA81" s="65"/>
      <c r="SB81" s="65"/>
      <c r="SC81" s="65"/>
      <c r="SD81" s="65"/>
      <c r="SE81" s="65"/>
      <c r="SF81" s="65"/>
      <c r="SG81" s="65"/>
      <c r="SH81" s="65"/>
      <c r="SI81" s="65"/>
      <c r="SJ81" s="65"/>
      <c r="SK81" s="65"/>
      <c r="SL81" s="65"/>
      <c r="SM81" s="65"/>
      <c r="SN81" s="65"/>
      <c r="SO81" s="65"/>
      <c r="SP81" s="65"/>
      <c r="SQ81" s="65"/>
      <c r="SR81" s="65"/>
      <c r="SS81" s="65"/>
      <c r="ST81" s="65"/>
      <c r="SU81" s="65"/>
      <c r="SV81" s="65"/>
      <c r="SW81" s="65"/>
      <c r="SX81" s="65"/>
      <c r="SY81" s="65"/>
      <c r="SZ81" s="65"/>
      <c r="TA81" s="65"/>
      <c r="TB81" s="65"/>
      <c r="TC81" s="65"/>
      <c r="TD81" s="65"/>
      <c r="TE81" s="65"/>
      <c r="TF81" s="65"/>
      <c r="TG81" s="65"/>
      <c r="TH81" s="65"/>
      <c r="TI81" s="65"/>
      <c r="TJ81" s="65"/>
      <c r="TK81" s="65"/>
      <c r="TL81" s="65"/>
      <c r="TM81" s="65"/>
      <c r="TN81" s="65"/>
      <c r="TO81" s="65"/>
      <c r="TP81" s="65"/>
      <c r="TQ81" s="65"/>
      <c r="TR81" s="65"/>
      <c r="TS81" s="65"/>
      <c r="TT81" s="65"/>
      <c r="TU81" s="65"/>
      <c r="TV81" s="65"/>
      <c r="TW81" s="65"/>
      <c r="TX81" s="65"/>
      <c r="TY81" s="65"/>
      <c r="TZ81" s="65"/>
      <c r="UA81" s="65"/>
      <c r="UB81" s="65"/>
      <c r="UC81" s="65"/>
      <c r="UD81" s="65"/>
      <c r="UE81" s="65"/>
      <c r="UF81" s="65"/>
      <c r="UG81" s="65"/>
      <c r="UH81" s="65"/>
      <c r="UI81" s="65"/>
      <c r="UJ81" s="65"/>
      <c r="UK81" s="65"/>
      <c r="UL81" s="65"/>
      <c r="UM81" s="65"/>
      <c r="UN81" s="65"/>
      <c r="UO81" s="65"/>
      <c r="UP81" s="65"/>
      <c r="UQ81" s="65"/>
      <c r="UR81" s="65"/>
      <c r="US81" s="65"/>
      <c r="UT81" s="65"/>
      <c r="UU81" s="65"/>
      <c r="UV81" s="65"/>
      <c r="UW81" s="65"/>
      <c r="UX81" s="65"/>
      <c r="UY81" s="65"/>
      <c r="UZ81" s="65"/>
      <c r="VA81" s="65"/>
      <c r="VB81" s="65"/>
      <c r="VC81" s="65"/>
      <c r="VD81" s="65"/>
      <c r="VE81" s="65"/>
      <c r="VF81" s="65"/>
      <c r="VG81" s="65"/>
      <c r="VH81" s="65"/>
      <c r="VI81" s="65"/>
      <c r="VJ81" s="65"/>
      <c r="VK81" s="65"/>
      <c r="VL81" s="65"/>
      <c r="VM81" s="65"/>
      <c r="VN81" s="65"/>
      <c r="VO81" s="65"/>
      <c r="VP81" s="65"/>
      <c r="VQ81" s="65"/>
      <c r="VR81" s="65"/>
      <c r="VS81" s="65"/>
      <c r="VT81" s="65"/>
      <c r="VU81" s="65"/>
      <c r="VV81" s="65"/>
      <c r="VW81" s="65"/>
      <c r="VX81" s="65"/>
      <c r="VY81" s="65"/>
      <c r="VZ81" s="65"/>
      <c r="WA81" s="65"/>
      <c r="WB81" s="65"/>
      <c r="WC81" s="65"/>
      <c r="WD81" s="65"/>
      <c r="WE81" s="65"/>
      <c r="WF81" s="65"/>
      <c r="WG81" s="65"/>
      <c r="WH81" s="65"/>
      <c r="WI81" s="65"/>
      <c r="WJ81" s="65"/>
      <c r="WK81" s="65"/>
      <c r="WL81" s="65"/>
      <c r="WM81" s="65"/>
      <c r="WN81" s="65"/>
      <c r="WO81" s="65"/>
      <c r="WP81" s="65"/>
      <c r="WQ81" s="65"/>
      <c r="WR81" s="65"/>
      <c r="WS81" s="65"/>
      <c r="WT81" s="65"/>
      <c r="WU81" s="65"/>
      <c r="WV81" s="65"/>
      <c r="WW81" s="65"/>
      <c r="WX81" s="65"/>
      <c r="WY81" s="65"/>
      <c r="WZ81" s="65"/>
      <c r="XA81" s="65"/>
      <c r="XB81" s="65"/>
      <c r="XC81" s="65"/>
      <c r="XD81" s="65"/>
      <c r="XE81" s="65"/>
      <c r="XF81" s="65"/>
      <c r="XG81" s="65"/>
      <c r="XH81" s="65"/>
      <c r="XI81" s="65"/>
      <c r="XJ81" s="65"/>
      <c r="XK81" s="65"/>
      <c r="XL81" s="65"/>
      <c r="XM81" s="65"/>
      <c r="XN81" s="65"/>
      <c r="XO81" s="65"/>
      <c r="XP81" s="65"/>
      <c r="XQ81" s="65"/>
      <c r="XR81" s="65"/>
      <c r="XS81" s="65"/>
      <c r="XT81" s="65"/>
      <c r="XU81" s="65"/>
      <c r="XV81" s="65"/>
      <c r="XW81" s="65"/>
      <c r="XX81" s="65"/>
      <c r="XY81" s="65"/>
      <c r="XZ81" s="65"/>
      <c r="YA81" s="65"/>
      <c r="YB81" s="65"/>
      <c r="YC81" s="65"/>
      <c r="YD81" s="65"/>
      <c r="YE81" s="65"/>
      <c r="YF81" s="65"/>
      <c r="YG81" s="65"/>
      <c r="YH81" s="65"/>
      <c r="YI81" s="65"/>
      <c r="YJ81" s="65"/>
      <c r="YK81" s="65"/>
      <c r="YL81" s="65"/>
      <c r="YM81" s="65"/>
      <c r="YN81" s="65"/>
      <c r="YO81" s="65"/>
      <c r="YP81" s="65"/>
      <c r="YQ81" s="65"/>
      <c r="YR81" s="65"/>
      <c r="YS81" s="65"/>
      <c r="YT81" s="65"/>
      <c r="YU81" s="65"/>
      <c r="YV81" s="65"/>
      <c r="YW81" s="65"/>
      <c r="YX81" s="65"/>
      <c r="YY81" s="65"/>
      <c r="YZ81" s="65"/>
      <c r="ZA81" s="65"/>
      <c r="ZB81" s="65"/>
      <c r="ZC81" s="65"/>
      <c r="ZD81" s="65"/>
      <c r="ZE81" s="65"/>
      <c r="ZF81" s="65"/>
      <c r="ZG81" s="65"/>
      <c r="ZH81" s="65"/>
      <c r="ZI81" s="65"/>
      <c r="ZJ81" s="65"/>
      <c r="ZK81" s="65"/>
      <c r="ZL81" s="65"/>
      <c r="ZM81" s="65"/>
      <c r="ZN81" s="65"/>
      <c r="ZO81" s="65"/>
      <c r="ZP81" s="65"/>
      <c r="ZQ81" s="65"/>
      <c r="ZR81" s="65"/>
      <c r="ZS81" s="65"/>
      <c r="ZT81" s="65"/>
      <c r="ZU81" s="65"/>
      <c r="ZV81" s="65"/>
      <c r="ZW81" s="65"/>
      <c r="ZX81" s="65"/>
      <c r="ZY81" s="65"/>
      <c r="ZZ81" s="65"/>
      <c r="AAA81" s="65"/>
      <c r="AAB81" s="65"/>
      <c r="AAC81" s="65"/>
      <c r="AAD81" s="65"/>
      <c r="AAE81" s="65"/>
      <c r="AAF81" s="65"/>
      <c r="AAG81" s="65"/>
      <c r="AAH81" s="65"/>
      <c r="AAI81" s="65"/>
      <c r="AAJ81" s="65"/>
      <c r="AAK81" s="65"/>
      <c r="AAL81" s="65"/>
      <c r="AAM81" s="65"/>
      <c r="AAN81" s="65"/>
      <c r="AAO81" s="65"/>
      <c r="AAP81" s="65"/>
      <c r="AAQ81" s="65"/>
      <c r="AAR81" s="65"/>
      <c r="AAS81" s="65"/>
      <c r="AAT81" s="65"/>
      <c r="AAU81" s="65"/>
      <c r="AAV81" s="65"/>
      <c r="AAW81" s="65"/>
      <c r="AAX81" s="65"/>
      <c r="AAY81" s="65"/>
      <c r="AAZ81" s="65"/>
      <c r="ABA81" s="65"/>
      <c r="ABB81" s="65"/>
      <c r="ABC81" s="65"/>
      <c r="ABD81" s="65"/>
      <c r="ABE81" s="65"/>
      <c r="ABF81" s="65"/>
      <c r="ABG81" s="65"/>
      <c r="ABH81" s="65"/>
      <c r="ABI81" s="65"/>
      <c r="ABJ81" s="65"/>
      <c r="ABK81" s="65"/>
      <c r="ABL81" s="65"/>
      <c r="ABM81" s="65"/>
      <c r="ABN81" s="65"/>
    </row>
    <row r="82" spans="1:742" ht="34.5" customHeight="1" x14ac:dyDescent="0.25">
      <c r="A82" s="110">
        <v>2025</v>
      </c>
      <c r="B82" s="230">
        <v>4</v>
      </c>
      <c r="C82" s="152">
        <v>22589</v>
      </c>
      <c r="D82" s="277">
        <v>45763</v>
      </c>
      <c r="E82" s="111" t="s">
        <v>627</v>
      </c>
      <c r="F82" s="111" t="s">
        <v>627</v>
      </c>
      <c r="G82" s="110" t="s">
        <v>99</v>
      </c>
      <c r="H82" s="110">
        <v>3142754977</v>
      </c>
      <c r="I82" s="110">
        <v>6610456</v>
      </c>
      <c r="J82" s="108">
        <v>45763</v>
      </c>
      <c r="K82" s="110" t="s">
        <v>99</v>
      </c>
      <c r="L82" s="112" t="s">
        <v>1011</v>
      </c>
      <c r="M82" s="110" t="s">
        <v>136</v>
      </c>
      <c r="N82" s="110" t="s">
        <v>136</v>
      </c>
      <c r="O82" s="110" t="s">
        <v>136</v>
      </c>
      <c r="P82" s="110" t="s">
        <v>136</v>
      </c>
      <c r="Q82" s="110" t="s">
        <v>136</v>
      </c>
      <c r="R82" s="110" t="s">
        <v>136</v>
      </c>
      <c r="S82" s="110" t="s">
        <v>136</v>
      </c>
      <c r="T82" s="110" t="s">
        <v>134</v>
      </c>
      <c r="U82" s="110" t="s">
        <v>136</v>
      </c>
      <c r="V82" s="111" t="s">
        <v>87</v>
      </c>
      <c r="W82" s="108" t="s">
        <v>136</v>
      </c>
      <c r="X82" s="108">
        <v>45763</v>
      </c>
      <c r="Y82" s="110"/>
      <c r="Z82" s="126" t="s">
        <v>85</v>
      </c>
      <c r="AA82" s="130">
        <v>280000</v>
      </c>
      <c r="AB82" s="110">
        <v>5774</v>
      </c>
      <c r="AC82" s="114">
        <v>235294</v>
      </c>
      <c r="AD82" s="212">
        <f t="shared" si="6"/>
        <v>279999.86</v>
      </c>
      <c r="AE82" s="114">
        <v>0</v>
      </c>
      <c r="AF82" s="110"/>
      <c r="AG82" s="142" t="s">
        <v>1012</v>
      </c>
      <c r="AH82" s="248">
        <v>45762</v>
      </c>
      <c r="AI82" s="108">
        <v>45772</v>
      </c>
      <c r="AJ82" s="110" t="s">
        <v>571</v>
      </c>
      <c r="AK82" s="110"/>
    </row>
    <row r="83" spans="1:742" ht="34.5" customHeight="1" x14ac:dyDescent="0.25">
      <c r="A83" s="99">
        <v>2025</v>
      </c>
      <c r="B83" s="233">
        <v>4</v>
      </c>
      <c r="C83" s="356">
        <v>22590</v>
      </c>
      <c r="D83" s="278">
        <v>45769</v>
      </c>
      <c r="E83" s="100" t="s">
        <v>289</v>
      </c>
      <c r="F83" s="99" t="s">
        <v>290</v>
      </c>
      <c r="G83" s="99" t="s">
        <v>98</v>
      </c>
      <c r="H83" s="100">
        <v>6044005100</v>
      </c>
      <c r="I83" s="100">
        <v>3102736625</v>
      </c>
      <c r="J83" s="97">
        <v>45771</v>
      </c>
      <c r="K83" s="99" t="s">
        <v>88</v>
      </c>
      <c r="L83" s="101" t="s">
        <v>996</v>
      </c>
      <c r="M83" s="99" t="s">
        <v>136</v>
      </c>
      <c r="N83" s="99" t="s">
        <v>136</v>
      </c>
      <c r="O83" s="99">
        <v>6135</v>
      </c>
      <c r="P83" s="99">
        <v>8719</v>
      </c>
      <c r="Q83" s="99" t="s">
        <v>136</v>
      </c>
      <c r="R83" s="99" t="s">
        <v>136</v>
      </c>
      <c r="S83" s="99" t="s">
        <v>136</v>
      </c>
      <c r="T83" s="99" t="s">
        <v>136</v>
      </c>
      <c r="U83" s="99" t="s">
        <v>136</v>
      </c>
      <c r="V83" s="100" t="s">
        <v>89</v>
      </c>
      <c r="W83" s="97">
        <v>45772</v>
      </c>
      <c r="X83" s="97">
        <v>45771</v>
      </c>
      <c r="Y83" s="99"/>
      <c r="Z83" s="120" t="s">
        <v>85</v>
      </c>
      <c r="AA83" s="122">
        <v>0</v>
      </c>
      <c r="AB83" s="99">
        <v>5791</v>
      </c>
      <c r="AC83" s="103">
        <v>867588</v>
      </c>
      <c r="AD83" s="198">
        <f t="shared" si="6"/>
        <v>1032429.72</v>
      </c>
      <c r="AE83" s="103">
        <v>0</v>
      </c>
      <c r="AF83" s="99"/>
      <c r="AG83" s="104" t="s">
        <v>1033</v>
      </c>
      <c r="AH83" s="258">
        <v>45821</v>
      </c>
      <c r="AI83" s="97">
        <v>45777</v>
      </c>
      <c r="AJ83" s="99" t="s">
        <v>1705</v>
      </c>
      <c r="AK83" s="99"/>
    </row>
    <row r="84" spans="1:742" s="207" customFormat="1" ht="105" x14ac:dyDescent="0.25">
      <c r="A84" s="99">
        <v>2025</v>
      </c>
      <c r="B84" s="233">
        <v>4</v>
      </c>
      <c r="C84" s="356">
        <v>22591</v>
      </c>
      <c r="D84" s="278">
        <v>45775</v>
      </c>
      <c r="E84" s="100" t="s">
        <v>1066</v>
      </c>
      <c r="F84" s="100" t="s">
        <v>1067</v>
      </c>
      <c r="G84" s="99" t="s">
        <v>98</v>
      </c>
      <c r="H84" s="99">
        <v>3108982986</v>
      </c>
      <c r="I84" s="99">
        <v>6043220389</v>
      </c>
      <c r="J84" s="97">
        <v>45785</v>
      </c>
      <c r="K84" s="99" t="s">
        <v>88</v>
      </c>
      <c r="L84" s="101" t="s">
        <v>1068</v>
      </c>
      <c r="M84" s="99" t="s">
        <v>136</v>
      </c>
      <c r="N84" s="99">
        <v>6150</v>
      </c>
      <c r="O84" s="99">
        <v>8910</v>
      </c>
      <c r="P84" s="99">
        <v>5535</v>
      </c>
      <c r="Q84" s="99" t="s">
        <v>136</v>
      </c>
      <c r="R84" s="99" t="s">
        <v>134</v>
      </c>
      <c r="S84" s="99" t="s">
        <v>134</v>
      </c>
      <c r="T84" s="99" t="s">
        <v>136</v>
      </c>
      <c r="U84" s="99" t="s">
        <v>136</v>
      </c>
      <c r="V84" s="100" t="s">
        <v>119</v>
      </c>
      <c r="W84" s="97">
        <v>45785</v>
      </c>
      <c r="X84" s="97">
        <v>45786</v>
      </c>
      <c r="Y84" s="99"/>
      <c r="Z84" s="120" t="s">
        <v>85</v>
      </c>
      <c r="AA84" s="122">
        <v>0</v>
      </c>
      <c r="AB84" s="99"/>
      <c r="AC84" s="103">
        <v>2843378</v>
      </c>
      <c r="AD84" s="198">
        <f t="shared" si="6"/>
        <v>3383619.82</v>
      </c>
      <c r="AE84" s="103">
        <v>1691810</v>
      </c>
      <c r="AF84" s="99"/>
      <c r="AG84" s="104" t="s">
        <v>1557</v>
      </c>
      <c r="AH84" s="258">
        <v>45786</v>
      </c>
      <c r="AI84" s="97">
        <v>45786</v>
      </c>
      <c r="AJ84" s="99" t="s">
        <v>571</v>
      </c>
      <c r="AK84" s="99"/>
      <c r="AL84" s="65"/>
      <c r="AM84" s="65"/>
      <c r="AN84" s="65"/>
      <c r="AO84" s="65"/>
      <c r="AP84" s="65"/>
      <c r="AQ84" s="65"/>
      <c r="AR84" s="65"/>
      <c r="AS84" s="65"/>
      <c r="AT84" s="65"/>
      <c r="AU84" s="65"/>
      <c r="AV84" s="65"/>
      <c r="AW84" s="65"/>
      <c r="AX84" s="65"/>
      <c r="AY84" s="65"/>
      <c r="AZ84" s="65"/>
      <c r="BA84" s="65"/>
      <c r="BB84" s="65"/>
      <c r="BC84" s="65"/>
      <c r="BD84" s="65"/>
      <c r="BE84" s="65"/>
      <c r="BF84" s="65"/>
      <c r="BG84" s="65"/>
      <c r="BH84" s="65"/>
      <c r="BI84" s="65"/>
      <c r="BJ84" s="65"/>
      <c r="BK84" s="65"/>
      <c r="BL84" s="65"/>
      <c r="BM84" s="65"/>
      <c r="BN84" s="65"/>
      <c r="BO84" s="65"/>
      <c r="BP84" s="65"/>
      <c r="BQ84" s="65"/>
      <c r="BR84" s="65"/>
      <c r="BS84" s="65"/>
      <c r="BT84" s="65"/>
      <c r="BU84" s="65"/>
      <c r="BV84" s="65"/>
      <c r="BW84" s="65"/>
      <c r="BX84" s="65"/>
      <c r="BY84" s="65"/>
      <c r="BZ84" s="65"/>
      <c r="CA84" s="65"/>
      <c r="CB84" s="65"/>
      <c r="CC84" s="65"/>
      <c r="CD84" s="65"/>
      <c r="CE84" s="65"/>
      <c r="CF84" s="65"/>
      <c r="CG84" s="65"/>
      <c r="CH84" s="65"/>
      <c r="CI84" s="65"/>
      <c r="CJ84" s="65"/>
      <c r="CK84" s="65"/>
      <c r="CL84" s="65"/>
      <c r="CM84" s="65"/>
      <c r="CN84" s="65"/>
      <c r="CO84" s="65"/>
      <c r="CP84" s="65"/>
      <c r="CQ84" s="65"/>
      <c r="CR84" s="65"/>
      <c r="CS84" s="65"/>
      <c r="CT84" s="65"/>
      <c r="CU84" s="65"/>
      <c r="CV84" s="65"/>
      <c r="CW84" s="65"/>
      <c r="CX84" s="65"/>
      <c r="CY84" s="65"/>
      <c r="CZ84" s="65"/>
      <c r="DA84" s="65"/>
      <c r="DB84" s="65"/>
      <c r="DC84" s="65"/>
      <c r="DD84" s="65"/>
      <c r="DE84" s="65"/>
      <c r="DF84" s="65"/>
      <c r="DG84" s="65"/>
      <c r="DH84" s="65"/>
      <c r="DI84" s="65"/>
      <c r="DJ84" s="65"/>
      <c r="DK84" s="65"/>
      <c r="DL84" s="65"/>
      <c r="DM84" s="65"/>
      <c r="DN84" s="65"/>
      <c r="DO84" s="65"/>
      <c r="DP84" s="65"/>
      <c r="DQ84" s="65"/>
      <c r="DR84" s="65"/>
      <c r="DS84" s="65"/>
      <c r="DT84" s="65"/>
      <c r="DU84" s="65"/>
      <c r="DV84" s="65"/>
      <c r="DW84" s="65"/>
      <c r="DX84" s="65"/>
      <c r="DY84" s="65"/>
      <c r="DZ84" s="65"/>
      <c r="EA84" s="65"/>
      <c r="EB84" s="65"/>
      <c r="EC84" s="65"/>
      <c r="ED84" s="65"/>
      <c r="EE84" s="65"/>
      <c r="EF84" s="65"/>
      <c r="EG84" s="65"/>
      <c r="EH84" s="65"/>
      <c r="EI84" s="65"/>
      <c r="EJ84" s="65"/>
      <c r="EK84" s="65"/>
      <c r="EL84" s="65"/>
      <c r="EM84" s="65"/>
      <c r="EN84" s="65"/>
      <c r="EO84" s="65"/>
      <c r="EP84" s="65"/>
      <c r="EQ84" s="65"/>
      <c r="ER84" s="65"/>
      <c r="ES84" s="65"/>
      <c r="ET84" s="65"/>
      <c r="EU84" s="65"/>
      <c r="EV84" s="65"/>
      <c r="EW84" s="65"/>
      <c r="EX84" s="65"/>
      <c r="EY84" s="65"/>
      <c r="EZ84" s="65"/>
      <c r="FA84" s="65"/>
      <c r="FB84" s="65"/>
      <c r="FC84" s="65"/>
      <c r="FD84" s="65"/>
      <c r="FE84" s="65"/>
      <c r="FF84" s="65"/>
      <c r="FG84" s="65"/>
      <c r="FH84" s="65"/>
      <c r="FI84" s="65"/>
      <c r="FJ84" s="65"/>
      <c r="FK84" s="65"/>
      <c r="FL84" s="65"/>
      <c r="FM84" s="65"/>
      <c r="FN84" s="65"/>
      <c r="FO84" s="65"/>
      <c r="FP84" s="65"/>
      <c r="FQ84" s="65"/>
      <c r="FR84" s="65"/>
      <c r="FS84" s="65"/>
      <c r="FT84" s="65"/>
      <c r="FU84" s="65"/>
      <c r="FV84" s="65"/>
      <c r="FW84" s="65"/>
      <c r="FX84" s="65"/>
      <c r="FY84" s="65"/>
      <c r="FZ84" s="65"/>
      <c r="GA84" s="65"/>
      <c r="GB84" s="65"/>
      <c r="GC84" s="65"/>
      <c r="GD84" s="65"/>
      <c r="GE84" s="65"/>
      <c r="GF84" s="65"/>
      <c r="GG84" s="65"/>
      <c r="GH84" s="65"/>
      <c r="GI84" s="65"/>
      <c r="GJ84" s="65"/>
      <c r="GK84" s="65"/>
      <c r="GL84" s="65"/>
      <c r="GM84" s="65"/>
      <c r="GN84" s="65"/>
      <c r="GO84" s="65"/>
      <c r="GP84" s="65"/>
      <c r="GQ84" s="65"/>
      <c r="GR84" s="65"/>
      <c r="GS84" s="65"/>
      <c r="GT84" s="65"/>
      <c r="GU84" s="65"/>
      <c r="GV84" s="65"/>
      <c r="GW84" s="65"/>
      <c r="GX84" s="65"/>
      <c r="GY84" s="65"/>
      <c r="GZ84" s="65"/>
      <c r="HA84" s="65"/>
      <c r="HB84" s="65"/>
      <c r="HC84" s="65"/>
      <c r="HD84" s="65"/>
      <c r="HE84" s="65"/>
      <c r="HF84" s="65"/>
      <c r="HG84" s="65"/>
      <c r="HH84" s="65"/>
      <c r="HI84" s="65"/>
      <c r="HJ84" s="65"/>
      <c r="HK84" s="65"/>
      <c r="HL84" s="65"/>
      <c r="HM84" s="65"/>
      <c r="HN84" s="65"/>
      <c r="HO84" s="65"/>
      <c r="HP84" s="65"/>
      <c r="HQ84" s="65"/>
      <c r="HR84" s="65"/>
      <c r="HS84" s="65"/>
      <c r="HT84" s="65"/>
      <c r="HU84" s="65"/>
      <c r="HV84" s="65"/>
      <c r="HW84" s="65"/>
      <c r="HX84" s="65"/>
      <c r="HY84" s="65"/>
      <c r="HZ84" s="65"/>
      <c r="IA84" s="65"/>
      <c r="IB84" s="65"/>
      <c r="IC84" s="65"/>
      <c r="ID84" s="65"/>
      <c r="IE84" s="65"/>
      <c r="IF84" s="65"/>
      <c r="IG84" s="65"/>
      <c r="IH84" s="65"/>
      <c r="II84" s="65"/>
      <c r="IJ84" s="65"/>
      <c r="IK84" s="65"/>
      <c r="IL84" s="65"/>
      <c r="IM84" s="65"/>
      <c r="IN84" s="65"/>
      <c r="IO84" s="65"/>
      <c r="IP84" s="65"/>
      <c r="IQ84" s="65"/>
      <c r="IR84" s="65"/>
      <c r="IS84" s="65"/>
      <c r="IT84" s="65"/>
      <c r="IU84" s="65"/>
      <c r="IV84" s="65"/>
      <c r="IW84" s="65"/>
      <c r="IX84" s="65"/>
      <c r="IY84" s="65"/>
      <c r="IZ84" s="65"/>
      <c r="JA84" s="65"/>
      <c r="JB84" s="65"/>
      <c r="JC84" s="65"/>
      <c r="JD84" s="65"/>
      <c r="JE84" s="65"/>
      <c r="JF84" s="65"/>
      <c r="JG84" s="65"/>
      <c r="JH84" s="65"/>
      <c r="JI84" s="65"/>
      <c r="JJ84" s="65"/>
      <c r="JK84" s="65"/>
      <c r="JL84" s="65"/>
      <c r="JM84" s="65"/>
      <c r="JN84" s="65"/>
      <c r="JO84" s="65"/>
      <c r="JP84" s="65"/>
      <c r="JQ84" s="65"/>
      <c r="JR84" s="65"/>
      <c r="JS84" s="65"/>
      <c r="JT84" s="65"/>
      <c r="JU84" s="65"/>
      <c r="JV84" s="65"/>
      <c r="JW84" s="65"/>
      <c r="JX84" s="65"/>
      <c r="JY84" s="65"/>
      <c r="JZ84" s="65"/>
      <c r="KA84" s="65"/>
      <c r="KB84" s="65"/>
      <c r="KC84" s="65"/>
      <c r="KD84" s="65"/>
      <c r="KE84" s="65"/>
      <c r="KF84" s="65"/>
      <c r="KG84" s="65"/>
      <c r="KH84" s="65"/>
      <c r="KI84" s="65"/>
      <c r="KJ84" s="65"/>
      <c r="KK84" s="65"/>
      <c r="KL84" s="65"/>
      <c r="KM84" s="65"/>
      <c r="KN84" s="65"/>
      <c r="KO84" s="65"/>
      <c r="KP84" s="65"/>
      <c r="KQ84" s="65"/>
      <c r="KR84" s="65"/>
      <c r="KS84" s="65"/>
      <c r="KT84" s="65"/>
      <c r="KU84" s="65"/>
      <c r="KV84" s="65"/>
      <c r="KW84" s="65"/>
      <c r="KX84" s="65"/>
      <c r="KY84" s="65"/>
      <c r="KZ84" s="65"/>
      <c r="LA84" s="65"/>
      <c r="LB84" s="65"/>
      <c r="LC84" s="65"/>
      <c r="LD84" s="65"/>
      <c r="LE84" s="65"/>
      <c r="LF84" s="65"/>
      <c r="LG84" s="65"/>
      <c r="LH84" s="65"/>
      <c r="LI84" s="65"/>
      <c r="LJ84" s="65"/>
      <c r="LK84" s="65"/>
      <c r="LL84" s="65"/>
      <c r="LM84" s="65"/>
      <c r="LN84" s="65"/>
      <c r="LO84" s="65"/>
      <c r="LP84" s="65"/>
      <c r="LQ84" s="65"/>
      <c r="LR84" s="65"/>
      <c r="LS84" s="65"/>
      <c r="LT84" s="65"/>
      <c r="LU84" s="65"/>
      <c r="LV84" s="65"/>
      <c r="LW84" s="65"/>
      <c r="LX84" s="65"/>
      <c r="LY84" s="65"/>
      <c r="LZ84" s="65"/>
      <c r="MA84" s="65"/>
      <c r="MB84" s="65"/>
      <c r="MC84" s="65"/>
      <c r="MD84" s="65"/>
      <c r="ME84" s="65"/>
      <c r="MF84" s="65"/>
      <c r="MG84" s="65"/>
      <c r="MH84" s="65"/>
      <c r="MI84" s="65"/>
      <c r="MJ84" s="65"/>
      <c r="MK84" s="65"/>
      <c r="ML84" s="65"/>
      <c r="MM84" s="65"/>
      <c r="MN84" s="65"/>
      <c r="MO84" s="65"/>
      <c r="MP84" s="65"/>
      <c r="MQ84" s="65"/>
      <c r="MR84" s="65"/>
      <c r="MS84" s="65"/>
      <c r="MT84" s="65"/>
      <c r="MU84" s="65"/>
      <c r="MV84" s="65"/>
      <c r="MW84" s="65"/>
      <c r="MX84" s="65"/>
      <c r="MY84" s="65"/>
      <c r="MZ84" s="65"/>
      <c r="NA84" s="65"/>
      <c r="NB84" s="65"/>
      <c r="NC84" s="65"/>
      <c r="ND84" s="65"/>
      <c r="NE84" s="65"/>
      <c r="NF84" s="65"/>
      <c r="NG84" s="65"/>
      <c r="NH84" s="65"/>
      <c r="NI84" s="65"/>
      <c r="NJ84" s="65"/>
      <c r="NK84" s="65"/>
      <c r="NL84" s="65"/>
      <c r="NM84" s="65"/>
      <c r="NN84" s="65"/>
      <c r="NO84" s="65"/>
      <c r="NP84" s="65"/>
      <c r="NQ84" s="65"/>
      <c r="NR84" s="65"/>
      <c r="NS84" s="65"/>
      <c r="NT84" s="65"/>
      <c r="NU84" s="65"/>
      <c r="NV84" s="65"/>
      <c r="NW84" s="65"/>
      <c r="NX84" s="65"/>
      <c r="NY84" s="65"/>
      <c r="NZ84" s="65"/>
      <c r="OA84" s="65"/>
      <c r="OB84" s="65"/>
      <c r="OC84" s="65"/>
      <c r="OD84" s="65"/>
      <c r="OE84" s="65"/>
      <c r="OF84" s="65"/>
      <c r="OG84" s="65"/>
      <c r="OH84" s="65"/>
      <c r="OI84" s="65"/>
      <c r="OJ84" s="65"/>
      <c r="OK84" s="65"/>
      <c r="OL84" s="65"/>
      <c r="OM84" s="65"/>
      <c r="ON84" s="65"/>
      <c r="OO84" s="65"/>
      <c r="OP84" s="65"/>
      <c r="OQ84" s="65"/>
      <c r="OR84" s="65"/>
      <c r="OS84" s="65"/>
      <c r="OT84" s="65"/>
      <c r="OU84" s="65"/>
      <c r="OV84" s="65"/>
      <c r="OW84" s="65"/>
      <c r="OX84" s="65"/>
      <c r="OY84" s="65"/>
      <c r="OZ84" s="65"/>
      <c r="PA84" s="65"/>
      <c r="PB84" s="65"/>
      <c r="PC84" s="65"/>
      <c r="PD84" s="65"/>
      <c r="PE84" s="65"/>
      <c r="PF84" s="65"/>
      <c r="PG84" s="65"/>
      <c r="PH84" s="65"/>
      <c r="PI84" s="65"/>
      <c r="PJ84" s="65"/>
      <c r="PK84" s="65"/>
      <c r="PL84" s="65"/>
      <c r="PM84" s="65"/>
      <c r="PN84" s="65"/>
      <c r="PO84" s="65"/>
      <c r="PP84" s="65"/>
      <c r="PQ84" s="65"/>
      <c r="PR84" s="65"/>
      <c r="PS84" s="65"/>
      <c r="PT84" s="65"/>
      <c r="PU84" s="65"/>
      <c r="PV84" s="65"/>
      <c r="PW84" s="65"/>
      <c r="PX84" s="65"/>
      <c r="PY84" s="65"/>
      <c r="PZ84" s="65"/>
      <c r="QA84" s="65"/>
      <c r="QB84" s="65"/>
      <c r="QC84" s="65"/>
      <c r="QD84" s="65"/>
      <c r="QE84" s="65"/>
      <c r="QF84" s="65"/>
      <c r="QG84" s="65"/>
      <c r="QH84" s="65"/>
      <c r="QI84" s="65"/>
      <c r="QJ84" s="65"/>
      <c r="QK84" s="65"/>
      <c r="QL84" s="65"/>
      <c r="QM84" s="65"/>
      <c r="QN84" s="65"/>
      <c r="QO84" s="65"/>
      <c r="QP84" s="65"/>
      <c r="QQ84" s="65"/>
      <c r="QR84" s="65"/>
      <c r="QS84" s="65"/>
      <c r="QT84" s="65"/>
      <c r="QU84" s="65"/>
      <c r="QV84" s="65"/>
      <c r="QW84" s="65"/>
      <c r="QX84" s="65"/>
      <c r="QY84" s="65"/>
      <c r="QZ84" s="65"/>
      <c r="RA84" s="65"/>
      <c r="RB84" s="65"/>
      <c r="RC84" s="65"/>
      <c r="RD84" s="65"/>
      <c r="RE84" s="65"/>
      <c r="RF84" s="65"/>
      <c r="RG84" s="65"/>
      <c r="RH84" s="65"/>
      <c r="RI84" s="65"/>
      <c r="RJ84" s="65"/>
      <c r="RK84" s="65"/>
      <c r="RL84" s="65"/>
      <c r="RM84" s="65"/>
      <c r="RN84" s="65"/>
      <c r="RO84" s="65"/>
      <c r="RP84" s="65"/>
      <c r="RQ84" s="65"/>
      <c r="RR84" s="65"/>
      <c r="RS84" s="65"/>
      <c r="RT84" s="65"/>
      <c r="RU84" s="65"/>
      <c r="RV84" s="65"/>
      <c r="RW84" s="65"/>
      <c r="RX84" s="65"/>
      <c r="RY84" s="65"/>
      <c r="RZ84" s="65"/>
      <c r="SA84" s="65"/>
      <c r="SB84" s="65"/>
      <c r="SC84" s="65"/>
      <c r="SD84" s="65"/>
      <c r="SE84" s="65"/>
      <c r="SF84" s="65"/>
      <c r="SG84" s="65"/>
      <c r="SH84" s="65"/>
      <c r="SI84" s="65"/>
      <c r="SJ84" s="65"/>
      <c r="SK84" s="65"/>
      <c r="SL84" s="65"/>
      <c r="SM84" s="65"/>
      <c r="SN84" s="65"/>
      <c r="SO84" s="65"/>
      <c r="SP84" s="65"/>
      <c r="SQ84" s="65"/>
      <c r="SR84" s="65"/>
      <c r="SS84" s="65"/>
      <c r="ST84" s="65"/>
      <c r="SU84" s="65"/>
      <c r="SV84" s="65"/>
      <c r="SW84" s="65"/>
      <c r="SX84" s="65"/>
      <c r="SY84" s="65"/>
      <c r="SZ84" s="65"/>
      <c r="TA84" s="65"/>
      <c r="TB84" s="65"/>
      <c r="TC84" s="65"/>
      <c r="TD84" s="65"/>
      <c r="TE84" s="65"/>
      <c r="TF84" s="65"/>
      <c r="TG84" s="65"/>
      <c r="TH84" s="65"/>
      <c r="TI84" s="65"/>
      <c r="TJ84" s="65"/>
      <c r="TK84" s="65"/>
      <c r="TL84" s="65"/>
      <c r="TM84" s="65"/>
      <c r="TN84" s="65"/>
      <c r="TO84" s="65"/>
      <c r="TP84" s="65"/>
      <c r="TQ84" s="65"/>
      <c r="TR84" s="65"/>
      <c r="TS84" s="65"/>
      <c r="TT84" s="65"/>
      <c r="TU84" s="65"/>
      <c r="TV84" s="65"/>
      <c r="TW84" s="65"/>
      <c r="TX84" s="65"/>
      <c r="TY84" s="65"/>
      <c r="TZ84" s="65"/>
      <c r="UA84" s="65"/>
      <c r="UB84" s="65"/>
      <c r="UC84" s="65"/>
      <c r="UD84" s="65"/>
      <c r="UE84" s="65"/>
      <c r="UF84" s="65"/>
      <c r="UG84" s="65"/>
      <c r="UH84" s="65"/>
      <c r="UI84" s="65"/>
      <c r="UJ84" s="65"/>
      <c r="UK84" s="65"/>
      <c r="UL84" s="65"/>
      <c r="UM84" s="65"/>
      <c r="UN84" s="65"/>
      <c r="UO84" s="65"/>
      <c r="UP84" s="65"/>
      <c r="UQ84" s="65"/>
      <c r="UR84" s="65"/>
      <c r="US84" s="65"/>
      <c r="UT84" s="65"/>
      <c r="UU84" s="65"/>
      <c r="UV84" s="65"/>
      <c r="UW84" s="65"/>
      <c r="UX84" s="65"/>
      <c r="UY84" s="65"/>
      <c r="UZ84" s="65"/>
      <c r="VA84" s="65"/>
      <c r="VB84" s="65"/>
      <c r="VC84" s="65"/>
      <c r="VD84" s="65"/>
      <c r="VE84" s="65"/>
      <c r="VF84" s="65"/>
      <c r="VG84" s="65"/>
      <c r="VH84" s="65"/>
      <c r="VI84" s="65"/>
      <c r="VJ84" s="65"/>
      <c r="VK84" s="65"/>
      <c r="VL84" s="65"/>
      <c r="VM84" s="65"/>
      <c r="VN84" s="65"/>
      <c r="VO84" s="65"/>
      <c r="VP84" s="65"/>
      <c r="VQ84" s="65"/>
      <c r="VR84" s="65"/>
      <c r="VS84" s="65"/>
      <c r="VT84" s="65"/>
      <c r="VU84" s="65"/>
      <c r="VV84" s="65"/>
      <c r="VW84" s="65"/>
      <c r="VX84" s="65"/>
      <c r="VY84" s="65"/>
      <c r="VZ84" s="65"/>
      <c r="WA84" s="65"/>
      <c r="WB84" s="65"/>
      <c r="WC84" s="65"/>
      <c r="WD84" s="65"/>
      <c r="WE84" s="65"/>
      <c r="WF84" s="65"/>
      <c r="WG84" s="65"/>
      <c r="WH84" s="65"/>
      <c r="WI84" s="65"/>
      <c r="WJ84" s="65"/>
      <c r="WK84" s="65"/>
      <c r="WL84" s="65"/>
      <c r="WM84" s="65"/>
      <c r="WN84" s="65"/>
      <c r="WO84" s="65"/>
      <c r="WP84" s="65"/>
      <c r="WQ84" s="65"/>
      <c r="WR84" s="65"/>
      <c r="WS84" s="65"/>
      <c r="WT84" s="65"/>
      <c r="WU84" s="65"/>
      <c r="WV84" s="65"/>
      <c r="WW84" s="65"/>
      <c r="WX84" s="65"/>
      <c r="WY84" s="65"/>
      <c r="WZ84" s="65"/>
      <c r="XA84" s="65"/>
      <c r="XB84" s="65"/>
      <c r="XC84" s="65"/>
      <c r="XD84" s="65"/>
      <c r="XE84" s="65"/>
      <c r="XF84" s="65"/>
      <c r="XG84" s="65"/>
      <c r="XH84" s="65"/>
      <c r="XI84" s="65"/>
      <c r="XJ84" s="65"/>
      <c r="XK84" s="65"/>
      <c r="XL84" s="65"/>
      <c r="XM84" s="65"/>
      <c r="XN84" s="65"/>
      <c r="XO84" s="65"/>
      <c r="XP84" s="65"/>
      <c r="XQ84" s="65"/>
      <c r="XR84" s="65"/>
      <c r="XS84" s="65"/>
      <c r="XT84" s="65"/>
      <c r="XU84" s="65"/>
      <c r="XV84" s="65"/>
      <c r="XW84" s="65"/>
      <c r="XX84" s="65"/>
      <c r="XY84" s="65"/>
      <c r="XZ84" s="65"/>
      <c r="YA84" s="65"/>
      <c r="YB84" s="65"/>
      <c r="YC84" s="65"/>
      <c r="YD84" s="65"/>
      <c r="YE84" s="65"/>
      <c r="YF84" s="65"/>
      <c r="YG84" s="65"/>
      <c r="YH84" s="65"/>
      <c r="YI84" s="65"/>
      <c r="YJ84" s="65"/>
      <c r="YK84" s="65"/>
      <c r="YL84" s="65"/>
      <c r="YM84" s="65"/>
      <c r="YN84" s="65"/>
      <c r="YO84" s="65"/>
      <c r="YP84" s="65"/>
      <c r="YQ84" s="65"/>
      <c r="YR84" s="65"/>
      <c r="YS84" s="65"/>
      <c r="YT84" s="65"/>
      <c r="YU84" s="65"/>
      <c r="YV84" s="65"/>
      <c r="YW84" s="65"/>
      <c r="YX84" s="65"/>
      <c r="YY84" s="65"/>
      <c r="YZ84" s="65"/>
      <c r="ZA84" s="65"/>
      <c r="ZB84" s="65"/>
      <c r="ZC84" s="65"/>
      <c r="ZD84" s="65"/>
      <c r="ZE84" s="65"/>
      <c r="ZF84" s="65"/>
      <c r="ZG84" s="65"/>
      <c r="ZH84" s="65"/>
      <c r="ZI84" s="65"/>
      <c r="ZJ84" s="65"/>
      <c r="ZK84" s="65"/>
      <c r="ZL84" s="65"/>
      <c r="ZM84" s="65"/>
      <c r="ZN84" s="65"/>
      <c r="ZO84" s="65"/>
      <c r="ZP84" s="65"/>
      <c r="ZQ84" s="65"/>
      <c r="ZR84" s="65"/>
      <c r="ZS84" s="65"/>
      <c r="ZT84" s="65"/>
      <c r="ZU84" s="65"/>
      <c r="ZV84" s="65"/>
      <c r="ZW84" s="65"/>
      <c r="ZX84" s="65"/>
      <c r="ZY84" s="65"/>
      <c r="ZZ84" s="65"/>
      <c r="AAA84" s="65"/>
      <c r="AAB84" s="65"/>
      <c r="AAC84" s="65"/>
      <c r="AAD84" s="65"/>
      <c r="AAE84" s="65"/>
      <c r="AAF84" s="65"/>
      <c r="AAG84" s="65"/>
      <c r="AAH84" s="65"/>
      <c r="AAI84" s="65"/>
      <c r="AAJ84" s="65"/>
      <c r="AAK84" s="65"/>
      <c r="AAL84" s="65"/>
      <c r="AAM84" s="65"/>
      <c r="AAN84" s="65"/>
      <c r="AAO84" s="65"/>
      <c r="AAP84" s="65"/>
      <c r="AAQ84" s="65"/>
      <c r="AAR84" s="65"/>
      <c r="AAS84" s="65"/>
      <c r="AAT84" s="65"/>
      <c r="AAU84" s="65"/>
      <c r="AAV84" s="65"/>
      <c r="AAW84" s="65"/>
      <c r="AAX84" s="65"/>
      <c r="AAY84" s="65"/>
      <c r="AAZ84" s="65"/>
      <c r="ABA84" s="65"/>
      <c r="ABB84" s="65"/>
      <c r="ABC84" s="65"/>
      <c r="ABD84" s="65"/>
      <c r="ABE84" s="65"/>
      <c r="ABF84" s="65"/>
      <c r="ABG84" s="65"/>
      <c r="ABH84" s="65"/>
      <c r="ABI84" s="65"/>
      <c r="ABJ84" s="65"/>
      <c r="ABK84" s="65"/>
      <c r="ABL84" s="65"/>
      <c r="ABM84" s="65"/>
      <c r="ABN84" s="65"/>
    </row>
    <row r="85" spans="1:742" s="155" customFormat="1" ht="45" x14ac:dyDescent="0.25">
      <c r="A85" s="110">
        <v>2025</v>
      </c>
      <c r="B85" s="230">
        <v>4</v>
      </c>
      <c r="C85" s="152">
        <v>22592</v>
      </c>
      <c r="D85" s="277">
        <v>45769</v>
      </c>
      <c r="E85" s="111" t="s">
        <v>997</v>
      </c>
      <c r="F85" s="111" t="s">
        <v>997</v>
      </c>
      <c r="G85" s="110" t="s">
        <v>998</v>
      </c>
      <c r="H85" s="110">
        <v>3004723342</v>
      </c>
      <c r="I85" s="110">
        <v>3004723342</v>
      </c>
      <c r="J85" s="108">
        <v>45750</v>
      </c>
      <c r="K85" s="110" t="s">
        <v>84</v>
      </c>
      <c r="L85" s="112" t="s">
        <v>999</v>
      </c>
      <c r="M85" s="110" t="s">
        <v>136</v>
      </c>
      <c r="N85" s="110">
        <v>5892</v>
      </c>
      <c r="O85" s="110">
        <v>6135</v>
      </c>
      <c r="P85" s="110" t="s">
        <v>136</v>
      </c>
      <c r="Q85" s="110" t="s">
        <v>136</v>
      </c>
      <c r="R85" s="110" t="s">
        <v>136</v>
      </c>
      <c r="S85" s="110" t="s">
        <v>134</v>
      </c>
      <c r="T85" s="110" t="s">
        <v>134</v>
      </c>
      <c r="U85" s="110" t="s">
        <v>136</v>
      </c>
      <c r="V85" s="111" t="s">
        <v>119</v>
      </c>
      <c r="W85" s="108">
        <v>45779</v>
      </c>
      <c r="X85" s="108">
        <v>45787</v>
      </c>
      <c r="Y85" s="110"/>
      <c r="Z85" s="126" t="s">
        <v>85</v>
      </c>
      <c r="AA85" s="124">
        <v>0</v>
      </c>
      <c r="AB85" s="110">
        <v>5807</v>
      </c>
      <c r="AC85" s="114">
        <v>487395</v>
      </c>
      <c r="AD85" s="212">
        <f t="shared" si="6"/>
        <v>580000.04999999993</v>
      </c>
      <c r="AE85" s="114">
        <v>290000</v>
      </c>
      <c r="AF85" s="110"/>
      <c r="AG85" s="142" t="s">
        <v>1586</v>
      </c>
      <c r="AH85" s="248">
        <v>45749</v>
      </c>
      <c r="AI85" s="108">
        <v>45787</v>
      </c>
      <c r="AJ85" s="110" t="s">
        <v>571</v>
      </c>
      <c r="AK85" s="110"/>
      <c r="AL85" s="65"/>
      <c r="AM85" s="65"/>
      <c r="AN85" s="65"/>
      <c r="AO85" s="65"/>
      <c r="AP85" s="65"/>
      <c r="AQ85" s="65"/>
      <c r="AR85" s="65"/>
      <c r="AS85" s="65"/>
      <c r="AT85" s="65"/>
      <c r="AU85" s="65"/>
      <c r="AV85" s="65"/>
      <c r="AW85" s="65"/>
      <c r="AX85" s="65"/>
      <c r="AY85" s="65"/>
      <c r="AZ85" s="65"/>
      <c r="BA85" s="65"/>
      <c r="BB85" s="65"/>
      <c r="BC85" s="65"/>
      <c r="BD85" s="65"/>
      <c r="BE85" s="65"/>
      <c r="BF85" s="65"/>
      <c r="BG85" s="65"/>
      <c r="BH85" s="65"/>
      <c r="BI85" s="65"/>
      <c r="BJ85" s="65"/>
      <c r="BK85" s="65"/>
      <c r="BL85" s="65"/>
      <c r="BM85" s="65"/>
      <c r="BN85" s="65"/>
      <c r="BO85" s="65"/>
      <c r="BP85" s="65"/>
      <c r="BQ85" s="65"/>
      <c r="BR85" s="65"/>
      <c r="BS85" s="65"/>
      <c r="BT85" s="65"/>
      <c r="BU85" s="65"/>
      <c r="BV85" s="65"/>
      <c r="BW85" s="65"/>
      <c r="BX85" s="65"/>
      <c r="BY85" s="65"/>
      <c r="BZ85" s="65"/>
      <c r="CA85" s="65"/>
      <c r="CB85" s="65"/>
      <c r="CC85" s="65"/>
      <c r="CD85" s="65"/>
      <c r="CE85" s="65"/>
      <c r="CF85" s="65"/>
      <c r="CG85" s="65"/>
      <c r="CH85" s="65"/>
      <c r="CI85" s="65"/>
      <c r="CJ85" s="65"/>
      <c r="CK85" s="65"/>
      <c r="CL85" s="65"/>
      <c r="CM85" s="65"/>
      <c r="CN85" s="65"/>
      <c r="CO85" s="65"/>
      <c r="CP85" s="65"/>
      <c r="CQ85" s="65"/>
      <c r="CR85" s="65"/>
      <c r="CS85" s="65"/>
      <c r="CT85" s="65"/>
      <c r="CU85" s="65"/>
      <c r="CV85" s="65"/>
      <c r="CW85" s="65"/>
      <c r="CX85" s="65"/>
      <c r="CY85" s="65"/>
      <c r="CZ85" s="65"/>
      <c r="DA85" s="65"/>
      <c r="DB85" s="65"/>
      <c r="DC85" s="65"/>
      <c r="DD85" s="65"/>
      <c r="DE85" s="65"/>
      <c r="DF85" s="65"/>
      <c r="DG85" s="65"/>
      <c r="DH85" s="65"/>
      <c r="DI85" s="65"/>
      <c r="DJ85" s="65"/>
      <c r="DK85" s="65"/>
      <c r="DL85" s="65"/>
      <c r="DM85" s="65"/>
      <c r="DN85" s="65"/>
      <c r="DO85" s="65"/>
      <c r="DP85" s="65"/>
      <c r="DQ85" s="65"/>
      <c r="DR85" s="65"/>
      <c r="DS85" s="65"/>
      <c r="DT85" s="65"/>
      <c r="DU85" s="65"/>
      <c r="DV85" s="65"/>
      <c r="DW85" s="65"/>
      <c r="DX85" s="65"/>
      <c r="DY85" s="65"/>
      <c r="DZ85" s="65"/>
      <c r="EA85" s="65"/>
      <c r="EB85" s="65"/>
      <c r="EC85" s="65"/>
      <c r="ED85" s="65"/>
      <c r="EE85" s="65"/>
      <c r="EF85" s="65"/>
      <c r="EG85" s="65"/>
      <c r="EH85" s="65"/>
      <c r="EI85" s="65"/>
      <c r="EJ85" s="65"/>
      <c r="EK85" s="65"/>
      <c r="EL85" s="65"/>
      <c r="EM85" s="65"/>
      <c r="EN85" s="65"/>
      <c r="EO85" s="65"/>
      <c r="EP85" s="65"/>
      <c r="EQ85" s="65"/>
      <c r="ER85" s="65"/>
      <c r="ES85" s="65"/>
      <c r="ET85" s="65"/>
      <c r="EU85" s="65"/>
      <c r="EV85" s="65"/>
      <c r="EW85" s="65"/>
      <c r="EX85" s="65"/>
      <c r="EY85" s="65"/>
      <c r="EZ85" s="65"/>
      <c r="FA85" s="65"/>
      <c r="FB85" s="65"/>
      <c r="FC85" s="65"/>
      <c r="FD85" s="65"/>
      <c r="FE85" s="65"/>
      <c r="FF85" s="65"/>
      <c r="FG85" s="65"/>
      <c r="FH85" s="65"/>
      <c r="FI85" s="65"/>
      <c r="FJ85" s="65"/>
      <c r="FK85" s="65"/>
      <c r="FL85" s="65"/>
      <c r="FM85" s="65"/>
      <c r="FN85" s="65"/>
      <c r="FO85" s="65"/>
      <c r="FP85" s="65"/>
      <c r="FQ85" s="65"/>
      <c r="FR85" s="65"/>
      <c r="FS85" s="65"/>
      <c r="FT85" s="65"/>
      <c r="FU85" s="65"/>
      <c r="FV85" s="65"/>
      <c r="FW85" s="65"/>
      <c r="FX85" s="65"/>
      <c r="FY85" s="65"/>
      <c r="FZ85" s="65"/>
      <c r="GA85" s="65"/>
      <c r="GB85" s="65"/>
      <c r="GC85" s="65"/>
      <c r="GD85" s="65"/>
      <c r="GE85" s="65"/>
      <c r="GF85" s="65"/>
      <c r="GG85" s="65"/>
      <c r="GH85" s="65"/>
      <c r="GI85" s="65"/>
      <c r="GJ85" s="65"/>
      <c r="GK85" s="65"/>
      <c r="GL85" s="65"/>
      <c r="GM85" s="65"/>
      <c r="GN85" s="65"/>
      <c r="GO85" s="65"/>
      <c r="GP85" s="65"/>
      <c r="GQ85" s="65"/>
      <c r="GR85" s="65"/>
      <c r="GS85" s="65"/>
      <c r="GT85" s="65"/>
      <c r="GU85" s="65"/>
      <c r="GV85" s="65"/>
      <c r="GW85" s="65"/>
      <c r="GX85" s="65"/>
      <c r="GY85" s="65"/>
      <c r="GZ85" s="65"/>
      <c r="HA85" s="65"/>
      <c r="HB85" s="65"/>
      <c r="HC85" s="65"/>
      <c r="HD85" s="65"/>
      <c r="HE85" s="65"/>
      <c r="HF85" s="65"/>
      <c r="HG85" s="65"/>
      <c r="HH85" s="65"/>
      <c r="HI85" s="65"/>
      <c r="HJ85" s="65"/>
      <c r="HK85" s="65"/>
      <c r="HL85" s="65"/>
      <c r="HM85" s="65"/>
      <c r="HN85" s="65"/>
      <c r="HO85" s="65"/>
      <c r="HP85" s="65"/>
      <c r="HQ85" s="65"/>
      <c r="HR85" s="65"/>
      <c r="HS85" s="65"/>
      <c r="HT85" s="65"/>
      <c r="HU85" s="65"/>
      <c r="HV85" s="65"/>
      <c r="HW85" s="65"/>
      <c r="HX85" s="65"/>
      <c r="HY85" s="65"/>
      <c r="HZ85" s="65"/>
      <c r="IA85" s="65"/>
      <c r="IB85" s="65"/>
      <c r="IC85" s="65"/>
      <c r="ID85" s="65"/>
      <c r="IE85" s="65"/>
      <c r="IF85" s="65"/>
      <c r="IG85" s="65"/>
      <c r="IH85" s="65"/>
      <c r="II85" s="65"/>
      <c r="IJ85" s="65"/>
      <c r="IK85" s="65"/>
      <c r="IL85" s="65"/>
      <c r="IM85" s="65"/>
      <c r="IN85" s="65"/>
      <c r="IO85" s="65"/>
      <c r="IP85" s="65"/>
      <c r="IQ85" s="65"/>
      <c r="IR85" s="65"/>
      <c r="IS85" s="65"/>
      <c r="IT85" s="65"/>
      <c r="IU85" s="65"/>
      <c r="IV85" s="65"/>
      <c r="IW85" s="65"/>
      <c r="IX85" s="65"/>
      <c r="IY85" s="65"/>
      <c r="IZ85" s="65"/>
      <c r="JA85" s="65"/>
      <c r="JB85" s="65"/>
      <c r="JC85" s="65"/>
      <c r="JD85" s="65"/>
      <c r="JE85" s="65"/>
      <c r="JF85" s="65"/>
      <c r="JG85" s="65"/>
      <c r="JH85" s="65"/>
      <c r="JI85" s="65"/>
      <c r="JJ85" s="65"/>
      <c r="JK85" s="65"/>
      <c r="JL85" s="65"/>
      <c r="JM85" s="65"/>
      <c r="JN85" s="65"/>
      <c r="JO85" s="65"/>
      <c r="JP85" s="65"/>
      <c r="JQ85" s="65"/>
      <c r="JR85" s="65"/>
      <c r="JS85" s="65"/>
      <c r="JT85" s="65"/>
      <c r="JU85" s="65"/>
      <c r="JV85" s="65"/>
      <c r="JW85" s="65"/>
      <c r="JX85" s="65"/>
      <c r="JY85" s="65"/>
      <c r="JZ85" s="65"/>
      <c r="KA85" s="65"/>
      <c r="KB85" s="65"/>
      <c r="KC85" s="65"/>
      <c r="KD85" s="65"/>
      <c r="KE85" s="65"/>
      <c r="KF85" s="65"/>
      <c r="KG85" s="65"/>
      <c r="KH85" s="65"/>
      <c r="KI85" s="65"/>
      <c r="KJ85" s="65"/>
      <c r="KK85" s="65"/>
      <c r="KL85" s="65"/>
      <c r="KM85" s="65"/>
      <c r="KN85" s="65"/>
      <c r="KO85" s="65"/>
      <c r="KP85" s="65"/>
      <c r="KQ85" s="65"/>
      <c r="KR85" s="65"/>
      <c r="KS85" s="65"/>
      <c r="KT85" s="65"/>
      <c r="KU85" s="65"/>
      <c r="KV85" s="65"/>
      <c r="KW85" s="65"/>
      <c r="KX85" s="65"/>
      <c r="KY85" s="65"/>
      <c r="KZ85" s="65"/>
      <c r="LA85" s="65"/>
      <c r="LB85" s="65"/>
      <c r="LC85" s="65"/>
      <c r="LD85" s="65"/>
      <c r="LE85" s="65"/>
      <c r="LF85" s="65"/>
      <c r="LG85" s="65"/>
      <c r="LH85" s="65"/>
      <c r="LI85" s="65"/>
      <c r="LJ85" s="65"/>
      <c r="LK85" s="65"/>
      <c r="LL85" s="65"/>
      <c r="LM85" s="65"/>
      <c r="LN85" s="65"/>
      <c r="LO85" s="65"/>
      <c r="LP85" s="65"/>
      <c r="LQ85" s="65"/>
      <c r="LR85" s="65"/>
      <c r="LS85" s="65"/>
      <c r="LT85" s="65"/>
      <c r="LU85" s="65"/>
      <c r="LV85" s="65"/>
      <c r="LW85" s="65"/>
      <c r="LX85" s="65"/>
      <c r="LY85" s="65"/>
      <c r="LZ85" s="65"/>
      <c r="MA85" s="65"/>
      <c r="MB85" s="65"/>
      <c r="MC85" s="65"/>
      <c r="MD85" s="65"/>
      <c r="ME85" s="65"/>
      <c r="MF85" s="65"/>
      <c r="MG85" s="65"/>
      <c r="MH85" s="65"/>
      <c r="MI85" s="65"/>
      <c r="MJ85" s="65"/>
      <c r="MK85" s="65"/>
      <c r="ML85" s="65"/>
      <c r="MM85" s="65"/>
      <c r="MN85" s="65"/>
      <c r="MO85" s="65"/>
      <c r="MP85" s="65"/>
      <c r="MQ85" s="65"/>
      <c r="MR85" s="65"/>
      <c r="MS85" s="65"/>
      <c r="MT85" s="65"/>
      <c r="MU85" s="65"/>
      <c r="MV85" s="65"/>
      <c r="MW85" s="65"/>
      <c r="MX85" s="65"/>
      <c r="MY85" s="65"/>
      <c r="MZ85" s="65"/>
      <c r="NA85" s="65"/>
      <c r="NB85" s="65"/>
      <c r="NC85" s="65"/>
      <c r="ND85" s="65"/>
      <c r="NE85" s="65"/>
      <c r="NF85" s="65"/>
      <c r="NG85" s="65"/>
      <c r="NH85" s="65"/>
      <c r="NI85" s="65"/>
      <c r="NJ85" s="65"/>
      <c r="NK85" s="65"/>
      <c r="NL85" s="65"/>
      <c r="NM85" s="65"/>
      <c r="NN85" s="65"/>
      <c r="NO85" s="65"/>
      <c r="NP85" s="65"/>
      <c r="NQ85" s="65"/>
      <c r="NR85" s="65"/>
      <c r="NS85" s="65"/>
      <c r="NT85" s="65"/>
      <c r="NU85" s="65"/>
      <c r="NV85" s="65"/>
      <c r="NW85" s="65"/>
      <c r="NX85" s="65"/>
      <c r="NY85" s="65"/>
      <c r="NZ85" s="65"/>
      <c r="OA85" s="65"/>
      <c r="OB85" s="65"/>
      <c r="OC85" s="65"/>
      <c r="OD85" s="65"/>
      <c r="OE85" s="65"/>
      <c r="OF85" s="65"/>
      <c r="OG85" s="65"/>
      <c r="OH85" s="65"/>
      <c r="OI85" s="65"/>
      <c r="OJ85" s="65"/>
      <c r="OK85" s="65"/>
      <c r="OL85" s="65"/>
      <c r="OM85" s="65"/>
      <c r="ON85" s="65"/>
      <c r="OO85" s="65"/>
      <c r="OP85" s="65"/>
      <c r="OQ85" s="65"/>
      <c r="OR85" s="65"/>
      <c r="OS85" s="65"/>
      <c r="OT85" s="65"/>
      <c r="OU85" s="65"/>
      <c r="OV85" s="65"/>
      <c r="OW85" s="65"/>
      <c r="OX85" s="65"/>
      <c r="OY85" s="65"/>
      <c r="OZ85" s="65"/>
      <c r="PA85" s="65"/>
      <c r="PB85" s="65"/>
      <c r="PC85" s="65"/>
      <c r="PD85" s="65"/>
      <c r="PE85" s="65"/>
      <c r="PF85" s="65"/>
      <c r="PG85" s="65"/>
      <c r="PH85" s="65"/>
      <c r="PI85" s="65"/>
      <c r="PJ85" s="65"/>
      <c r="PK85" s="65"/>
      <c r="PL85" s="65"/>
      <c r="PM85" s="65"/>
      <c r="PN85" s="65"/>
      <c r="PO85" s="65"/>
      <c r="PP85" s="65"/>
      <c r="PQ85" s="65"/>
      <c r="PR85" s="65"/>
      <c r="PS85" s="65"/>
      <c r="PT85" s="65"/>
      <c r="PU85" s="65"/>
      <c r="PV85" s="65"/>
      <c r="PW85" s="65"/>
      <c r="PX85" s="65"/>
      <c r="PY85" s="65"/>
      <c r="PZ85" s="65"/>
      <c r="QA85" s="65"/>
      <c r="QB85" s="65"/>
      <c r="QC85" s="65"/>
      <c r="QD85" s="65"/>
      <c r="QE85" s="65"/>
      <c r="QF85" s="65"/>
      <c r="QG85" s="65"/>
      <c r="QH85" s="65"/>
      <c r="QI85" s="65"/>
      <c r="QJ85" s="65"/>
      <c r="QK85" s="65"/>
      <c r="QL85" s="65"/>
      <c r="QM85" s="65"/>
      <c r="QN85" s="65"/>
      <c r="QO85" s="65"/>
      <c r="QP85" s="65"/>
      <c r="QQ85" s="65"/>
      <c r="QR85" s="65"/>
      <c r="QS85" s="65"/>
      <c r="QT85" s="65"/>
      <c r="QU85" s="65"/>
      <c r="QV85" s="65"/>
      <c r="QW85" s="65"/>
      <c r="QX85" s="65"/>
      <c r="QY85" s="65"/>
      <c r="QZ85" s="65"/>
      <c r="RA85" s="65"/>
      <c r="RB85" s="65"/>
      <c r="RC85" s="65"/>
      <c r="RD85" s="65"/>
      <c r="RE85" s="65"/>
      <c r="RF85" s="65"/>
      <c r="RG85" s="65"/>
      <c r="RH85" s="65"/>
      <c r="RI85" s="65"/>
      <c r="RJ85" s="65"/>
      <c r="RK85" s="65"/>
      <c r="RL85" s="65"/>
      <c r="RM85" s="65"/>
      <c r="RN85" s="65"/>
      <c r="RO85" s="65"/>
      <c r="RP85" s="65"/>
      <c r="RQ85" s="65"/>
      <c r="RR85" s="65"/>
      <c r="RS85" s="65"/>
      <c r="RT85" s="65"/>
      <c r="RU85" s="65"/>
      <c r="RV85" s="65"/>
      <c r="RW85" s="65"/>
      <c r="RX85" s="65"/>
      <c r="RY85" s="65"/>
      <c r="RZ85" s="65"/>
      <c r="SA85" s="65"/>
      <c r="SB85" s="65"/>
      <c r="SC85" s="65"/>
      <c r="SD85" s="65"/>
      <c r="SE85" s="65"/>
      <c r="SF85" s="65"/>
      <c r="SG85" s="65"/>
      <c r="SH85" s="65"/>
      <c r="SI85" s="65"/>
      <c r="SJ85" s="65"/>
      <c r="SK85" s="65"/>
      <c r="SL85" s="65"/>
      <c r="SM85" s="65"/>
      <c r="SN85" s="65"/>
      <c r="SO85" s="65"/>
      <c r="SP85" s="65"/>
      <c r="SQ85" s="65"/>
      <c r="SR85" s="65"/>
      <c r="SS85" s="65"/>
      <c r="ST85" s="65"/>
      <c r="SU85" s="65"/>
      <c r="SV85" s="65"/>
      <c r="SW85" s="65"/>
      <c r="SX85" s="65"/>
      <c r="SY85" s="65"/>
      <c r="SZ85" s="65"/>
      <c r="TA85" s="65"/>
      <c r="TB85" s="65"/>
      <c r="TC85" s="65"/>
      <c r="TD85" s="65"/>
      <c r="TE85" s="65"/>
      <c r="TF85" s="65"/>
      <c r="TG85" s="65"/>
      <c r="TH85" s="65"/>
      <c r="TI85" s="65"/>
      <c r="TJ85" s="65"/>
      <c r="TK85" s="65"/>
      <c r="TL85" s="65"/>
      <c r="TM85" s="65"/>
      <c r="TN85" s="65"/>
      <c r="TO85" s="65"/>
      <c r="TP85" s="65"/>
      <c r="TQ85" s="65"/>
      <c r="TR85" s="65"/>
      <c r="TS85" s="65"/>
      <c r="TT85" s="65"/>
      <c r="TU85" s="65"/>
      <c r="TV85" s="65"/>
      <c r="TW85" s="65"/>
      <c r="TX85" s="65"/>
      <c r="TY85" s="65"/>
      <c r="TZ85" s="65"/>
      <c r="UA85" s="65"/>
      <c r="UB85" s="65"/>
      <c r="UC85" s="65"/>
      <c r="UD85" s="65"/>
      <c r="UE85" s="65"/>
      <c r="UF85" s="65"/>
      <c r="UG85" s="65"/>
      <c r="UH85" s="65"/>
      <c r="UI85" s="65"/>
      <c r="UJ85" s="65"/>
      <c r="UK85" s="65"/>
      <c r="UL85" s="65"/>
      <c r="UM85" s="65"/>
      <c r="UN85" s="65"/>
      <c r="UO85" s="65"/>
      <c r="UP85" s="65"/>
      <c r="UQ85" s="65"/>
      <c r="UR85" s="65"/>
      <c r="US85" s="65"/>
      <c r="UT85" s="65"/>
      <c r="UU85" s="65"/>
      <c r="UV85" s="65"/>
      <c r="UW85" s="65"/>
      <c r="UX85" s="65"/>
      <c r="UY85" s="65"/>
      <c r="UZ85" s="65"/>
      <c r="VA85" s="65"/>
      <c r="VB85" s="65"/>
      <c r="VC85" s="65"/>
      <c r="VD85" s="65"/>
      <c r="VE85" s="65"/>
      <c r="VF85" s="65"/>
      <c r="VG85" s="65"/>
      <c r="VH85" s="65"/>
      <c r="VI85" s="65"/>
      <c r="VJ85" s="65"/>
      <c r="VK85" s="65"/>
      <c r="VL85" s="65"/>
      <c r="VM85" s="65"/>
      <c r="VN85" s="65"/>
      <c r="VO85" s="65"/>
      <c r="VP85" s="65"/>
      <c r="VQ85" s="65"/>
      <c r="VR85" s="65"/>
      <c r="VS85" s="65"/>
      <c r="VT85" s="65"/>
      <c r="VU85" s="65"/>
      <c r="VV85" s="65"/>
      <c r="VW85" s="65"/>
      <c r="VX85" s="65"/>
      <c r="VY85" s="65"/>
      <c r="VZ85" s="65"/>
      <c r="WA85" s="65"/>
      <c r="WB85" s="65"/>
      <c r="WC85" s="65"/>
      <c r="WD85" s="65"/>
      <c r="WE85" s="65"/>
      <c r="WF85" s="65"/>
      <c r="WG85" s="65"/>
      <c r="WH85" s="65"/>
      <c r="WI85" s="65"/>
      <c r="WJ85" s="65"/>
      <c r="WK85" s="65"/>
      <c r="WL85" s="65"/>
      <c r="WM85" s="65"/>
      <c r="WN85" s="65"/>
      <c r="WO85" s="65"/>
      <c r="WP85" s="65"/>
      <c r="WQ85" s="65"/>
      <c r="WR85" s="65"/>
      <c r="WS85" s="65"/>
      <c r="WT85" s="65"/>
      <c r="WU85" s="65"/>
      <c r="WV85" s="65"/>
      <c r="WW85" s="65"/>
      <c r="WX85" s="65"/>
      <c r="WY85" s="65"/>
      <c r="WZ85" s="65"/>
      <c r="XA85" s="65"/>
      <c r="XB85" s="65"/>
      <c r="XC85" s="65"/>
      <c r="XD85" s="65"/>
      <c r="XE85" s="65"/>
      <c r="XF85" s="65"/>
      <c r="XG85" s="65"/>
      <c r="XH85" s="65"/>
      <c r="XI85" s="65"/>
      <c r="XJ85" s="65"/>
      <c r="XK85" s="65"/>
      <c r="XL85" s="65"/>
      <c r="XM85" s="65"/>
      <c r="XN85" s="65"/>
      <c r="XO85" s="65"/>
      <c r="XP85" s="65"/>
      <c r="XQ85" s="65"/>
      <c r="XR85" s="65"/>
      <c r="XS85" s="65"/>
      <c r="XT85" s="65"/>
      <c r="XU85" s="65"/>
      <c r="XV85" s="65"/>
      <c r="XW85" s="65"/>
      <c r="XX85" s="65"/>
      <c r="XY85" s="65"/>
      <c r="XZ85" s="65"/>
      <c r="YA85" s="65"/>
      <c r="YB85" s="65"/>
      <c r="YC85" s="65"/>
      <c r="YD85" s="65"/>
      <c r="YE85" s="65"/>
      <c r="YF85" s="65"/>
      <c r="YG85" s="65"/>
      <c r="YH85" s="65"/>
      <c r="YI85" s="65"/>
      <c r="YJ85" s="65"/>
      <c r="YK85" s="65"/>
      <c r="YL85" s="65"/>
      <c r="YM85" s="65"/>
      <c r="YN85" s="65"/>
      <c r="YO85" s="65"/>
      <c r="YP85" s="65"/>
      <c r="YQ85" s="65"/>
      <c r="YR85" s="65"/>
      <c r="YS85" s="65"/>
      <c r="YT85" s="65"/>
      <c r="YU85" s="65"/>
      <c r="YV85" s="65"/>
      <c r="YW85" s="65"/>
      <c r="YX85" s="65"/>
      <c r="YY85" s="65"/>
      <c r="YZ85" s="65"/>
      <c r="ZA85" s="65"/>
      <c r="ZB85" s="65"/>
      <c r="ZC85" s="65"/>
      <c r="ZD85" s="65"/>
      <c r="ZE85" s="65"/>
      <c r="ZF85" s="65"/>
      <c r="ZG85" s="65"/>
      <c r="ZH85" s="65"/>
      <c r="ZI85" s="65"/>
      <c r="ZJ85" s="65"/>
      <c r="ZK85" s="65"/>
      <c r="ZL85" s="65"/>
      <c r="ZM85" s="65"/>
      <c r="ZN85" s="65"/>
      <c r="ZO85" s="65"/>
      <c r="ZP85" s="65"/>
      <c r="ZQ85" s="65"/>
      <c r="ZR85" s="65"/>
      <c r="ZS85" s="65"/>
      <c r="ZT85" s="65"/>
      <c r="ZU85" s="65"/>
      <c r="ZV85" s="65"/>
      <c r="ZW85" s="65"/>
      <c r="ZX85" s="65"/>
      <c r="ZY85" s="65"/>
      <c r="ZZ85" s="65"/>
      <c r="AAA85" s="65"/>
      <c r="AAB85" s="65"/>
      <c r="AAC85" s="65"/>
      <c r="AAD85" s="65"/>
      <c r="AAE85" s="65"/>
      <c r="AAF85" s="65"/>
      <c r="AAG85" s="65"/>
      <c r="AAH85" s="65"/>
      <c r="AAI85" s="65"/>
      <c r="AAJ85" s="65"/>
      <c r="AAK85" s="65"/>
      <c r="AAL85" s="65"/>
      <c r="AAM85" s="65"/>
      <c r="AAN85" s="65"/>
      <c r="AAO85" s="65"/>
      <c r="AAP85" s="65"/>
      <c r="AAQ85" s="65"/>
      <c r="AAR85" s="65"/>
      <c r="AAS85" s="65"/>
      <c r="AAT85" s="65"/>
      <c r="AAU85" s="65"/>
      <c r="AAV85" s="65"/>
      <c r="AAW85" s="65"/>
      <c r="AAX85" s="65"/>
      <c r="AAY85" s="65"/>
      <c r="AAZ85" s="65"/>
      <c r="ABA85" s="65"/>
      <c r="ABB85" s="65"/>
      <c r="ABC85" s="65"/>
      <c r="ABD85" s="65"/>
      <c r="ABE85" s="65"/>
      <c r="ABF85" s="65"/>
      <c r="ABG85" s="65"/>
      <c r="ABH85" s="65"/>
      <c r="ABI85" s="65"/>
      <c r="ABJ85" s="65"/>
      <c r="ABK85" s="65"/>
      <c r="ABL85" s="65"/>
      <c r="ABM85" s="65"/>
      <c r="ABN85" s="65"/>
    </row>
    <row r="86" spans="1:742" ht="45" x14ac:dyDescent="0.25">
      <c r="A86" s="99">
        <v>2025</v>
      </c>
      <c r="B86" s="233">
        <v>4</v>
      </c>
      <c r="C86" s="356">
        <v>22593</v>
      </c>
      <c r="D86" s="278">
        <v>45770</v>
      </c>
      <c r="E86" s="100" t="s">
        <v>981</v>
      </c>
      <c r="F86" s="100" t="s">
        <v>982</v>
      </c>
      <c r="G86" s="99" t="s">
        <v>98</v>
      </c>
      <c r="H86" s="99">
        <v>3122072897</v>
      </c>
      <c r="I86" s="99">
        <v>6044487170</v>
      </c>
      <c r="J86" s="97">
        <v>45779</v>
      </c>
      <c r="K86" s="99" t="s">
        <v>86</v>
      </c>
      <c r="L86" s="101" t="s">
        <v>983</v>
      </c>
      <c r="M86" s="99" t="s">
        <v>363</v>
      </c>
      <c r="N86" s="99" t="s">
        <v>136</v>
      </c>
      <c r="O86" s="99" t="s">
        <v>136</v>
      </c>
      <c r="P86" s="99">
        <v>8925</v>
      </c>
      <c r="Q86" s="99" t="s">
        <v>136</v>
      </c>
      <c r="R86" s="99" t="s">
        <v>136</v>
      </c>
      <c r="S86" s="99" t="s">
        <v>136</v>
      </c>
      <c r="T86" s="99" t="s">
        <v>136</v>
      </c>
      <c r="U86" s="99" t="s">
        <v>136</v>
      </c>
      <c r="V86" s="100" t="s">
        <v>87</v>
      </c>
      <c r="W86" s="97">
        <v>45776</v>
      </c>
      <c r="X86" s="97">
        <v>45800</v>
      </c>
      <c r="Y86" s="99"/>
      <c r="Z86" s="120" t="s">
        <v>85</v>
      </c>
      <c r="AA86" s="122">
        <v>0</v>
      </c>
      <c r="AB86" s="99">
        <v>5813</v>
      </c>
      <c r="AC86" s="103">
        <v>292674</v>
      </c>
      <c r="AD86" s="198">
        <f t="shared" si="6"/>
        <v>348282.06</v>
      </c>
      <c r="AE86" s="103">
        <v>0</v>
      </c>
      <c r="AF86" s="99"/>
      <c r="AG86" s="104" t="s">
        <v>2140</v>
      </c>
      <c r="AH86" s="258">
        <v>45818</v>
      </c>
      <c r="AI86" s="97">
        <v>45826</v>
      </c>
      <c r="AJ86" s="99" t="s">
        <v>1705</v>
      </c>
      <c r="AK86" s="99"/>
    </row>
    <row r="87" spans="1:742" s="155" customFormat="1" ht="45" x14ac:dyDescent="0.25">
      <c r="A87" s="110">
        <v>2025</v>
      </c>
      <c r="B87" s="230">
        <v>4</v>
      </c>
      <c r="C87" s="152">
        <v>22594</v>
      </c>
      <c r="D87" s="277">
        <v>45771</v>
      </c>
      <c r="E87" s="111" t="s">
        <v>876</v>
      </c>
      <c r="F87" s="111" t="s">
        <v>877</v>
      </c>
      <c r="G87" s="110" t="s">
        <v>98</v>
      </c>
      <c r="H87" s="110">
        <v>3207794500</v>
      </c>
      <c r="I87" s="110">
        <v>6044481405</v>
      </c>
      <c r="J87" s="108">
        <v>45784</v>
      </c>
      <c r="K87" s="110" t="s">
        <v>88</v>
      </c>
      <c r="L87" s="112" t="s">
        <v>1069</v>
      </c>
      <c r="M87" s="110" t="s">
        <v>136</v>
      </c>
      <c r="N87" s="110">
        <v>5893</v>
      </c>
      <c r="O87" s="110">
        <v>6158</v>
      </c>
      <c r="P87" s="110">
        <v>8901</v>
      </c>
      <c r="Q87" s="110" t="s">
        <v>134</v>
      </c>
      <c r="R87" s="110" t="s">
        <v>134</v>
      </c>
      <c r="S87" s="110" t="s">
        <v>134</v>
      </c>
      <c r="T87" s="110" t="s">
        <v>136</v>
      </c>
      <c r="U87" s="110" t="s">
        <v>136</v>
      </c>
      <c r="V87" s="111" t="s">
        <v>119</v>
      </c>
      <c r="W87" s="108">
        <v>45783</v>
      </c>
      <c r="X87" s="108">
        <v>45785</v>
      </c>
      <c r="Y87" s="110"/>
      <c r="Z87" s="126" t="s">
        <v>85</v>
      </c>
      <c r="AA87" s="130">
        <v>470949</v>
      </c>
      <c r="AB87" s="110">
        <v>5819</v>
      </c>
      <c r="AC87" s="114">
        <v>395756</v>
      </c>
      <c r="AD87" s="212">
        <f t="shared" si="6"/>
        <v>470949.63999999996</v>
      </c>
      <c r="AE87" s="114">
        <v>0</v>
      </c>
      <c r="AF87" s="110"/>
      <c r="AG87" s="142" t="s">
        <v>1545</v>
      </c>
      <c r="AH87" s="248">
        <v>45772</v>
      </c>
      <c r="AI87" s="108">
        <v>45785</v>
      </c>
      <c r="AJ87" s="110" t="s">
        <v>571</v>
      </c>
      <c r="AK87" s="110"/>
      <c r="AL87" s="65"/>
      <c r="AM87" s="65"/>
      <c r="AN87" s="65"/>
      <c r="AO87" s="65"/>
      <c r="AP87" s="65"/>
      <c r="AQ87" s="65"/>
      <c r="AR87" s="65"/>
      <c r="AS87" s="65"/>
      <c r="AT87" s="65"/>
      <c r="AU87" s="65"/>
      <c r="AV87" s="65"/>
      <c r="AW87" s="65"/>
      <c r="AX87" s="65"/>
      <c r="AY87" s="65"/>
      <c r="AZ87" s="65"/>
      <c r="BA87" s="65"/>
      <c r="BB87" s="65"/>
      <c r="BC87" s="65"/>
      <c r="BD87" s="65"/>
      <c r="BE87" s="65"/>
      <c r="BF87" s="65"/>
      <c r="BG87" s="65"/>
      <c r="BH87" s="65"/>
      <c r="BI87" s="65"/>
      <c r="BJ87" s="65"/>
      <c r="BK87" s="65"/>
      <c r="BL87" s="65"/>
      <c r="BM87" s="65"/>
      <c r="BN87" s="65"/>
      <c r="BO87" s="65"/>
      <c r="BP87" s="65"/>
      <c r="BQ87" s="65"/>
      <c r="BR87" s="65"/>
      <c r="BS87" s="65"/>
      <c r="BT87" s="65"/>
      <c r="BU87" s="65"/>
      <c r="BV87" s="65"/>
      <c r="BW87" s="65"/>
      <c r="BX87" s="65"/>
      <c r="BY87" s="65"/>
      <c r="BZ87" s="65"/>
      <c r="CA87" s="65"/>
      <c r="CB87" s="65"/>
      <c r="CC87" s="65"/>
      <c r="CD87" s="65"/>
      <c r="CE87" s="65"/>
      <c r="CF87" s="65"/>
      <c r="CG87" s="65"/>
      <c r="CH87" s="65"/>
      <c r="CI87" s="65"/>
      <c r="CJ87" s="65"/>
      <c r="CK87" s="65"/>
      <c r="CL87" s="65"/>
      <c r="CM87" s="65"/>
      <c r="CN87" s="65"/>
      <c r="CO87" s="65"/>
      <c r="CP87" s="65"/>
      <c r="CQ87" s="65"/>
      <c r="CR87" s="65"/>
      <c r="CS87" s="65"/>
      <c r="CT87" s="65"/>
      <c r="CU87" s="65"/>
      <c r="CV87" s="65"/>
      <c r="CW87" s="65"/>
      <c r="CX87" s="65"/>
      <c r="CY87" s="65"/>
      <c r="CZ87" s="65"/>
      <c r="DA87" s="65"/>
      <c r="DB87" s="65"/>
      <c r="DC87" s="65"/>
      <c r="DD87" s="65"/>
      <c r="DE87" s="65"/>
      <c r="DF87" s="65"/>
      <c r="DG87" s="65"/>
      <c r="DH87" s="65"/>
      <c r="DI87" s="65"/>
      <c r="DJ87" s="65"/>
      <c r="DK87" s="65"/>
      <c r="DL87" s="65"/>
      <c r="DM87" s="65"/>
      <c r="DN87" s="65"/>
      <c r="DO87" s="65"/>
      <c r="DP87" s="65"/>
      <c r="DQ87" s="65"/>
      <c r="DR87" s="65"/>
      <c r="DS87" s="65"/>
      <c r="DT87" s="65"/>
      <c r="DU87" s="65"/>
      <c r="DV87" s="65"/>
      <c r="DW87" s="65"/>
      <c r="DX87" s="65"/>
      <c r="DY87" s="65"/>
      <c r="DZ87" s="65"/>
      <c r="EA87" s="65"/>
      <c r="EB87" s="65"/>
      <c r="EC87" s="65"/>
      <c r="ED87" s="65"/>
      <c r="EE87" s="65"/>
      <c r="EF87" s="65"/>
      <c r="EG87" s="65"/>
      <c r="EH87" s="65"/>
      <c r="EI87" s="65"/>
      <c r="EJ87" s="65"/>
      <c r="EK87" s="65"/>
      <c r="EL87" s="65"/>
      <c r="EM87" s="65"/>
      <c r="EN87" s="65"/>
      <c r="EO87" s="65"/>
      <c r="EP87" s="65"/>
      <c r="EQ87" s="65"/>
      <c r="ER87" s="65"/>
      <c r="ES87" s="65"/>
      <c r="ET87" s="65"/>
      <c r="EU87" s="65"/>
      <c r="EV87" s="65"/>
      <c r="EW87" s="65"/>
      <c r="EX87" s="65"/>
      <c r="EY87" s="65"/>
      <c r="EZ87" s="65"/>
      <c r="FA87" s="65"/>
      <c r="FB87" s="65"/>
      <c r="FC87" s="65"/>
      <c r="FD87" s="65"/>
      <c r="FE87" s="65"/>
      <c r="FF87" s="65"/>
      <c r="FG87" s="65"/>
      <c r="FH87" s="65"/>
      <c r="FI87" s="65"/>
      <c r="FJ87" s="65"/>
      <c r="FK87" s="65"/>
      <c r="FL87" s="65"/>
      <c r="FM87" s="65"/>
      <c r="FN87" s="65"/>
      <c r="FO87" s="65"/>
      <c r="FP87" s="65"/>
      <c r="FQ87" s="65"/>
      <c r="FR87" s="65"/>
      <c r="FS87" s="65"/>
      <c r="FT87" s="65"/>
      <c r="FU87" s="65"/>
      <c r="FV87" s="65"/>
      <c r="FW87" s="65"/>
      <c r="FX87" s="65"/>
      <c r="FY87" s="65"/>
      <c r="FZ87" s="65"/>
      <c r="GA87" s="65"/>
      <c r="GB87" s="65"/>
      <c r="GC87" s="65"/>
      <c r="GD87" s="65"/>
      <c r="GE87" s="65"/>
      <c r="GF87" s="65"/>
      <c r="GG87" s="65"/>
      <c r="GH87" s="65"/>
      <c r="GI87" s="65"/>
      <c r="GJ87" s="65"/>
      <c r="GK87" s="65"/>
      <c r="GL87" s="65"/>
      <c r="GM87" s="65"/>
      <c r="GN87" s="65"/>
      <c r="GO87" s="65"/>
      <c r="GP87" s="65"/>
      <c r="GQ87" s="65"/>
      <c r="GR87" s="65"/>
      <c r="GS87" s="65"/>
      <c r="GT87" s="65"/>
      <c r="GU87" s="65"/>
      <c r="GV87" s="65"/>
      <c r="GW87" s="65"/>
      <c r="GX87" s="65"/>
      <c r="GY87" s="65"/>
      <c r="GZ87" s="65"/>
      <c r="HA87" s="65"/>
      <c r="HB87" s="65"/>
      <c r="HC87" s="65"/>
      <c r="HD87" s="65"/>
      <c r="HE87" s="65"/>
      <c r="HF87" s="65"/>
      <c r="HG87" s="65"/>
      <c r="HH87" s="65"/>
      <c r="HI87" s="65"/>
      <c r="HJ87" s="65"/>
      <c r="HK87" s="65"/>
      <c r="HL87" s="65"/>
      <c r="HM87" s="65"/>
      <c r="HN87" s="65"/>
      <c r="HO87" s="65"/>
      <c r="HP87" s="65"/>
      <c r="HQ87" s="65"/>
      <c r="HR87" s="65"/>
      <c r="HS87" s="65"/>
      <c r="HT87" s="65"/>
      <c r="HU87" s="65"/>
      <c r="HV87" s="65"/>
      <c r="HW87" s="65"/>
      <c r="HX87" s="65"/>
      <c r="HY87" s="65"/>
      <c r="HZ87" s="65"/>
      <c r="IA87" s="65"/>
      <c r="IB87" s="65"/>
      <c r="IC87" s="65"/>
      <c r="ID87" s="65"/>
      <c r="IE87" s="65"/>
      <c r="IF87" s="65"/>
      <c r="IG87" s="65"/>
      <c r="IH87" s="65"/>
      <c r="II87" s="65"/>
      <c r="IJ87" s="65"/>
      <c r="IK87" s="65"/>
      <c r="IL87" s="65"/>
      <c r="IM87" s="65"/>
      <c r="IN87" s="65"/>
      <c r="IO87" s="65"/>
      <c r="IP87" s="65"/>
      <c r="IQ87" s="65"/>
      <c r="IR87" s="65"/>
      <c r="IS87" s="65"/>
      <c r="IT87" s="65"/>
      <c r="IU87" s="65"/>
      <c r="IV87" s="65"/>
      <c r="IW87" s="65"/>
      <c r="IX87" s="65"/>
      <c r="IY87" s="65"/>
      <c r="IZ87" s="65"/>
      <c r="JA87" s="65"/>
      <c r="JB87" s="65"/>
      <c r="JC87" s="65"/>
      <c r="JD87" s="65"/>
      <c r="JE87" s="65"/>
      <c r="JF87" s="65"/>
      <c r="JG87" s="65"/>
      <c r="JH87" s="65"/>
      <c r="JI87" s="65"/>
      <c r="JJ87" s="65"/>
      <c r="JK87" s="65"/>
      <c r="JL87" s="65"/>
      <c r="JM87" s="65"/>
      <c r="JN87" s="65"/>
      <c r="JO87" s="65"/>
      <c r="JP87" s="65"/>
      <c r="JQ87" s="65"/>
      <c r="JR87" s="65"/>
      <c r="JS87" s="65"/>
      <c r="JT87" s="65"/>
      <c r="JU87" s="65"/>
      <c r="JV87" s="65"/>
      <c r="JW87" s="65"/>
      <c r="JX87" s="65"/>
      <c r="JY87" s="65"/>
      <c r="JZ87" s="65"/>
      <c r="KA87" s="65"/>
      <c r="KB87" s="65"/>
      <c r="KC87" s="65"/>
      <c r="KD87" s="65"/>
      <c r="KE87" s="65"/>
      <c r="KF87" s="65"/>
      <c r="KG87" s="65"/>
      <c r="KH87" s="65"/>
      <c r="KI87" s="65"/>
      <c r="KJ87" s="65"/>
      <c r="KK87" s="65"/>
      <c r="KL87" s="65"/>
      <c r="KM87" s="65"/>
      <c r="KN87" s="65"/>
      <c r="KO87" s="65"/>
      <c r="KP87" s="65"/>
      <c r="KQ87" s="65"/>
      <c r="KR87" s="65"/>
      <c r="KS87" s="65"/>
      <c r="KT87" s="65"/>
      <c r="KU87" s="65"/>
      <c r="KV87" s="65"/>
      <c r="KW87" s="65"/>
      <c r="KX87" s="65"/>
      <c r="KY87" s="65"/>
      <c r="KZ87" s="65"/>
      <c r="LA87" s="65"/>
      <c r="LB87" s="65"/>
      <c r="LC87" s="65"/>
      <c r="LD87" s="65"/>
      <c r="LE87" s="65"/>
      <c r="LF87" s="65"/>
      <c r="LG87" s="65"/>
      <c r="LH87" s="65"/>
      <c r="LI87" s="65"/>
      <c r="LJ87" s="65"/>
      <c r="LK87" s="65"/>
      <c r="LL87" s="65"/>
      <c r="LM87" s="65"/>
      <c r="LN87" s="65"/>
      <c r="LO87" s="65"/>
      <c r="LP87" s="65"/>
      <c r="LQ87" s="65"/>
      <c r="LR87" s="65"/>
      <c r="LS87" s="65"/>
      <c r="LT87" s="65"/>
      <c r="LU87" s="65"/>
      <c r="LV87" s="65"/>
      <c r="LW87" s="65"/>
      <c r="LX87" s="65"/>
      <c r="LY87" s="65"/>
      <c r="LZ87" s="65"/>
      <c r="MA87" s="65"/>
      <c r="MB87" s="65"/>
      <c r="MC87" s="65"/>
      <c r="MD87" s="65"/>
      <c r="ME87" s="65"/>
      <c r="MF87" s="65"/>
      <c r="MG87" s="65"/>
      <c r="MH87" s="65"/>
      <c r="MI87" s="65"/>
      <c r="MJ87" s="65"/>
      <c r="MK87" s="65"/>
      <c r="ML87" s="65"/>
      <c r="MM87" s="65"/>
      <c r="MN87" s="65"/>
      <c r="MO87" s="65"/>
      <c r="MP87" s="65"/>
      <c r="MQ87" s="65"/>
      <c r="MR87" s="65"/>
      <c r="MS87" s="65"/>
      <c r="MT87" s="65"/>
      <c r="MU87" s="65"/>
      <c r="MV87" s="65"/>
      <c r="MW87" s="65"/>
      <c r="MX87" s="65"/>
      <c r="MY87" s="65"/>
      <c r="MZ87" s="65"/>
      <c r="NA87" s="65"/>
      <c r="NB87" s="65"/>
      <c r="NC87" s="65"/>
      <c r="ND87" s="65"/>
      <c r="NE87" s="65"/>
      <c r="NF87" s="65"/>
      <c r="NG87" s="65"/>
      <c r="NH87" s="65"/>
      <c r="NI87" s="65"/>
      <c r="NJ87" s="65"/>
      <c r="NK87" s="65"/>
      <c r="NL87" s="65"/>
      <c r="NM87" s="65"/>
      <c r="NN87" s="65"/>
      <c r="NO87" s="65"/>
      <c r="NP87" s="65"/>
      <c r="NQ87" s="65"/>
      <c r="NR87" s="65"/>
      <c r="NS87" s="65"/>
      <c r="NT87" s="65"/>
      <c r="NU87" s="65"/>
      <c r="NV87" s="65"/>
      <c r="NW87" s="65"/>
      <c r="NX87" s="65"/>
      <c r="NY87" s="65"/>
      <c r="NZ87" s="65"/>
      <c r="OA87" s="65"/>
      <c r="OB87" s="65"/>
      <c r="OC87" s="65"/>
      <c r="OD87" s="65"/>
      <c r="OE87" s="65"/>
      <c r="OF87" s="65"/>
      <c r="OG87" s="65"/>
      <c r="OH87" s="65"/>
      <c r="OI87" s="65"/>
      <c r="OJ87" s="65"/>
      <c r="OK87" s="65"/>
      <c r="OL87" s="65"/>
      <c r="OM87" s="65"/>
      <c r="ON87" s="65"/>
      <c r="OO87" s="65"/>
      <c r="OP87" s="65"/>
      <c r="OQ87" s="65"/>
      <c r="OR87" s="65"/>
      <c r="OS87" s="65"/>
      <c r="OT87" s="65"/>
      <c r="OU87" s="65"/>
      <c r="OV87" s="65"/>
      <c r="OW87" s="65"/>
      <c r="OX87" s="65"/>
      <c r="OY87" s="65"/>
      <c r="OZ87" s="65"/>
      <c r="PA87" s="65"/>
      <c r="PB87" s="65"/>
      <c r="PC87" s="65"/>
      <c r="PD87" s="65"/>
      <c r="PE87" s="65"/>
      <c r="PF87" s="65"/>
      <c r="PG87" s="65"/>
      <c r="PH87" s="65"/>
      <c r="PI87" s="65"/>
      <c r="PJ87" s="65"/>
      <c r="PK87" s="65"/>
      <c r="PL87" s="65"/>
      <c r="PM87" s="65"/>
      <c r="PN87" s="65"/>
      <c r="PO87" s="65"/>
      <c r="PP87" s="65"/>
      <c r="PQ87" s="65"/>
      <c r="PR87" s="65"/>
      <c r="PS87" s="65"/>
      <c r="PT87" s="65"/>
      <c r="PU87" s="65"/>
      <c r="PV87" s="65"/>
      <c r="PW87" s="65"/>
      <c r="PX87" s="65"/>
      <c r="PY87" s="65"/>
      <c r="PZ87" s="65"/>
      <c r="QA87" s="65"/>
      <c r="QB87" s="65"/>
      <c r="QC87" s="65"/>
      <c r="QD87" s="65"/>
      <c r="QE87" s="65"/>
      <c r="QF87" s="65"/>
      <c r="QG87" s="65"/>
      <c r="QH87" s="65"/>
      <c r="QI87" s="65"/>
      <c r="QJ87" s="65"/>
      <c r="QK87" s="65"/>
      <c r="QL87" s="65"/>
      <c r="QM87" s="65"/>
      <c r="QN87" s="65"/>
      <c r="QO87" s="65"/>
      <c r="QP87" s="65"/>
      <c r="QQ87" s="65"/>
      <c r="QR87" s="65"/>
      <c r="QS87" s="65"/>
      <c r="QT87" s="65"/>
      <c r="QU87" s="65"/>
      <c r="QV87" s="65"/>
      <c r="QW87" s="65"/>
      <c r="QX87" s="65"/>
      <c r="QY87" s="65"/>
      <c r="QZ87" s="65"/>
      <c r="RA87" s="65"/>
      <c r="RB87" s="65"/>
      <c r="RC87" s="65"/>
      <c r="RD87" s="65"/>
      <c r="RE87" s="65"/>
      <c r="RF87" s="65"/>
      <c r="RG87" s="65"/>
      <c r="RH87" s="65"/>
      <c r="RI87" s="65"/>
      <c r="RJ87" s="65"/>
      <c r="RK87" s="65"/>
      <c r="RL87" s="65"/>
      <c r="RM87" s="65"/>
      <c r="RN87" s="65"/>
      <c r="RO87" s="65"/>
      <c r="RP87" s="65"/>
      <c r="RQ87" s="65"/>
      <c r="RR87" s="65"/>
      <c r="RS87" s="65"/>
      <c r="RT87" s="65"/>
      <c r="RU87" s="65"/>
      <c r="RV87" s="65"/>
      <c r="RW87" s="65"/>
      <c r="RX87" s="65"/>
      <c r="RY87" s="65"/>
      <c r="RZ87" s="65"/>
      <c r="SA87" s="65"/>
      <c r="SB87" s="65"/>
      <c r="SC87" s="65"/>
      <c r="SD87" s="65"/>
      <c r="SE87" s="65"/>
      <c r="SF87" s="65"/>
      <c r="SG87" s="65"/>
      <c r="SH87" s="65"/>
      <c r="SI87" s="65"/>
      <c r="SJ87" s="65"/>
      <c r="SK87" s="65"/>
      <c r="SL87" s="65"/>
      <c r="SM87" s="65"/>
      <c r="SN87" s="65"/>
      <c r="SO87" s="65"/>
      <c r="SP87" s="65"/>
      <c r="SQ87" s="65"/>
      <c r="SR87" s="65"/>
      <c r="SS87" s="65"/>
      <c r="ST87" s="65"/>
      <c r="SU87" s="65"/>
      <c r="SV87" s="65"/>
      <c r="SW87" s="65"/>
      <c r="SX87" s="65"/>
      <c r="SY87" s="65"/>
      <c r="SZ87" s="65"/>
      <c r="TA87" s="65"/>
      <c r="TB87" s="65"/>
      <c r="TC87" s="65"/>
      <c r="TD87" s="65"/>
      <c r="TE87" s="65"/>
      <c r="TF87" s="65"/>
      <c r="TG87" s="65"/>
      <c r="TH87" s="65"/>
      <c r="TI87" s="65"/>
      <c r="TJ87" s="65"/>
      <c r="TK87" s="65"/>
      <c r="TL87" s="65"/>
      <c r="TM87" s="65"/>
      <c r="TN87" s="65"/>
      <c r="TO87" s="65"/>
      <c r="TP87" s="65"/>
      <c r="TQ87" s="65"/>
      <c r="TR87" s="65"/>
      <c r="TS87" s="65"/>
      <c r="TT87" s="65"/>
      <c r="TU87" s="65"/>
      <c r="TV87" s="65"/>
      <c r="TW87" s="65"/>
      <c r="TX87" s="65"/>
      <c r="TY87" s="65"/>
      <c r="TZ87" s="65"/>
      <c r="UA87" s="65"/>
      <c r="UB87" s="65"/>
      <c r="UC87" s="65"/>
      <c r="UD87" s="65"/>
      <c r="UE87" s="65"/>
      <c r="UF87" s="65"/>
      <c r="UG87" s="65"/>
      <c r="UH87" s="65"/>
      <c r="UI87" s="65"/>
      <c r="UJ87" s="65"/>
      <c r="UK87" s="65"/>
      <c r="UL87" s="65"/>
      <c r="UM87" s="65"/>
      <c r="UN87" s="65"/>
      <c r="UO87" s="65"/>
      <c r="UP87" s="65"/>
      <c r="UQ87" s="65"/>
      <c r="UR87" s="65"/>
      <c r="US87" s="65"/>
      <c r="UT87" s="65"/>
      <c r="UU87" s="65"/>
      <c r="UV87" s="65"/>
      <c r="UW87" s="65"/>
      <c r="UX87" s="65"/>
      <c r="UY87" s="65"/>
      <c r="UZ87" s="65"/>
      <c r="VA87" s="65"/>
      <c r="VB87" s="65"/>
      <c r="VC87" s="65"/>
      <c r="VD87" s="65"/>
      <c r="VE87" s="65"/>
      <c r="VF87" s="65"/>
      <c r="VG87" s="65"/>
      <c r="VH87" s="65"/>
      <c r="VI87" s="65"/>
      <c r="VJ87" s="65"/>
      <c r="VK87" s="65"/>
      <c r="VL87" s="65"/>
      <c r="VM87" s="65"/>
      <c r="VN87" s="65"/>
      <c r="VO87" s="65"/>
      <c r="VP87" s="65"/>
      <c r="VQ87" s="65"/>
      <c r="VR87" s="65"/>
      <c r="VS87" s="65"/>
      <c r="VT87" s="65"/>
      <c r="VU87" s="65"/>
      <c r="VV87" s="65"/>
      <c r="VW87" s="65"/>
      <c r="VX87" s="65"/>
      <c r="VY87" s="65"/>
      <c r="VZ87" s="65"/>
      <c r="WA87" s="65"/>
      <c r="WB87" s="65"/>
      <c r="WC87" s="65"/>
      <c r="WD87" s="65"/>
      <c r="WE87" s="65"/>
      <c r="WF87" s="65"/>
      <c r="WG87" s="65"/>
      <c r="WH87" s="65"/>
      <c r="WI87" s="65"/>
      <c r="WJ87" s="65"/>
      <c r="WK87" s="65"/>
      <c r="WL87" s="65"/>
      <c r="WM87" s="65"/>
      <c r="WN87" s="65"/>
      <c r="WO87" s="65"/>
      <c r="WP87" s="65"/>
      <c r="WQ87" s="65"/>
      <c r="WR87" s="65"/>
      <c r="WS87" s="65"/>
      <c r="WT87" s="65"/>
      <c r="WU87" s="65"/>
      <c r="WV87" s="65"/>
      <c r="WW87" s="65"/>
      <c r="WX87" s="65"/>
      <c r="WY87" s="65"/>
      <c r="WZ87" s="65"/>
      <c r="XA87" s="65"/>
      <c r="XB87" s="65"/>
      <c r="XC87" s="65"/>
      <c r="XD87" s="65"/>
      <c r="XE87" s="65"/>
      <c r="XF87" s="65"/>
      <c r="XG87" s="65"/>
      <c r="XH87" s="65"/>
      <c r="XI87" s="65"/>
      <c r="XJ87" s="65"/>
      <c r="XK87" s="65"/>
      <c r="XL87" s="65"/>
      <c r="XM87" s="65"/>
      <c r="XN87" s="65"/>
      <c r="XO87" s="65"/>
      <c r="XP87" s="65"/>
      <c r="XQ87" s="65"/>
      <c r="XR87" s="65"/>
      <c r="XS87" s="65"/>
      <c r="XT87" s="65"/>
      <c r="XU87" s="65"/>
      <c r="XV87" s="65"/>
      <c r="XW87" s="65"/>
      <c r="XX87" s="65"/>
      <c r="XY87" s="65"/>
      <c r="XZ87" s="65"/>
      <c r="YA87" s="65"/>
      <c r="YB87" s="65"/>
      <c r="YC87" s="65"/>
      <c r="YD87" s="65"/>
      <c r="YE87" s="65"/>
      <c r="YF87" s="65"/>
      <c r="YG87" s="65"/>
      <c r="YH87" s="65"/>
      <c r="YI87" s="65"/>
      <c r="YJ87" s="65"/>
      <c r="YK87" s="65"/>
      <c r="YL87" s="65"/>
      <c r="YM87" s="65"/>
      <c r="YN87" s="65"/>
      <c r="YO87" s="65"/>
      <c r="YP87" s="65"/>
      <c r="YQ87" s="65"/>
      <c r="YR87" s="65"/>
      <c r="YS87" s="65"/>
      <c r="YT87" s="65"/>
      <c r="YU87" s="65"/>
      <c r="YV87" s="65"/>
      <c r="YW87" s="65"/>
      <c r="YX87" s="65"/>
      <c r="YY87" s="65"/>
      <c r="YZ87" s="65"/>
      <c r="ZA87" s="65"/>
      <c r="ZB87" s="65"/>
      <c r="ZC87" s="65"/>
      <c r="ZD87" s="65"/>
      <c r="ZE87" s="65"/>
      <c r="ZF87" s="65"/>
      <c r="ZG87" s="65"/>
      <c r="ZH87" s="65"/>
      <c r="ZI87" s="65"/>
      <c r="ZJ87" s="65"/>
      <c r="ZK87" s="65"/>
      <c r="ZL87" s="65"/>
      <c r="ZM87" s="65"/>
      <c r="ZN87" s="65"/>
      <c r="ZO87" s="65"/>
      <c r="ZP87" s="65"/>
      <c r="ZQ87" s="65"/>
      <c r="ZR87" s="65"/>
      <c r="ZS87" s="65"/>
      <c r="ZT87" s="65"/>
      <c r="ZU87" s="65"/>
      <c r="ZV87" s="65"/>
      <c r="ZW87" s="65"/>
      <c r="ZX87" s="65"/>
      <c r="ZY87" s="65"/>
      <c r="ZZ87" s="65"/>
      <c r="AAA87" s="65"/>
      <c r="AAB87" s="65"/>
      <c r="AAC87" s="65"/>
      <c r="AAD87" s="65"/>
      <c r="AAE87" s="65"/>
      <c r="AAF87" s="65"/>
      <c r="AAG87" s="65"/>
      <c r="AAH87" s="65"/>
      <c r="AAI87" s="65"/>
      <c r="AAJ87" s="65"/>
      <c r="AAK87" s="65"/>
      <c r="AAL87" s="65"/>
      <c r="AAM87" s="65"/>
      <c r="AAN87" s="65"/>
      <c r="AAO87" s="65"/>
      <c r="AAP87" s="65"/>
      <c r="AAQ87" s="65"/>
      <c r="AAR87" s="65"/>
      <c r="AAS87" s="65"/>
      <c r="AAT87" s="65"/>
      <c r="AAU87" s="65"/>
      <c r="AAV87" s="65"/>
      <c r="AAW87" s="65"/>
      <c r="AAX87" s="65"/>
      <c r="AAY87" s="65"/>
      <c r="AAZ87" s="65"/>
      <c r="ABA87" s="65"/>
      <c r="ABB87" s="65"/>
      <c r="ABC87" s="65"/>
      <c r="ABD87" s="65"/>
      <c r="ABE87" s="65"/>
      <c r="ABF87" s="65"/>
      <c r="ABG87" s="65"/>
      <c r="ABH87" s="65"/>
      <c r="ABI87" s="65"/>
      <c r="ABJ87" s="65"/>
      <c r="ABK87" s="65"/>
      <c r="ABL87" s="65"/>
      <c r="ABM87" s="65"/>
      <c r="ABN87" s="65"/>
    </row>
    <row r="88" spans="1:742" ht="60" x14ac:dyDescent="0.25">
      <c r="A88" s="94">
        <v>2025</v>
      </c>
      <c r="B88" s="234">
        <v>4</v>
      </c>
      <c r="C88" s="351">
        <v>22595</v>
      </c>
      <c r="D88" s="274">
        <v>45803</v>
      </c>
      <c r="E88" s="90" t="s">
        <v>1539</v>
      </c>
      <c r="F88" s="90" t="s">
        <v>1539</v>
      </c>
      <c r="G88" s="94" t="s">
        <v>143</v>
      </c>
      <c r="H88" s="94">
        <v>3126092186</v>
      </c>
      <c r="I88" s="94">
        <v>3126092186</v>
      </c>
      <c r="J88" s="89">
        <v>45793</v>
      </c>
      <c r="K88" s="94" t="s">
        <v>84</v>
      </c>
      <c r="L88" s="91" t="s">
        <v>1540</v>
      </c>
      <c r="M88" s="94" t="s">
        <v>136</v>
      </c>
      <c r="N88" s="94">
        <v>5926</v>
      </c>
      <c r="O88" s="94">
        <v>6125</v>
      </c>
      <c r="P88" s="94">
        <v>8930</v>
      </c>
      <c r="Q88" s="94" t="s">
        <v>136</v>
      </c>
      <c r="R88" s="94" t="s">
        <v>134</v>
      </c>
      <c r="S88" s="94" t="s">
        <v>134</v>
      </c>
      <c r="T88" s="94" t="s">
        <v>136</v>
      </c>
      <c r="U88" s="94" t="s">
        <v>136</v>
      </c>
      <c r="V88" s="90" t="s">
        <v>590</v>
      </c>
      <c r="W88" s="89">
        <v>45799</v>
      </c>
      <c r="X88" s="89">
        <v>45799</v>
      </c>
      <c r="Y88" s="94"/>
      <c r="Z88" s="134" t="s">
        <v>85</v>
      </c>
      <c r="AA88" s="219">
        <v>2600000</v>
      </c>
      <c r="AB88" s="94">
        <v>5876</v>
      </c>
      <c r="AC88" s="92">
        <v>2184874</v>
      </c>
      <c r="AD88" s="235">
        <f t="shared" si="6"/>
        <v>2600000.06</v>
      </c>
      <c r="AE88" s="92">
        <v>1500000</v>
      </c>
      <c r="AF88" s="94"/>
      <c r="AG88" s="214"/>
      <c r="AH88" s="334">
        <v>45799</v>
      </c>
      <c r="AI88" s="89">
        <v>45807</v>
      </c>
      <c r="AJ88" s="94" t="s">
        <v>1705</v>
      </c>
      <c r="AK88" s="94"/>
    </row>
    <row r="89" spans="1:742" ht="45" x14ac:dyDescent="0.25">
      <c r="A89" s="99">
        <v>2025</v>
      </c>
      <c r="B89" s="233">
        <v>4</v>
      </c>
      <c r="C89" s="356">
        <v>22596</v>
      </c>
      <c r="D89" s="278">
        <v>45772</v>
      </c>
      <c r="E89" s="100" t="s">
        <v>1070</v>
      </c>
      <c r="F89" s="100" t="s">
        <v>1070</v>
      </c>
      <c r="G89" s="99" t="s">
        <v>592</v>
      </c>
      <c r="H89" s="99">
        <v>3147302700</v>
      </c>
      <c r="I89" s="99">
        <v>3147302700</v>
      </c>
      <c r="J89" s="97">
        <v>45785</v>
      </c>
      <c r="K89" s="99" t="s">
        <v>94</v>
      </c>
      <c r="L89" s="101" t="s">
        <v>1071</v>
      </c>
      <c r="M89" s="99" t="s">
        <v>136</v>
      </c>
      <c r="N89" s="99">
        <v>5905</v>
      </c>
      <c r="O89" s="99">
        <v>6141</v>
      </c>
      <c r="P89" s="99" t="s">
        <v>136</v>
      </c>
      <c r="Q89" s="99" t="s">
        <v>134</v>
      </c>
      <c r="R89" s="99" t="s">
        <v>134</v>
      </c>
      <c r="S89" s="99" t="s">
        <v>136</v>
      </c>
      <c r="T89" s="99" t="s">
        <v>136</v>
      </c>
      <c r="U89" s="99" t="s">
        <v>136</v>
      </c>
      <c r="V89" s="100" t="s">
        <v>119</v>
      </c>
      <c r="W89" s="97">
        <v>45784</v>
      </c>
      <c r="X89" s="97">
        <v>45791</v>
      </c>
      <c r="Y89" s="99"/>
      <c r="Z89" s="120" t="s">
        <v>85</v>
      </c>
      <c r="AA89" s="117">
        <v>2750000</v>
      </c>
      <c r="AB89" s="99">
        <v>5818</v>
      </c>
      <c r="AC89" s="103">
        <v>2310924</v>
      </c>
      <c r="AD89" s="198">
        <f t="shared" si="6"/>
        <v>2749999.56</v>
      </c>
      <c r="AE89" s="103">
        <v>2750000</v>
      </c>
      <c r="AF89" s="99"/>
      <c r="AG89" s="104"/>
      <c r="AH89" s="258">
        <v>45771</v>
      </c>
      <c r="AI89" s="97">
        <v>45807</v>
      </c>
      <c r="AJ89" s="99" t="s">
        <v>1705</v>
      </c>
      <c r="AK89" s="99"/>
    </row>
    <row r="90" spans="1:742" s="207" customFormat="1" ht="34.5" customHeight="1" x14ac:dyDescent="0.25">
      <c r="A90" s="99">
        <v>2025</v>
      </c>
      <c r="B90" s="233">
        <v>4</v>
      </c>
      <c r="C90" s="356">
        <v>22597</v>
      </c>
      <c r="D90" s="278">
        <v>45772</v>
      </c>
      <c r="E90" s="100" t="s">
        <v>1080</v>
      </c>
      <c r="F90" s="100" t="s">
        <v>1081</v>
      </c>
      <c r="G90" s="99" t="s">
        <v>98</v>
      </c>
      <c r="H90" s="99">
        <v>3203381507</v>
      </c>
      <c r="I90" s="100" t="s">
        <v>1082</v>
      </c>
      <c r="J90" s="97">
        <v>45782</v>
      </c>
      <c r="K90" s="99" t="s">
        <v>86</v>
      </c>
      <c r="L90" s="101" t="s">
        <v>1083</v>
      </c>
      <c r="M90" s="99" t="s">
        <v>136</v>
      </c>
      <c r="N90" s="99">
        <v>5906</v>
      </c>
      <c r="O90" s="99" t="s">
        <v>136</v>
      </c>
      <c r="P90" s="99" t="s">
        <v>136</v>
      </c>
      <c r="Q90" s="99" t="s">
        <v>136</v>
      </c>
      <c r="R90" s="99" t="s">
        <v>136</v>
      </c>
      <c r="S90" s="99" t="s">
        <v>136</v>
      </c>
      <c r="T90" s="99" t="s">
        <v>136</v>
      </c>
      <c r="U90" s="99" t="s">
        <v>136</v>
      </c>
      <c r="V90" s="100" t="s">
        <v>119</v>
      </c>
      <c r="W90" s="97">
        <v>45785</v>
      </c>
      <c r="X90" s="97">
        <v>45790</v>
      </c>
      <c r="Y90" s="99"/>
      <c r="Z90" s="120" t="s">
        <v>85</v>
      </c>
      <c r="AA90" s="122">
        <v>0</v>
      </c>
      <c r="AB90" s="99"/>
      <c r="AC90" s="103">
        <v>0</v>
      </c>
      <c r="AD90" s="198">
        <f t="shared" si="6"/>
        <v>0</v>
      </c>
      <c r="AE90" s="103">
        <v>0</v>
      </c>
      <c r="AF90" s="99"/>
      <c r="AG90" s="104" t="s">
        <v>1552</v>
      </c>
      <c r="AH90" s="233"/>
      <c r="AI90" s="97">
        <v>45785</v>
      </c>
      <c r="AJ90" s="99" t="s">
        <v>571</v>
      </c>
      <c r="AK90" s="99" t="s">
        <v>1552</v>
      </c>
      <c r="AL90" s="65"/>
      <c r="AM90" s="65"/>
      <c r="AN90" s="65"/>
      <c r="AO90" s="65"/>
      <c r="AP90" s="65"/>
      <c r="AQ90" s="65"/>
      <c r="AR90" s="65"/>
      <c r="AS90" s="65"/>
      <c r="AT90" s="65"/>
      <c r="AU90" s="65"/>
      <c r="AV90" s="65"/>
      <c r="AW90" s="65"/>
      <c r="AX90" s="65"/>
      <c r="AY90" s="65"/>
      <c r="AZ90" s="65"/>
      <c r="BA90" s="65"/>
      <c r="BB90" s="65"/>
      <c r="BC90" s="65"/>
      <c r="BD90" s="65"/>
      <c r="BE90" s="65"/>
      <c r="BF90" s="65"/>
      <c r="BG90" s="65"/>
      <c r="BH90" s="65"/>
      <c r="BI90" s="65"/>
      <c r="BJ90" s="65"/>
      <c r="BK90" s="65"/>
      <c r="BL90" s="65"/>
      <c r="BM90" s="65"/>
      <c r="BN90" s="65"/>
      <c r="BO90" s="65"/>
      <c r="BP90" s="65"/>
      <c r="BQ90" s="65"/>
      <c r="BR90" s="65"/>
      <c r="BS90" s="65"/>
      <c r="BT90" s="65"/>
      <c r="BU90" s="65"/>
      <c r="BV90" s="65"/>
      <c r="BW90" s="65"/>
      <c r="BX90" s="65"/>
      <c r="BY90" s="65"/>
      <c r="BZ90" s="65"/>
      <c r="CA90" s="65"/>
      <c r="CB90" s="65"/>
      <c r="CC90" s="65"/>
      <c r="CD90" s="65"/>
      <c r="CE90" s="65"/>
      <c r="CF90" s="65"/>
      <c r="CG90" s="65"/>
      <c r="CH90" s="65"/>
      <c r="CI90" s="65"/>
      <c r="CJ90" s="65"/>
      <c r="CK90" s="65"/>
      <c r="CL90" s="65"/>
      <c r="CM90" s="65"/>
      <c r="CN90" s="65"/>
      <c r="CO90" s="65"/>
      <c r="CP90" s="65"/>
      <c r="CQ90" s="65"/>
      <c r="CR90" s="65"/>
      <c r="CS90" s="65"/>
      <c r="CT90" s="65"/>
      <c r="CU90" s="65"/>
      <c r="CV90" s="65"/>
      <c r="CW90" s="65"/>
      <c r="CX90" s="65"/>
      <c r="CY90" s="65"/>
      <c r="CZ90" s="65"/>
      <c r="DA90" s="65"/>
      <c r="DB90" s="65"/>
      <c r="DC90" s="65"/>
      <c r="DD90" s="65"/>
      <c r="DE90" s="65"/>
      <c r="DF90" s="65"/>
      <c r="DG90" s="65"/>
      <c r="DH90" s="65"/>
      <c r="DI90" s="65"/>
      <c r="DJ90" s="65"/>
      <c r="DK90" s="65"/>
      <c r="DL90" s="65"/>
      <c r="DM90" s="65"/>
      <c r="DN90" s="65"/>
      <c r="DO90" s="65"/>
      <c r="DP90" s="65"/>
      <c r="DQ90" s="65"/>
      <c r="DR90" s="65"/>
      <c r="DS90" s="65"/>
      <c r="DT90" s="65"/>
      <c r="DU90" s="65"/>
      <c r="DV90" s="65"/>
      <c r="DW90" s="65"/>
      <c r="DX90" s="65"/>
      <c r="DY90" s="65"/>
      <c r="DZ90" s="65"/>
      <c r="EA90" s="65"/>
      <c r="EB90" s="65"/>
      <c r="EC90" s="65"/>
      <c r="ED90" s="65"/>
      <c r="EE90" s="65"/>
      <c r="EF90" s="65"/>
      <c r="EG90" s="65"/>
      <c r="EH90" s="65"/>
      <c r="EI90" s="65"/>
      <c r="EJ90" s="65"/>
      <c r="EK90" s="65"/>
      <c r="EL90" s="65"/>
      <c r="EM90" s="65"/>
      <c r="EN90" s="65"/>
      <c r="EO90" s="65"/>
      <c r="EP90" s="65"/>
      <c r="EQ90" s="65"/>
      <c r="ER90" s="65"/>
      <c r="ES90" s="65"/>
      <c r="ET90" s="65"/>
      <c r="EU90" s="65"/>
      <c r="EV90" s="65"/>
      <c r="EW90" s="65"/>
      <c r="EX90" s="65"/>
      <c r="EY90" s="65"/>
      <c r="EZ90" s="65"/>
      <c r="FA90" s="65"/>
      <c r="FB90" s="65"/>
      <c r="FC90" s="65"/>
      <c r="FD90" s="65"/>
      <c r="FE90" s="65"/>
      <c r="FF90" s="65"/>
      <c r="FG90" s="65"/>
      <c r="FH90" s="65"/>
      <c r="FI90" s="65"/>
      <c r="FJ90" s="65"/>
      <c r="FK90" s="65"/>
      <c r="FL90" s="65"/>
      <c r="FM90" s="65"/>
      <c r="FN90" s="65"/>
      <c r="FO90" s="65"/>
      <c r="FP90" s="65"/>
      <c r="FQ90" s="65"/>
      <c r="FR90" s="65"/>
      <c r="FS90" s="65"/>
      <c r="FT90" s="65"/>
      <c r="FU90" s="65"/>
      <c r="FV90" s="65"/>
      <c r="FW90" s="65"/>
      <c r="FX90" s="65"/>
      <c r="FY90" s="65"/>
      <c r="FZ90" s="65"/>
      <c r="GA90" s="65"/>
      <c r="GB90" s="65"/>
      <c r="GC90" s="65"/>
      <c r="GD90" s="65"/>
      <c r="GE90" s="65"/>
      <c r="GF90" s="65"/>
      <c r="GG90" s="65"/>
      <c r="GH90" s="65"/>
      <c r="GI90" s="65"/>
      <c r="GJ90" s="65"/>
      <c r="GK90" s="65"/>
      <c r="GL90" s="65"/>
      <c r="GM90" s="65"/>
      <c r="GN90" s="65"/>
      <c r="GO90" s="65"/>
      <c r="GP90" s="65"/>
      <c r="GQ90" s="65"/>
      <c r="GR90" s="65"/>
      <c r="GS90" s="65"/>
      <c r="GT90" s="65"/>
      <c r="GU90" s="65"/>
      <c r="GV90" s="65"/>
      <c r="GW90" s="65"/>
      <c r="GX90" s="65"/>
      <c r="GY90" s="65"/>
      <c r="GZ90" s="65"/>
      <c r="HA90" s="65"/>
      <c r="HB90" s="65"/>
      <c r="HC90" s="65"/>
      <c r="HD90" s="65"/>
      <c r="HE90" s="65"/>
      <c r="HF90" s="65"/>
      <c r="HG90" s="65"/>
      <c r="HH90" s="65"/>
      <c r="HI90" s="65"/>
      <c r="HJ90" s="65"/>
      <c r="HK90" s="65"/>
      <c r="HL90" s="65"/>
      <c r="HM90" s="65"/>
      <c r="HN90" s="65"/>
      <c r="HO90" s="65"/>
      <c r="HP90" s="65"/>
      <c r="HQ90" s="65"/>
      <c r="HR90" s="65"/>
      <c r="HS90" s="65"/>
      <c r="HT90" s="65"/>
      <c r="HU90" s="65"/>
      <c r="HV90" s="65"/>
      <c r="HW90" s="65"/>
      <c r="HX90" s="65"/>
      <c r="HY90" s="65"/>
      <c r="HZ90" s="65"/>
      <c r="IA90" s="65"/>
      <c r="IB90" s="65"/>
      <c r="IC90" s="65"/>
      <c r="ID90" s="65"/>
      <c r="IE90" s="65"/>
      <c r="IF90" s="65"/>
      <c r="IG90" s="65"/>
      <c r="IH90" s="65"/>
      <c r="II90" s="65"/>
      <c r="IJ90" s="65"/>
      <c r="IK90" s="65"/>
      <c r="IL90" s="65"/>
      <c r="IM90" s="65"/>
      <c r="IN90" s="65"/>
      <c r="IO90" s="65"/>
      <c r="IP90" s="65"/>
      <c r="IQ90" s="65"/>
      <c r="IR90" s="65"/>
      <c r="IS90" s="65"/>
      <c r="IT90" s="65"/>
      <c r="IU90" s="65"/>
      <c r="IV90" s="65"/>
      <c r="IW90" s="65"/>
      <c r="IX90" s="65"/>
      <c r="IY90" s="65"/>
      <c r="IZ90" s="65"/>
      <c r="JA90" s="65"/>
      <c r="JB90" s="65"/>
      <c r="JC90" s="65"/>
      <c r="JD90" s="65"/>
      <c r="JE90" s="65"/>
      <c r="JF90" s="65"/>
      <c r="JG90" s="65"/>
      <c r="JH90" s="65"/>
      <c r="JI90" s="65"/>
      <c r="JJ90" s="65"/>
      <c r="JK90" s="65"/>
      <c r="JL90" s="65"/>
      <c r="JM90" s="65"/>
      <c r="JN90" s="65"/>
      <c r="JO90" s="65"/>
      <c r="JP90" s="65"/>
      <c r="JQ90" s="65"/>
      <c r="JR90" s="65"/>
      <c r="JS90" s="65"/>
      <c r="JT90" s="65"/>
      <c r="JU90" s="65"/>
      <c r="JV90" s="65"/>
      <c r="JW90" s="65"/>
      <c r="JX90" s="65"/>
      <c r="JY90" s="65"/>
      <c r="JZ90" s="65"/>
      <c r="KA90" s="65"/>
      <c r="KB90" s="65"/>
      <c r="KC90" s="65"/>
      <c r="KD90" s="65"/>
      <c r="KE90" s="65"/>
      <c r="KF90" s="65"/>
      <c r="KG90" s="65"/>
      <c r="KH90" s="65"/>
      <c r="KI90" s="65"/>
      <c r="KJ90" s="65"/>
      <c r="KK90" s="65"/>
      <c r="KL90" s="65"/>
      <c r="KM90" s="65"/>
      <c r="KN90" s="65"/>
      <c r="KO90" s="65"/>
      <c r="KP90" s="65"/>
      <c r="KQ90" s="65"/>
      <c r="KR90" s="65"/>
      <c r="KS90" s="65"/>
      <c r="KT90" s="65"/>
      <c r="KU90" s="65"/>
      <c r="KV90" s="65"/>
      <c r="KW90" s="65"/>
      <c r="KX90" s="65"/>
      <c r="KY90" s="65"/>
      <c r="KZ90" s="65"/>
      <c r="LA90" s="65"/>
      <c r="LB90" s="65"/>
      <c r="LC90" s="65"/>
      <c r="LD90" s="65"/>
      <c r="LE90" s="65"/>
      <c r="LF90" s="65"/>
      <c r="LG90" s="65"/>
      <c r="LH90" s="65"/>
      <c r="LI90" s="65"/>
      <c r="LJ90" s="65"/>
      <c r="LK90" s="65"/>
      <c r="LL90" s="65"/>
      <c r="LM90" s="65"/>
      <c r="LN90" s="65"/>
      <c r="LO90" s="65"/>
      <c r="LP90" s="65"/>
      <c r="LQ90" s="65"/>
      <c r="LR90" s="65"/>
      <c r="LS90" s="65"/>
      <c r="LT90" s="65"/>
      <c r="LU90" s="65"/>
      <c r="LV90" s="65"/>
      <c r="LW90" s="65"/>
      <c r="LX90" s="65"/>
      <c r="LY90" s="65"/>
      <c r="LZ90" s="65"/>
      <c r="MA90" s="65"/>
      <c r="MB90" s="65"/>
      <c r="MC90" s="65"/>
      <c r="MD90" s="65"/>
      <c r="ME90" s="65"/>
      <c r="MF90" s="65"/>
      <c r="MG90" s="65"/>
      <c r="MH90" s="65"/>
      <c r="MI90" s="65"/>
      <c r="MJ90" s="65"/>
      <c r="MK90" s="65"/>
      <c r="ML90" s="65"/>
      <c r="MM90" s="65"/>
      <c r="MN90" s="65"/>
      <c r="MO90" s="65"/>
      <c r="MP90" s="65"/>
      <c r="MQ90" s="65"/>
      <c r="MR90" s="65"/>
      <c r="MS90" s="65"/>
      <c r="MT90" s="65"/>
      <c r="MU90" s="65"/>
      <c r="MV90" s="65"/>
      <c r="MW90" s="65"/>
      <c r="MX90" s="65"/>
      <c r="MY90" s="65"/>
      <c r="MZ90" s="65"/>
      <c r="NA90" s="65"/>
      <c r="NB90" s="65"/>
      <c r="NC90" s="65"/>
      <c r="ND90" s="65"/>
      <c r="NE90" s="65"/>
      <c r="NF90" s="65"/>
      <c r="NG90" s="65"/>
      <c r="NH90" s="65"/>
      <c r="NI90" s="65"/>
      <c r="NJ90" s="65"/>
      <c r="NK90" s="65"/>
      <c r="NL90" s="65"/>
      <c r="NM90" s="65"/>
      <c r="NN90" s="65"/>
      <c r="NO90" s="65"/>
      <c r="NP90" s="65"/>
      <c r="NQ90" s="65"/>
      <c r="NR90" s="65"/>
      <c r="NS90" s="65"/>
      <c r="NT90" s="65"/>
      <c r="NU90" s="65"/>
      <c r="NV90" s="65"/>
      <c r="NW90" s="65"/>
      <c r="NX90" s="65"/>
      <c r="NY90" s="65"/>
      <c r="NZ90" s="65"/>
      <c r="OA90" s="65"/>
      <c r="OB90" s="65"/>
      <c r="OC90" s="65"/>
      <c r="OD90" s="65"/>
      <c r="OE90" s="65"/>
      <c r="OF90" s="65"/>
      <c r="OG90" s="65"/>
      <c r="OH90" s="65"/>
      <c r="OI90" s="65"/>
      <c r="OJ90" s="65"/>
      <c r="OK90" s="65"/>
      <c r="OL90" s="65"/>
      <c r="OM90" s="65"/>
      <c r="ON90" s="65"/>
      <c r="OO90" s="65"/>
      <c r="OP90" s="65"/>
      <c r="OQ90" s="65"/>
      <c r="OR90" s="65"/>
      <c r="OS90" s="65"/>
      <c r="OT90" s="65"/>
      <c r="OU90" s="65"/>
      <c r="OV90" s="65"/>
      <c r="OW90" s="65"/>
      <c r="OX90" s="65"/>
      <c r="OY90" s="65"/>
      <c r="OZ90" s="65"/>
      <c r="PA90" s="65"/>
      <c r="PB90" s="65"/>
      <c r="PC90" s="65"/>
      <c r="PD90" s="65"/>
      <c r="PE90" s="65"/>
      <c r="PF90" s="65"/>
      <c r="PG90" s="65"/>
      <c r="PH90" s="65"/>
      <c r="PI90" s="65"/>
      <c r="PJ90" s="65"/>
      <c r="PK90" s="65"/>
      <c r="PL90" s="65"/>
      <c r="PM90" s="65"/>
      <c r="PN90" s="65"/>
      <c r="PO90" s="65"/>
      <c r="PP90" s="65"/>
      <c r="PQ90" s="65"/>
      <c r="PR90" s="65"/>
      <c r="PS90" s="65"/>
      <c r="PT90" s="65"/>
      <c r="PU90" s="65"/>
      <c r="PV90" s="65"/>
      <c r="PW90" s="65"/>
      <c r="PX90" s="65"/>
      <c r="PY90" s="65"/>
      <c r="PZ90" s="65"/>
      <c r="QA90" s="65"/>
      <c r="QB90" s="65"/>
      <c r="QC90" s="65"/>
      <c r="QD90" s="65"/>
      <c r="QE90" s="65"/>
      <c r="QF90" s="65"/>
      <c r="QG90" s="65"/>
      <c r="QH90" s="65"/>
      <c r="QI90" s="65"/>
      <c r="QJ90" s="65"/>
      <c r="QK90" s="65"/>
      <c r="QL90" s="65"/>
      <c r="QM90" s="65"/>
      <c r="QN90" s="65"/>
      <c r="QO90" s="65"/>
      <c r="QP90" s="65"/>
      <c r="QQ90" s="65"/>
      <c r="QR90" s="65"/>
      <c r="QS90" s="65"/>
      <c r="QT90" s="65"/>
      <c r="QU90" s="65"/>
      <c r="QV90" s="65"/>
      <c r="QW90" s="65"/>
      <c r="QX90" s="65"/>
      <c r="QY90" s="65"/>
      <c r="QZ90" s="65"/>
      <c r="RA90" s="65"/>
      <c r="RB90" s="65"/>
      <c r="RC90" s="65"/>
      <c r="RD90" s="65"/>
      <c r="RE90" s="65"/>
      <c r="RF90" s="65"/>
      <c r="RG90" s="65"/>
      <c r="RH90" s="65"/>
      <c r="RI90" s="65"/>
      <c r="RJ90" s="65"/>
      <c r="RK90" s="65"/>
      <c r="RL90" s="65"/>
      <c r="RM90" s="65"/>
      <c r="RN90" s="65"/>
      <c r="RO90" s="65"/>
      <c r="RP90" s="65"/>
      <c r="RQ90" s="65"/>
      <c r="RR90" s="65"/>
      <c r="RS90" s="65"/>
      <c r="RT90" s="65"/>
      <c r="RU90" s="65"/>
      <c r="RV90" s="65"/>
      <c r="RW90" s="65"/>
      <c r="RX90" s="65"/>
      <c r="RY90" s="65"/>
      <c r="RZ90" s="65"/>
      <c r="SA90" s="65"/>
      <c r="SB90" s="65"/>
      <c r="SC90" s="65"/>
      <c r="SD90" s="65"/>
      <c r="SE90" s="65"/>
      <c r="SF90" s="65"/>
      <c r="SG90" s="65"/>
      <c r="SH90" s="65"/>
      <c r="SI90" s="65"/>
      <c r="SJ90" s="65"/>
      <c r="SK90" s="65"/>
      <c r="SL90" s="65"/>
      <c r="SM90" s="65"/>
      <c r="SN90" s="65"/>
      <c r="SO90" s="65"/>
      <c r="SP90" s="65"/>
      <c r="SQ90" s="65"/>
      <c r="SR90" s="65"/>
      <c r="SS90" s="65"/>
      <c r="ST90" s="65"/>
      <c r="SU90" s="65"/>
      <c r="SV90" s="65"/>
      <c r="SW90" s="65"/>
      <c r="SX90" s="65"/>
      <c r="SY90" s="65"/>
      <c r="SZ90" s="65"/>
      <c r="TA90" s="65"/>
      <c r="TB90" s="65"/>
      <c r="TC90" s="65"/>
      <c r="TD90" s="65"/>
      <c r="TE90" s="65"/>
      <c r="TF90" s="65"/>
      <c r="TG90" s="65"/>
      <c r="TH90" s="65"/>
      <c r="TI90" s="65"/>
      <c r="TJ90" s="65"/>
      <c r="TK90" s="65"/>
      <c r="TL90" s="65"/>
      <c r="TM90" s="65"/>
      <c r="TN90" s="65"/>
      <c r="TO90" s="65"/>
      <c r="TP90" s="65"/>
      <c r="TQ90" s="65"/>
      <c r="TR90" s="65"/>
      <c r="TS90" s="65"/>
      <c r="TT90" s="65"/>
      <c r="TU90" s="65"/>
      <c r="TV90" s="65"/>
      <c r="TW90" s="65"/>
      <c r="TX90" s="65"/>
      <c r="TY90" s="65"/>
      <c r="TZ90" s="65"/>
      <c r="UA90" s="65"/>
      <c r="UB90" s="65"/>
      <c r="UC90" s="65"/>
      <c r="UD90" s="65"/>
      <c r="UE90" s="65"/>
      <c r="UF90" s="65"/>
      <c r="UG90" s="65"/>
      <c r="UH90" s="65"/>
      <c r="UI90" s="65"/>
      <c r="UJ90" s="65"/>
      <c r="UK90" s="65"/>
      <c r="UL90" s="65"/>
      <c r="UM90" s="65"/>
      <c r="UN90" s="65"/>
      <c r="UO90" s="65"/>
      <c r="UP90" s="65"/>
      <c r="UQ90" s="65"/>
      <c r="UR90" s="65"/>
      <c r="US90" s="65"/>
      <c r="UT90" s="65"/>
      <c r="UU90" s="65"/>
      <c r="UV90" s="65"/>
      <c r="UW90" s="65"/>
      <c r="UX90" s="65"/>
      <c r="UY90" s="65"/>
      <c r="UZ90" s="65"/>
      <c r="VA90" s="65"/>
      <c r="VB90" s="65"/>
      <c r="VC90" s="65"/>
      <c r="VD90" s="65"/>
      <c r="VE90" s="65"/>
      <c r="VF90" s="65"/>
      <c r="VG90" s="65"/>
      <c r="VH90" s="65"/>
      <c r="VI90" s="65"/>
      <c r="VJ90" s="65"/>
      <c r="VK90" s="65"/>
      <c r="VL90" s="65"/>
      <c r="VM90" s="65"/>
      <c r="VN90" s="65"/>
      <c r="VO90" s="65"/>
      <c r="VP90" s="65"/>
      <c r="VQ90" s="65"/>
      <c r="VR90" s="65"/>
      <c r="VS90" s="65"/>
      <c r="VT90" s="65"/>
      <c r="VU90" s="65"/>
      <c r="VV90" s="65"/>
      <c r="VW90" s="65"/>
      <c r="VX90" s="65"/>
      <c r="VY90" s="65"/>
      <c r="VZ90" s="65"/>
      <c r="WA90" s="65"/>
      <c r="WB90" s="65"/>
      <c r="WC90" s="65"/>
      <c r="WD90" s="65"/>
      <c r="WE90" s="65"/>
      <c r="WF90" s="65"/>
      <c r="WG90" s="65"/>
      <c r="WH90" s="65"/>
      <c r="WI90" s="65"/>
      <c r="WJ90" s="65"/>
      <c r="WK90" s="65"/>
      <c r="WL90" s="65"/>
      <c r="WM90" s="65"/>
      <c r="WN90" s="65"/>
      <c r="WO90" s="65"/>
      <c r="WP90" s="65"/>
      <c r="WQ90" s="65"/>
      <c r="WR90" s="65"/>
      <c r="WS90" s="65"/>
      <c r="WT90" s="65"/>
      <c r="WU90" s="65"/>
      <c r="WV90" s="65"/>
      <c r="WW90" s="65"/>
      <c r="WX90" s="65"/>
      <c r="WY90" s="65"/>
      <c r="WZ90" s="65"/>
      <c r="XA90" s="65"/>
      <c r="XB90" s="65"/>
      <c r="XC90" s="65"/>
      <c r="XD90" s="65"/>
      <c r="XE90" s="65"/>
      <c r="XF90" s="65"/>
      <c r="XG90" s="65"/>
      <c r="XH90" s="65"/>
      <c r="XI90" s="65"/>
      <c r="XJ90" s="65"/>
      <c r="XK90" s="65"/>
      <c r="XL90" s="65"/>
      <c r="XM90" s="65"/>
      <c r="XN90" s="65"/>
      <c r="XO90" s="65"/>
      <c r="XP90" s="65"/>
      <c r="XQ90" s="65"/>
      <c r="XR90" s="65"/>
      <c r="XS90" s="65"/>
      <c r="XT90" s="65"/>
      <c r="XU90" s="65"/>
      <c r="XV90" s="65"/>
      <c r="XW90" s="65"/>
      <c r="XX90" s="65"/>
      <c r="XY90" s="65"/>
      <c r="XZ90" s="65"/>
      <c r="YA90" s="65"/>
      <c r="YB90" s="65"/>
      <c r="YC90" s="65"/>
      <c r="YD90" s="65"/>
      <c r="YE90" s="65"/>
      <c r="YF90" s="65"/>
      <c r="YG90" s="65"/>
      <c r="YH90" s="65"/>
      <c r="YI90" s="65"/>
      <c r="YJ90" s="65"/>
      <c r="YK90" s="65"/>
      <c r="YL90" s="65"/>
      <c r="YM90" s="65"/>
      <c r="YN90" s="65"/>
      <c r="YO90" s="65"/>
      <c r="YP90" s="65"/>
      <c r="YQ90" s="65"/>
      <c r="YR90" s="65"/>
      <c r="YS90" s="65"/>
      <c r="YT90" s="65"/>
      <c r="YU90" s="65"/>
      <c r="YV90" s="65"/>
      <c r="YW90" s="65"/>
      <c r="YX90" s="65"/>
      <c r="YY90" s="65"/>
      <c r="YZ90" s="65"/>
      <c r="ZA90" s="65"/>
      <c r="ZB90" s="65"/>
      <c r="ZC90" s="65"/>
      <c r="ZD90" s="65"/>
      <c r="ZE90" s="65"/>
      <c r="ZF90" s="65"/>
      <c r="ZG90" s="65"/>
      <c r="ZH90" s="65"/>
      <c r="ZI90" s="65"/>
      <c r="ZJ90" s="65"/>
      <c r="ZK90" s="65"/>
      <c r="ZL90" s="65"/>
      <c r="ZM90" s="65"/>
      <c r="ZN90" s="65"/>
      <c r="ZO90" s="65"/>
      <c r="ZP90" s="65"/>
      <c r="ZQ90" s="65"/>
      <c r="ZR90" s="65"/>
      <c r="ZS90" s="65"/>
      <c r="ZT90" s="65"/>
      <c r="ZU90" s="65"/>
      <c r="ZV90" s="65"/>
      <c r="ZW90" s="65"/>
      <c r="ZX90" s="65"/>
      <c r="ZY90" s="65"/>
      <c r="ZZ90" s="65"/>
      <c r="AAA90" s="65"/>
      <c r="AAB90" s="65"/>
      <c r="AAC90" s="65"/>
      <c r="AAD90" s="65"/>
      <c r="AAE90" s="65"/>
      <c r="AAF90" s="65"/>
      <c r="AAG90" s="65"/>
      <c r="AAH90" s="65"/>
      <c r="AAI90" s="65"/>
      <c r="AAJ90" s="65"/>
      <c r="AAK90" s="65"/>
      <c r="AAL90" s="65"/>
      <c r="AAM90" s="65"/>
      <c r="AAN90" s="65"/>
      <c r="AAO90" s="65"/>
      <c r="AAP90" s="65"/>
      <c r="AAQ90" s="65"/>
      <c r="AAR90" s="65"/>
      <c r="AAS90" s="65"/>
      <c r="AAT90" s="65"/>
      <c r="AAU90" s="65"/>
      <c r="AAV90" s="65"/>
      <c r="AAW90" s="65"/>
      <c r="AAX90" s="65"/>
      <c r="AAY90" s="65"/>
      <c r="AAZ90" s="65"/>
      <c r="ABA90" s="65"/>
      <c r="ABB90" s="65"/>
      <c r="ABC90" s="65"/>
      <c r="ABD90" s="65"/>
      <c r="ABE90" s="65"/>
      <c r="ABF90" s="65"/>
      <c r="ABG90" s="65"/>
      <c r="ABH90" s="65"/>
      <c r="ABI90" s="65"/>
      <c r="ABJ90" s="65"/>
      <c r="ABK90" s="65"/>
      <c r="ABL90" s="65"/>
      <c r="ABM90" s="65"/>
      <c r="ABN90" s="65"/>
    </row>
    <row r="91" spans="1:742" ht="34.5" customHeight="1" x14ac:dyDescent="0.25">
      <c r="A91" s="94">
        <v>2025</v>
      </c>
      <c r="B91" s="234">
        <v>4</v>
      </c>
      <c r="C91" s="351">
        <v>22598</v>
      </c>
      <c r="D91" s="274">
        <v>45772</v>
      </c>
      <c r="E91" s="90" t="s">
        <v>1699</v>
      </c>
      <c r="F91" s="90" t="s">
        <v>1072</v>
      </c>
      <c r="G91" s="94" t="s">
        <v>143</v>
      </c>
      <c r="H91" s="94">
        <v>6189820</v>
      </c>
      <c r="I91" s="94">
        <v>301038922</v>
      </c>
      <c r="J91" s="89">
        <v>45784</v>
      </c>
      <c r="K91" s="94" t="s">
        <v>84</v>
      </c>
      <c r="L91" s="91" t="s">
        <v>1073</v>
      </c>
      <c r="M91" s="94" t="s">
        <v>136</v>
      </c>
      <c r="N91" s="94">
        <v>5909</v>
      </c>
      <c r="O91" s="94" t="s">
        <v>136</v>
      </c>
      <c r="P91" s="94" t="s">
        <v>136</v>
      </c>
      <c r="Q91" s="94" t="s">
        <v>136</v>
      </c>
      <c r="R91" s="94" t="s">
        <v>134</v>
      </c>
      <c r="S91" s="94" t="s">
        <v>136</v>
      </c>
      <c r="T91" s="94" t="s">
        <v>136</v>
      </c>
      <c r="U91" s="94" t="s">
        <v>136</v>
      </c>
      <c r="V91" s="90" t="s">
        <v>119</v>
      </c>
      <c r="W91" s="89">
        <v>45787</v>
      </c>
      <c r="X91" s="89">
        <v>45796</v>
      </c>
      <c r="Y91" s="94"/>
      <c r="Z91" s="134" t="s">
        <v>85</v>
      </c>
      <c r="AA91" s="219">
        <v>200000</v>
      </c>
      <c r="AB91" s="94">
        <v>5858</v>
      </c>
      <c r="AC91" s="92">
        <v>168067</v>
      </c>
      <c r="AD91" s="235">
        <f t="shared" si="6"/>
        <v>199999.72999999998</v>
      </c>
      <c r="AE91" s="92">
        <v>0</v>
      </c>
      <c r="AF91" s="94"/>
      <c r="AG91" s="214"/>
      <c r="AH91" s="334">
        <v>45772</v>
      </c>
      <c r="AI91" s="89">
        <v>45807</v>
      </c>
      <c r="AJ91" s="94" t="s">
        <v>1705</v>
      </c>
      <c r="AK91" s="94"/>
    </row>
    <row r="92" spans="1:742" ht="75" x14ac:dyDescent="0.25">
      <c r="A92" s="99">
        <v>2025</v>
      </c>
      <c r="B92" s="233">
        <v>4</v>
      </c>
      <c r="C92" s="356">
        <v>22599</v>
      </c>
      <c r="D92" s="278">
        <v>45772</v>
      </c>
      <c r="E92" s="100" t="s">
        <v>1086</v>
      </c>
      <c r="F92" s="100" t="s">
        <v>1086</v>
      </c>
      <c r="G92" s="99" t="s">
        <v>143</v>
      </c>
      <c r="H92" s="99">
        <v>3145853742</v>
      </c>
      <c r="I92" s="99">
        <v>3145853742</v>
      </c>
      <c r="J92" s="97">
        <v>45785</v>
      </c>
      <c r="K92" s="99" t="s">
        <v>84</v>
      </c>
      <c r="L92" s="101" t="s">
        <v>1697</v>
      </c>
      <c r="M92" s="99" t="s">
        <v>136</v>
      </c>
      <c r="N92" s="99">
        <v>5912</v>
      </c>
      <c r="O92" s="99">
        <v>6140</v>
      </c>
      <c r="P92" s="99">
        <v>8936</v>
      </c>
      <c r="Q92" s="99" t="s">
        <v>136</v>
      </c>
      <c r="R92" s="99" t="s">
        <v>136</v>
      </c>
      <c r="S92" s="99" t="s">
        <v>134</v>
      </c>
      <c r="T92" s="99" t="s">
        <v>136</v>
      </c>
      <c r="U92" s="99" t="s">
        <v>136</v>
      </c>
      <c r="V92" s="307" t="s">
        <v>590</v>
      </c>
      <c r="W92" s="97">
        <v>45790</v>
      </c>
      <c r="X92" s="97">
        <v>45792</v>
      </c>
      <c r="Y92" s="99"/>
      <c r="Z92" s="120" t="s">
        <v>85</v>
      </c>
      <c r="AA92" s="117">
        <v>2125949</v>
      </c>
      <c r="AB92" s="99">
        <v>5845</v>
      </c>
      <c r="AC92" s="103">
        <v>1786512</v>
      </c>
      <c r="AD92" s="198">
        <f t="shared" si="6"/>
        <v>2125949.2799999998</v>
      </c>
      <c r="AE92" s="103">
        <v>1063000</v>
      </c>
      <c r="AF92" s="99"/>
      <c r="AG92" s="104"/>
      <c r="AH92" s="258">
        <v>45791</v>
      </c>
      <c r="AI92" s="97">
        <v>45807</v>
      </c>
      <c r="AJ92" s="99" t="s">
        <v>1705</v>
      </c>
      <c r="AK92" s="99"/>
    </row>
    <row r="93" spans="1:742" s="155" customFormat="1" ht="34.5" customHeight="1" x14ac:dyDescent="0.25">
      <c r="A93" s="110">
        <v>2025</v>
      </c>
      <c r="B93" s="230">
        <v>4</v>
      </c>
      <c r="C93" s="152">
        <v>22600</v>
      </c>
      <c r="D93" s="277">
        <v>45773</v>
      </c>
      <c r="E93" s="111" t="s">
        <v>1074</v>
      </c>
      <c r="F93" s="111" t="s">
        <v>1075</v>
      </c>
      <c r="G93" s="110" t="s">
        <v>98</v>
      </c>
      <c r="H93" s="111">
        <v>6046041965</v>
      </c>
      <c r="I93" s="110">
        <v>3043790448</v>
      </c>
      <c r="J93" s="108">
        <v>45786</v>
      </c>
      <c r="K93" s="110" t="s">
        <v>86</v>
      </c>
      <c r="L93" s="112" t="s">
        <v>1535</v>
      </c>
      <c r="M93" s="110" t="s">
        <v>136</v>
      </c>
      <c r="N93" s="110">
        <v>5903</v>
      </c>
      <c r="O93" s="110" t="s">
        <v>136</v>
      </c>
      <c r="P93" s="110">
        <v>8653</v>
      </c>
      <c r="Q93" s="110" t="s">
        <v>136</v>
      </c>
      <c r="R93" s="110" t="s">
        <v>136</v>
      </c>
      <c r="S93" s="110" t="s">
        <v>136</v>
      </c>
      <c r="T93" s="110" t="s">
        <v>136</v>
      </c>
      <c r="U93" s="110" t="s">
        <v>136</v>
      </c>
      <c r="V93" s="111" t="s">
        <v>93</v>
      </c>
      <c r="W93" s="108">
        <v>45783</v>
      </c>
      <c r="X93" s="108">
        <v>45786</v>
      </c>
      <c r="Y93" s="110"/>
      <c r="Z93" s="126" t="s">
        <v>85</v>
      </c>
      <c r="AA93" s="124">
        <v>0</v>
      </c>
      <c r="AB93" s="110">
        <v>5817</v>
      </c>
      <c r="AC93" s="114">
        <v>659663</v>
      </c>
      <c r="AD93" s="212">
        <f t="shared" si="6"/>
        <v>784998.97</v>
      </c>
      <c r="AE93" s="114">
        <v>392500</v>
      </c>
      <c r="AF93" s="110"/>
      <c r="AG93" s="142" t="s">
        <v>1584</v>
      </c>
      <c r="AH93" s="248">
        <v>45784</v>
      </c>
      <c r="AI93" s="108">
        <v>45787</v>
      </c>
      <c r="AJ93" s="110" t="s">
        <v>571</v>
      </c>
      <c r="AK93" s="110"/>
      <c r="AL93" s="65"/>
      <c r="AM93" s="65"/>
      <c r="AN93" s="65"/>
      <c r="AO93" s="65"/>
      <c r="AP93" s="65"/>
      <c r="AQ93" s="65"/>
      <c r="AR93" s="65"/>
      <c r="AS93" s="65"/>
      <c r="AT93" s="65"/>
      <c r="AU93" s="65"/>
      <c r="AV93" s="65"/>
      <c r="AW93" s="65"/>
      <c r="AX93" s="65"/>
      <c r="AY93" s="65"/>
      <c r="AZ93" s="65"/>
      <c r="BA93" s="65"/>
      <c r="BB93" s="65"/>
      <c r="BC93" s="65"/>
      <c r="BD93" s="65"/>
      <c r="BE93" s="65"/>
      <c r="BF93" s="65"/>
      <c r="BG93" s="65"/>
      <c r="BH93" s="65"/>
      <c r="BI93" s="65"/>
      <c r="BJ93" s="65"/>
      <c r="BK93" s="65"/>
      <c r="BL93" s="65"/>
      <c r="BM93" s="65"/>
      <c r="BN93" s="65"/>
      <c r="BO93" s="65"/>
      <c r="BP93" s="65"/>
      <c r="BQ93" s="65"/>
      <c r="BR93" s="65"/>
      <c r="BS93" s="65"/>
      <c r="BT93" s="65"/>
      <c r="BU93" s="65"/>
      <c r="BV93" s="65"/>
      <c r="BW93" s="65"/>
      <c r="BX93" s="65"/>
      <c r="BY93" s="65"/>
      <c r="BZ93" s="65"/>
      <c r="CA93" s="65"/>
      <c r="CB93" s="65"/>
      <c r="CC93" s="65"/>
      <c r="CD93" s="65"/>
      <c r="CE93" s="65"/>
      <c r="CF93" s="65"/>
      <c r="CG93" s="65"/>
      <c r="CH93" s="65"/>
      <c r="CI93" s="65"/>
      <c r="CJ93" s="65"/>
      <c r="CK93" s="65"/>
      <c r="CL93" s="65"/>
      <c r="CM93" s="65"/>
      <c r="CN93" s="65"/>
      <c r="CO93" s="65"/>
      <c r="CP93" s="65"/>
      <c r="CQ93" s="65"/>
      <c r="CR93" s="65"/>
      <c r="CS93" s="65"/>
      <c r="CT93" s="65"/>
      <c r="CU93" s="65"/>
      <c r="CV93" s="65"/>
      <c r="CW93" s="65"/>
      <c r="CX93" s="65"/>
      <c r="CY93" s="65"/>
      <c r="CZ93" s="65"/>
      <c r="DA93" s="65"/>
      <c r="DB93" s="65"/>
      <c r="DC93" s="65"/>
      <c r="DD93" s="65"/>
      <c r="DE93" s="65"/>
      <c r="DF93" s="65"/>
      <c r="DG93" s="65"/>
      <c r="DH93" s="65"/>
      <c r="DI93" s="65"/>
      <c r="DJ93" s="65"/>
      <c r="DK93" s="65"/>
      <c r="DL93" s="65"/>
      <c r="DM93" s="65"/>
      <c r="DN93" s="65"/>
      <c r="DO93" s="65"/>
      <c r="DP93" s="65"/>
      <c r="DQ93" s="65"/>
      <c r="DR93" s="65"/>
      <c r="DS93" s="65"/>
      <c r="DT93" s="65"/>
      <c r="DU93" s="65"/>
      <c r="DV93" s="65"/>
      <c r="DW93" s="65"/>
      <c r="DX93" s="65"/>
      <c r="DY93" s="65"/>
      <c r="DZ93" s="65"/>
      <c r="EA93" s="65"/>
      <c r="EB93" s="65"/>
      <c r="EC93" s="65"/>
      <c r="ED93" s="65"/>
      <c r="EE93" s="65"/>
      <c r="EF93" s="65"/>
      <c r="EG93" s="65"/>
      <c r="EH93" s="65"/>
      <c r="EI93" s="65"/>
      <c r="EJ93" s="65"/>
      <c r="EK93" s="65"/>
      <c r="EL93" s="65"/>
      <c r="EM93" s="65"/>
      <c r="EN93" s="65"/>
      <c r="EO93" s="65"/>
      <c r="EP93" s="65"/>
      <c r="EQ93" s="65"/>
      <c r="ER93" s="65"/>
      <c r="ES93" s="65"/>
      <c r="ET93" s="65"/>
      <c r="EU93" s="65"/>
      <c r="EV93" s="65"/>
      <c r="EW93" s="65"/>
      <c r="EX93" s="65"/>
      <c r="EY93" s="65"/>
      <c r="EZ93" s="65"/>
      <c r="FA93" s="65"/>
      <c r="FB93" s="65"/>
      <c r="FC93" s="65"/>
      <c r="FD93" s="65"/>
      <c r="FE93" s="65"/>
      <c r="FF93" s="65"/>
      <c r="FG93" s="65"/>
      <c r="FH93" s="65"/>
      <c r="FI93" s="65"/>
      <c r="FJ93" s="65"/>
      <c r="FK93" s="65"/>
      <c r="FL93" s="65"/>
      <c r="FM93" s="65"/>
      <c r="FN93" s="65"/>
      <c r="FO93" s="65"/>
      <c r="FP93" s="65"/>
      <c r="FQ93" s="65"/>
      <c r="FR93" s="65"/>
      <c r="FS93" s="65"/>
      <c r="FT93" s="65"/>
      <c r="FU93" s="65"/>
      <c r="FV93" s="65"/>
      <c r="FW93" s="65"/>
      <c r="FX93" s="65"/>
      <c r="FY93" s="65"/>
      <c r="FZ93" s="65"/>
      <c r="GA93" s="65"/>
      <c r="GB93" s="65"/>
      <c r="GC93" s="65"/>
      <c r="GD93" s="65"/>
      <c r="GE93" s="65"/>
      <c r="GF93" s="65"/>
      <c r="GG93" s="65"/>
      <c r="GH93" s="65"/>
      <c r="GI93" s="65"/>
      <c r="GJ93" s="65"/>
      <c r="GK93" s="65"/>
      <c r="GL93" s="65"/>
      <c r="GM93" s="65"/>
      <c r="GN93" s="65"/>
      <c r="GO93" s="65"/>
      <c r="GP93" s="65"/>
      <c r="GQ93" s="65"/>
      <c r="GR93" s="65"/>
      <c r="GS93" s="65"/>
      <c r="GT93" s="65"/>
      <c r="GU93" s="65"/>
      <c r="GV93" s="65"/>
      <c r="GW93" s="65"/>
      <c r="GX93" s="65"/>
      <c r="GY93" s="65"/>
      <c r="GZ93" s="65"/>
      <c r="HA93" s="65"/>
      <c r="HB93" s="65"/>
      <c r="HC93" s="65"/>
      <c r="HD93" s="65"/>
      <c r="HE93" s="65"/>
      <c r="HF93" s="65"/>
      <c r="HG93" s="65"/>
      <c r="HH93" s="65"/>
      <c r="HI93" s="65"/>
      <c r="HJ93" s="65"/>
      <c r="HK93" s="65"/>
      <c r="HL93" s="65"/>
      <c r="HM93" s="65"/>
      <c r="HN93" s="65"/>
      <c r="HO93" s="65"/>
      <c r="HP93" s="65"/>
      <c r="HQ93" s="65"/>
      <c r="HR93" s="65"/>
      <c r="HS93" s="65"/>
      <c r="HT93" s="65"/>
      <c r="HU93" s="65"/>
      <c r="HV93" s="65"/>
      <c r="HW93" s="65"/>
      <c r="HX93" s="65"/>
      <c r="HY93" s="65"/>
      <c r="HZ93" s="65"/>
      <c r="IA93" s="65"/>
      <c r="IB93" s="65"/>
      <c r="IC93" s="65"/>
      <c r="ID93" s="65"/>
      <c r="IE93" s="65"/>
      <c r="IF93" s="65"/>
      <c r="IG93" s="65"/>
      <c r="IH93" s="65"/>
      <c r="II93" s="65"/>
      <c r="IJ93" s="65"/>
      <c r="IK93" s="65"/>
      <c r="IL93" s="65"/>
      <c r="IM93" s="65"/>
      <c r="IN93" s="65"/>
      <c r="IO93" s="65"/>
      <c r="IP93" s="65"/>
      <c r="IQ93" s="65"/>
      <c r="IR93" s="65"/>
      <c r="IS93" s="65"/>
      <c r="IT93" s="65"/>
      <c r="IU93" s="65"/>
      <c r="IV93" s="65"/>
      <c r="IW93" s="65"/>
      <c r="IX93" s="65"/>
      <c r="IY93" s="65"/>
      <c r="IZ93" s="65"/>
      <c r="JA93" s="65"/>
      <c r="JB93" s="65"/>
      <c r="JC93" s="65"/>
      <c r="JD93" s="65"/>
      <c r="JE93" s="65"/>
      <c r="JF93" s="65"/>
      <c r="JG93" s="65"/>
      <c r="JH93" s="65"/>
      <c r="JI93" s="65"/>
      <c r="JJ93" s="65"/>
      <c r="JK93" s="65"/>
      <c r="JL93" s="65"/>
      <c r="JM93" s="65"/>
      <c r="JN93" s="65"/>
      <c r="JO93" s="65"/>
      <c r="JP93" s="65"/>
      <c r="JQ93" s="65"/>
      <c r="JR93" s="65"/>
      <c r="JS93" s="65"/>
      <c r="JT93" s="65"/>
      <c r="JU93" s="65"/>
      <c r="JV93" s="65"/>
      <c r="JW93" s="65"/>
      <c r="JX93" s="65"/>
      <c r="JY93" s="65"/>
      <c r="JZ93" s="65"/>
      <c r="KA93" s="65"/>
      <c r="KB93" s="65"/>
      <c r="KC93" s="65"/>
      <c r="KD93" s="65"/>
      <c r="KE93" s="65"/>
      <c r="KF93" s="65"/>
      <c r="KG93" s="65"/>
      <c r="KH93" s="65"/>
      <c r="KI93" s="65"/>
      <c r="KJ93" s="65"/>
      <c r="KK93" s="65"/>
      <c r="KL93" s="65"/>
      <c r="KM93" s="65"/>
      <c r="KN93" s="65"/>
      <c r="KO93" s="65"/>
      <c r="KP93" s="65"/>
      <c r="KQ93" s="65"/>
      <c r="KR93" s="65"/>
      <c r="KS93" s="65"/>
      <c r="KT93" s="65"/>
      <c r="KU93" s="65"/>
      <c r="KV93" s="65"/>
      <c r="KW93" s="65"/>
      <c r="KX93" s="65"/>
      <c r="KY93" s="65"/>
      <c r="KZ93" s="65"/>
      <c r="LA93" s="65"/>
      <c r="LB93" s="65"/>
      <c r="LC93" s="65"/>
      <c r="LD93" s="65"/>
      <c r="LE93" s="65"/>
      <c r="LF93" s="65"/>
      <c r="LG93" s="65"/>
      <c r="LH93" s="65"/>
      <c r="LI93" s="65"/>
      <c r="LJ93" s="65"/>
      <c r="LK93" s="65"/>
      <c r="LL93" s="65"/>
      <c r="LM93" s="65"/>
      <c r="LN93" s="65"/>
      <c r="LO93" s="65"/>
      <c r="LP93" s="65"/>
      <c r="LQ93" s="65"/>
      <c r="LR93" s="65"/>
      <c r="LS93" s="65"/>
      <c r="LT93" s="65"/>
      <c r="LU93" s="65"/>
      <c r="LV93" s="65"/>
      <c r="LW93" s="65"/>
      <c r="LX93" s="65"/>
      <c r="LY93" s="65"/>
      <c r="LZ93" s="65"/>
      <c r="MA93" s="65"/>
      <c r="MB93" s="65"/>
      <c r="MC93" s="65"/>
      <c r="MD93" s="65"/>
      <c r="ME93" s="65"/>
      <c r="MF93" s="65"/>
      <c r="MG93" s="65"/>
      <c r="MH93" s="65"/>
      <c r="MI93" s="65"/>
      <c r="MJ93" s="65"/>
      <c r="MK93" s="65"/>
      <c r="ML93" s="65"/>
      <c r="MM93" s="65"/>
      <c r="MN93" s="65"/>
      <c r="MO93" s="65"/>
      <c r="MP93" s="65"/>
      <c r="MQ93" s="65"/>
      <c r="MR93" s="65"/>
      <c r="MS93" s="65"/>
      <c r="MT93" s="65"/>
      <c r="MU93" s="65"/>
      <c r="MV93" s="65"/>
      <c r="MW93" s="65"/>
      <c r="MX93" s="65"/>
      <c r="MY93" s="65"/>
      <c r="MZ93" s="65"/>
      <c r="NA93" s="65"/>
      <c r="NB93" s="65"/>
      <c r="NC93" s="65"/>
      <c r="ND93" s="65"/>
      <c r="NE93" s="65"/>
      <c r="NF93" s="65"/>
      <c r="NG93" s="65"/>
      <c r="NH93" s="65"/>
      <c r="NI93" s="65"/>
      <c r="NJ93" s="65"/>
      <c r="NK93" s="65"/>
      <c r="NL93" s="65"/>
      <c r="NM93" s="65"/>
      <c r="NN93" s="65"/>
      <c r="NO93" s="65"/>
      <c r="NP93" s="65"/>
      <c r="NQ93" s="65"/>
      <c r="NR93" s="65"/>
      <c r="NS93" s="65"/>
      <c r="NT93" s="65"/>
      <c r="NU93" s="65"/>
      <c r="NV93" s="65"/>
      <c r="NW93" s="65"/>
      <c r="NX93" s="65"/>
      <c r="NY93" s="65"/>
      <c r="NZ93" s="65"/>
      <c r="OA93" s="65"/>
      <c r="OB93" s="65"/>
      <c r="OC93" s="65"/>
      <c r="OD93" s="65"/>
      <c r="OE93" s="65"/>
      <c r="OF93" s="65"/>
      <c r="OG93" s="65"/>
      <c r="OH93" s="65"/>
      <c r="OI93" s="65"/>
      <c r="OJ93" s="65"/>
      <c r="OK93" s="65"/>
      <c r="OL93" s="65"/>
      <c r="OM93" s="65"/>
      <c r="ON93" s="65"/>
      <c r="OO93" s="65"/>
      <c r="OP93" s="65"/>
      <c r="OQ93" s="65"/>
      <c r="OR93" s="65"/>
      <c r="OS93" s="65"/>
      <c r="OT93" s="65"/>
      <c r="OU93" s="65"/>
      <c r="OV93" s="65"/>
      <c r="OW93" s="65"/>
      <c r="OX93" s="65"/>
      <c r="OY93" s="65"/>
      <c r="OZ93" s="65"/>
      <c r="PA93" s="65"/>
      <c r="PB93" s="65"/>
      <c r="PC93" s="65"/>
      <c r="PD93" s="65"/>
      <c r="PE93" s="65"/>
      <c r="PF93" s="65"/>
      <c r="PG93" s="65"/>
      <c r="PH93" s="65"/>
      <c r="PI93" s="65"/>
      <c r="PJ93" s="65"/>
      <c r="PK93" s="65"/>
      <c r="PL93" s="65"/>
      <c r="PM93" s="65"/>
      <c r="PN93" s="65"/>
      <c r="PO93" s="65"/>
      <c r="PP93" s="65"/>
      <c r="PQ93" s="65"/>
      <c r="PR93" s="65"/>
      <c r="PS93" s="65"/>
      <c r="PT93" s="65"/>
      <c r="PU93" s="65"/>
      <c r="PV93" s="65"/>
      <c r="PW93" s="65"/>
      <c r="PX93" s="65"/>
      <c r="PY93" s="65"/>
      <c r="PZ93" s="65"/>
      <c r="QA93" s="65"/>
      <c r="QB93" s="65"/>
      <c r="QC93" s="65"/>
      <c r="QD93" s="65"/>
      <c r="QE93" s="65"/>
      <c r="QF93" s="65"/>
      <c r="QG93" s="65"/>
      <c r="QH93" s="65"/>
      <c r="QI93" s="65"/>
      <c r="QJ93" s="65"/>
      <c r="QK93" s="65"/>
      <c r="QL93" s="65"/>
      <c r="QM93" s="65"/>
      <c r="QN93" s="65"/>
      <c r="QO93" s="65"/>
      <c r="QP93" s="65"/>
      <c r="QQ93" s="65"/>
      <c r="QR93" s="65"/>
      <c r="QS93" s="65"/>
      <c r="QT93" s="65"/>
      <c r="QU93" s="65"/>
      <c r="QV93" s="65"/>
      <c r="QW93" s="65"/>
      <c r="QX93" s="65"/>
      <c r="QY93" s="65"/>
      <c r="QZ93" s="65"/>
      <c r="RA93" s="65"/>
      <c r="RB93" s="65"/>
      <c r="RC93" s="65"/>
      <c r="RD93" s="65"/>
      <c r="RE93" s="65"/>
      <c r="RF93" s="65"/>
      <c r="RG93" s="65"/>
      <c r="RH93" s="65"/>
      <c r="RI93" s="65"/>
      <c r="RJ93" s="65"/>
      <c r="RK93" s="65"/>
      <c r="RL93" s="65"/>
      <c r="RM93" s="65"/>
      <c r="RN93" s="65"/>
      <c r="RO93" s="65"/>
      <c r="RP93" s="65"/>
      <c r="RQ93" s="65"/>
      <c r="RR93" s="65"/>
      <c r="RS93" s="65"/>
      <c r="RT93" s="65"/>
      <c r="RU93" s="65"/>
      <c r="RV93" s="65"/>
      <c r="RW93" s="65"/>
      <c r="RX93" s="65"/>
      <c r="RY93" s="65"/>
      <c r="RZ93" s="65"/>
      <c r="SA93" s="65"/>
      <c r="SB93" s="65"/>
      <c r="SC93" s="65"/>
      <c r="SD93" s="65"/>
      <c r="SE93" s="65"/>
      <c r="SF93" s="65"/>
      <c r="SG93" s="65"/>
      <c r="SH93" s="65"/>
      <c r="SI93" s="65"/>
      <c r="SJ93" s="65"/>
      <c r="SK93" s="65"/>
      <c r="SL93" s="65"/>
      <c r="SM93" s="65"/>
      <c r="SN93" s="65"/>
      <c r="SO93" s="65"/>
      <c r="SP93" s="65"/>
      <c r="SQ93" s="65"/>
      <c r="SR93" s="65"/>
      <c r="SS93" s="65"/>
      <c r="ST93" s="65"/>
      <c r="SU93" s="65"/>
      <c r="SV93" s="65"/>
      <c r="SW93" s="65"/>
      <c r="SX93" s="65"/>
      <c r="SY93" s="65"/>
      <c r="SZ93" s="65"/>
      <c r="TA93" s="65"/>
      <c r="TB93" s="65"/>
      <c r="TC93" s="65"/>
      <c r="TD93" s="65"/>
      <c r="TE93" s="65"/>
      <c r="TF93" s="65"/>
      <c r="TG93" s="65"/>
      <c r="TH93" s="65"/>
      <c r="TI93" s="65"/>
      <c r="TJ93" s="65"/>
      <c r="TK93" s="65"/>
      <c r="TL93" s="65"/>
      <c r="TM93" s="65"/>
      <c r="TN93" s="65"/>
      <c r="TO93" s="65"/>
      <c r="TP93" s="65"/>
      <c r="TQ93" s="65"/>
      <c r="TR93" s="65"/>
      <c r="TS93" s="65"/>
      <c r="TT93" s="65"/>
      <c r="TU93" s="65"/>
      <c r="TV93" s="65"/>
      <c r="TW93" s="65"/>
      <c r="TX93" s="65"/>
      <c r="TY93" s="65"/>
      <c r="TZ93" s="65"/>
      <c r="UA93" s="65"/>
      <c r="UB93" s="65"/>
      <c r="UC93" s="65"/>
      <c r="UD93" s="65"/>
      <c r="UE93" s="65"/>
      <c r="UF93" s="65"/>
      <c r="UG93" s="65"/>
      <c r="UH93" s="65"/>
      <c r="UI93" s="65"/>
      <c r="UJ93" s="65"/>
      <c r="UK93" s="65"/>
      <c r="UL93" s="65"/>
      <c r="UM93" s="65"/>
      <c r="UN93" s="65"/>
      <c r="UO93" s="65"/>
      <c r="UP93" s="65"/>
      <c r="UQ93" s="65"/>
      <c r="UR93" s="65"/>
      <c r="US93" s="65"/>
      <c r="UT93" s="65"/>
      <c r="UU93" s="65"/>
      <c r="UV93" s="65"/>
      <c r="UW93" s="65"/>
      <c r="UX93" s="65"/>
      <c r="UY93" s="65"/>
      <c r="UZ93" s="65"/>
      <c r="VA93" s="65"/>
      <c r="VB93" s="65"/>
      <c r="VC93" s="65"/>
      <c r="VD93" s="65"/>
      <c r="VE93" s="65"/>
      <c r="VF93" s="65"/>
      <c r="VG93" s="65"/>
      <c r="VH93" s="65"/>
      <c r="VI93" s="65"/>
      <c r="VJ93" s="65"/>
      <c r="VK93" s="65"/>
      <c r="VL93" s="65"/>
      <c r="VM93" s="65"/>
      <c r="VN93" s="65"/>
      <c r="VO93" s="65"/>
      <c r="VP93" s="65"/>
      <c r="VQ93" s="65"/>
      <c r="VR93" s="65"/>
      <c r="VS93" s="65"/>
      <c r="VT93" s="65"/>
      <c r="VU93" s="65"/>
      <c r="VV93" s="65"/>
      <c r="VW93" s="65"/>
      <c r="VX93" s="65"/>
      <c r="VY93" s="65"/>
      <c r="VZ93" s="65"/>
      <c r="WA93" s="65"/>
      <c r="WB93" s="65"/>
      <c r="WC93" s="65"/>
      <c r="WD93" s="65"/>
      <c r="WE93" s="65"/>
      <c r="WF93" s="65"/>
      <c r="WG93" s="65"/>
      <c r="WH93" s="65"/>
      <c r="WI93" s="65"/>
      <c r="WJ93" s="65"/>
      <c r="WK93" s="65"/>
      <c r="WL93" s="65"/>
      <c r="WM93" s="65"/>
      <c r="WN93" s="65"/>
      <c r="WO93" s="65"/>
      <c r="WP93" s="65"/>
      <c r="WQ93" s="65"/>
      <c r="WR93" s="65"/>
      <c r="WS93" s="65"/>
      <c r="WT93" s="65"/>
      <c r="WU93" s="65"/>
      <c r="WV93" s="65"/>
      <c r="WW93" s="65"/>
      <c r="WX93" s="65"/>
      <c r="WY93" s="65"/>
      <c r="WZ93" s="65"/>
      <c r="XA93" s="65"/>
      <c r="XB93" s="65"/>
      <c r="XC93" s="65"/>
      <c r="XD93" s="65"/>
      <c r="XE93" s="65"/>
      <c r="XF93" s="65"/>
      <c r="XG93" s="65"/>
      <c r="XH93" s="65"/>
      <c r="XI93" s="65"/>
      <c r="XJ93" s="65"/>
      <c r="XK93" s="65"/>
      <c r="XL93" s="65"/>
      <c r="XM93" s="65"/>
      <c r="XN93" s="65"/>
      <c r="XO93" s="65"/>
      <c r="XP93" s="65"/>
      <c r="XQ93" s="65"/>
      <c r="XR93" s="65"/>
      <c r="XS93" s="65"/>
      <c r="XT93" s="65"/>
      <c r="XU93" s="65"/>
      <c r="XV93" s="65"/>
      <c r="XW93" s="65"/>
      <c r="XX93" s="65"/>
      <c r="XY93" s="65"/>
      <c r="XZ93" s="65"/>
      <c r="YA93" s="65"/>
      <c r="YB93" s="65"/>
      <c r="YC93" s="65"/>
      <c r="YD93" s="65"/>
      <c r="YE93" s="65"/>
      <c r="YF93" s="65"/>
      <c r="YG93" s="65"/>
      <c r="YH93" s="65"/>
      <c r="YI93" s="65"/>
      <c r="YJ93" s="65"/>
      <c r="YK93" s="65"/>
      <c r="YL93" s="65"/>
      <c r="YM93" s="65"/>
      <c r="YN93" s="65"/>
      <c r="YO93" s="65"/>
      <c r="YP93" s="65"/>
      <c r="YQ93" s="65"/>
      <c r="YR93" s="65"/>
      <c r="YS93" s="65"/>
      <c r="YT93" s="65"/>
      <c r="YU93" s="65"/>
      <c r="YV93" s="65"/>
      <c r="YW93" s="65"/>
      <c r="YX93" s="65"/>
      <c r="YY93" s="65"/>
      <c r="YZ93" s="65"/>
      <c r="ZA93" s="65"/>
      <c r="ZB93" s="65"/>
      <c r="ZC93" s="65"/>
      <c r="ZD93" s="65"/>
      <c r="ZE93" s="65"/>
      <c r="ZF93" s="65"/>
      <c r="ZG93" s="65"/>
      <c r="ZH93" s="65"/>
      <c r="ZI93" s="65"/>
      <c r="ZJ93" s="65"/>
      <c r="ZK93" s="65"/>
      <c r="ZL93" s="65"/>
      <c r="ZM93" s="65"/>
      <c r="ZN93" s="65"/>
      <c r="ZO93" s="65"/>
      <c r="ZP93" s="65"/>
      <c r="ZQ93" s="65"/>
      <c r="ZR93" s="65"/>
      <c r="ZS93" s="65"/>
      <c r="ZT93" s="65"/>
      <c r="ZU93" s="65"/>
      <c r="ZV93" s="65"/>
      <c r="ZW93" s="65"/>
      <c r="ZX93" s="65"/>
      <c r="ZY93" s="65"/>
      <c r="ZZ93" s="65"/>
      <c r="AAA93" s="65"/>
      <c r="AAB93" s="65"/>
      <c r="AAC93" s="65"/>
      <c r="AAD93" s="65"/>
      <c r="AAE93" s="65"/>
      <c r="AAF93" s="65"/>
      <c r="AAG93" s="65"/>
      <c r="AAH93" s="65"/>
      <c r="AAI93" s="65"/>
      <c r="AAJ93" s="65"/>
      <c r="AAK93" s="65"/>
      <c r="AAL93" s="65"/>
      <c r="AAM93" s="65"/>
      <c r="AAN93" s="65"/>
      <c r="AAO93" s="65"/>
      <c r="AAP93" s="65"/>
      <c r="AAQ93" s="65"/>
      <c r="AAR93" s="65"/>
      <c r="AAS93" s="65"/>
      <c r="AAT93" s="65"/>
      <c r="AAU93" s="65"/>
      <c r="AAV93" s="65"/>
      <c r="AAW93" s="65"/>
      <c r="AAX93" s="65"/>
      <c r="AAY93" s="65"/>
      <c r="AAZ93" s="65"/>
      <c r="ABA93" s="65"/>
      <c r="ABB93" s="65"/>
      <c r="ABC93" s="65"/>
      <c r="ABD93" s="65"/>
      <c r="ABE93" s="65"/>
      <c r="ABF93" s="65"/>
      <c r="ABG93" s="65"/>
      <c r="ABH93" s="65"/>
      <c r="ABI93" s="65"/>
      <c r="ABJ93" s="65"/>
      <c r="ABK93" s="65"/>
      <c r="ABL93" s="65"/>
      <c r="ABM93" s="65"/>
      <c r="ABN93" s="65"/>
    </row>
    <row r="94" spans="1:742" ht="90" x14ac:dyDescent="0.25">
      <c r="A94" s="99">
        <v>2025</v>
      </c>
      <c r="B94" s="233">
        <v>4</v>
      </c>
      <c r="C94" s="356">
        <v>22601</v>
      </c>
      <c r="D94" s="278">
        <v>45773</v>
      </c>
      <c r="E94" s="100" t="s">
        <v>1087</v>
      </c>
      <c r="F94" s="100" t="s">
        <v>1088</v>
      </c>
      <c r="G94" s="99" t="s">
        <v>150</v>
      </c>
      <c r="H94" s="99">
        <v>6044483227</v>
      </c>
      <c r="I94" s="99">
        <v>6044483227</v>
      </c>
      <c r="J94" s="97">
        <v>45787</v>
      </c>
      <c r="K94" s="99" t="s">
        <v>88</v>
      </c>
      <c r="L94" s="101" t="s">
        <v>1692</v>
      </c>
      <c r="M94" s="100" t="s">
        <v>1089</v>
      </c>
      <c r="N94" s="99">
        <v>5904</v>
      </c>
      <c r="O94" s="99">
        <v>6143</v>
      </c>
      <c r="P94" s="99">
        <v>8398</v>
      </c>
      <c r="Q94" s="99">
        <v>5536</v>
      </c>
      <c r="R94" s="99" t="s">
        <v>136</v>
      </c>
      <c r="S94" s="99" t="s">
        <v>134</v>
      </c>
      <c r="T94" s="99" t="s">
        <v>134</v>
      </c>
      <c r="U94" s="99" t="s">
        <v>136</v>
      </c>
      <c r="V94" s="100" t="s">
        <v>89</v>
      </c>
      <c r="W94" s="97">
        <v>45790</v>
      </c>
      <c r="X94" s="97"/>
      <c r="Y94" s="99"/>
      <c r="Z94" s="120" t="s">
        <v>90</v>
      </c>
      <c r="AA94" s="122">
        <v>0</v>
      </c>
      <c r="AB94" s="99">
        <v>5935</v>
      </c>
      <c r="AC94" s="103">
        <v>5162315</v>
      </c>
      <c r="AD94" s="198">
        <f t="shared" si="6"/>
        <v>6143154.8499999996</v>
      </c>
      <c r="AE94" s="103">
        <v>0</v>
      </c>
      <c r="AF94" s="99"/>
      <c r="AG94" s="104" t="s">
        <v>1693</v>
      </c>
      <c r="AH94" s="233"/>
      <c r="AI94" s="97">
        <v>45792</v>
      </c>
      <c r="AJ94" s="99" t="s">
        <v>571</v>
      </c>
      <c r="AK94" s="99"/>
    </row>
    <row r="95" spans="1:742" s="207" customFormat="1" ht="34.5" customHeight="1" x14ac:dyDescent="0.25">
      <c r="A95" s="99">
        <v>2025</v>
      </c>
      <c r="B95" s="233">
        <v>4</v>
      </c>
      <c r="C95" s="356">
        <v>22602</v>
      </c>
      <c r="D95" s="278">
        <v>45773</v>
      </c>
      <c r="E95" s="100" t="s">
        <v>1095</v>
      </c>
      <c r="F95" s="100" t="s">
        <v>1096</v>
      </c>
      <c r="G95" s="99" t="s">
        <v>98</v>
      </c>
      <c r="H95" s="99">
        <v>3002651792</v>
      </c>
      <c r="I95" s="99">
        <v>3002651792</v>
      </c>
      <c r="J95" s="99">
        <v>3002651792</v>
      </c>
      <c r="K95" s="99" t="s">
        <v>88</v>
      </c>
      <c r="L95" s="101" t="s">
        <v>1097</v>
      </c>
      <c r="M95" s="99" t="s">
        <v>136</v>
      </c>
      <c r="N95" s="99">
        <v>5913</v>
      </c>
      <c r="O95" s="99">
        <v>6154</v>
      </c>
      <c r="P95" s="99" t="s">
        <v>136</v>
      </c>
      <c r="Q95" s="99">
        <v>5542</v>
      </c>
      <c r="R95" s="99" t="s">
        <v>136</v>
      </c>
      <c r="S95" s="99" t="s">
        <v>134</v>
      </c>
      <c r="T95" s="99" t="s">
        <v>134</v>
      </c>
      <c r="U95" s="99" t="s">
        <v>136</v>
      </c>
      <c r="V95" s="307" t="s">
        <v>590</v>
      </c>
      <c r="W95" s="97">
        <v>45785</v>
      </c>
      <c r="X95" s="97">
        <v>45792</v>
      </c>
      <c r="Y95" s="99"/>
      <c r="Z95" s="120" t="s">
        <v>85</v>
      </c>
      <c r="AA95" s="122">
        <v>0</v>
      </c>
      <c r="AB95" s="99">
        <v>5836</v>
      </c>
      <c r="AC95" s="103">
        <v>555577</v>
      </c>
      <c r="AD95" s="198">
        <f t="shared" si="6"/>
        <v>661136.63</v>
      </c>
      <c r="AE95" s="103">
        <v>661137</v>
      </c>
      <c r="AF95" s="99"/>
      <c r="AG95" s="104"/>
      <c r="AH95" s="258">
        <v>45790</v>
      </c>
      <c r="AI95" s="97">
        <v>45799</v>
      </c>
      <c r="AJ95" s="99" t="s">
        <v>1705</v>
      </c>
      <c r="AK95" s="99"/>
      <c r="AL95" s="65"/>
      <c r="AM95" s="65"/>
      <c r="AN95" s="65"/>
      <c r="AO95" s="65"/>
      <c r="AP95" s="65"/>
      <c r="AQ95" s="65"/>
      <c r="AR95" s="65"/>
      <c r="AS95" s="65"/>
      <c r="AT95" s="65"/>
      <c r="AU95" s="65"/>
      <c r="AV95" s="65"/>
      <c r="AW95" s="65"/>
      <c r="AX95" s="65"/>
      <c r="AY95" s="65"/>
      <c r="AZ95" s="65"/>
      <c r="BA95" s="65"/>
      <c r="BB95" s="65"/>
      <c r="BC95" s="65"/>
      <c r="BD95" s="65"/>
      <c r="BE95" s="65"/>
      <c r="BF95" s="65"/>
      <c r="BG95" s="65"/>
      <c r="BH95" s="65"/>
      <c r="BI95" s="65"/>
      <c r="BJ95" s="65"/>
      <c r="BK95" s="65"/>
      <c r="BL95" s="65"/>
      <c r="BM95" s="65"/>
      <c r="BN95" s="65"/>
      <c r="BO95" s="65"/>
      <c r="BP95" s="65"/>
      <c r="BQ95" s="65"/>
      <c r="BR95" s="65"/>
      <c r="BS95" s="65"/>
      <c r="BT95" s="65"/>
      <c r="BU95" s="65"/>
      <c r="BV95" s="65"/>
      <c r="BW95" s="65"/>
      <c r="BX95" s="65"/>
      <c r="BY95" s="65"/>
      <c r="BZ95" s="65"/>
      <c r="CA95" s="65"/>
      <c r="CB95" s="65"/>
      <c r="CC95" s="65"/>
      <c r="CD95" s="65"/>
      <c r="CE95" s="65"/>
      <c r="CF95" s="65"/>
      <c r="CG95" s="65"/>
      <c r="CH95" s="65"/>
      <c r="CI95" s="65"/>
      <c r="CJ95" s="65"/>
      <c r="CK95" s="65"/>
      <c r="CL95" s="65"/>
      <c r="CM95" s="65"/>
      <c r="CN95" s="65"/>
      <c r="CO95" s="65"/>
      <c r="CP95" s="65"/>
      <c r="CQ95" s="65"/>
      <c r="CR95" s="65"/>
      <c r="CS95" s="65"/>
      <c r="CT95" s="65"/>
      <c r="CU95" s="65"/>
      <c r="CV95" s="65"/>
      <c r="CW95" s="65"/>
      <c r="CX95" s="65"/>
      <c r="CY95" s="65"/>
      <c r="CZ95" s="65"/>
      <c r="DA95" s="65"/>
      <c r="DB95" s="65"/>
      <c r="DC95" s="65"/>
      <c r="DD95" s="65"/>
      <c r="DE95" s="65"/>
      <c r="DF95" s="65"/>
      <c r="DG95" s="65"/>
      <c r="DH95" s="65"/>
      <c r="DI95" s="65"/>
      <c r="DJ95" s="65"/>
      <c r="DK95" s="65"/>
      <c r="DL95" s="65"/>
      <c r="DM95" s="65"/>
      <c r="DN95" s="65"/>
      <c r="DO95" s="65"/>
      <c r="DP95" s="65"/>
      <c r="DQ95" s="65"/>
      <c r="DR95" s="65"/>
      <c r="DS95" s="65"/>
      <c r="DT95" s="65"/>
      <c r="DU95" s="65"/>
      <c r="DV95" s="65"/>
      <c r="DW95" s="65"/>
      <c r="DX95" s="65"/>
      <c r="DY95" s="65"/>
      <c r="DZ95" s="65"/>
      <c r="EA95" s="65"/>
      <c r="EB95" s="65"/>
      <c r="EC95" s="65"/>
      <c r="ED95" s="65"/>
      <c r="EE95" s="65"/>
      <c r="EF95" s="65"/>
      <c r="EG95" s="65"/>
      <c r="EH95" s="65"/>
      <c r="EI95" s="65"/>
      <c r="EJ95" s="65"/>
      <c r="EK95" s="65"/>
      <c r="EL95" s="65"/>
      <c r="EM95" s="65"/>
      <c r="EN95" s="65"/>
      <c r="EO95" s="65"/>
      <c r="EP95" s="65"/>
      <c r="EQ95" s="65"/>
      <c r="ER95" s="65"/>
      <c r="ES95" s="65"/>
      <c r="ET95" s="65"/>
      <c r="EU95" s="65"/>
      <c r="EV95" s="65"/>
      <c r="EW95" s="65"/>
      <c r="EX95" s="65"/>
      <c r="EY95" s="65"/>
      <c r="EZ95" s="65"/>
      <c r="FA95" s="65"/>
      <c r="FB95" s="65"/>
      <c r="FC95" s="65"/>
      <c r="FD95" s="65"/>
      <c r="FE95" s="65"/>
      <c r="FF95" s="65"/>
      <c r="FG95" s="65"/>
      <c r="FH95" s="65"/>
      <c r="FI95" s="65"/>
      <c r="FJ95" s="65"/>
      <c r="FK95" s="65"/>
      <c r="FL95" s="65"/>
      <c r="FM95" s="65"/>
      <c r="FN95" s="65"/>
      <c r="FO95" s="65"/>
      <c r="FP95" s="65"/>
      <c r="FQ95" s="65"/>
      <c r="FR95" s="65"/>
      <c r="FS95" s="65"/>
      <c r="FT95" s="65"/>
      <c r="FU95" s="65"/>
      <c r="FV95" s="65"/>
      <c r="FW95" s="65"/>
      <c r="FX95" s="65"/>
      <c r="FY95" s="65"/>
      <c r="FZ95" s="65"/>
      <c r="GA95" s="65"/>
      <c r="GB95" s="65"/>
      <c r="GC95" s="65"/>
      <c r="GD95" s="65"/>
      <c r="GE95" s="65"/>
      <c r="GF95" s="65"/>
      <c r="GG95" s="65"/>
      <c r="GH95" s="65"/>
      <c r="GI95" s="65"/>
      <c r="GJ95" s="65"/>
      <c r="GK95" s="65"/>
      <c r="GL95" s="65"/>
      <c r="GM95" s="65"/>
      <c r="GN95" s="65"/>
      <c r="GO95" s="65"/>
      <c r="GP95" s="65"/>
      <c r="GQ95" s="65"/>
      <c r="GR95" s="65"/>
      <c r="GS95" s="65"/>
      <c r="GT95" s="65"/>
      <c r="GU95" s="65"/>
      <c r="GV95" s="65"/>
      <c r="GW95" s="65"/>
      <c r="GX95" s="65"/>
      <c r="GY95" s="65"/>
      <c r="GZ95" s="65"/>
      <c r="HA95" s="65"/>
      <c r="HB95" s="65"/>
      <c r="HC95" s="65"/>
      <c r="HD95" s="65"/>
      <c r="HE95" s="65"/>
      <c r="HF95" s="65"/>
      <c r="HG95" s="65"/>
      <c r="HH95" s="65"/>
      <c r="HI95" s="65"/>
      <c r="HJ95" s="65"/>
      <c r="HK95" s="65"/>
      <c r="HL95" s="65"/>
      <c r="HM95" s="65"/>
      <c r="HN95" s="65"/>
      <c r="HO95" s="65"/>
      <c r="HP95" s="65"/>
      <c r="HQ95" s="65"/>
      <c r="HR95" s="65"/>
      <c r="HS95" s="65"/>
      <c r="HT95" s="65"/>
      <c r="HU95" s="65"/>
      <c r="HV95" s="65"/>
      <c r="HW95" s="65"/>
      <c r="HX95" s="65"/>
      <c r="HY95" s="65"/>
      <c r="HZ95" s="65"/>
      <c r="IA95" s="65"/>
      <c r="IB95" s="65"/>
      <c r="IC95" s="65"/>
      <c r="ID95" s="65"/>
      <c r="IE95" s="65"/>
      <c r="IF95" s="65"/>
      <c r="IG95" s="65"/>
      <c r="IH95" s="65"/>
      <c r="II95" s="65"/>
      <c r="IJ95" s="65"/>
      <c r="IK95" s="65"/>
      <c r="IL95" s="65"/>
      <c r="IM95" s="65"/>
      <c r="IN95" s="65"/>
      <c r="IO95" s="65"/>
      <c r="IP95" s="65"/>
      <c r="IQ95" s="65"/>
      <c r="IR95" s="65"/>
      <c r="IS95" s="65"/>
      <c r="IT95" s="65"/>
      <c r="IU95" s="65"/>
      <c r="IV95" s="65"/>
      <c r="IW95" s="65"/>
      <c r="IX95" s="65"/>
      <c r="IY95" s="65"/>
      <c r="IZ95" s="65"/>
      <c r="JA95" s="65"/>
      <c r="JB95" s="65"/>
      <c r="JC95" s="65"/>
      <c r="JD95" s="65"/>
      <c r="JE95" s="65"/>
      <c r="JF95" s="65"/>
      <c r="JG95" s="65"/>
      <c r="JH95" s="65"/>
      <c r="JI95" s="65"/>
      <c r="JJ95" s="65"/>
      <c r="JK95" s="65"/>
      <c r="JL95" s="65"/>
      <c r="JM95" s="65"/>
      <c r="JN95" s="65"/>
      <c r="JO95" s="65"/>
      <c r="JP95" s="65"/>
      <c r="JQ95" s="65"/>
      <c r="JR95" s="65"/>
      <c r="JS95" s="65"/>
      <c r="JT95" s="65"/>
      <c r="JU95" s="65"/>
      <c r="JV95" s="65"/>
      <c r="JW95" s="65"/>
      <c r="JX95" s="65"/>
      <c r="JY95" s="65"/>
      <c r="JZ95" s="65"/>
      <c r="KA95" s="65"/>
      <c r="KB95" s="65"/>
      <c r="KC95" s="65"/>
      <c r="KD95" s="65"/>
      <c r="KE95" s="65"/>
      <c r="KF95" s="65"/>
      <c r="KG95" s="65"/>
      <c r="KH95" s="65"/>
      <c r="KI95" s="65"/>
      <c r="KJ95" s="65"/>
      <c r="KK95" s="65"/>
      <c r="KL95" s="65"/>
      <c r="KM95" s="65"/>
      <c r="KN95" s="65"/>
      <c r="KO95" s="65"/>
      <c r="KP95" s="65"/>
      <c r="KQ95" s="65"/>
      <c r="KR95" s="65"/>
      <c r="KS95" s="65"/>
      <c r="KT95" s="65"/>
      <c r="KU95" s="65"/>
      <c r="KV95" s="65"/>
      <c r="KW95" s="65"/>
      <c r="KX95" s="65"/>
      <c r="KY95" s="65"/>
      <c r="KZ95" s="65"/>
      <c r="LA95" s="65"/>
      <c r="LB95" s="65"/>
      <c r="LC95" s="65"/>
      <c r="LD95" s="65"/>
      <c r="LE95" s="65"/>
      <c r="LF95" s="65"/>
      <c r="LG95" s="65"/>
      <c r="LH95" s="65"/>
      <c r="LI95" s="65"/>
      <c r="LJ95" s="65"/>
      <c r="LK95" s="65"/>
      <c r="LL95" s="65"/>
      <c r="LM95" s="65"/>
      <c r="LN95" s="65"/>
      <c r="LO95" s="65"/>
      <c r="LP95" s="65"/>
      <c r="LQ95" s="65"/>
      <c r="LR95" s="65"/>
      <c r="LS95" s="65"/>
      <c r="LT95" s="65"/>
      <c r="LU95" s="65"/>
      <c r="LV95" s="65"/>
      <c r="LW95" s="65"/>
      <c r="LX95" s="65"/>
      <c r="LY95" s="65"/>
      <c r="LZ95" s="65"/>
      <c r="MA95" s="65"/>
      <c r="MB95" s="65"/>
      <c r="MC95" s="65"/>
      <c r="MD95" s="65"/>
      <c r="ME95" s="65"/>
      <c r="MF95" s="65"/>
      <c r="MG95" s="65"/>
      <c r="MH95" s="65"/>
      <c r="MI95" s="65"/>
      <c r="MJ95" s="65"/>
      <c r="MK95" s="65"/>
      <c r="ML95" s="65"/>
      <c r="MM95" s="65"/>
      <c r="MN95" s="65"/>
      <c r="MO95" s="65"/>
      <c r="MP95" s="65"/>
      <c r="MQ95" s="65"/>
      <c r="MR95" s="65"/>
      <c r="MS95" s="65"/>
      <c r="MT95" s="65"/>
      <c r="MU95" s="65"/>
      <c r="MV95" s="65"/>
      <c r="MW95" s="65"/>
      <c r="MX95" s="65"/>
      <c r="MY95" s="65"/>
      <c r="MZ95" s="65"/>
      <c r="NA95" s="65"/>
      <c r="NB95" s="65"/>
      <c r="NC95" s="65"/>
      <c r="ND95" s="65"/>
      <c r="NE95" s="65"/>
      <c r="NF95" s="65"/>
      <c r="NG95" s="65"/>
      <c r="NH95" s="65"/>
      <c r="NI95" s="65"/>
      <c r="NJ95" s="65"/>
      <c r="NK95" s="65"/>
      <c r="NL95" s="65"/>
      <c r="NM95" s="65"/>
      <c r="NN95" s="65"/>
      <c r="NO95" s="65"/>
      <c r="NP95" s="65"/>
      <c r="NQ95" s="65"/>
      <c r="NR95" s="65"/>
      <c r="NS95" s="65"/>
      <c r="NT95" s="65"/>
      <c r="NU95" s="65"/>
      <c r="NV95" s="65"/>
      <c r="NW95" s="65"/>
      <c r="NX95" s="65"/>
      <c r="NY95" s="65"/>
      <c r="NZ95" s="65"/>
      <c r="OA95" s="65"/>
      <c r="OB95" s="65"/>
      <c r="OC95" s="65"/>
      <c r="OD95" s="65"/>
      <c r="OE95" s="65"/>
      <c r="OF95" s="65"/>
      <c r="OG95" s="65"/>
      <c r="OH95" s="65"/>
      <c r="OI95" s="65"/>
      <c r="OJ95" s="65"/>
      <c r="OK95" s="65"/>
      <c r="OL95" s="65"/>
      <c r="OM95" s="65"/>
      <c r="ON95" s="65"/>
      <c r="OO95" s="65"/>
      <c r="OP95" s="65"/>
      <c r="OQ95" s="65"/>
      <c r="OR95" s="65"/>
      <c r="OS95" s="65"/>
      <c r="OT95" s="65"/>
      <c r="OU95" s="65"/>
      <c r="OV95" s="65"/>
      <c r="OW95" s="65"/>
      <c r="OX95" s="65"/>
      <c r="OY95" s="65"/>
      <c r="OZ95" s="65"/>
      <c r="PA95" s="65"/>
      <c r="PB95" s="65"/>
      <c r="PC95" s="65"/>
      <c r="PD95" s="65"/>
      <c r="PE95" s="65"/>
      <c r="PF95" s="65"/>
      <c r="PG95" s="65"/>
      <c r="PH95" s="65"/>
      <c r="PI95" s="65"/>
      <c r="PJ95" s="65"/>
      <c r="PK95" s="65"/>
      <c r="PL95" s="65"/>
      <c r="PM95" s="65"/>
      <c r="PN95" s="65"/>
      <c r="PO95" s="65"/>
      <c r="PP95" s="65"/>
      <c r="PQ95" s="65"/>
      <c r="PR95" s="65"/>
      <c r="PS95" s="65"/>
      <c r="PT95" s="65"/>
      <c r="PU95" s="65"/>
      <c r="PV95" s="65"/>
      <c r="PW95" s="65"/>
      <c r="PX95" s="65"/>
      <c r="PY95" s="65"/>
      <c r="PZ95" s="65"/>
      <c r="QA95" s="65"/>
      <c r="QB95" s="65"/>
      <c r="QC95" s="65"/>
      <c r="QD95" s="65"/>
      <c r="QE95" s="65"/>
      <c r="QF95" s="65"/>
      <c r="QG95" s="65"/>
      <c r="QH95" s="65"/>
      <c r="QI95" s="65"/>
      <c r="QJ95" s="65"/>
      <c r="QK95" s="65"/>
      <c r="QL95" s="65"/>
      <c r="QM95" s="65"/>
      <c r="QN95" s="65"/>
      <c r="QO95" s="65"/>
      <c r="QP95" s="65"/>
      <c r="QQ95" s="65"/>
      <c r="QR95" s="65"/>
      <c r="QS95" s="65"/>
      <c r="QT95" s="65"/>
      <c r="QU95" s="65"/>
      <c r="QV95" s="65"/>
      <c r="QW95" s="65"/>
      <c r="QX95" s="65"/>
      <c r="QY95" s="65"/>
      <c r="QZ95" s="65"/>
      <c r="RA95" s="65"/>
      <c r="RB95" s="65"/>
      <c r="RC95" s="65"/>
      <c r="RD95" s="65"/>
      <c r="RE95" s="65"/>
      <c r="RF95" s="65"/>
      <c r="RG95" s="65"/>
      <c r="RH95" s="65"/>
      <c r="RI95" s="65"/>
      <c r="RJ95" s="65"/>
      <c r="RK95" s="65"/>
      <c r="RL95" s="65"/>
      <c r="RM95" s="65"/>
      <c r="RN95" s="65"/>
      <c r="RO95" s="65"/>
      <c r="RP95" s="65"/>
      <c r="RQ95" s="65"/>
      <c r="RR95" s="65"/>
      <c r="RS95" s="65"/>
      <c r="RT95" s="65"/>
      <c r="RU95" s="65"/>
      <c r="RV95" s="65"/>
      <c r="RW95" s="65"/>
      <c r="RX95" s="65"/>
      <c r="RY95" s="65"/>
      <c r="RZ95" s="65"/>
      <c r="SA95" s="65"/>
      <c r="SB95" s="65"/>
      <c r="SC95" s="65"/>
      <c r="SD95" s="65"/>
      <c r="SE95" s="65"/>
      <c r="SF95" s="65"/>
      <c r="SG95" s="65"/>
      <c r="SH95" s="65"/>
      <c r="SI95" s="65"/>
      <c r="SJ95" s="65"/>
      <c r="SK95" s="65"/>
      <c r="SL95" s="65"/>
      <c r="SM95" s="65"/>
      <c r="SN95" s="65"/>
      <c r="SO95" s="65"/>
      <c r="SP95" s="65"/>
      <c r="SQ95" s="65"/>
      <c r="SR95" s="65"/>
      <c r="SS95" s="65"/>
      <c r="ST95" s="65"/>
      <c r="SU95" s="65"/>
      <c r="SV95" s="65"/>
      <c r="SW95" s="65"/>
      <c r="SX95" s="65"/>
      <c r="SY95" s="65"/>
      <c r="SZ95" s="65"/>
      <c r="TA95" s="65"/>
      <c r="TB95" s="65"/>
      <c r="TC95" s="65"/>
      <c r="TD95" s="65"/>
      <c r="TE95" s="65"/>
      <c r="TF95" s="65"/>
      <c r="TG95" s="65"/>
      <c r="TH95" s="65"/>
      <c r="TI95" s="65"/>
      <c r="TJ95" s="65"/>
      <c r="TK95" s="65"/>
      <c r="TL95" s="65"/>
      <c r="TM95" s="65"/>
      <c r="TN95" s="65"/>
      <c r="TO95" s="65"/>
      <c r="TP95" s="65"/>
      <c r="TQ95" s="65"/>
      <c r="TR95" s="65"/>
      <c r="TS95" s="65"/>
      <c r="TT95" s="65"/>
      <c r="TU95" s="65"/>
      <c r="TV95" s="65"/>
      <c r="TW95" s="65"/>
      <c r="TX95" s="65"/>
      <c r="TY95" s="65"/>
      <c r="TZ95" s="65"/>
      <c r="UA95" s="65"/>
      <c r="UB95" s="65"/>
      <c r="UC95" s="65"/>
      <c r="UD95" s="65"/>
      <c r="UE95" s="65"/>
      <c r="UF95" s="65"/>
      <c r="UG95" s="65"/>
      <c r="UH95" s="65"/>
      <c r="UI95" s="65"/>
      <c r="UJ95" s="65"/>
      <c r="UK95" s="65"/>
      <c r="UL95" s="65"/>
      <c r="UM95" s="65"/>
      <c r="UN95" s="65"/>
      <c r="UO95" s="65"/>
      <c r="UP95" s="65"/>
      <c r="UQ95" s="65"/>
      <c r="UR95" s="65"/>
      <c r="US95" s="65"/>
      <c r="UT95" s="65"/>
      <c r="UU95" s="65"/>
      <c r="UV95" s="65"/>
      <c r="UW95" s="65"/>
      <c r="UX95" s="65"/>
      <c r="UY95" s="65"/>
      <c r="UZ95" s="65"/>
      <c r="VA95" s="65"/>
      <c r="VB95" s="65"/>
      <c r="VC95" s="65"/>
      <c r="VD95" s="65"/>
      <c r="VE95" s="65"/>
      <c r="VF95" s="65"/>
      <c r="VG95" s="65"/>
      <c r="VH95" s="65"/>
      <c r="VI95" s="65"/>
      <c r="VJ95" s="65"/>
      <c r="VK95" s="65"/>
      <c r="VL95" s="65"/>
      <c r="VM95" s="65"/>
      <c r="VN95" s="65"/>
      <c r="VO95" s="65"/>
      <c r="VP95" s="65"/>
      <c r="VQ95" s="65"/>
      <c r="VR95" s="65"/>
      <c r="VS95" s="65"/>
      <c r="VT95" s="65"/>
      <c r="VU95" s="65"/>
      <c r="VV95" s="65"/>
      <c r="VW95" s="65"/>
      <c r="VX95" s="65"/>
      <c r="VY95" s="65"/>
      <c r="VZ95" s="65"/>
      <c r="WA95" s="65"/>
      <c r="WB95" s="65"/>
      <c r="WC95" s="65"/>
      <c r="WD95" s="65"/>
      <c r="WE95" s="65"/>
      <c r="WF95" s="65"/>
      <c r="WG95" s="65"/>
      <c r="WH95" s="65"/>
      <c r="WI95" s="65"/>
      <c r="WJ95" s="65"/>
      <c r="WK95" s="65"/>
      <c r="WL95" s="65"/>
      <c r="WM95" s="65"/>
      <c r="WN95" s="65"/>
      <c r="WO95" s="65"/>
      <c r="WP95" s="65"/>
      <c r="WQ95" s="65"/>
      <c r="WR95" s="65"/>
      <c r="WS95" s="65"/>
      <c r="WT95" s="65"/>
      <c r="WU95" s="65"/>
      <c r="WV95" s="65"/>
      <c r="WW95" s="65"/>
      <c r="WX95" s="65"/>
      <c r="WY95" s="65"/>
      <c r="WZ95" s="65"/>
      <c r="XA95" s="65"/>
      <c r="XB95" s="65"/>
      <c r="XC95" s="65"/>
      <c r="XD95" s="65"/>
      <c r="XE95" s="65"/>
      <c r="XF95" s="65"/>
      <c r="XG95" s="65"/>
      <c r="XH95" s="65"/>
      <c r="XI95" s="65"/>
      <c r="XJ95" s="65"/>
      <c r="XK95" s="65"/>
      <c r="XL95" s="65"/>
      <c r="XM95" s="65"/>
      <c r="XN95" s="65"/>
      <c r="XO95" s="65"/>
      <c r="XP95" s="65"/>
      <c r="XQ95" s="65"/>
      <c r="XR95" s="65"/>
      <c r="XS95" s="65"/>
      <c r="XT95" s="65"/>
      <c r="XU95" s="65"/>
      <c r="XV95" s="65"/>
      <c r="XW95" s="65"/>
      <c r="XX95" s="65"/>
      <c r="XY95" s="65"/>
      <c r="XZ95" s="65"/>
      <c r="YA95" s="65"/>
      <c r="YB95" s="65"/>
      <c r="YC95" s="65"/>
      <c r="YD95" s="65"/>
      <c r="YE95" s="65"/>
      <c r="YF95" s="65"/>
      <c r="YG95" s="65"/>
      <c r="YH95" s="65"/>
      <c r="YI95" s="65"/>
      <c r="YJ95" s="65"/>
      <c r="YK95" s="65"/>
      <c r="YL95" s="65"/>
      <c r="YM95" s="65"/>
      <c r="YN95" s="65"/>
      <c r="YO95" s="65"/>
      <c r="YP95" s="65"/>
      <c r="YQ95" s="65"/>
      <c r="YR95" s="65"/>
      <c r="YS95" s="65"/>
      <c r="YT95" s="65"/>
      <c r="YU95" s="65"/>
      <c r="YV95" s="65"/>
      <c r="YW95" s="65"/>
      <c r="YX95" s="65"/>
      <c r="YY95" s="65"/>
      <c r="YZ95" s="65"/>
      <c r="ZA95" s="65"/>
      <c r="ZB95" s="65"/>
      <c r="ZC95" s="65"/>
      <c r="ZD95" s="65"/>
      <c r="ZE95" s="65"/>
      <c r="ZF95" s="65"/>
      <c r="ZG95" s="65"/>
      <c r="ZH95" s="65"/>
      <c r="ZI95" s="65"/>
      <c r="ZJ95" s="65"/>
      <c r="ZK95" s="65"/>
      <c r="ZL95" s="65"/>
      <c r="ZM95" s="65"/>
      <c r="ZN95" s="65"/>
      <c r="ZO95" s="65"/>
      <c r="ZP95" s="65"/>
      <c r="ZQ95" s="65"/>
      <c r="ZR95" s="65"/>
      <c r="ZS95" s="65"/>
      <c r="ZT95" s="65"/>
      <c r="ZU95" s="65"/>
      <c r="ZV95" s="65"/>
      <c r="ZW95" s="65"/>
      <c r="ZX95" s="65"/>
      <c r="ZY95" s="65"/>
      <c r="ZZ95" s="65"/>
      <c r="AAA95" s="65"/>
      <c r="AAB95" s="65"/>
      <c r="AAC95" s="65"/>
      <c r="AAD95" s="65"/>
      <c r="AAE95" s="65"/>
      <c r="AAF95" s="65"/>
      <c r="AAG95" s="65"/>
      <c r="AAH95" s="65"/>
      <c r="AAI95" s="65"/>
      <c r="AAJ95" s="65"/>
      <c r="AAK95" s="65"/>
      <c r="AAL95" s="65"/>
      <c r="AAM95" s="65"/>
      <c r="AAN95" s="65"/>
      <c r="AAO95" s="65"/>
      <c r="AAP95" s="65"/>
      <c r="AAQ95" s="65"/>
      <c r="AAR95" s="65"/>
      <c r="AAS95" s="65"/>
      <c r="AAT95" s="65"/>
      <c r="AAU95" s="65"/>
      <c r="AAV95" s="65"/>
      <c r="AAW95" s="65"/>
      <c r="AAX95" s="65"/>
      <c r="AAY95" s="65"/>
      <c r="AAZ95" s="65"/>
      <c r="ABA95" s="65"/>
      <c r="ABB95" s="65"/>
      <c r="ABC95" s="65"/>
      <c r="ABD95" s="65"/>
      <c r="ABE95" s="65"/>
      <c r="ABF95" s="65"/>
      <c r="ABG95" s="65"/>
      <c r="ABH95" s="65"/>
      <c r="ABI95" s="65"/>
      <c r="ABJ95" s="65"/>
      <c r="ABK95" s="65"/>
      <c r="ABL95" s="65"/>
      <c r="ABM95" s="65"/>
      <c r="ABN95" s="65"/>
    </row>
    <row r="96" spans="1:742" s="207" customFormat="1" ht="34.5" customHeight="1" x14ac:dyDescent="0.25">
      <c r="A96" s="99">
        <v>2025</v>
      </c>
      <c r="B96" s="233">
        <v>4</v>
      </c>
      <c r="C96" s="356">
        <v>22603</v>
      </c>
      <c r="D96" s="278">
        <v>45773</v>
      </c>
      <c r="E96" s="100" t="s">
        <v>1076</v>
      </c>
      <c r="F96" s="100" t="s">
        <v>1076</v>
      </c>
      <c r="G96" s="99" t="s">
        <v>143</v>
      </c>
      <c r="H96" s="99">
        <v>3206980482</v>
      </c>
      <c r="I96" s="99">
        <v>3206980482</v>
      </c>
      <c r="J96" s="97">
        <v>45782</v>
      </c>
      <c r="K96" s="99" t="s">
        <v>84</v>
      </c>
      <c r="L96" s="101" t="s">
        <v>1077</v>
      </c>
      <c r="M96" s="99" t="s">
        <v>136</v>
      </c>
      <c r="N96" s="99" t="s">
        <v>136</v>
      </c>
      <c r="O96" s="99">
        <v>6146</v>
      </c>
      <c r="P96" s="99" t="s">
        <v>136</v>
      </c>
      <c r="Q96" s="99" t="s">
        <v>134</v>
      </c>
      <c r="R96" s="99" t="s">
        <v>134</v>
      </c>
      <c r="S96" s="99" t="s">
        <v>136</v>
      </c>
      <c r="T96" s="99" t="s">
        <v>136</v>
      </c>
      <c r="U96" s="99" t="s">
        <v>136</v>
      </c>
      <c r="V96" s="100" t="s">
        <v>89</v>
      </c>
      <c r="W96" s="97">
        <v>45784</v>
      </c>
      <c r="X96" s="97">
        <v>45789</v>
      </c>
      <c r="Y96" s="99"/>
      <c r="Z96" s="120" t="s">
        <v>85</v>
      </c>
      <c r="AA96" s="122">
        <v>0</v>
      </c>
      <c r="AB96" s="99">
        <v>5816</v>
      </c>
      <c r="AC96" s="103">
        <v>978517</v>
      </c>
      <c r="AD96" s="198">
        <f t="shared" si="6"/>
        <v>1164435.23</v>
      </c>
      <c r="AE96" s="103">
        <v>582000</v>
      </c>
      <c r="AF96" s="99"/>
      <c r="AG96" s="104" t="s">
        <v>1687</v>
      </c>
      <c r="AH96" s="258">
        <v>45789</v>
      </c>
      <c r="AI96" s="97">
        <v>45789</v>
      </c>
      <c r="AJ96" s="99" t="s">
        <v>571</v>
      </c>
      <c r="AK96" s="99"/>
      <c r="AL96" s="65"/>
      <c r="AM96" s="65"/>
      <c r="AN96" s="65"/>
      <c r="AO96" s="65"/>
      <c r="AP96" s="65"/>
      <c r="AQ96" s="65"/>
      <c r="AR96" s="65"/>
      <c r="AS96" s="65"/>
      <c r="AT96" s="65"/>
      <c r="AU96" s="65"/>
      <c r="AV96" s="65"/>
      <c r="AW96" s="65"/>
      <c r="AX96" s="65"/>
      <c r="AY96" s="65"/>
      <c r="AZ96" s="65"/>
      <c r="BA96" s="65"/>
      <c r="BB96" s="65"/>
      <c r="BC96" s="65"/>
      <c r="BD96" s="65"/>
      <c r="BE96" s="65"/>
      <c r="BF96" s="65"/>
      <c r="BG96" s="65"/>
      <c r="BH96" s="65"/>
      <c r="BI96" s="65"/>
      <c r="BJ96" s="65"/>
      <c r="BK96" s="65"/>
      <c r="BL96" s="65"/>
      <c r="BM96" s="65"/>
      <c r="BN96" s="65"/>
      <c r="BO96" s="65"/>
      <c r="BP96" s="65"/>
      <c r="BQ96" s="65"/>
      <c r="BR96" s="65"/>
      <c r="BS96" s="65"/>
      <c r="BT96" s="65"/>
      <c r="BU96" s="65"/>
      <c r="BV96" s="65"/>
      <c r="BW96" s="65"/>
      <c r="BX96" s="65"/>
      <c r="BY96" s="65"/>
      <c r="BZ96" s="65"/>
      <c r="CA96" s="65"/>
      <c r="CB96" s="65"/>
      <c r="CC96" s="65"/>
      <c r="CD96" s="65"/>
      <c r="CE96" s="65"/>
      <c r="CF96" s="65"/>
      <c r="CG96" s="65"/>
      <c r="CH96" s="65"/>
      <c r="CI96" s="65"/>
      <c r="CJ96" s="65"/>
      <c r="CK96" s="65"/>
      <c r="CL96" s="65"/>
      <c r="CM96" s="65"/>
      <c r="CN96" s="65"/>
      <c r="CO96" s="65"/>
      <c r="CP96" s="65"/>
      <c r="CQ96" s="65"/>
      <c r="CR96" s="65"/>
      <c r="CS96" s="65"/>
      <c r="CT96" s="65"/>
      <c r="CU96" s="65"/>
      <c r="CV96" s="65"/>
      <c r="CW96" s="65"/>
      <c r="CX96" s="65"/>
      <c r="CY96" s="65"/>
      <c r="CZ96" s="65"/>
      <c r="DA96" s="65"/>
      <c r="DB96" s="65"/>
      <c r="DC96" s="65"/>
      <c r="DD96" s="65"/>
      <c r="DE96" s="65"/>
      <c r="DF96" s="65"/>
      <c r="DG96" s="65"/>
      <c r="DH96" s="65"/>
      <c r="DI96" s="65"/>
      <c r="DJ96" s="65"/>
      <c r="DK96" s="65"/>
      <c r="DL96" s="65"/>
      <c r="DM96" s="65"/>
      <c r="DN96" s="65"/>
      <c r="DO96" s="65"/>
      <c r="DP96" s="65"/>
      <c r="DQ96" s="65"/>
      <c r="DR96" s="65"/>
      <c r="DS96" s="65"/>
      <c r="DT96" s="65"/>
      <c r="DU96" s="65"/>
      <c r="DV96" s="65"/>
      <c r="DW96" s="65"/>
      <c r="DX96" s="65"/>
      <c r="DY96" s="65"/>
      <c r="DZ96" s="65"/>
      <c r="EA96" s="65"/>
      <c r="EB96" s="65"/>
      <c r="EC96" s="65"/>
      <c r="ED96" s="65"/>
      <c r="EE96" s="65"/>
      <c r="EF96" s="65"/>
      <c r="EG96" s="65"/>
      <c r="EH96" s="65"/>
      <c r="EI96" s="65"/>
      <c r="EJ96" s="65"/>
      <c r="EK96" s="65"/>
      <c r="EL96" s="65"/>
      <c r="EM96" s="65"/>
      <c r="EN96" s="65"/>
      <c r="EO96" s="65"/>
      <c r="EP96" s="65"/>
      <c r="EQ96" s="65"/>
      <c r="ER96" s="65"/>
      <c r="ES96" s="65"/>
      <c r="ET96" s="65"/>
      <c r="EU96" s="65"/>
      <c r="EV96" s="65"/>
      <c r="EW96" s="65"/>
      <c r="EX96" s="65"/>
      <c r="EY96" s="65"/>
      <c r="EZ96" s="65"/>
      <c r="FA96" s="65"/>
      <c r="FB96" s="65"/>
      <c r="FC96" s="65"/>
      <c r="FD96" s="65"/>
      <c r="FE96" s="65"/>
      <c r="FF96" s="65"/>
      <c r="FG96" s="65"/>
      <c r="FH96" s="65"/>
      <c r="FI96" s="65"/>
      <c r="FJ96" s="65"/>
      <c r="FK96" s="65"/>
      <c r="FL96" s="65"/>
      <c r="FM96" s="65"/>
      <c r="FN96" s="65"/>
      <c r="FO96" s="65"/>
      <c r="FP96" s="65"/>
      <c r="FQ96" s="65"/>
      <c r="FR96" s="65"/>
      <c r="FS96" s="65"/>
      <c r="FT96" s="65"/>
      <c r="FU96" s="65"/>
      <c r="FV96" s="65"/>
      <c r="FW96" s="65"/>
      <c r="FX96" s="65"/>
      <c r="FY96" s="65"/>
      <c r="FZ96" s="65"/>
      <c r="GA96" s="65"/>
      <c r="GB96" s="65"/>
      <c r="GC96" s="65"/>
      <c r="GD96" s="65"/>
      <c r="GE96" s="65"/>
      <c r="GF96" s="65"/>
      <c r="GG96" s="65"/>
      <c r="GH96" s="65"/>
      <c r="GI96" s="65"/>
      <c r="GJ96" s="65"/>
      <c r="GK96" s="65"/>
      <c r="GL96" s="65"/>
      <c r="GM96" s="65"/>
      <c r="GN96" s="65"/>
      <c r="GO96" s="65"/>
      <c r="GP96" s="65"/>
      <c r="GQ96" s="65"/>
      <c r="GR96" s="65"/>
      <c r="GS96" s="65"/>
      <c r="GT96" s="65"/>
      <c r="GU96" s="65"/>
      <c r="GV96" s="65"/>
      <c r="GW96" s="65"/>
      <c r="GX96" s="65"/>
      <c r="GY96" s="65"/>
      <c r="GZ96" s="65"/>
      <c r="HA96" s="65"/>
      <c r="HB96" s="65"/>
      <c r="HC96" s="65"/>
      <c r="HD96" s="65"/>
      <c r="HE96" s="65"/>
      <c r="HF96" s="65"/>
      <c r="HG96" s="65"/>
      <c r="HH96" s="65"/>
      <c r="HI96" s="65"/>
      <c r="HJ96" s="65"/>
      <c r="HK96" s="65"/>
      <c r="HL96" s="65"/>
      <c r="HM96" s="65"/>
      <c r="HN96" s="65"/>
      <c r="HO96" s="65"/>
      <c r="HP96" s="65"/>
      <c r="HQ96" s="65"/>
      <c r="HR96" s="65"/>
      <c r="HS96" s="65"/>
      <c r="HT96" s="65"/>
      <c r="HU96" s="65"/>
      <c r="HV96" s="65"/>
      <c r="HW96" s="65"/>
      <c r="HX96" s="65"/>
      <c r="HY96" s="65"/>
      <c r="HZ96" s="65"/>
      <c r="IA96" s="65"/>
      <c r="IB96" s="65"/>
      <c r="IC96" s="65"/>
      <c r="ID96" s="65"/>
      <c r="IE96" s="65"/>
      <c r="IF96" s="65"/>
      <c r="IG96" s="65"/>
      <c r="IH96" s="65"/>
      <c r="II96" s="65"/>
      <c r="IJ96" s="65"/>
      <c r="IK96" s="65"/>
      <c r="IL96" s="65"/>
      <c r="IM96" s="65"/>
      <c r="IN96" s="65"/>
      <c r="IO96" s="65"/>
      <c r="IP96" s="65"/>
      <c r="IQ96" s="65"/>
      <c r="IR96" s="65"/>
      <c r="IS96" s="65"/>
      <c r="IT96" s="65"/>
      <c r="IU96" s="65"/>
      <c r="IV96" s="65"/>
      <c r="IW96" s="65"/>
      <c r="IX96" s="65"/>
      <c r="IY96" s="65"/>
      <c r="IZ96" s="65"/>
      <c r="JA96" s="65"/>
      <c r="JB96" s="65"/>
      <c r="JC96" s="65"/>
      <c r="JD96" s="65"/>
      <c r="JE96" s="65"/>
      <c r="JF96" s="65"/>
      <c r="JG96" s="65"/>
      <c r="JH96" s="65"/>
      <c r="JI96" s="65"/>
      <c r="JJ96" s="65"/>
      <c r="JK96" s="65"/>
      <c r="JL96" s="65"/>
      <c r="JM96" s="65"/>
      <c r="JN96" s="65"/>
      <c r="JO96" s="65"/>
      <c r="JP96" s="65"/>
      <c r="JQ96" s="65"/>
      <c r="JR96" s="65"/>
      <c r="JS96" s="65"/>
      <c r="JT96" s="65"/>
      <c r="JU96" s="65"/>
      <c r="JV96" s="65"/>
      <c r="JW96" s="65"/>
      <c r="JX96" s="65"/>
      <c r="JY96" s="65"/>
      <c r="JZ96" s="65"/>
      <c r="KA96" s="65"/>
      <c r="KB96" s="65"/>
      <c r="KC96" s="65"/>
      <c r="KD96" s="65"/>
      <c r="KE96" s="65"/>
      <c r="KF96" s="65"/>
      <c r="KG96" s="65"/>
      <c r="KH96" s="65"/>
      <c r="KI96" s="65"/>
      <c r="KJ96" s="65"/>
      <c r="KK96" s="65"/>
      <c r="KL96" s="65"/>
      <c r="KM96" s="65"/>
      <c r="KN96" s="65"/>
      <c r="KO96" s="65"/>
      <c r="KP96" s="65"/>
      <c r="KQ96" s="65"/>
      <c r="KR96" s="65"/>
      <c r="KS96" s="65"/>
      <c r="KT96" s="65"/>
      <c r="KU96" s="65"/>
      <c r="KV96" s="65"/>
      <c r="KW96" s="65"/>
      <c r="KX96" s="65"/>
      <c r="KY96" s="65"/>
      <c r="KZ96" s="65"/>
      <c r="LA96" s="65"/>
      <c r="LB96" s="65"/>
      <c r="LC96" s="65"/>
      <c r="LD96" s="65"/>
      <c r="LE96" s="65"/>
      <c r="LF96" s="65"/>
      <c r="LG96" s="65"/>
      <c r="LH96" s="65"/>
      <c r="LI96" s="65"/>
      <c r="LJ96" s="65"/>
      <c r="LK96" s="65"/>
      <c r="LL96" s="65"/>
      <c r="LM96" s="65"/>
      <c r="LN96" s="65"/>
      <c r="LO96" s="65"/>
      <c r="LP96" s="65"/>
      <c r="LQ96" s="65"/>
      <c r="LR96" s="65"/>
      <c r="LS96" s="65"/>
      <c r="LT96" s="65"/>
      <c r="LU96" s="65"/>
      <c r="LV96" s="65"/>
      <c r="LW96" s="65"/>
      <c r="LX96" s="65"/>
      <c r="LY96" s="65"/>
      <c r="LZ96" s="65"/>
      <c r="MA96" s="65"/>
      <c r="MB96" s="65"/>
      <c r="MC96" s="65"/>
      <c r="MD96" s="65"/>
      <c r="ME96" s="65"/>
      <c r="MF96" s="65"/>
      <c r="MG96" s="65"/>
      <c r="MH96" s="65"/>
      <c r="MI96" s="65"/>
      <c r="MJ96" s="65"/>
      <c r="MK96" s="65"/>
      <c r="ML96" s="65"/>
      <c r="MM96" s="65"/>
      <c r="MN96" s="65"/>
      <c r="MO96" s="65"/>
      <c r="MP96" s="65"/>
      <c r="MQ96" s="65"/>
      <c r="MR96" s="65"/>
      <c r="MS96" s="65"/>
      <c r="MT96" s="65"/>
      <c r="MU96" s="65"/>
      <c r="MV96" s="65"/>
      <c r="MW96" s="65"/>
      <c r="MX96" s="65"/>
      <c r="MY96" s="65"/>
      <c r="MZ96" s="65"/>
      <c r="NA96" s="65"/>
      <c r="NB96" s="65"/>
      <c r="NC96" s="65"/>
      <c r="ND96" s="65"/>
      <c r="NE96" s="65"/>
      <c r="NF96" s="65"/>
      <c r="NG96" s="65"/>
      <c r="NH96" s="65"/>
      <c r="NI96" s="65"/>
      <c r="NJ96" s="65"/>
      <c r="NK96" s="65"/>
      <c r="NL96" s="65"/>
      <c r="NM96" s="65"/>
      <c r="NN96" s="65"/>
      <c r="NO96" s="65"/>
      <c r="NP96" s="65"/>
      <c r="NQ96" s="65"/>
      <c r="NR96" s="65"/>
      <c r="NS96" s="65"/>
      <c r="NT96" s="65"/>
      <c r="NU96" s="65"/>
      <c r="NV96" s="65"/>
      <c r="NW96" s="65"/>
      <c r="NX96" s="65"/>
      <c r="NY96" s="65"/>
      <c r="NZ96" s="65"/>
      <c r="OA96" s="65"/>
      <c r="OB96" s="65"/>
      <c r="OC96" s="65"/>
      <c r="OD96" s="65"/>
      <c r="OE96" s="65"/>
      <c r="OF96" s="65"/>
      <c r="OG96" s="65"/>
      <c r="OH96" s="65"/>
      <c r="OI96" s="65"/>
      <c r="OJ96" s="65"/>
      <c r="OK96" s="65"/>
      <c r="OL96" s="65"/>
      <c r="OM96" s="65"/>
      <c r="ON96" s="65"/>
      <c r="OO96" s="65"/>
      <c r="OP96" s="65"/>
      <c r="OQ96" s="65"/>
      <c r="OR96" s="65"/>
      <c r="OS96" s="65"/>
      <c r="OT96" s="65"/>
      <c r="OU96" s="65"/>
      <c r="OV96" s="65"/>
      <c r="OW96" s="65"/>
      <c r="OX96" s="65"/>
      <c r="OY96" s="65"/>
      <c r="OZ96" s="65"/>
      <c r="PA96" s="65"/>
      <c r="PB96" s="65"/>
      <c r="PC96" s="65"/>
      <c r="PD96" s="65"/>
      <c r="PE96" s="65"/>
      <c r="PF96" s="65"/>
      <c r="PG96" s="65"/>
      <c r="PH96" s="65"/>
      <c r="PI96" s="65"/>
      <c r="PJ96" s="65"/>
      <c r="PK96" s="65"/>
      <c r="PL96" s="65"/>
      <c r="PM96" s="65"/>
      <c r="PN96" s="65"/>
      <c r="PO96" s="65"/>
      <c r="PP96" s="65"/>
      <c r="PQ96" s="65"/>
      <c r="PR96" s="65"/>
      <c r="PS96" s="65"/>
      <c r="PT96" s="65"/>
      <c r="PU96" s="65"/>
      <c r="PV96" s="65"/>
      <c r="PW96" s="65"/>
      <c r="PX96" s="65"/>
      <c r="PY96" s="65"/>
      <c r="PZ96" s="65"/>
      <c r="QA96" s="65"/>
      <c r="QB96" s="65"/>
      <c r="QC96" s="65"/>
      <c r="QD96" s="65"/>
      <c r="QE96" s="65"/>
      <c r="QF96" s="65"/>
      <c r="QG96" s="65"/>
      <c r="QH96" s="65"/>
      <c r="QI96" s="65"/>
      <c r="QJ96" s="65"/>
      <c r="QK96" s="65"/>
      <c r="QL96" s="65"/>
      <c r="QM96" s="65"/>
      <c r="QN96" s="65"/>
      <c r="QO96" s="65"/>
      <c r="QP96" s="65"/>
      <c r="QQ96" s="65"/>
      <c r="QR96" s="65"/>
      <c r="QS96" s="65"/>
      <c r="QT96" s="65"/>
      <c r="QU96" s="65"/>
      <c r="QV96" s="65"/>
      <c r="QW96" s="65"/>
      <c r="QX96" s="65"/>
      <c r="QY96" s="65"/>
      <c r="QZ96" s="65"/>
      <c r="RA96" s="65"/>
      <c r="RB96" s="65"/>
      <c r="RC96" s="65"/>
      <c r="RD96" s="65"/>
      <c r="RE96" s="65"/>
      <c r="RF96" s="65"/>
      <c r="RG96" s="65"/>
      <c r="RH96" s="65"/>
      <c r="RI96" s="65"/>
      <c r="RJ96" s="65"/>
      <c r="RK96" s="65"/>
      <c r="RL96" s="65"/>
      <c r="RM96" s="65"/>
      <c r="RN96" s="65"/>
      <c r="RO96" s="65"/>
      <c r="RP96" s="65"/>
      <c r="RQ96" s="65"/>
      <c r="RR96" s="65"/>
      <c r="RS96" s="65"/>
      <c r="RT96" s="65"/>
      <c r="RU96" s="65"/>
      <c r="RV96" s="65"/>
      <c r="RW96" s="65"/>
      <c r="RX96" s="65"/>
      <c r="RY96" s="65"/>
      <c r="RZ96" s="65"/>
      <c r="SA96" s="65"/>
      <c r="SB96" s="65"/>
      <c r="SC96" s="65"/>
      <c r="SD96" s="65"/>
      <c r="SE96" s="65"/>
      <c r="SF96" s="65"/>
      <c r="SG96" s="65"/>
      <c r="SH96" s="65"/>
      <c r="SI96" s="65"/>
      <c r="SJ96" s="65"/>
      <c r="SK96" s="65"/>
      <c r="SL96" s="65"/>
      <c r="SM96" s="65"/>
      <c r="SN96" s="65"/>
      <c r="SO96" s="65"/>
      <c r="SP96" s="65"/>
      <c r="SQ96" s="65"/>
      <c r="SR96" s="65"/>
      <c r="SS96" s="65"/>
      <c r="ST96" s="65"/>
      <c r="SU96" s="65"/>
      <c r="SV96" s="65"/>
      <c r="SW96" s="65"/>
      <c r="SX96" s="65"/>
      <c r="SY96" s="65"/>
      <c r="SZ96" s="65"/>
      <c r="TA96" s="65"/>
      <c r="TB96" s="65"/>
      <c r="TC96" s="65"/>
      <c r="TD96" s="65"/>
      <c r="TE96" s="65"/>
      <c r="TF96" s="65"/>
      <c r="TG96" s="65"/>
      <c r="TH96" s="65"/>
      <c r="TI96" s="65"/>
      <c r="TJ96" s="65"/>
      <c r="TK96" s="65"/>
      <c r="TL96" s="65"/>
      <c r="TM96" s="65"/>
      <c r="TN96" s="65"/>
      <c r="TO96" s="65"/>
      <c r="TP96" s="65"/>
      <c r="TQ96" s="65"/>
      <c r="TR96" s="65"/>
      <c r="TS96" s="65"/>
      <c r="TT96" s="65"/>
      <c r="TU96" s="65"/>
      <c r="TV96" s="65"/>
      <c r="TW96" s="65"/>
      <c r="TX96" s="65"/>
      <c r="TY96" s="65"/>
      <c r="TZ96" s="65"/>
      <c r="UA96" s="65"/>
      <c r="UB96" s="65"/>
      <c r="UC96" s="65"/>
      <c r="UD96" s="65"/>
      <c r="UE96" s="65"/>
      <c r="UF96" s="65"/>
      <c r="UG96" s="65"/>
      <c r="UH96" s="65"/>
      <c r="UI96" s="65"/>
      <c r="UJ96" s="65"/>
      <c r="UK96" s="65"/>
      <c r="UL96" s="65"/>
      <c r="UM96" s="65"/>
      <c r="UN96" s="65"/>
      <c r="UO96" s="65"/>
      <c r="UP96" s="65"/>
      <c r="UQ96" s="65"/>
      <c r="UR96" s="65"/>
      <c r="US96" s="65"/>
      <c r="UT96" s="65"/>
      <c r="UU96" s="65"/>
      <c r="UV96" s="65"/>
      <c r="UW96" s="65"/>
      <c r="UX96" s="65"/>
      <c r="UY96" s="65"/>
      <c r="UZ96" s="65"/>
      <c r="VA96" s="65"/>
      <c r="VB96" s="65"/>
      <c r="VC96" s="65"/>
      <c r="VD96" s="65"/>
      <c r="VE96" s="65"/>
      <c r="VF96" s="65"/>
      <c r="VG96" s="65"/>
      <c r="VH96" s="65"/>
      <c r="VI96" s="65"/>
      <c r="VJ96" s="65"/>
      <c r="VK96" s="65"/>
      <c r="VL96" s="65"/>
      <c r="VM96" s="65"/>
      <c r="VN96" s="65"/>
      <c r="VO96" s="65"/>
      <c r="VP96" s="65"/>
      <c r="VQ96" s="65"/>
      <c r="VR96" s="65"/>
      <c r="VS96" s="65"/>
      <c r="VT96" s="65"/>
      <c r="VU96" s="65"/>
      <c r="VV96" s="65"/>
      <c r="VW96" s="65"/>
      <c r="VX96" s="65"/>
      <c r="VY96" s="65"/>
      <c r="VZ96" s="65"/>
      <c r="WA96" s="65"/>
      <c r="WB96" s="65"/>
      <c r="WC96" s="65"/>
      <c r="WD96" s="65"/>
      <c r="WE96" s="65"/>
      <c r="WF96" s="65"/>
      <c r="WG96" s="65"/>
      <c r="WH96" s="65"/>
      <c r="WI96" s="65"/>
      <c r="WJ96" s="65"/>
      <c r="WK96" s="65"/>
      <c r="WL96" s="65"/>
      <c r="WM96" s="65"/>
      <c r="WN96" s="65"/>
      <c r="WO96" s="65"/>
      <c r="WP96" s="65"/>
      <c r="WQ96" s="65"/>
      <c r="WR96" s="65"/>
      <c r="WS96" s="65"/>
      <c r="WT96" s="65"/>
      <c r="WU96" s="65"/>
      <c r="WV96" s="65"/>
      <c r="WW96" s="65"/>
      <c r="WX96" s="65"/>
      <c r="WY96" s="65"/>
      <c r="WZ96" s="65"/>
      <c r="XA96" s="65"/>
      <c r="XB96" s="65"/>
      <c r="XC96" s="65"/>
      <c r="XD96" s="65"/>
      <c r="XE96" s="65"/>
      <c r="XF96" s="65"/>
      <c r="XG96" s="65"/>
      <c r="XH96" s="65"/>
      <c r="XI96" s="65"/>
      <c r="XJ96" s="65"/>
      <c r="XK96" s="65"/>
      <c r="XL96" s="65"/>
      <c r="XM96" s="65"/>
      <c r="XN96" s="65"/>
      <c r="XO96" s="65"/>
      <c r="XP96" s="65"/>
      <c r="XQ96" s="65"/>
      <c r="XR96" s="65"/>
      <c r="XS96" s="65"/>
      <c r="XT96" s="65"/>
      <c r="XU96" s="65"/>
      <c r="XV96" s="65"/>
      <c r="XW96" s="65"/>
      <c r="XX96" s="65"/>
      <c r="XY96" s="65"/>
      <c r="XZ96" s="65"/>
      <c r="YA96" s="65"/>
      <c r="YB96" s="65"/>
      <c r="YC96" s="65"/>
      <c r="YD96" s="65"/>
      <c r="YE96" s="65"/>
      <c r="YF96" s="65"/>
      <c r="YG96" s="65"/>
      <c r="YH96" s="65"/>
      <c r="YI96" s="65"/>
      <c r="YJ96" s="65"/>
      <c r="YK96" s="65"/>
      <c r="YL96" s="65"/>
      <c r="YM96" s="65"/>
      <c r="YN96" s="65"/>
      <c r="YO96" s="65"/>
      <c r="YP96" s="65"/>
      <c r="YQ96" s="65"/>
      <c r="YR96" s="65"/>
      <c r="YS96" s="65"/>
      <c r="YT96" s="65"/>
      <c r="YU96" s="65"/>
      <c r="YV96" s="65"/>
      <c r="YW96" s="65"/>
      <c r="YX96" s="65"/>
      <c r="YY96" s="65"/>
      <c r="YZ96" s="65"/>
      <c r="ZA96" s="65"/>
      <c r="ZB96" s="65"/>
      <c r="ZC96" s="65"/>
      <c r="ZD96" s="65"/>
      <c r="ZE96" s="65"/>
      <c r="ZF96" s="65"/>
      <c r="ZG96" s="65"/>
      <c r="ZH96" s="65"/>
      <c r="ZI96" s="65"/>
      <c r="ZJ96" s="65"/>
      <c r="ZK96" s="65"/>
      <c r="ZL96" s="65"/>
      <c r="ZM96" s="65"/>
      <c r="ZN96" s="65"/>
      <c r="ZO96" s="65"/>
      <c r="ZP96" s="65"/>
      <c r="ZQ96" s="65"/>
      <c r="ZR96" s="65"/>
      <c r="ZS96" s="65"/>
      <c r="ZT96" s="65"/>
      <c r="ZU96" s="65"/>
      <c r="ZV96" s="65"/>
      <c r="ZW96" s="65"/>
      <c r="ZX96" s="65"/>
      <c r="ZY96" s="65"/>
      <c r="ZZ96" s="65"/>
      <c r="AAA96" s="65"/>
      <c r="AAB96" s="65"/>
      <c r="AAC96" s="65"/>
      <c r="AAD96" s="65"/>
      <c r="AAE96" s="65"/>
      <c r="AAF96" s="65"/>
      <c r="AAG96" s="65"/>
      <c r="AAH96" s="65"/>
      <c r="AAI96" s="65"/>
      <c r="AAJ96" s="65"/>
      <c r="AAK96" s="65"/>
      <c r="AAL96" s="65"/>
      <c r="AAM96" s="65"/>
      <c r="AAN96" s="65"/>
      <c r="AAO96" s="65"/>
      <c r="AAP96" s="65"/>
      <c r="AAQ96" s="65"/>
      <c r="AAR96" s="65"/>
      <c r="AAS96" s="65"/>
      <c r="AAT96" s="65"/>
      <c r="AAU96" s="65"/>
      <c r="AAV96" s="65"/>
      <c r="AAW96" s="65"/>
      <c r="AAX96" s="65"/>
      <c r="AAY96" s="65"/>
      <c r="AAZ96" s="65"/>
      <c r="ABA96" s="65"/>
      <c r="ABB96" s="65"/>
      <c r="ABC96" s="65"/>
      <c r="ABD96" s="65"/>
      <c r="ABE96" s="65"/>
      <c r="ABF96" s="65"/>
      <c r="ABG96" s="65"/>
      <c r="ABH96" s="65"/>
      <c r="ABI96" s="65"/>
      <c r="ABJ96" s="65"/>
      <c r="ABK96" s="65"/>
      <c r="ABL96" s="65"/>
      <c r="ABM96" s="65"/>
      <c r="ABN96" s="65"/>
    </row>
    <row r="97" spans="1:742" ht="34.5" customHeight="1" x14ac:dyDescent="0.25">
      <c r="A97" s="110">
        <v>2025</v>
      </c>
      <c r="B97" s="230">
        <v>4</v>
      </c>
      <c r="C97" s="152">
        <v>22604</v>
      </c>
      <c r="D97" s="277">
        <v>45775</v>
      </c>
      <c r="E97" s="111" t="s">
        <v>1046</v>
      </c>
      <c r="F97" s="111" t="s">
        <v>1047</v>
      </c>
      <c r="G97" s="110" t="s">
        <v>95</v>
      </c>
      <c r="H97" s="110">
        <v>3215922464</v>
      </c>
      <c r="I97" s="110">
        <v>3113751371</v>
      </c>
      <c r="J97" s="108">
        <v>45775</v>
      </c>
      <c r="K97" s="110" t="s">
        <v>95</v>
      </c>
      <c r="L97" s="112" t="s">
        <v>1048</v>
      </c>
      <c r="M97" s="110" t="s">
        <v>136</v>
      </c>
      <c r="N97" s="110" t="s">
        <v>136</v>
      </c>
      <c r="O97" s="110" t="s">
        <v>136</v>
      </c>
      <c r="P97" s="110" t="s">
        <v>136</v>
      </c>
      <c r="Q97" s="110" t="s">
        <v>136</v>
      </c>
      <c r="R97" s="110" t="s">
        <v>134</v>
      </c>
      <c r="S97" s="110" t="s">
        <v>136</v>
      </c>
      <c r="T97" s="110" t="s">
        <v>134</v>
      </c>
      <c r="U97" s="110" t="s">
        <v>136</v>
      </c>
      <c r="V97" s="111" t="s">
        <v>89</v>
      </c>
      <c r="W97" s="108">
        <v>45775</v>
      </c>
      <c r="X97" s="108">
        <v>45775</v>
      </c>
      <c r="Y97" s="110"/>
      <c r="Z97" s="126" t="s">
        <v>85</v>
      </c>
      <c r="AA97" s="124">
        <v>0</v>
      </c>
      <c r="AB97" s="110">
        <v>5790</v>
      </c>
      <c r="AC97" s="114">
        <v>684619</v>
      </c>
      <c r="AD97" s="212">
        <f t="shared" si="6"/>
        <v>814696.61</v>
      </c>
      <c r="AE97" s="114">
        <v>787412</v>
      </c>
      <c r="AF97" s="110"/>
      <c r="AG97" s="142" t="s">
        <v>1049</v>
      </c>
      <c r="AH97" s="248">
        <v>45776</v>
      </c>
      <c r="AI97" s="108">
        <v>45777</v>
      </c>
      <c r="AJ97" s="110" t="s">
        <v>571</v>
      </c>
      <c r="AK97" s="110"/>
    </row>
    <row r="98" spans="1:742" s="207" customFormat="1" ht="60" x14ac:dyDescent="0.25">
      <c r="A98" s="110">
        <v>2025</v>
      </c>
      <c r="B98" s="230">
        <v>4</v>
      </c>
      <c r="C98" s="152">
        <v>22605</v>
      </c>
      <c r="D98" s="277">
        <v>45775</v>
      </c>
      <c r="E98" s="111" t="s">
        <v>1090</v>
      </c>
      <c r="F98" s="111" t="s">
        <v>1091</v>
      </c>
      <c r="G98" s="110" t="s">
        <v>98</v>
      </c>
      <c r="H98" s="110">
        <v>3153588601</v>
      </c>
      <c r="I98" s="110">
        <v>3153588601</v>
      </c>
      <c r="J98" s="108">
        <v>45755</v>
      </c>
      <c r="K98" s="110" t="s">
        <v>86</v>
      </c>
      <c r="L98" s="112" t="s">
        <v>1092</v>
      </c>
      <c r="M98" s="110" t="s">
        <v>136</v>
      </c>
      <c r="N98" s="110">
        <v>5908</v>
      </c>
      <c r="O98" s="110" t="s">
        <v>136</v>
      </c>
      <c r="P98" s="110">
        <v>8911</v>
      </c>
      <c r="Q98" s="110" t="s">
        <v>136</v>
      </c>
      <c r="R98" s="110" t="s">
        <v>136</v>
      </c>
      <c r="S98" s="110" t="s">
        <v>134</v>
      </c>
      <c r="T98" s="110" t="s">
        <v>136</v>
      </c>
      <c r="U98" s="110" t="s">
        <v>136</v>
      </c>
      <c r="V98" s="111" t="s">
        <v>87</v>
      </c>
      <c r="W98" s="108">
        <v>45785</v>
      </c>
      <c r="X98" s="108">
        <v>45785</v>
      </c>
      <c r="Y98" s="110"/>
      <c r="Z98" s="126" t="s">
        <v>85</v>
      </c>
      <c r="AA98" s="130">
        <v>576779</v>
      </c>
      <c r="AB98" s="110"/>
      <c r="AC98" s="114">
        <v>484688</v>
      </c>
      <c r="AD98" s="212">
        <f t="shared" si="6"/>
        <v>576778.72</v>
      </c>
      <c r="AE98" s="114">
        <v>0</v>
      </c>
      <c r="AF98" s="110"/>
      <c r="AG98" s="142" t="s">
        <v>1544</v>
      </c>
      <c r="AH98" s="248">
        <v>45775</v>
      </c>
      <c r="AI98" s="108">
        <v>45785</v>
      </c>
      <c r="AJ98" s="110" t="s">
        <v>571</v>
      </c>
      <c r="AK98" s="110"/>
      <c r="AL98" s="65"/>
      <c r="AM98" s="65"/>
      <c r="AN98" s="65"/>
      <c r="AO98" s="65"/>
      <c r="AP98" s="65"/>
      <c r="AQ98" s="65"/>
      <c r="AR98" s="65"/>
      <c r="AS98" s="65"/>
      <c r="AT98" s="65"/>
      <c r="AU98" s="65"/>
      <c r="AV98" s="65"/>
      <c r="AW98" s="65"/>
      <c r="AX98" s="65"/>
      <c r="AY98" s="65"/>
      <c r="AZ98" s="65"/>
      <c r="BA98" s="65"/>
      <c r="BB98" s="65"/>
      <c r="BC98" s="65"/>
      <c r="BD98" s="65"/>
      <c r="BE98" s="65"/>
      <c r="BF98" s="65"/>
      <c r="BG98" s="65"/>
      <c r="BH98" s="65"/>
      <c r="BI98" s="65"/>
      <c r="BJ98" s="65"/>
      <c r="BK98" s="65"/>
      <c r="BL98" s="65"/>
      <c r="BM98" s="65"/>
      <c r="BN98" s="65"/>
      <c r="BO98" s="65"/>
      <c r="BP98" s="65"/>
      <c r="BQ98" s="65"/>
      <c r="BR98" s="65"/>
      <c r="BS98" s="65"/>
      <c r="BT98" s="65"/>
      <c r="BU98" s="65"/>
      <c r="BV98" s="65"/>
      <c r="BW98" s="65"/>
      <c r="BX98" s="65"/>
      <c r="BY98" s="65"/>
      <c r="BZ98" s="65"/>
      <c r="CA98" s="65"/>
      <c r="CB98" s="65"/>
      <c r="CC98" s="65"/>
      <c r="CD98" s="65"/>
      <c r="CE98" s="65"/>
      <c r="CF98" s="65"/>
      <c r="CG98" s="65"/>
      <c r="CH98" s="65"/>
      <c r="CI98" s="65"/>
      <c r="CJ98" s="65"/>
      <c r="CK98" s="65"/>
      <c r="CL98" s="65"/>
      <c r="CM98" s="65"/>
      <c r="CN98" s="65"/>
      <c r="CO98" s="65"/>
      <c r="CP98" s="65"/>
      <c r="CQ98" s="65"/>
      <c r="CR98" s="65"/>
      <c r="CS98" s="65"/>
      <c r="CT98" s="65"/>
      <c r="CU98" s="65"/>
      <c r="CV98" s="65"/>
      <c r="CW98" s="65"/>
      <c r="CX98" s="65"/>
      <c r="CY98" s="65"/>
      <c r="CZ98" s="65"/>
      <c r="DA98" s="65"/>
      <c r="DB98" s="65"/>
      <c r="DC98" s="65"/>
      <c r="DD98" s="65"/>
      <c r="DE98" s="65"/>
      <c r="DF98" s="65"/>
      <c r="DG98" s="65"/>
      <c r="DH98" s="65"/>
      <c r="DI98" s="65"/>
      <c r="DJ98" s="65"/>
      <c r="DK98" s="65"/>
      <c r="DL98" s="65"/>
      <c r="DM98" s="65"/>
      <c r="DN98" s="65"/>
      <c r="DO98" s="65"/>
      <c r="DP98" s="65"/>
      <c r="DQ98" s="65"/>
      <c r="DR98" s="65"/>
      <c r="DS98" s="65"/>
      <c r="DT98" s="65"/>
      <c r="DU98" s="65"/>
      <c r="DV98" s="65"/>
      <c r="DW98" s="65"/>
      <c r="DX98" s="65"/>
      <c r="DY98" s="65"/>
      <c r="DZ98" s="65"/>
      <c r="EA98" s="65"/>
      <c r="EB98" s="65"/>
      <c r="EC98" s="65"/>
      <c r="ED98" s="65"/>
      <c r="EE98" s="65"/>
      <c r="EF98" s="65"/>
      <c r="EG98" s="65"/>
      <c r="EH98" s="65"/>
      <c r="EI98" s="65"/>
      <c r="EJ98" s="65"/>
      <c r="EK98" s="65"/>
      <c r="EL98" s="65"/>
      <c r="EM98" s="65"/>
      <c r="EN98" s="65"/>
      <c r="EO98" s="65"/>
      <c r="EP98" s="65"/>
      <c r="EQ98" s="65"/>
      <c r="ER98" s="65"/>
      <c r="ES98" s="65"/>
      <c r="ET98" s="65"/>
      <c r="EU98" s="65"/>
      <c r="EV98" s="65"/>
      <c r="EW98" s="65"/>
      <c r="EX98" s="65"/>
      <c r="EY98" s="65"/>
      <c r="EZ98" s="65"/>
      <c r="FA98" s="65"/>
      <c r="FB98" s="65"/>
      <c r="FC98" s="65"/>
      <c r="FD98" s="65"/>
      <c r="FE98" s="65"/>
      <c r="FF98" s="65"/>
      <c r="FG98" s="65"/>
      <c r="FH98" s="65"/>
      <c r="FI98" s="65"/>
      <c r="FJ98" s="65"/>
      <c r="FK98" s="65"/>
      <c r="FL98" s="65"/>
      <c r="FM98" s="65"/>
      <c r="FN98" s="65"/>
      <c r="FO98" s="65"/>
      <c r="FP98" s="65"/>
      <c r="FQ98" s="65"/>
      <c r="FR98" s="65"/>
      <c r="FS98" s="65"/>
      <c r="FT98" s="65"/>
      <c r="FU98" s="65"/>
      <c r="FV98" s="65"/>
      <c r="FW98" s="65"/>
      <c r="FX98" s="65"/>
      <c r="FY98" s="65"/>
      <c r="FZ98" s="65"/>
      <c r="GA98" s="65"/>
      <c r="GB98" s="65"/>
      <c r="GC98" s="65"/>
      <c r="GD98" s="65"/>
      <c r="GE98" s="65"/>
      <c r="GF98" s="65"/>
      <c r="GG98" s="65"/>
      <c r="GH98" s="65"/>
      <c r="GI98" s="65"/>
      <c r="GJ98" s="65"/>
      <c r="GK98" s="65"/>
      <c r="GL98" s="65"/>
      <c r="GM98" s="65"/>
      <c r="GN98" s="65"/>
      <c r="GO98" s="65"/>
      <c r="GP98" s="65"/>
      <c r="GQ98" s="65"/>
      <c r="GR98" s="65"/>
      <c r="GS98" s="65"/>
      <c r="GT98" s="65"/>
      <c r="GU98" s="65"/>
      <c r="GV98" s="65"/>
      <c r="GW98" s="65"/>
      <c r="GX98" s="65"/>
      <c r="GY98" s="65"/>
      <c r="GZ98" s="65"/>
      <c r="HA98" s="65"/>
      <c r="HB98" s="65"/>
      <c r="HC98" s="65"/>
      <c r="HD98" s="65"/>
      <c r="HE98" s="65"/>
      <c r="HF98" s="65"/>
      <c r="HG98" s="65"/>
      <c r="HH98" s="65"/>
      <c r="HI98" s="65"/>
      <c r="HJ98" s="65"/>
      <c r="HK98" s="65"/>
      <c r="HL98" s="65"/>
      <c r="HM98" s="65"/>
      <c r="HN98" s="65"/>
      <c r="HO98" s="65"/>
      <c r="HP98" s="65"/>
      <c r="HQ98" s="65"/>
      <c r="HR98" s="65"/>
      <c r="HS98" s="65"/>
      <c r="HT98" s="65"/>
      <c r="HU98" s="65"/>
      <c r="HV98" s="65"/>
      <c r="HW98" s="65"/>
      <c r="HX98" s="65"/>
      <c r="HY98" s="65"/>
      <c r="HZ98" s="65"/>
      <c r="IA98" s="65"/>
      <c r="IB98" s="65"/>
      <c r="IC98" s="65"/>
      <c r="ID98" s="65"/>
      <c r="IE98" s="65"/>
      <c r="IF98" s="65"/>
      <c r="IG98" s="65"/>
      <c r="IH98" s="65"/>
      <c r="II98" s="65"/>
      <c r="IJ98" s="65"/>
      <c r="IK98" s="65"/>
      <c r="IL98" s="65"/>
      <c r="IM98" s="65"/>
      <c r="IN98" s="65"/>
      <c r="IO98" s="65"/>
      <c r="IP98" s="65"/>
      <c r="IQ98" s="65"/>
      <c r="IR98" s="65"/>
      <c r="IS98" s="65"/>
      <c r="IT98" s="65"/>
      <c r="IU98" s="65"/>
      <c r="IV98" s="65"/>
      <c r="IW98" s="65"/>
      <c r="IX98" s="65"/>
      <c r="IY98" s="65"/>
      <c r="IZ98" s="65"/>
      <c r="JA98" s="65"/>
      <c r="JB98" s="65"/>
      <c r="JC98" s="65"/>
      <c r="JD98" s="65"/>
      <c r="JE98" s="65"/>
      <c r="JF98" s="65"/>
      <c r="JG98" s="65"/>
      <c r="JH98" s="65"/>
      <c r="JI98" s="65"/>
      <c r="JJ98" s="65"/>
      <c r="JK98" s="65"/>
      <c r="JL98" s="65"/>
      <c r="JM98" s="65"/>
      <c r="JN98" s="65"/>
      <c r="JO98" s="65"/>
      <c r="JP98" s="65"/>
      <c r="JQ98" s="65"/>
      <c r="JR98" s="65"/>
      <c r="JS98" s="65"/>
      <c r="JT98" s="65"/>
      <c r="JU98" s="65"/>
      <c r="JV98" s="65"/>
      <c r="JW98" s="65"/>
      <c r="JX98" s="65"/>
      <c r="JY98" s="65"/>
      <c r="JZ98" s="65"/>
      <c r="KA98" s="65"/>
      <c r="KB98" s="65"/>
      <c r="KC98" s="65"/>
      <c r="KD98" s="65"/>
      <c r="KE98" s="65"/>
      <c r="KF98" s="65"/>
      <c r="KG98" s="65"/>
      <c r="KH98" s="65"/>
      <c r="KI98" s="65"/>
      <c r="KJ98" s="65"/>
      <c r="KK98" s="65"/>
      <c r="KL98" s="65"/>
      <c r="KM98" s="65"/>
      <c r="KN98" s="65"/>
      <c r="KO98" s="65"/>
      <c r="KP98" s="65"/>
      <c r="KQ98" s="65"/>
      <c r="KR98" s="65"/>
      <c r="KS98" s="65"/>
      <c r="KT98" s="65"/>
      <c r="KU98" s="65"/>
      <c r="KV98" s="65"/>
      <c r="KW98" s="65"/>
      <c r="KX98" s="65"/>
      <c r="KY98" s="65"/>
      <c r="KZ98" s="65"/>
      <c r="LA98" s="65"/>
      <c r="LB98" s="65"/>
      <c r="LC98" s="65"/>
      <c r="LD98" s="65"/>
      <c r="LE98" s="65"/>
      <c r="LF98" s="65"/>
      <c r="LG98" s="65"/>
      <c r="LH98" s="65"/>
      <c r="LI98" s="65"/>
      <c r="LJ98" s="65"/>
      <c r="LK98" s="65"/>
      <c r="LL98" s="65"/>
      <c r="LM98" s="65"/>
      <c r="LN98" s="65"/>
      <c r="LO98" s="65"/>
      <c r="LP98" s="65"/>
      <c r="LQ98" s="65"/>
      <c r="LR98" s="65"/>
      <c r="LS98" s="65"/>
      <c r="LT98" s="65"/>
      <c r="LU98" s="65"/>
      <c r="LV98" s="65"/>
      <c r="LW98" s="65"/>
      <c r="LX98" s="65"/>
      <c r="LY98" s="65"/>
      <c r="LZ98" s="65"/>
      <c r="MA98" s="65"/>
      <c r="MB98" s="65"/>
      <c r="MC98" s="65"/>
      <c r="MD98" s="65"/>
      <c r="ME98" s="65"/>
      <c r="MF98" s="65"/>
      <c r="MG98" s="65"/>
      <c r="MH98" s="65"/>
      <c r="MI98" s="65"/>
      <c r="MJ98" s="65"/>
      <c r="MK98" s="65"/>
      <c r="ML98" s="65"/>
      <c r="MM98" s="65"/>
      <c r="MN98" s="65"/>
      <c r="MO98" s="65"/>
      <c r="MP98" s="65"/>
      <c r="MQ98" s="65"/>
      <c r="MR98" s="65"/>
      <c r="MS98" s="65"/>
      <c r="MT98" s="65"/>
      <c r="MU98" s="65"/>
      <c r="MV98" s="65"/>
      <c r="MW98" s="65"/>
      <c r="MX98" s="65"/>
      <c r="MY98" s="65"/>
      <c r="MZ98" s="65"/>
      <c r="NA98" s="65"/>
      <c r="NB98" s="65"/>
      <c r="NC98" s="65"/>
      <c r="ND98" s="65"/>
      <c r="NE98" s="65"/>
      <c r="NF98" s="65"/>
      <c r="NG98" s="65"/>
      <c r="NH98" s="65"/>
      <c r="NI98" s="65"/>
      <c r="NJ98" s="65"/>
      <c r="NK98" s="65"/>
      <c r="NL98" s="65"/>
      <c r="NM98" s="65"/>
      <c r="NN98" s="65"/>
      <c r="NO98" s="65"/>
      <c r="NP98" s="65"/>
      <c r="NQ98" s="65"/>
      <c r="NR98" s="65"/>
      <c r="NS98" s="65"/>
      <c r="NT98" s="65"/>
      <c r="NU98" s="65"/>
      <c r="NV98" s="65"/>
      <c r="NW98" s="65"/>
      <c r="NX98" s="65"/>
      <c r="NY98" s="65"/>
      <c r="NZ98" s="65"/>
      <c r="OA98" s="65"/>
      <c r="OB98" s="65"/>
      <c r="OC98" s="65"/>
      <c r="OD98" s="65"/>
      <c r="OE98" s="65"/>
      <c r="OF98" s="65"/>
      <c r="OG98" s="65"/>
      <c r="OH98" s="65"/>
      <c r="OI98" s="65"/>
      <c r="OJ98" s="65"/>
      <c r="OK98" s="65"/>
      <c r="OL98" s="65"/>
      <c r="OM98" s="65"/>
      <c r="ON98" s="65"/>
      <c r="OO98" s="65"/>
      <c r="OP98" s="65"/>
      <c r="OQ98" s="65"/>
      <c r="OR98" s="65"/>
      <c r="OS98" s="65"/>
      <c r="OT98" s="65"/>
      <c r="OU98" s="65"/>
      <c r="OV98" s="65"/>
      <c r="OW98" s="65"/>
      <c r="OX98" s="65"/>
      <c r="OY98" s="65"/>
      <c r="OZ98" s="65"/>
      <c r="PA98" s="65"/>
      <c r="PB98" s="65"/>
      <c r="PC98" s="65"/>
      <c r="PD98" s="65"/>
      <c r="PE98" s="65"/>
      <c r="PF98" s="65"/>
      <c r="PG98" s="65"/>
      <c r="PH98" s="65"/>
      <c r="PI98" s="65"/>
      <c r="PJ98" s="65"/>
      <c r="PK98" s="65"/>
      <c r="PL98" s="65"/>
      <c r="PM98" s="65"/>
      <c r="PN98" s="65"/>
      <c r="PO98" s="65"/>
      <c r="PP98" s="65"/>
      <c r="PQ98" s="65"/>
      <c r="PR98" s="65"/>
      <c r="PS98" s="65"/>
      <c r="PT98" s="65"/>
      <c r="PU98" s="65"/>
      <c r="PV98" s="65"/>
      <c r="PW98" s="65"/>
      <c r="PX98" s="65"/>
      <c r="PY98" s="65"/>
      <c r="PZ98" s="65"/>
      <c r="QA98" s="65"/>
      <c r="QB98" s="65"/>
      <c r="QC98" s="65"/>
      <c r="QD98" s="65"/>
      <c r="QE98" s="65"/>
      <c r="QF98" s="65"/>
      <c r="QG98" s="65"/>
      <c r="QH98" s="65"/>
      <c r="QI98" s="65"/>
      <c r="QJ98" s="65"/>
      <c r="QK98" s="65"/>
      <c r="QL98" s="65"/>
      <c r="QM98" s="65"/>
      <c r="QN98" s="65"/>
      <c r="QO98" s="65"/>
      <c r="QP98" s="65"/>
      <c r="QQ98" s="65"/>
      <c r="QR98" s="65"/>
      <c r="QS98" s="65"/>
      <c r="QT98" s="65"/>
      <c r="QU98" s="65"/>
      <c r="QV98" s="65"/>
      <c r="QW98" s="65"/>
      <c r="QX98" s="65"/>
      <c r="QY98" s="65"/>
      <c r="QZ98" s="65"/>
      <c r="RA98" s="65"/>
      <c r="RB98" s="65"/>
      <c r="RC98" s="65"/>
      <c r="RD98" s="65"/>
      <c r="RE98" s="65"/>
      <c r="RF98" s="65"/>
      <c r="RG98" s="65"/>
      <c r="RH98" s="65"/>
      <c r="RI98" s="65"/>
      <c r="RJ98" s="65"/>
      <c r="RK98" s="65"/>
      <c r="RL98" s="65"/>
      <c r="RM98" s="65"/>
      <c r="RN98" s="65"/>
      <c r="RO98" s="65"/>
      <c r="RP98" s="65"/>
      <c r="RQ98" s="65"/>
      <c r="RR98" s="65"/>
      <c r="RS98" s="65"/>
      <c r="RT98" s="65"/>
      <c r="RU98" s="65"/>
      <c r="RV98" s="65"/>
      <c r="RW98" s="65"/>
      <c r="RX98" s="65"/>
      <c r="RY98" s="65"/>
      <c r="RZ98" s="65"/>
      <c r="SA98" s="65"/>
      <c r="SB98" s="65"/>
      <c r="SC98" s="65"/>
      <c r="SD98" s="65"/>
      <c r="SE98" s="65"/>
      <c r="SF98" s="65"/>
      <c r="SG98" s="65"/>
      <c r="SH98" s="65"/>
      <c r="SI98" s="65"/>
      <c r="SJ98" s="65"/>
      <c r="SK98" s="65"/>
      <c r="SL98" s="65"/>
      <c r="SM98" s="65"/>
      <c r="SN98" s="65"/>
      <c r="SO98" s="65"/>
      <c r="SP98" s="65"/>
      <c r="SQ98" s="65"/>
      <c r="SR98" s="65"/>
      <c r="SS98" s="65"/>
      <c r="ST98" s="65"/>
      <c r="SU98" s="65"/>
      <c r="SV98" s="65"/>
      <c r="SW98" s="65"/>
      <c r="SX98" s="65"/>
      <c r="SY98" s="65"/>
      <c r="SZ98" s="65"/>
      <c r="TA98" s="65"/>
      <c r="TB98" s="65"/>
      <c r="TC98" s="65"/>
      <c r="TD98" s="65"/>
      <c r="TE98" s="65"/>
      <c r="TF98" s="65"/>
      <c r="TG98" s="65"/>
      <c r="TH98" s="65"/>
      <c r="TI98" s="65"/>
      <c r="TJ98" s="65"/>
      <c r="TK98" s="65"/>
      <c r="TL98" s="65"/>
      <c r="TM98" s="65"/>
      <c r="TN98" s="65"/>
      <c r="TO98" s="65"/>
      <c r="TP98" s="65"/>
      <c r="TQ98" s="65"/>
      <c r="TR98" s="65"/>
      <c r="TS98" s="65"/>
      <c r="TT98" s="65"/>
      <c r="TU98" s="65"/>
      <c r="TV98" s="65"/>
      <c r="TW98" s="65"/>
      <c r="TX98" s="65"/>
      <c r="TY98" s="65"/>
      <c r="TZ98" s="65"/>
      <c r="UA98" s="65"/>
      <c r="UB98" s="65"/>
      <c r="UC98" s="65"/>
      <c r="UD98" s="65"/>
      <c r="UE98" s="65"/>
      <c r="UF98" s="65"/>
      <c r="UG98" s="65"/>
      <c r="UH98" s="65"/>
      <c r="UI98" s="65"/>
      <c r="UJ98" s="65"/>
      <c r="UK98" s="65"/>
      <c r="UL98" s="65"/>
      <c r="UM98" s="65"/>
      <c r="UN98" s="65"/>
      <c r="UO98" s="65"/>
      <c r="UP98" s="65"/>
      <c r="UQ98" s="65"/>
      <c r="UR98" s="65"/>
      <c r="US98" s="65"/>
      <c r="UT98" s="65"/>
      <c r="UU98" s="65"/>
      <c r="UV98" s="65"/>
      <c r="UW98" s="65"/>
      <c r="UX98" s="65"/>
      <c r="UY98" s="65"/>
      <c r="UZ98" s="65"/>
      <c r="VA98" s="65"/>
      <c r="VB98" s="65"/>
      <c r="VC98" s="65"/>
      <c r="VD98" s="65"/>
      <c r="VE98" s="65"/>
      <c r="VF98" s="65"/>
      <c r="VG98" s="65"/>
      <c r="VH98" s="65"/>
      <c r="VI98" s="65"/>
      <c r="VJ98" s="65"/>
      <c r="VK98" s="65"/>
      <c r="VL98" s="65"/>
      <c r="VM98" s="65"/>
      <c r="VN98" s="65"/>
      <c r="VO98" s="65"/>
      <c r="VP98" s="65"/>
      <c r="VQ98" s="65"/>
      <c r="VR98" s="65"/>
      <c r="VS98" s="65"/>
      <c r="VT98" s="65"/>
      <c r="VU98" s="65"/>
      <c r="VV98" s="65"/>
      <c r="VW98" s="65"/>
      <c r="VX98" s="65"/>
      <c r="VY98" s="65"/>
      <c r="VZ98" s="65"/>
      <c r="WA98" s="65"/>
      <c r="WB98" s="65"/>
      <c r="WC98" s="65"/>
      <c r="WD98" s="65"/>
      <c r="WE98" s="65"/>
      <c r="WF98" s="65"/>
      <c r="WG98" s="65"/>
      <c r="WH98" s="65"/>
      <c r="WI98" s="65"/>
      <c r="WJ98" s="65"/>
      <c r="WK98" s="65"/>
      <c r="WL98" s="65"/>
      <c r="WM98" s="65"/>
      <c r="WN98" s="65"/>
      <c r="WO98" s="65"/>
      <c r="WP98" s="65"/>
      <c r="WQ98" s="65"/>
      <c r="WR98" s="65"/>
      <c r="WS98" s="65"/>
      <c r="WT98" s="65"/>
      <c r="WU98" s="65"/>
      <c r="WV98" s="65"/>
      <c r="WW98" s="65"/>
      <c r="WX98" s="65"/>
      <c r="WY98" s="65"/>
      <c r="WZ98" s="65"/>
      <c r="XA98" s="65"/>
      <c r="XB98" s="65"/>
      <c r="XC98" s="65"/>
      <c r="XD98" s="65"/>
      <c r="XE98" s="65"/>
      <c r="XF98" s="65"/>
      <c r="XG98" s="65"/>
      <c r="XH98" s="65"/>
      <c r="XI98" s="65"/>
      <c r="XJ98" s="65"/>
      <c r="XK98" s="65"/>
      <c r="XL98" s="65"/>
      <c r="XM98" s="65"/>
      <c r="XN98" s="65"/>
      <c r="XO98" s="65"/>
      <c r="XP98" s="65"/>
      <c r="XQ98" s="65"/>
      <c r="XR98" s="65"/>
      <c r="XS98" s="65"/>
      <c r="XT98" s="65"/>
      <c r="XU98" s="65"/>
      <c r="XV98" s="65"/>
      <c r="XW98" s="65"/>
      <c r="XX98" s="65"/>
      <c r="XY98" s="65"/>
      <c r="XZ98" s="65"/>
      <c r="YA98" s="65"/>
      <c r="YB98" s="65"/>
      <c r="YC98" s="65"/>
      <c r="YD98" s="65"/>
      <c r="YE98" s="65"/>
      <c r="YF98" s="65"/>
      <c r="YG98" s="65"/>
      <c r="YH98" s="65"/>
      <c r="YI98" s="65"/>
      <c r="YJ98" s="65"/>
      <c r="YK98" s="65"/>
      <c r="YL98" s="65"/>
      <c r="YM98" s="65"/>
      <c r="YN98" s="65"/>
      <c r="YO98" s="65"/>
      <c r="YP98" s="65"/>
      <c r="YQ98" s="65"/>
      <c r="YR98" s="65"/>
      <c r="YS98" s="65"/>
      <c r="YT98" s="65"/>
      <c r="YU98" s="65"/>
      <c r="YV98" s="65"/>
      <c r="YW98" s="65"/>
      <c r="YX98" s="65"/>
      <c r="YY98" s="65"/>
      <c r="YZ98" s="65"/>
      <c r="ZA98" s="65"/>
      <c r="ZB98" s="65"/>
      <c r="ZC98" s="65"/>
      <c r="ZD98" s="65"/>
      <c r="ZE98" s="65"/>
      <c r="ZF98" s="65"/>
      <c r="ZG98" s="65"/>
      <c r="ZH98" s="65"/>
      <c r="ZI98" s="65"/>
      <c r="ZJ98" s="65"/>
      <c r="ZK98" s="65"/>
      <c r="ZL98" s="65"/>
      <c r="ZM98" s="65"/>
      <c r="ZN98" s="65"/>
      <c r="ZO98" s="65"/>
      <c r="ZP98" s="65"/>
      <c r="ZQ98" s="65"/>
      <c r="ZR98" s="65"/>
      <c r="ZS98" s="65"/>
      <c r="ZT98" s="65"/>
      <c r="ZU98" s="65"/>
      <c r="ZV98" s="65"/>
      <c r="ZW98" s="65"/>
      <c r="ZX98" s="65"/>
      <c r="ZY98" s="65"/>
      <c r="ZZ98" s="65"/>
      <c r="AAA98" s="65"/>
      <c r="AAB98" s="65"/>
      <c r="AAC98" s="65"/>
      <c r="AAD98" s="65"/>
      <c r="AAE98" s="65"/>
      <c r="AAF98" s="65"/>
      <c r="AAG98" s="65"/>
      <c r="AAH98" s="65"/>
      <c r="AAI98" s="65"/>
      <c r="AAJ98" s="65"/>
      <c r="AAK98" s="65"/>
      <c r="AAL98" s="65"/>
      <c r="AAM98" s="65"/>
      <c r="AAN98" s="65"/>
      <c r="AAO98" s="65"/>
      <c r="AAP98" s="65"/>
      <c r="AAQ98" s="65"/>
      <c r="AAR98" s="65"/>
      <c r="AAS98" s="65"/>
      <c r="AAT98" s="65"/>
      <c r="AAU98" s="65"/>
      <c r="AAV98" s="65"/>
      <c r="AAW98" s="65"/>
      <c r="AAX98" s="65"/>
      <c r="AAY98" s="65"/>
      <c r="AAZ98" s="65"/>
      <c r="ABA98" s="65"/>
      <c r="ABB98" s="65"/>
      <c r="ABC98" s="65"/>
      <c r="ABD98" s="65"/>
      <c r="ABE98" s="65"/>
      <c r="ABF98" s="65"/>
      <c r="ABG98" s="65"/>
      <c r="ABH98" s="65"/>
      <c r="ABI98" s="65"/>
      <c r="ABJ98" s="65"/>
      <c r="ABK98" s="65"/>
      <c r="ABL98" s="65"/>
      <c r="ABM98" s="65"/>
      <c r="ABN98" s="65"/>
    </row>
    <row r="99" spans="1:742" s="207" customFormat="1" ht="60" x14ac:dyDescent="0.25">
      <c r="A99" s="99">
        <v>2025</v>
      </c>
      <c r="B99" s="233">
        <v>4</v>
      </c>
      <c r="C99" s="356">
        <v>22606</v>
      </c>
      <c r="D99" s="278">
        <v>45775</v>
      </c>
      <c r="E99" s="100" t="s">
        <v>1093</v>
      </c>
      <c r="F99" s="100" t="s">
        <v>1093</v>
      </c>
      <c r="G99" s="99" t="s">
        <v>143</v>
      </c>
      <c r="H99" s="99">
        <v>3123763439</v>
      </c>
      <c r="I99" s="99">
        <v>3123763439</v>
      </c>
      <c r="J99" s="97">
        <v>45785</v>
      </c>
      <c r="K99" s="99" t="s">
        <v>84</v>
      </c>
      <c r="L99" s="101" t="s">
        <v>1094</v>
      </c>
      <c r="M99" s="99" t="s">
        <v>136</v>
      </c>
      <c r="N99" s="99">
        <v>5911</v>
      </c>
      <c r="O99" s="99">
        <v>6148</v>
      </c>
      <c r="P99" s="99" t="s">
        <v>136</v>
      </c>
      <c r="Q99" s="99" t="s">
        <v>136</v>
      </c>
      <c r="R99" s="99" t="s">
        <v>136</v>
      </c>
      <c r="S99" s="99" t="s">
        <v>136</v>
      </c>
      <c r="T99" s="99" t="s">
        <v>136</v>
      </c>
      <c r="U99" s="99" t="s">
        <v>136</v>
      </c>
      <c r="V99" s="100" t="s">
        <v>119</v>
      </c>
      <c r="W99" s="97">
        <v>45785</v>
      </c>
      <c r="X99" s="97">
        <v>45789</v>
      </c>
      <c r="Y99" s="99"/>
      <c r="Z99" s="120" t="s">
        <v>85</v>
      </c>
      <c r="AA99" s="122">
        <v>0</v>
      </c>
      <c r="AB99" s="99">
        <v>5835</v>
      </c>
      <c r="AC99" s="103">
        <v>436975</v>
      </c>
      <c r="AD99" s="198">
        <f t="shared" si="6"/>
        <v>520000.25</v>
      </c>
      <c r="AE99" s="103">
        <v>260000</v>
      </c>
      <c r="AF99" s="99"/>
      <c r="AG99" s="104" t="s">
        <v>1777</v>
      </c>
      <c r="AH99" s="258">
        <v>45786</v>
      </c>
      <c r="AI99" s="97">
        <v>45786</v>
      </c>
      <c r="AJ99" s="99" t="s">
        <v>571</v>
      </c>
      <c r="AK99" s="99"/>
      <c r="AL99" s="65"/>
      <c r="AM99" s="65"/>
      <c r="AN99" s="65"/>
      <c r="AO99" s="65"/>
      <c r="AP99" s="65"/>
      <c r="AQ99" s="65"/>
      <c r="AR99" s="65"/>
      <c r="AS99" s="65"/>
      <c r="AT99" s="65"/>
      <c r="AU99" s="65"/>
      <c r="AV99" s="65"/>
      <c r="AW99" s="65"/>
      <c r="AX99" s="65"/>
      <c r="AY99" s="65"/>
      <c r="AZ99" s="65"/>
      <c r="BA99" s="65"/>
      <c r="BB99" s="65"/>
      <c r="BC99" s="65"/>
      <c r="BD99" s="65"/>
      <c r="BE99" s="65"/>
      <c r="BF99" s="65"/>
      <c r="BG99" s="65"/>
      <c r="BH99" s="65"/>
      <c r="BI99" s="65"/>
      <c r="BJ99" s="65"/>
      <c r="BK99" s="65"/>
      <c r="BL99" s="65"/>
      <c r="BM99" s="65"/>
      <c r="BN99" s="65"/>
      <c r="BO99" s="65"/>
      <c r="BP99" s="65"/>
      <c r="BQ99" s="65"/>
      <c r="BR99" s="65"/>
      <c r="BS99" s="65"/>
      <c r="BT99" s="65"/>
      <c r="BU99" s="65"/>
      <c r="BV99" s="65"/>
      <c r="BW99" s="65"/>
      <c r="BX99" s="65"/>
      <c r="BY99" s="65"/>
      <c r="BZ99" s="65"/>
      <c r="CA99" s="65"/>
      <c r="CB99" s="65"/>
      <c r="CC99" s="65"/>
      <c r="CD99" s="65"/>
      <c r="CE99" s="65"/>
      <c r="CF99" s="65"/>
      <c r="CG99" s="65"/>
      <c r="CH99" s="65"/>
      <c r="CI99" s="65"/>
      <c r="CJ99" s="65"/>
      <c r="CK99" s="65"/>
      <c r="CL99" s="65"/>
      <c r="CM99" s="65"/>
      <c r="CN99" s="65"/>
      <c r="CO99" s="65"/>
      <c r="CP99" s="65"/>
      <c r="CQ99" s="65"/>
      <c r="CR99" s="65"/>
      <c r="CS99" s="65"/>
      <c r="CT99" s="65"/>
      <c r="CU99" s="65"/>
      <c r="CV99" s="65"/>
      <c r="CW99" s="65"/>
      <c r="CX99" s="65"/>
      <c r="CY99" s="65"/>
      <c r="CZ99" s="65"/>
      <c r="DA99" s="65"/>
      <c r="DB99" s="65"/>
      <c r="DC99" s="65"/>
      <c r="DD99" s="65"/>
      <c r="DE99" s="65"/>
      <c r="DF99" s="65"/>
      <c r="DG99" s="65"/>
      <c r="DH99" s="65"/>
      <c r="DI99" s="65"/>
      <c r="DJ99" s="65"/>
      <c r="DK99" s="65"/>
      <c r="DL99" s="65"/>
      <c r="DM99" s="65"/>
      <c r="DN99" s="65"/>
      <c r="DO99" s="65"/>
      <c r="DP99" s="65"/>
      <c r="DQ99" s="65"/>
      <c r="DR99" s="65"/>
      <c r="DS99" s="65"/>
      <c r="DT99" s="65"/>
      <c r="DU99" s="65"/>
      <c r="DV99" s="65"/>
      <c r="DW99" s="65"/>
      <c r="DX99" s="65"/>
      <c r="DY99" s="65"/>
      <c r="DZ99" s="65"/>
      <c r="EA99" s="65"/>
      <c r="EB99" s="65"/>
      <c r="EC99" s="65"/>
      <c r="ED99" s="65"/>
      <c r="EE99" s="65"/>
      <c r="EF99" s="65"/>
      <c r="EG99" s="65"/>
      <c r="EH99" s="65"/>
      <c r="EI99" s="65"/>
      <c r="EJ99" s="65"/>
      <c r="EK99" s="65"/>
      <c r="EL99" s="65"/>
      <c r="EM99" s="65"/>
      <c r="EN99" s="65"/>
      <c r="EO99" s="65"/>
      <c r="EP99" s="65"/>
      <c r="EQ99" s="65"/>
      <c r="ER99" s="65"/>
      <c r="ES99" s="65"/>
      <c r="ET99" s="65"/>
      <c r="EU99" s="65"/>
      <c r="EV99" s="65"/>
      <c r="EW99" s="65"/>
      <c r="EX99" s="65"/>
      <c r="EY99" s="65"/>
      <c r="EZ99" s="65"/>
      <c r="FA99" s="65"/>
      <c r="FB99" s="65"/>
      <c r="FC99" s="65"/>
      <c r="FD99" s="65"/>
      <c r="FE99" s="65"/>
      <c r="FF99" s="65"/>
      <c r="FG99" s="65"/>
      <c r="FH99" s="65"/>
      <c r="FI99" s="65"/>
      <c r="FJ99" s="65"/>
      <c r="FK99" s="65"/>
      <c r="FL99" s="65"/>
      <c r="FM99" s="65"/>
      <c r="FN99" s="65"/>
      <c r="FO99" s="65"/>
      <c r="FP99" s="65"/>
      <c r="FQ99" s="65"/>
      <c r="FR99" s="65"/>
      <c r="FS99" s="65"/>
      <c r="FT99" s="65"/>
      <c r="FU99" s="65"/>
      <c r="FV99" s="65"/>
      <c r="FW99" s="65"/>
      <c r="FX99" s="65"/>
      <c r="FY99" s="65"/>
      <c r="FZ99" s="65"/>
      <c r="GA99" s="65"/>
      <c r="GB99" s="65"/>
      <c r="GC99" s="65"/>
      <c r="GD99" s="65"/>
      <c r="GE99" s="65"/>
      <c r="GF99" s="65"/>
      <c r="GG99" s="65"/>
      <c r="GH99" s="65"/>
      <c r="GI99" s="65"/>
      <c r="GJ99" s="65"/>
      <c r="GK99" s="65"/>
      <c r="GL99" s="65"/>
      <c r="GM99" s="65"/>
      <c r="GN99" s="65"/>
      <c r="GO99" s="65"/>
      <c r="GP99" s="65"/>
      <c r="GQ99" s="65"/>
      <c r="GR99" s="65"/>
      <c r="GS99" s="65"/>
      <c r="GT99" s="65"/>
      <c r="GU99" s="65"/>
      <c r="GV99" s="65"/>
      <c r="GW99" s="65"/>
      <c r="GX99" s="65"/>
      <c r="GY99" s="65"/>
      <c r="GZ99" s="65"/>
      <c r="HA99" s="65"/>
      <c r="HB99" s="65"/>
      <c r="HC99" s="65"/>
      <c r="HD99" s="65"/>
      <c r="HE99" s="65"/>
      <c r="HF99" s="65"/>
      <c r="HG99" s="65"/>
      <c r="HH99" s="65"/>
      <c r="HI99" s="65"/>
      <c r="HJ99" s="65"/>
      <c r="HK99" s="65"/>
      <c r="HL99" s="65"/>
      <c r="HM99" s="65"/>
      <c r="HN99" s="65"/>
      <c r="HO99" s="65"/>
      <c r="HP99" s="65"/>
      <c r="HQ99" s="65"/>
      <c r="HR99" s="65"/>
      <c r="HS99" s="65"/>
      <c r="HT99" s="65"/>
      <c r="HU99" s="65"/>
      <c r="HV99" s="65"/>
      <c r="HW99" s="65"/>
      <c r="HX99" s="65"/>
      <c r="HY99" s="65"/>
      <c r="HZ99" s="65"/>
      <c r="IA99" s="65"/>
      <c r="IB99" s="65"/>
      <c r="IC99" s="65"/>
      <c r="ID99" s="65"/>
      <c r="IE99" s="65"/>
      <c r="IF99" s="65"/>
      <c r="IG99" s="65"/>
      <c r="IH99" s="65"/>
      <c r="II99" s="65"/>
      <c r="IJ99" s="65"/>
      <c r="IK99" s="65"/>
      <c r="IL99" s="65"/>
      <c r="IM99" s="65"/>
      <c r="IN99" s="65"/>
      <c r="IO99" s="65"/>
      <c r="IP99" s="65"/>
      <c r="IQ99" s="65"/>
      <c r="IR99" s="65"/>
      <c r="IS99" s="65"/>
      <c r="IT99" s="65"/>
      <c r="IU99" s="65"/>
      <c r="IV99" s="65"/>
      <c r="IW99" s="65"/>
      <c r="IX99" s="65"/>
      <c r="IY99" s="65"/>
      <c r="IZ99" s="65"/>
      <c r="JA99" s="65"/>
      <c r="JB99" s="65"/>
      <c r="JC99" s="65"/>
      <c r="JD99" s="65"/>
      <c r="JE99" s="65"/>
      <c r="JF99" s="65"/>
      <c r="JG99" s="65"/>
      <c r="JH99" s="65"/>
      <c r="JI99" s="65"/>
      <c r="JJ99" s="65"/>
      <c r="JK99" s="65"/>
      <c r="JL99" s="65"/>
      <c r="JM99" s="65"/>
      <c r="JN99" s="65"/>
      <c r="JO99" s="65"/>
      <c r="JP99" s="65"/>
      <c r="JQ99" s="65"/>
      <c r="JR99" s="65"/>
      <c r="JS99" s="65"/>
      <c r="JT99" s="65"/>
      <c r="JU99" s="65"/>
      <c r="JV99" s="65"/>
      <c r="JW99" s="65"/>
      <c r="JX99" s="65"/>
      <c r="JY99" s="65"/>
      <c r="JZ99" s="65"/>
      <c r="KA99" s="65"/>
      <c r="KB99" s="65"/>
      <c r="KC99" s="65"/>
      <c r="KD99" s="65"/>
      <c r="KE99" s="65"/>
      <c r="KF99" s="65"/>
      <c r="KG99" s="65"/>
      <c r="KH99" s="65"/>
      <c r="KI99" s="65"/>
      <c r="KJ99" s="65"/>
      <c r="KK99" s="65"/>
      <c r="KL99" s="65"/>
      <c r="KM99" s="65"/>
      <c r="KN99" s="65"/>
      <c r="KO99" s="65"/>
      <c r="KP99" s="65"/>
      <c r="KQ99" s="65"/>
      <c r="KR99" s="65"/>
      <c r="KS99" s="65"/>
      <c r="KT99" s="65"/>
      <c r="KU99" s="65"/>
      <c r="KV99" s="65"/>
      <c r="KW99" s="65"/>
      <c r="KX99" s="65"/>
      <c r="KY99" s="65"/>
      <c r="KZ99" s="65"/>
      <c r="LA99" s="65"/>
      <c r="LB99" s="65"/>
      <c r="LC99" s="65"/>
      <c r="LD99" s="65"/>
      <c r="LE99" s="65"/>
      <c r="LF99" s="65"/>
      <c r="LG99" s="65"/>
      <c r="LH99" s="65"/>
      <c r="LI99" s="65"/>
      <c r="LJ99" s="65"/>
      <c r="LK99" s="65"/>
      <c r="LL99" s="65"/>
      <c r="LM99" s="65"/>
      <c r="LN99" s="65"/>
      <c r="LO99" s="65"/>
      <c r="LP99" s="65"/>
      <c r="LQ99" s="65"/>
      <c r="LR99" s="65"/>
      <c r="LS99" s="65"/>
      <c r="LT99" s="65"/>
      <c r="LU99" s="65"/>
      <c r="LV99" s="65"/>
      <c r="LW99" s="65"/>
      <c r="LX99" s="65"/>
      <c r="LY99" s="65"/>
      <c r="LZ99" s="65"/>
      <c r="MA99" s="65"/>
      <c r="MB99" s="65"/>
      <c r="MC99" s="65"/>
      <c r="MD99" s="65"/>
      <c r="ME99" s="65"/>
      <c r="MF99" s="65"/>
      <c r="MG99" s="65"/>
      <c r="MH99" s="65"/>
      <c r="MI99" s="65"/>
      <c r="MJ99" s="65"/>
      <c r="MK99" s="65"/>
      <c r="ML99" s="65"/>
      <c r="MM99" s="65"/>
      <c r="MN99" s="65"/>
      <c r="MO99" s="65"/>
      <c r="MP99" s="65"/>
      <c r="MQ99" s="65"/>
      <c r="MR99" s="65"/>
      <c r="MS99" s="65"/>
      <c r="MT99" s="65"/>
      <c r="MU99" s="65"/>
      <c r="MV99" s="65"/>
      <c r="MW99" s="65"/>
      <c r="MX99" s="65"/>
      <c r="MY99" s="65"/>
      <c r="MZ99" s="65"/>
      <c r="NA99" s="65"/>
      <c r="NB99" s="65"/>
      <c r="NC99" s="65"/>
      <c r="ND99" s="65"/>
      <c r="NE99" s="65"/>
      <c r="NF99" s="65"/>
      <c r="NG99" s="65"/>
      <c r="NH99" s="65"/>
      <c r="NI99" s="65"/>
      <c r="NJ99" s="65"/>
      <c r="NK99" s="65"/>
      <c r="NL99" s="65"/>
      <c r="NM99" s="65"/>
      <c r="NN99" s="65"/>
      <c r="NO99" s="65"/>
      <c r="NP99" s="65"/>
      <c r="NQ99" s="65"/>
      <c r="NR99" s="65"/>
      <c r="NS99" s="65"/>
      <c r="NT99" s="65"/>
      <c r="NU99" s="65"/>
      <c r="NV99" s="65"/>
      <c r="NW99" s="65"/>
      <c r="NX99" s="65"/>
      <c r="NY99" s="65"/>
      <c r="NZ99" s="65"/>
      <c r="OA99" s="65"/>
      <c r="OB99" s="65"/>
      <c r="OC99" s="65"/>
      <c r="OD99" s="65"/>
      <c r="OE99" s="65"/>
      <c r="OF99" s="65"/>
      <c r="OG99" s="65"/>
      <c r="OH99" s="65"/>
      <c r="OI99" s="65"/>
      <c r="OJ99" s="65"/>
      <c r="OK99" s="65"/>
      <c r="OL99" s="65"/>
      <c r="OM99" s="65"/>
      <c r="ON99" s="65"/>
      <c r="OO99" s="65"/>
      <c r="OP99" s="65"/>
      <c r="OQ99" s="65"/>
      <c r="OR99" s="65"/>
      <c r="OS99" s="65"/>
      <c r="OT99" s="65"/>
      <c r="OU99" s="65"/>
      <c r="OV99" s="65"/>
      <c r="OW99" s="65"/>
      <c r="OX99" s="65"/>
      <c r="OY99" s="65"/>
      <c r="OZ99" s="65"/>
      <c r="PA99" s="65"/>
      <c r="PB99" s="65"/>
      <c r="PC99" s="65"/>
      <c r="PD99" s="65"/>
      <c r="PE99" s="65"/>
      <c r="PF99" s="65"/>
      <c r="PG99" s="65"/>
      <c r="PH99" s="65"/>
      <c r="PI99" s="65"/>
      <c r="PJ99" s="65"/>
      <c r="PK99" s="65"/>
      <c r="PL99" s="65"/>
      <c r="PM99" s="65"/>
      <c r="PN99" s="65"/>
      <c r="PO99" s="65"/>
      <c r="PP99" s="65"/>
      <c r="PQ99" s="65"/>
      <c r="PR99" s="65"/>
      <c r="PS99" s="65"/>
      <c r="PT99" s="65"/>
      <c r="PU99" s="65"/>
      <c r="PV99" s="65"/>
      <c r="PW99" s="65"/>
      <c r="PX99" s="65"/>
      <c r="PY99" s="65"/>
      <c r="PZ99" s="65"/>
      <c r="QA99" s="65"/>
      <c r="QB99" s="65"/>
      <c r="QC99" s="65"/>
      <c r="QD99" s="65"/>
      <c r="QE99" s="65"/>
      <c r="QF99" s="65"/>
      <c r="QG99" s="65"/>
      <c r="QH99" s="65"/>
      <c r="QI99" s="65"/>
      <c r="QJ99" s="65"/>
      <c r="QK99" s="65"/>
      <c r="QL99" s="65"/>
      <c r="QM99" s="65"/>
      <c r="QN99" s="65"/>
      <c r="QO99" s="65"/>
      <c r="QP99" s="65"/>
      <c r="QQ99" s="65"/>
      <c r="QR99" s="65"/>
      <c r="QS99" s="65"/>
      <c r="QT99" s="65"/>
      <c r="QU99" s="65"/>
      <c r="QV99" s="65"/>
      <c r="QW99" s="65"/>
      <c r="QX99" s="65"/>
      <c r="QY99" s="65"/>
      <c r="QZ99" s="65"/>
      <c r="RA99" s="65"/>
      <c r="RB99" s="65"/>
      <c r="RC99" s="65"/>
      <c r="RD99" s="65"/>
      <c r="RE99" s="65"/>
      <c r="RF99" s="65"/>
      <c r="RG99" s="65"/>
      <c r="RH99" s="65"/>
      <c r="RI99" s="65"/>
      <c r="RJ99" s="65"/>
      <c r="RK99" s="65"/>
      <c r="RL99" s="65"/>
      <c r="RM99" s="65"/>
      <c r="RN99" s="65"/>
      <c r="RO99" s="65"/>
      <c r="RP99" s="65"/>
      <c r="RQ99" s="65"/>
      <c r="RR99" s="65"/>
      <c r="RS99" s="65"/>
      <c r="RT99" s="65"/>
      <c r="RU99" s="65"/>
      <c r="RV99" s="65"/>
      <c r="RW99" s="65"/>
      <c r="RX99" s="65"/>
      <c r="RY99" s="65"/>
      <c r="RZ99" s="65"/>
      <c r="SA99" s="65"/>
      <c r="SB99" s="65"/>
      <c r="SC99" s="65"/>
      <c r="SD99" s="65"/>
      <c r="SE99" s="65"/>
      <c r="SF99" s="65"/>
      <c r="SG99" s="65"/>
      <c r="SH99" s="65"/>
      <c r="SI99" s="65"/>
      <c r="SJ99" s="65"/>
      <c r="SK99" s="65"/>
      <c r="SL99" s="65"/>
      <c r="SM99" s="65"/>
      <c r="SN99" s="65"/>
      <c r="SO99" s="65"/>
      <c r="SP99" s="65"/>
      <c r="SQ99" s="65"/>
      <c r="SR99" s="65"/>
      <c r="SS99" s="65"/>
      <c r="ST99" s="65"/>
      <c r="SU99" s="65"/>
      <c r="SV99" s="65"/>
      <c r="SW99" s="65"/>
      <c r="SX99" s="65"/>
      <c r="SY99" s="65"/>
      <c r="SZ99" s="65"/>
      <c r="TA99" s="65"/>
      <c r="TB99" s="65"/>
      <c r="TC99" s="65"/>
      <c r="TD99" s="65"/>
      <c r="TE99" s="65"/>
      <c r="TF99" s="65"/>
      <c r="TG99" s="65"/>
      <c r="TH99" s="65"/>
      <c r="TI99" s="65"/>
      <c r="TJ99" s="65"/>
      <c r="TK99" s="65"/>
      <c r="TL99" s="65"/>
      <c r="TM99" s="65"/>
      <c r="TN99" s="65"/>
      <c r="TO99" s="65"/>
      <c r="TP99" s="65"/>
      <c r="TQ99" s="65"/>
      <c r="TR99" s="65"/>
      <c r="TS99" s="65"/>
      <c r="TT99" s="65"/>
      <c r="TU99" s="65"/>
      <c r="TV99" s="65"/>
      <c r="TW99" s="65"/>
      <c r="TX99" s="65"/>
      <c r="TY99" s="65"/>
      <c r="TZ99" s="65"/>
      <c r="UA99" s="65"/>
      <c r="UB99" s="65"/>
      <c r="UC99" s="65"/>
      <c r="UD99" s="65"/>
      <c r="UE99" s="65"/>
      <c r="UF99" s="65"/>
      <c r="UG99" s="65"/>
      <c r="UH99" s="65"/>
      <c r="UI99" s="65"/>
      <c r="UJ99" s="65"/>
      <c r="UK99" s="65"/>
      <c r="UL99" s="65"/>
      <c r="UM99" s="65"/>
      <c r="UN99" s="65"/>
      <c r="UO99" s="65"/>
      <c r="UP99" s="65"/>
      <c r="UQ99" s="65"/>
      <c r="UR99" s="65"/>
      <c r="US99" s="65"/>
      <c r="UT99" s="65"/>
      <c r="UU99" s="65"/>
      <c r="UV99" s="65"/>
      <c r="UW99" s="65"/>
      <c r="UX99" s="65"/>
      <c r="UY99" s="65"/>
      <c r="UZ99" s="65"/>
      <c r="VA99" s="65"/>
      <c r="VB99" s="65"/>
      <c r="VC99" s="65"/>
      <c r="VD99" s="65"/>
      <c r="VE99" s="65"/>
      <c r="VF99" s="65"/>
      <c r="VG99" s="65"/>
      <c r="VH99" s="65"/>
      <c r="VI99" s="65"/>
      <c r="VJ99" s="65"/>
      <c r="VK99" s="65"/>
      <c r="VL99" s="65"/>
      <c r="VM99" s="65"/>
      <c r="VN99" s="65"/>
      <c r="VO99" s="65"/>
      <c r="VP99" s="65"/>
      <c r="VQ99" s="65"/>
      <c r="VR99" s="65"/>
      <c r="VS99" s="65"/>
      <c r="VT99" s="65"/>
      <c r="VU99" s="65"/>
      <c r="VV99" s="65"/>
      <c r="VW99" s="65"/>
      <c r="VX99" s="65"/>
      <c r="VY99" s="65"/>
      <c r="VZ99" s="65"/>
      <c r="WA99" s="65"/>
      <c r="WB99" s="65"/>
      <c r="WC99" s="65"/>
      <c r="WD99" s="65"/>
      <c r="WE99" s="65"/>
      <c r="WF99" s="65"/>
      <c r="WG99" s="65"/>
      <c r="WH99" s="65"/>
      <c r="WI99" s="65"/>
      <c r="WJ99" s="65"/>
      <c r="WK99" s="65"/>
      <c r="WL99" s="65"/>
      <c r="WM99" s="65"/>
      <c r="WN99" s="65"/>
      <c r="WO99" s="65"/>
      <c r="WP99" s="65"/>
      <c r="WQ99" s="65"/>
      <c r="WR99" s="65"/>
      <c r="WS99" s="65"/>
      <c r="WT99" s="65"/>
      <c r="WU99" s="65"/>
      <c r="WV99" s="65"/>
      <c r="WW99" s="65"/>
      <c r="WX99" s="65"/>
      <c r="WY99" s="65"/>
      <c r="WZ99" s="65"/>
      <c r="XA99" s="65"/>
      <c r="XB99" s="65"/>
      <c r="XC99" s="65"/>
      <c r="XD99" s="65"/>
      <c r="XE99" s="65"/>
      <c r="XF99" s="65"/>
      <c r="XG99" s="65"/>
      <c r="XH99" s="65"/>
      <c r="XI99" s="65"/>
      <c r="XJ99" s="65"/>
      <c r="XK99" s="65"/>
      <c r="XL99" s="65"/>
      <c r="XM99" s="65"/>
      <c r="XN99" s="65"/>
      <c r="XO99" s="65"/>
      <c r="XP99" s="65"/>
      <c r="XQ99" s="65"/>
      <c r="XR99" s="65"/>
      <c r="XS99" s="65"/>
      <c r="XT99" s="65"/>
      <c r="XU99" s="65"/>
      <c r="XV99" s="65"/>
      <c r="XW99" s="65"/>
      <c r="XX99" s="65"/>
      <c r="XY99" s="65"/>
      <c r="XZ99" s="65"/>
      <c r="YA99" s="65"/>
      <c r="YB99" s="65"/>
      <c r="YC99" s="65"/>
      <c r="YD99" s="65"/>
      <c r="YE99" s="65"/>
      <c r="YF99" s="65"/>
      <c r="YG99" s="65"/>
      <c r="YH99" s="65"/>
      <c r="YI99" s="65"/>
      <c r="YJ99" s="65"/>
      <c r="YK99" s="65"/>
      <c r="YL99" s="65"/>
      <c r="YM99" s="65"/>
      <c r="YN99" s="65"/>
      <c r="YO99" s="65"/>
      <c r="YP99" s="65"/>
      <c r="YQ99" s="65"/>
      <c r="YR99" s="65"/>
      <c r="YS99" s="65"/>
      <c r="YT99" s="65"/>
      <c r="YU99" s="65"/>
      <c r="YV99" s="65"/>
      <c r="YW99" s="65"/>
      <c r="YX99" s="65"/>
      <c r="YY99" s="65"/>
      <c r="YZ99" s="65"/>
      <c r="ZA99" s="65"/>
      <c r="ZB99" s="65"/>
      <c r="ZC99" s="65"/>
      <c r="ZD99" s="65"/>
      <c r="ZE99" s="65"/>
      <c r="ZF99" s="65"/>
      <c r="ZG99" s="65"/>
      <c r="ZH99" s="65"/>
      <c r="ZI99" s="65"/>
      <c r="ZJ99" s="65"/>
      <c r="ZK99" s="65"/>
      <c r="ZL99" s="65"/>
      <c r="ZM99" s="65"/>
      <c r="ZN99" s="65"/>
      <c r="ZO99" s="65"/>
      <c r="ZP99" s="65"/>
      <c r="ZQ99" s="65"/>
      <c r="ZR99" s="65"/>
      <c r="ZS99" s="65"/>
      <c r="ZT99" s="65"/>
      <c r="ZU99" s="65"/>
      <c r="ZV99" s="65"/>
      <c r="ZW99" s="65"/>
      <c r="ZX99" s="65"/>
      <c r="ZY99" s="65"/>
      <c r="ZZ99" s="65"/>
      <c r="AAA99" s="65"/>
      <c r="AAB99" s="65"/>
      <c r="AAC99" s="65"/>
      <c r="AAD99" s="65"/>
      <c r="AAE99" s="65"/>
      <c r="AAF99" s="65"/>
      <c r="AAG99" s="65"/>
      <c r="AAH99" s="65"/>
      <c r="AAI99" s="65"/>
      <c r="AAJ99" s="65"/>
      <c r="AAK99" s="65"/>
      <c r="AAL99" s="65"/>
      <c r="AAM99" s="65"/>
      <c r="AAN99" s="65"/>
      <c r="AAO99" s="65"/>
      <c r="AAP99" s="65"/>
      <c r="AAQ99" s="65"/>
      <c r="AAR99" s="65"/>
      <c r="AAS99" s="65"/>
      <c r="AAT99" s="65"/>
      <c r="AAU99" s="65"/>
      <c r="AAV99" s="65"/>
      <c r="AAW99" s="65"/>
      <c r="AAX99" s="65"/>
      <c r="AAY99" s="65"/>
      <c r="AAZ99" s="65"/>
      <c r="ABA99" s="65"/>
      <c r="ABB99" s="65"/>
      <c r="ABC99" s="65"/>
      <c r="ABD99" s="65"/>
      <c r="ABE99" s="65"/>
      <c r="ABF99" s="65"/>
      <c r="ABG99" s="65"/>
      <c r="ABH99" s="65"/>
      <c r="ABI99" s="65"/>
      <c r="ABJ99" s="65"/>
      <c r="ABK99" s="65"/>
      <c r="ABL99" s="65"/>
      <c r="ABM99" s="65"/>
      <c r="ABN99" s="65"/>
    </row>
    <row r="100" spans="1:742" ht="34.5" customHeight="1" x14ac:dyDescent="0.25">
      <c r="A100" s="110">
        <v>2025</v>
      </c>
      <c r="B100" s="230">
        <v>4</v>
      </c>
      <c r="C100" s="152">
        <v>22607</v>
      </c>
      <c r="D100" s="277">
        <v>45775</v>
      </c>
      <c r="E100" s="111" t="s">
        <v>1103</v>
      </c>
      <c r="F100" s="111" t="s">
        <v>1104</v>
      </c>
      <c r="G100" s="110" t="s">
        <v>99</v>
      </c>
      <c r="H100" s="110">
        <v>3045306051</v>
      </c>
      <c r="I100" s="110">
        <v>3045306051</v>
      </c>
      <c r="J100" s="108">
        <v>45775</v>
      </c>
      <c r="K100" s="110" t="s">
        <v>99</v>
      </c>
      <c r="L100" s="112" t="s">
        <v>1105</v>
      </c>
      <c r="M100" s="110" t="s">
        <v>136</v>
      </c>
      <c r="N100" s="110" t="s">
        <v>136</v>
      </c>
      <c r="O100" s="110" t="s">
        <v>136</v>
      </c>
      <c r="P100" s="110" t="s">
        <v>136</v>
      </c>
      <c r="Q100" s="110" t="s">
        <v>136</v>
      </c>
      <c r="R100" s="110" t="s">
        <v>136</v>
      </c>
      <c r="S100" s="110" t="s">
        <v>136</v>
      </c>
      <c r="T100" s="110" t="s">
        <v>136</v>
      </c>
      <c r="U100" s="110" t="s">
        <v>136</v>
      </c>
      <c r="V100" s="111" t="s">
        <v>89</v>
      </c>
      <c r="W100" s="108" t="s">
        <v>136</v>
      </c>
      <c r="X100" s="108">
        <v>45777</v>
      </c>
      <c r="Y100" s="110"/>
      <c r="Z100" s="126" t="s">
        <v>85</v>
      </c>
      <c r="AA100" s="124">
        <v>95200</v>
      </c>
      <c r="AB100" s="110">
        <v>5797</v>
      </c>
      <c r="AC100" s="114">
        <v>80000</v>
      </c>
      <c r="AD100" s="212">
        <f t="shared" si="6"/>
        <v>95200</v>
      </c>
      <c r="AE100" s="114">
        <v>0</v>
      </c>
      <c r="AF100" s="110"/>
      <c r="AG100" s="142" t="s">
        <v>1130</v>
      </c>
      <c r="AH100" s="248">
        <v>45777</v>
      </c>
      <c r="AI100" s="108">
        <v>45777</v>
      </c>
      <c r="AJ100" s="110" t="s">
        <v>571</v>
      </c>
      <c r="AK100" s="110"/>
    </row>
    <row r="101" spans="1:742" ht="45" x14ac:dyDescent="0.25">
      <c r="A101" s="110">
        <v>2025</v>
      </c>
      <c r="B101" s="230">
        <v>4</v>
      </c>
      <c r="C101" s="152">
        <v>22608</v>
      </c>
      <c r="D101" s="277">
        <v>45776</v>
      </c>
      <c r="E101" s="111" t="s">
        <v>1131</v>
      </c>
      <c r="F101" s="111" t="s">
        <v>1131</v>
      </c>
      <c r="G101" s="110" t="s">
        <v>785</v>
      </c>
      <c r="H101" s="110">
        <v>3104080989</v>
      </c>
      <c r="I101" s="110">
        <v>3104080989</v>
      </c>
      <c r="J101" s="108">
        <v>45789</v>
      </c>
      <c r="K101" s="110" t="s">
        <v>84</v>
      </c>
      <c r="L101" s="112" t="s">
        <v>1132</v>
      </c>
      <c r="M101" s="110" t="s">
        <v>136</v>
      </c>
      <c r="N101" s="110">
        <v>5917</v>
      </c>
      <c r="O101" s="110">
        <v>6159</v>
      </c>
      <c r="P101" s="110" t="s">
        <v>136</v>
      </c>
      <c r="Q101" s="110">
        <v>5544</v>
      </c>
      <c r="R101" s="110" t="s">
        <v>136</v>
      </c>
      <c r="S101" s="110" t="s">
        <v>134</v>
      </c>
      <c r="T101" s="110" t="s">
        <v>134</v>
      </c>
      <c r="U101" s="110" t="s">
        <v>136</v>
      </c>
      <c r="V101" s="111" t="s">
        <v>119</v>
      </c>
      <c r="W101" s="108">
        <v>45790</v>
      </c>
      <c r="X101" s="108">
        <v>45792</v>
      </c>
      <c r="Y101" s="110"/>
      <c r="Z101" s="126" t="s">
        <v>85</v>
      </c>
      <c r="AA101" s="124">
        <v>0</v>
      </c>
      <c r="AB101" s="110">
        <v>5843</v>
      </c>
      <c r="AC101" s="114">
        <v>546219</v>
      </c>
      <c r="AD101" s="212">
        <f t="shared" si="6"/>
        <v>650000.61</v>
      </c>
      <c r="AE101" s="114">
        <v>325000</v>
      </c>
      <c r="AF101" s="110"/>
      <c r="AG101" s="142" t="s">
        <v>1694</v>
      </c>
      <c r="AH101" s="248">
        <v>45790</v>
      </c>
      <c r="AI101" s="108">
        <v>45792</v>
      </c>
      <c r="AJ101" s="110" t="s">
        <v>571</v>
      </c>
      <c r="AK101" s="110"/>
    </row>
    <row r="102" spans="1:742" s="207" customFormat="1" ht="45" x14ac:dyDescent="0.25">
      <c r="A102" s="99">
        <v>2025</v>
      </c>
      <c r="B102" s="233">
        <v>4</v>
      </c>
      <c r="C102" s="356">
        <v>22609</v>
      </c>
      <c r="D102" s="278">
        <v>45776</v>
      </c>
      <c r="E102" s="100" t="s">
        <v>233</v>
      </c>
      <c r="F102" s="100" t="s">
        <v>1099</v>
      </c>
      <c r="G102" s="99" t="s">
        <v>143</v>
      </c>
      <c r="H102" s="99">
        <v>3006194380</v>
      </c>
      <c r="I102" s="99">
        <v>3006194380</v>
      </c>
      <c r="J102" s="97">
        <v>45786</v>
      </c>
      <c r="K102" s="99" t="s">
        <v>88</v>
      </c>
      <c r="L102" s="101" t="s">
        <v>1100</v>
      </c>
      <c r="M102" s="99" t="s">
        <v>136</v>
      </c>
      <c r="N102" s="99">
        <v>5910</v>
      </c>
      <c r="O102" s="99">
        <v>6151</v>
      </c>
      <c r="P102" s="99" t="s">
        <v>136</v>
      </c>
      <c r="Q102" s="99" t="s">
        <v>134</v>
      </c>
      <c r="R102" s="99" t="s">
        <v>134</v>
      </c>
      <c r="S102" s="99" t="s">
        <v>134</v>
      </c>
      <c r="T102" s="99" t="s">
        <v>136</v>
      </c>
      <c r="U102" s="99" t="s">
        <v>136</v>
      </c>
      <c r="V102" s="100" t="s">
        <v>119</v>
      </c>
      <c r="W102" s="97">
        <v>45786</v>
      </c>
      <c r="X102" s="97">
        <v>45791</v>
      </c>
      <c r="Y102" s="99"/>
      <c r="Z102" s="120" t="s">
        <v>85</v>
      </c>
      <c r="AA102" s="122">
        <v>0</v>
      </c>
      <c r="AB102" s="99" t="s">
        <v>136</v>
      </c>
      <c r="AC102" s="103">
        <v>0</v>
      </c>
      <c r="AD102" s="198">
        <f t="shared" si="6"/>
        <v>0</v>
      </c>
      <c r="AE102" s="103">
        <v>0</v>
      </c>
      <c r="AF102" s="99"/>
      <c r="AG102" s="104" t="s">
        <v>1556</v>
      </c>
      <c r="AH102" s="233" t="s">
        <v>136</v>
      </c>
      <c r="AI102" s="97">
        <v>45785</v>
      </c>
      <c r="AJ102" s="99" t="s">
        <v>571</v>
      </c>
      <c r="AK102" s="99" t="s">
        <v>1101</v>
      </c>
      <c r="AL102" s="65"/>
      <c r="AM102" s="65"/>
      <c r="AN102" s="65"/>
      <c r="AO102" s="65"/>
      <c r="AP102" s="65"/>
      <c r="AQ102" s="65"/>
      <c r="AR102" s="65"/>
      <c r="AS102" s="65"/>
      <c r="AT102" s="65"/>
      <c r="AU102" s="65"/>
      <c r="AV102" s="65"/>
      <c r="AW102" s="65"/>
      <c r="AX102" s="65"/>
      <c r="AY102" s="65"/>
      <c r="AZ102" s="65"/>
      <c r="BA102" s="65"/>
      <c r="BB102" s="65"/>
      <c r="BC102" s="65"/>
      <c r="BD102" s="65"/>
      <c r="BE102" s="65"/>
      <c r="BF102" s="65"/>
      <c r="BG102" s="65"/>
      <c r="BH102" s="65"/>
      <c r="BI102" s="65"/>
      <c r="BJ102" s="65"/>
      <c r="BK102" s="65"/>
      <c r="BL102" s="65"/>
      <c r="BM102" s="65"/>
      <c r="BN102" s="65"/>
      <c r="BO102" s="65"/>
      <c r="BP102" s="65"/>
      <c r="BQ102" s="65"/>
      <c r="BR102" s="65"/>
      <c r="BS102" s="65"/>
      <c r="BT102" s="65"/>
      <c r="BU102" s="65"/>
      <c r="BV102" s="65"/>
      <c r="BW102" s="65"/>
      <c r="BX102" s="65"/>
      <c r="BY102" s="65"/>
      <c r="BZ102" s="65"/>
      <c r="CA102" s="65"/>
      <c r="CB102" s="65"/>
      <c r="CC102" s="65"/>
      <c r="CD102" s="65"/>
      <c r="CE102" s="65"/>
      <c r="CF102" s="65"/>
      <c r="CG102" s="65"/>
      <c r="CH102" s="65"/>
      <c r="CI102" s="65"/>
      <c r="CJ102" s="65"/>
      <c r="CK102" s="65"/>
      <c r="CL102" s="65"/>
      <c r="CM102" s="65"/>
      <c r="CN102" s="65"/>
      <c r="CO102" s="65"/>
      <c r="CP102" s="65"/>
      <c r="CQ102" s="65"/>
      <c r="CR102" s="65"/>
      <c r="CS102" s="65"/>
      <c r="CT102" s="65"/>
      <c r="CU102" s="65"/>
      <c r="CV102" s="65"/>
      <c r="CW102" s="65"/>
      <c r="CX102" s="65"/>
      <c r="CY102" s="65"/>
      <c r="CZ102" s="65"/>
      <c r="DA102" s="65"/>
      <c r="DB102" s="65"/>
      <c r="DC102" s="65"/>
      <c r="DD102" s="65"/>
      <c r="DE102" s="65"/>
      <c r="DF102" s="65"/>
      <c r="DG102" s="65"/>
      <c r="DH102" s="65"/>
      <c r="DI102" s="65"/>
      <c r="DJ102" s="65"/>
      <c r="DK102" s="65"/>
      <c r="DL102" s="65"/>
      <c r="DM102" s="65"/>
      <c r="DN102" s="65"/>
      <c r="DO102" s="65"/>
      <c r="DP102" s="65"/>
      <c r="DQ102" s="65"/>
      <c r="DR102" s="65"/>
      <c r="DS102" s="65"/>
      <c r="DT102" s="65"/>
      <c r="DU102" s="65"/>
      <c r="DV102" s="65"/>
      <c r="DW102" s="65"/>
      <c r="DX102" s="65"/>
      <c r="DY102" s="65"/>
      <c r="DZ102" s="65"/>
      <c r="EA102" s="65"/>
      <c r="EB102" s="65"/>
      <c r="EC102" s="65"/>
      <c r="ED102" s="65"/>
      <c r="EE102" s="65"/>
      <c r="EF102" s="65"/>
      <c r="EG102" s="65"/>
      <c r="EH102" s="65"/>
      <c r="EI102" s="65"/>
      <c r="EJ102" s="65"/>
      <c r="EK102" s="65"/>
      <c r="EL102" s="65"/>
      <c r="EM102" s="65"/>
      <c r="EN102" s="65"/>
      <c r="EO102" s="65"/>
      <c r="EP102" s="65"/>
      <c r="EQ102" s="65"/>
      <c r="ER102" s="65"/>
      <c r="ES102" s="65"/>
      <c r="ET102" s="65"/>
      <c r="EU102" s="65"/>
      <c r="EV102" s="65"/>
      <c r="EW102" s="65"/>
      <c r="EX102" s="65"/>
      <c r="EY102" s="65"/>
      <c r="EZ102" s="65"/>
      <c r="FA102" s="65"/>
      <c r="FB102" s="65"/>
      <c r="FC102" s="65"/>
      <c r="FD102" s="65"/>
      <c r="FE102" s="65"/>
      <c r="FF102" s="65"/>
      <c r="FG102" s="65"/>
      <c r="FH102" s="65"/>
      <c r="FI102" s="65"/>
      <c r="FJ102" s="65"/>
      <c r="FK102" s="65"/>
      <c r="FL102" s="65"/>
      <c r="FM102" s="65"/>
      <c r="FN102" s="65"/>
      <c r="FO102" s="65"/>
      <c r="FP102" s="65"/>
      <c r="FQ102" s="65"/>
      <c r="FR102" s="65"/>
      <c r="FS102" s="65"/>
      <c r="FT102" s="65"/>
      <c r="FU102" s="65"/>
      <c r="FV102" s="65"/>
      <c r="FW102" s="65"/>
      <c r="FX102" s="65"/>
      <c r="FY102" s="65"/>
      <c r="FZ102" s="65"/>
      <c r="GA102" s="65"/>
      <c r="GB102" s="65"/>
      <c r="GC102" s="65"/>
      <c r="GD102" s="65"/>
      <c r="GE102" s="65"/>
      <c r="GF102" s="65"/>
      <c r="GG102" s="65"/>
      <c r="GH102" s="65"/>
      <c r="GI102" s="65"/>
      <c r="GJ102" s="65"/>
      <c r="GK102" s="65"/>
      <c r="GL102" s="65"/>
      <c r="GM102" s="65"/>
      <c r="GN102" s="65"/>
      <c r="GO102" s="65"/>
      <c r="GP102" s="65"/>
      <c r="GQ102" s="65"/>
      <c r="GR102" s="65"/>
      <c r="GS102" s="65"/>
      <c r="GT102" s="65"/>
      <c r="GU102" s="65"/>
      <c r="GV102" s="65"/>
      <c r="GW102" s="65"/>
      <c r="GX102" s="65"/>
      <c r="GY102" s="65"/>
      <c r="GZ102" s="65"/>
      <c r="HA102" s="65"/>
      <c r="HB102" s="65"/>
      <c r="HC102" s="65"/>
      <c r="HD102" s="65"/>
      <c r="HE102" s="65"/>
      <c r="HF102" s="65"/>
      <c r="HG102" s="65"/>
      <c r="HH102" s="65"/>
      <c r="HI102" s="65"/>
      <c r="HJ102" s="65"/>
      <c r="HK102" s="65"/>
      <c r="HL102" s="65"/>
      <c r="HM102" s="65"/>
      <c r="HN102" s="65"/>
      <c r="HO102" s="65"/>
      <c r="HP102" s="65"/>
      <c r="HQ102" s="65"/>
      <c r="HR102" s="65"/>
      <c r="HS102" s="65"/>
      <c r="HT102" s="65"/>
      <c r="HU102" s="65"/>
      <c r="HV102" s="65"/>
      <c r="HW102" s="65"/>
      <c r="HX102" s="65"/>
      <c r="HY102" s="65"/>
      <c r="HZ102" s="65"/>
      <c r="IA102" s="65"/>
      <c r="IB102" s="65"/>
      <c r="IC102" s="65"/>
      <c r="ID102" s="65"/>
      <c r="IE102" s="65"/>
      <c r="IF102" s="65"/>
      <c r="IG102" s="65"/>
      <c r="IH102" s="65"/>
      <c r="II102" s="65"/>
      <c r="IJ102" s="65"/>
      <c r="IK102" s="65"/>
      <c r="IL102" s="65"/>
      <c r="IM102" s="65"/>
      <c r="IN102" s="65"/>
      <c r="IO102" s="65"/>
      <c r="IP102" s="65"/>
      <c r="IQ102" s="65"/>
      <c r="IR102" s="65"/>
      <c r="IS102" s="65"/>
      <c r="IT102" s="65"/>
      <c r="IU102" s="65"/>
      <c r="IV102" s="65"/>
      <c r="IW102" s="65"/>
      <c r="IX102" s="65"/>
      <c r="IY102" s="65"/>
      <c r="IZ102" s="65"/>
      <c r="JA102" s="65"/>
      <c r="JB102" s="65"/>
      <c r="JC102" s="65"/>
      <c r="JD102" s="65"/>
      <c r="JE102" s="65"/>
      <c r="JF102" s="65"/>
      <c r="JG102" s="65"/>
      <c r="JH102" s="65"/>
      <c r="JI102" s="65"/>
      <c r="JJ102" s="65"/>
      <c r="JK102" s="65"/>
      <c r="JL102" s="65"/>
      <c r="JM102" s="65"/>
      <c r="JN102" s="65"/>
      <c r="JO102" s="65"/>
      <c r="JP102" s="65"/>
      <c r="JQ102" s="65"/>
      <c r="JR102" s="65"/>
      <c r="JS102" s="65"/>
      <c r="JT102" s="65"/>
      <c r="JU102" s="65"/>
      <c r="JV102" s="65"/>
      <c r="JW102" s="65"/>
      <c r="JX102" s="65"/>
      <c r="JY102" s="65"/>
      <c r="JZ102" s="65"/>
      <c r="KA102" s="65"/>
      <c r="KB102" s="65"/>
      <c r="KC102" s="65"/>
      <c r="KD102" s="65"/>
      <c r="KE102" s="65"/>
      <c r="KF102" s="65"/>
      <c r="KG102" s="65"/>
      <c r="KH102" s="65"/>
      <c r="KI102" s="65"/>
      <c r="KJ102" s="65"/>
      <c r="KK102" s="65"/>
      <c r="KL102" s="65"/>
      <c r="KM102" s="65"/>
      <c r="KN102" s="65"/>
      <c r="KO102" s="65"/>
      <c r="KP102" s="65"/>
      <c r="KQ102" s="65"/>
      <c r="KR102" s="65"/>
      <c r="KS102" s="65"/>
      <c r="KT102" s="65"/>
      <c r="KU102" s="65"/>
      <c r="KV102" s="65"/>
      <c r="KW102" s="65"/>
      <c r="KX102" s="65"/>
      <c r="KY102" s="65"/>
      <c r="KZ102" s="65"/>
      <c r="LA102" s="65"/>
      <c r="LB102" s="65"/>
      <c r="LC102" s="65"/>
      <c r="LD102" s="65"/>
      <c r="LE102" s="65"/>
      <c r="LF102" s="65"/>
      <c r="LG102" s="65"/>
      <c r="LH102" s="65"/>
      <c r="LI102" s="65"/>
      <c r="LJ102" s="65"/>
      <c r="LK102" s="65"/>
      <c r="LL102" s="65"/>
      <c r="LM102" s="65"/>
      <c r="LN102" s="65"/>
      <c r="LO102" s="65"/>
      <c r="LP102" s="65"/>
      <c r="LQ102" s="65"/>
      <c r="LR102" s="65"/>
      <c r="LS102" s="65"/>
      <c r="LT102" s="65"/>
      <c r="LU102" s="65"/>
      <c r="LV102" s="65"/>
      <c r="LW102" s="65"/>
      <c r="LX102" s="65"/>
      <c r="LY102" s="65"/>
      <c r="LZ102" s="65"/>
      <c r="MA102" s="65"/>
      <c r="MB102" s="65"/>
      <c r="MC102" s="65"/>
      <c r="MD102" s="65"/>
      <c r="ME102" s="65"/>
      <c r="MF102" s="65"/>
      <c r="MG102" s="65"/>
      <c r="MH102" s="65"/>
      <c r="MI102" s="65"/>
      <c r="MJ102" s="65"/>
      <c r="MK102" s="65"/>
      <c r="ML102" s="65"/>
      <c r="MM102" s="65"/>
      <c r="MN102" s="65"/>
      <c r="MO102" s="65"/>
      <c r="MP102" s="65"/>
      <c r="MQ102" s="65"/>
      <c r="MR102" s="65"/>
      <c r="MS102" s="65"/>
      <c r="MT102" s="65"/>
      <c r="MU102" s="65"/>
      <c r="MV102" s="65"/>
      <c r="MW102" s="65"/>
      <c r="MX102" s="65"/>
      <c r="MY102" s="65"/>
      <c r="MZ102" s="65"/>
      <c r="NA102" s="65"/>
      <c r="NB102" s="65"/>
      <c r="NC102" s="65"/>
      <c r="ND102" s="65"/>
      <c r="NE102" s="65"/>
      <c r="NF102" s="65"/>
      <c r="NG102" s="65"/>
      <c r="NH102" s="65"/>
      <c r="NI102" s="65"/>
      <c r="NJ102" s="65"/>
      <c r="NK102" s="65"/>
      <c r="NL102" s="65"/>
      <c r="NM102" s="65"/>
      <c r="NN102" s="65"/>
      <c r="NO102" s="65"/>
      <c r="NP102" s="65"/>
      <c r="NQ102" s="65"/>
      <c r="NR102" s="65"/>
      <c r="NS102" s="65"/>
      <c r="NT102" s="65"/>
      <c r="NU102" s="65"/>
      <c r="NV102" s="65"/>
      <c r="NW102" s="65"/>
      <c r="NX102" s="65"/>
      <c r="NY102" s="65"/>
      <c r="NZ102" s="65"/>
      <c r="OA102" s="65"/>
      <c r="OB102" s="65"/>
      <c r="OC102" s="65"/>
      <c r="OD102" s="65"/>
      <c r="OE102" s="65"/>
      <c r="OF102" s="65"/>
      <c r="OG102" s="65"/>
      <c r="OH102" s="65"/>
      <c r="OI102" s="65"/>
      <c r="OJ102" s="65"/>
      <c r="OK102" s="65"/>
      <c r="OL102" s="65"/>
      <c r="OM102" s="65"/>
      <c r="ON102" s="65"/>
      <c r="OO102" s="65"/>
      <c r="OP102" s="65"/>
      <c r="OQ102" s="65"/>
      <c r="OR102" s="65"/>
      <c r="OS102" s="65"/>
      <c r="OT102" s="65"/>
      <c r="OU102" s="65"/>
      <c r="OV102" s="65"/>
      <c r="OW102" s="65"/>
      <c r="OX102" s="65"/>
      <c r="OY102" s="65"/>
      <c r="OZ102" s="65"/>
      <c r="PA102" s="65"/>
      <c r="PB102" s="65"/>
      <c r="PC102" s="65"/>
      <c r="PD102" s="65"/>
      <c r="PE102" s="65"/>
      <c r="PF102" s="65"/>
      <c r="PG102" s="65"/>
      <c r="PH102" s="65"/>
      <c r="PI102" s="65"/>
      <c r="PJ102" s="65"/>
      <c r="PK102" s="65"/>
      <c r="PL102" s="65"/>
      <c r="PM102" s="65"/>
      <c r="PN102" s="65"/>
      <c r="PO102" s="65"/>
      <c r="PP102" s="65"/>
      <c r="PQ102" s="65"/>
      <c r="PR102" s="65"/>
      <c r="PS102" s="65"/>
      <c r="PT102" s="65"/>
      <c r="PU102" s="65"/>
      <c r="PV102" s="65"/>
      <c r="PW102" s="65"/>
      <c r="PX102" s="65"/>
      <c r="PY102" s="65"/>
      <c r="PZ102" s="65"/>
      <c r="QA102" s="65"/>
      <c r="QB102" s="65"/>
      <c r="QC102" s="65"/>
      <c r="QD102" s="65"/>
      <c r="QE102" s="65"/>
      <c r="QF102" s="65"/>
      <c r="QG102" s="65"/>
      <c r="QH102" s="65"/>
      <c r="QI102" s="65"/>
      <c r="QJ102" s="65"/>
      <c r="QK102" s="65"/>
      <c r="QL102" s="65"/>
      <c r="QM102" s="65"/>
      <c r="QN102" s="65"/>
      <c r="QO102" s="65"/>
      <c r="QP102" s="65"/>
      <c r="QQ102" s="65"/>
      <c r="QR102" s="65"/>
      <c r="QS102" s="65"/>
      <c r="QT102" s="65"/>
      <c r="QU102" s="65"/>
      <c r="QV102" s="65"/>
      <c r="QW102" s="65"/>
      <c r="QX102" s="65"/>
      <c r="QY102" s="65"/>
      <c r="QZ102" s="65"/>
      <c r="RA102" s="65"/>
      <c r="RB102" s="65"/>
      <c r="RC102" s="65"/>
      <c r="RD102" s="65"/>
      <c r="RE102" s="65"/>
      <c r="RF102" s="65"/>
      <c r="RG102" s="65"/>
      <c r="RH102" s="65"/>
      <c r="RI102" s="65"/>
      <c r="RJ102" s="65"/>
      <c r="RK102" s="65"/>
      <c r="RL102" s="65"/>
      <c r="RM102" s="65"/>
      <c r="RN102" s="65"/>
      <c r="RO102" s="65"/>
      <c r="RP102" s="65"/>
      <c r="RQ102" s="65"/>
      <c r="RR102" s="65"/>
      <c r="RS102" s="65"/>
      <c r="RT102" s="65"/>
      <c r="RU102" s="65"/>
      <c r="RV102" s="65"/>
      <c r="RW102" s="65"/>
      <c r="RX102" s="65"/>
      <c r="RY102" s="65"/>
      <c r="RZ102" s="65"/>
      <c r="SA102" s="65"/>
      <c r="SB102" s="65"/>
      <c r="SC102" s="65"/>
      <c r="SD102" s="65"/>
      <c r="SE102" s="65"/>
      <c r="SF102" s="65"/>
      <c r="SG102" s="65"/>
      <c r="SH102" s="65"/>
      <c r="SI102" s="65"/>
      <c r="SJ102" s="65"/>
      <c r="SK102" s="65"/>
      <c r="SL102" s="65"/>
      <c r="SM102" s="65"/>
      <c r="SN102" s="65"/>
      <c r="SO102" s="65"/>
      <c r="SP102" s="65"/>
      <c r="SQ102" s="65"/>
      <c r="SR102" s="65"/>
      <c r="SS102" s="65"/>
      <c r="ST102" s="65"/>
      <c r="SU102" s="65"/>
      <c r="SV102" s="65"/>
      <c r="SW102" s="65"/>
      <c r="SX102" s="65"/>
      <c r="SY102" s="65"/>
      <c r="SZ102" s="65"/>
      <c r="TA102" s="65"/>
      <c r="TB102" s="65"/>
      <c r="TC102" s="65"/>
      <c r="TD102" s="65"/>
      <c r="TE102" s="65"/>
      <c r="TF102" s="65"/>
      <c r="TG102" s="65"/>
      <c r="TH102" s="65"/>
      <c r="TI102" s="65"/>
      <c r="TJ102" s="65"/>
      <c r="TK102" s="65"/>
      <c r="TL102" s="65"/>
      <c r="TM102" s="65"/>
      <c r="TN102" s="65"/>
      <c r="TO102" s="65"/>
      <c r="TP102" s="65"/>
      <c r="TQ102" s="65"/>
      <c r="TR102" s="65"/>
      <c r="TS102" s="65"/>
      <c r="TT102" s="65"/>
      <c r="TU102" s="65"/>
      <c r="TV102" s="65"/>
      <c r="TW102" s="65"/>
      <c r="TX102" s="65"/>
      <c r="TY102" s="65"/>
      <c r="TZ102" s="65"/>
      <c r="UA102" s="65"/>
      <c r="UB102" s="65"/>
      <c r="UC102" s="65"/>
      <c r="UD102" s="65"/>
      <c r="UE102" s="65"/>
      <c r="UF102" s="65"/>
      <c r="UG102" s="65"/>
      <c r="UH102" s="65"/>
      <c r="UI102" s="65"/>
      <c r="UJ102" s="65"/>
      <c r="UK102" s="65"/>
      <c r="UL102" s="65"/>
      <c r="UM102" s="65"/>
      <c r="UN102" s="65"/>
      <c r="UO102" s="65"/>
      <c r="UP102" s="65"/>
      <c r="UQ102" s="65"/>
      <c r="UR102" s="65"/>
      <c r="US102" s="65"/>
      <c r="UT102" s="65"/>
      <c r="UU102" s="65"/>
      <c r="UV102" s="65"/>
      <c r="UW102" s="65"/>
      <c r="UX102" s="65"/>
      <c r="UY102" s="65"/>
      <c r="UZ102" s="65"/>
      <c r="VA102" s="65"/>
      <c r="VB102" s="65"/>
      <c r="VC102" s="65"/>
      <c r="VD102" s="65"/>
      <c r="VE102" s="65"/>
      <c r="VF102" s="65"/>
      <c r="VG102" s="65"/>
      <c r="VH102" s="65"/>
      <c r="VI102" s="65"/>
      <c r="VJ102" s="65"/>
      <c r="VK102" s="65"/>
      <c r="VL102" s="65"/>
      <c r="VM102" s="65"/>
      <c r="VN102" s="65"/>
      <c r="VO102" s="65"/>
      <c r="VP102" s="65"/>
      <c r="VQ102" s="65"/>
      <c r="VR102" s="65"/>
      <c r="VS102" s="65"/>
      <c r="VT102" s="65"/>
      <c r="VU102" s="65"/>
      <c r="VV102" s="65"/>
      <c r="VW102" s="65"/>
      <c r="VX102" s="65"/>
      <c r="VY102" s="65"/>
      <c r="VZ102" s="65"/>
      <c r="WA102" s="65"/>
      <c r="WB102" s="65"/>
      <c r="WC102" s="65"/>
      <c r="WD102" s="65"/>
      <c r="WE102" s="65"/>
      <c r="WF102" s="65"/>
      <c r="WG102" s="65"/>
      <c r="WH102" s="65"/>
      <c r="WI102" s="65"/>
      <c r="WJ102" s="65"/>
      <c r="WK102" s="65"/>
      <c r="WL102" s="65"/>
      <c r="WM102" s="65"/>
      <c r="WN102" s="65"/>
      <c r="WO102" s="65"/>
      <c r="WP102" s="65"/>
      <c r="WQ102" s="65"/>
      <c r="WR102" s="65"/>
      <c r="WS102" s="65"/>
      <c r="WT102" s="65"/>
      <c r="WU102" s="65"/>
      <c r="WV102" s="65"/>
      <c r="WW102" s="65"/>
      <c r="WX102" s="65"/>
      <c r="WY102" s="65"/>
      <c r="WZ102" s="65"/>
      <c r="XA102" s="65"/>
      <c r="XB102" s="65"/>
      <c r="XC102" s="65"/>
      <c r="XD102" s="65"/>
      <c r="XE102" s="65"/>
      <c r="XF102" s="65"/>
      <c r="XG102" s="65"/>
      <c r="XH102" s="65"/>
      <c r="XI102" s="65"/>
      <c r="XJ102" s="65"/>
      <c r="XK102" s="65"/>
      <c r="XL102" s="65"/>
      <c r="XM102" s="65"/>
      <c r="XN102" s="65"/>
      <c r="XO102" s="65"/>
      <c r="XP102" s="65"/>
      <c r="XQ102" s="65"/>
      <c r="XR102" s="65"/>
      <c r="XS102" s="65"/>
      <c r="XT102" s="65"/>
      <c r="XU102" s="65"/>
      <c r="XV102" s="65"/>
      <c r="XW102" s="65"/>
      <c r="XX102" s="65"/>
      <c r="XY102" s="65"/>
      <c r="XZ102" s="65"/>
      <c r="YA102" s="65"/>
      <c r="YB102" s="65"/>
      <c r="YC102" s="65"/>
      <c r="YD102" s="65"/>
      <c r="YE102" s="65"/>
      <c r="YF102" s="65"/>
      <c r="YG102" s="65"/>
      <c r="YH102" s="65"/>
      <c r="YI102" s="65"/>
      <c r="YJ102" s="65"/>
      <c r="YK102" s="65"/>
      <c r="YL102" s="65"/>
      <c r="YM102" s="65"/>
      <c r="YN102" s="65"/>
      <c r="YO102" s="65"/>
      <c r="YP102" s="65"/>
      <c r="YQ102" s="65"/>
      <c r="YR102" s="65"/>
      <c r="YS102" s="65"/>
      <c r="YT102" s="65"/>
      <c r="YU102" s="65"/>
      <c r="YV102" s="65"/>
      <c r="YW102" s="65"/>
      <c r="YX102" s="65"/>
      <c r="YY102" s="65"/>
      <c r="YZ102" s="65"/>
      <c r="ZA102" s="65"/>
      <c r="ZB102" s="65"/>
      <c r="ZC102" s="65"/>
      <c r="ZD102" s="65"/>
      <c r="ZE102" s="65"/>
      <c r="ZF102" s="65"/>
      <c r="ZG102" s="65"/>
      <c r="ZH102" s="65"/>
      <c r="ZI102" s="65"/>
      <c r="ZJ102" s="65"/>
      <c r="ZK102" s="65"/>
      <c r="ZL102" s="65"/>
      <c r="ZM102" s="65"/>
      <c r="ZN102" s="65"/>
      <c r="ZO102" s="65"/>
      <c r="ZP102" s="65"/>
      <c r="ZQ102" s="65"/>
      <c r="ZR102" s="65"/>
      <c r="ZS102" s="65"/>
      <c r="ZT102" s="65"/>
      <c r="ZU102" s="65"/>
      <c r="ZV102" s="65"/>
      <c r="ZW102" s="65"/>
      <c r="ZX102" s="65"/>
      <c r="ZY102" s="65"/>
      <c r="ZZ102" s="65"/>
      <c r="AAA102" s="65"/>
      <c r="AAB102" s="65"/>
      <c r="AAC102" s="65"/>
      <c r="AAD102" s="65"/>
      <c r="AAE102" s="65"/>
      <c r="AAF102" s="65"/>
      <c r="AAG102" s="65"/>
      <c r="AAH102" s="65"/>
      <c r="AAI102" s="65"/>
      <c r="AAJ102" s="65"/>
      <c r="AAK102" s="65"/>
      <c r="AAL102" s="65"/>
      <c r="AAM102" s="65"/>
      <c r="AAN102" s="65"/>
      <c r="AAO102" s="65"/>
      <c r="AAP102" s="65"/>
      <c r="AAQ102" s="65"/>
      <c r="AAR102" s="65"/>
      <c r="AAS102" s="65"/>
      <c r="AAT102" s="65"/>
      <c r="AAU102" s="65"/>
      <c r="AAV102" s="65"/>
      <c r="AAW102" s="65"/>
      <c r="AAX102" s="65"/>
      <c r="AAY102" s="65"/>
      <c r="AAZ102" s="65"/>
      <c r="ABA102" s="65"/>
      <c r="ABB102" s="65"/>
      <c r="ABC102" s="65"/>
      <c r="ABD102" s="65"/>
      <c r="ABE102" s="65"/>
      <c r="ABF102" s="65"/>
      <c r="ABG102" s="65"/>
      <c r="ABH102" s="65"/>
      <c r="ABI102" s="65"/>
      <c r="ABJ102" s="65"/>
      <c r="ABK102" s="65"/>
      <c r="ABL102" s="65"/>
      <c r="ABM102" s="65"/>
      <c r="ABN102" s="65"/>
    </row>
    <row r="103" spans="1:742" s="155" customFormat="1" ht="34.5" customHeight="1" x14ac:dyDescent="0.25">
      <c r="A103" s="110">
        <v>2025</v>
      </c>
      <c r="B103" s="230">
        <v>4</v>
      </c>
      <c r="C103" s="152">
        <v>22610</v>
      </c>
      <c r="D103" s="277">
        <v>45776</v>
      </c>
      <c r="E103" s="111" t="s">
        <v>1066</v>
      </c>
      <c r="F103" s="111" t="s">
        <v>1078</v>
      </c>
      <c r="G103" s="110" t="s">
        <v>98</v>
      </c>
      <c r="H103" s="110">
        <v>3108982986</v>
      </c>
      <c r="I103" s="110">
        <v>6043220389</v>
      </c>
      <c r="J103" s="108">
        <v>45756</v>
      </c>
      <c r="K103" s="110" t="s">
        <v>88</v>
      </c>
      <c r="L103" s="112" t="s">
        <v>1079</v>
      </c>
      <c r="M103" s="110" t="s">
        <v>282</v>
      </c>
      <c r="N103" s="110" t="s">
        <v>136</v>
      </c>
      <c r="O103" s="110" t="s">
        <v>136</v>
      </c>
      <c r="P103" s="110">
        <v>8949</v>
      </c>
      <c r="Q103" s="110">
        <v>5543</v>
      </c>
      <c r="R103" s="110" t="s">
        <v>134</v>
      </c>
      <c r="S103" s="110" t="s">
        <v>134</v>
      </c>
      <c r="T103" s="110" t="s">
        <v>136</v>
      </c>
      <c r="U103" s="110" t="s">
        <v>136</v>
      </c>
      <c r="V103" s="111" t="s">
        <v>119</v>
      </c>
      <c r="W103" s="108">
        <v>45784</v>
      </c>
      <c r="X103" s="108">
        <v>45786</v>
      </c>
      <c r="Y103" s="110"/>
      <c r="Z103" s="126" t="s">
        <v>85</v>
      </c>
      <c r="AA103" s="124">
        <v>0</v>
      </c>
      <c r="AB103" s="110">
        <v>5815</v>
      </c>
      <c r="AC103" s="114">
        <v>1435230</v>
      </c>
      <c r="AD103" s="212">
        <f t="shared" si="6"/>
        <v>1707923.7</v>
      </c>
      <c r="AE103" s="114">
        <v>1000000</v>
      </c>
      <c r="AF103" s="110"/>
      <c r="AG103" s="142" t="s">
        <v>1558</v>
      </c>
      <c r="AH103" s="248">
        <v>45786</v>
      </c>
      <c r="AI103" s="108">
        <v>45789</v>
      </c>
      <c r="AJ103" s="110" t="s">
        <v>571</v>
      </c>
      <c r="AK103" s="110"/>
      <c r="AL103" s="65"/>
      <c r="AM103" s="65"/>
      <c r="AN103" s="65"/>
      <c r="AO103" s="65"/>
      <c r="AP103" s="65"/>
      <c r="AQ103" s="65"/>
      <c r="AR103" s="65"/>
      <c r="AS103" s="65"/>
      <c r="AT103" s="65"/>
      <c r="AU103" s="65"/>
      <c r="AV103" s="65"/>
      <c r="AW103" s="65"/>
      <c r="AX103" s="65"/>
      <c r="AY103" s="65"/>
      <c r="AZ103" s="65"/>
      <c r="BA103" s="65"/>
      <c r="BB103" s="65"/>
      <c r="BC103" s="65"/>
      <c r="BD103" s="65"/>
      <c r="BE103" s="65"/>
      <c r="BF103" s="65"/>
      <c r="BG103" s="65"/>
      <c r="BH103" s="65"/>
      <c r="BI103" s="65"/>
      <c r="BJ103" s="65"/>
      <c r="BK103" s="65"/>
      <c r="BL103" s="65"/>
      <c r="BM103" s="65"/>
      <c r="BN103" s="65"/>
      <c r="BO103" s="65"/>
      <c r="BP103" s="65"/>
      <c r="BQ103" s="65"/>
      <c r="BR103" s="65"/>
      <c r="BS103" s="65"/>
      <c r="BT103" s="65"/>
      <c r="BU103" s="65"/>
      <c r="BV103" s="65"/>
      <c r="BW103" s="65"/>
      <c r="BX103" s="65"/>
      <c r="BY103" s="65"/>
      <c r="BZ103" s="65"/>
      <c r="CA103" s="65"/>
      <c r="CB103" s="65"/>
      <c r="CC103" s="65"/>
      <c r="CD103" s="65"/>
      <c r="CE103" s="65"/>
      <c r="CF103" s="65"/>
      <c r="CG103" s="65"/>
      <c r="CH103" s="65"/>
      <c r="CI103" s="65"/>
      <c r="CJ103" s="65"/>
      <c r="CK103" s="65"/>
      <c r="CL103" s="65"/>
      <c r="CM103" s="65"/>
      <c r="CN103" s="65"/>
      <c r="CO103" s="65"/>
      <c r="CP103" s="65"/>
      <c r="CQ103" s="65"/>
      <c r="CR103" s="65"/>
      <c r="CS103" s="65"/>
      <c r="CT103" s="65"/>
      <c r="CU103" s="65"/>
      <c r="CV103" s="65"/>
      <c r="CW103" s="65"/>
      <c r="CX103" s="65"/>
      <c r="CY103" s="65"/>
      <c r="CZ103" s="65"/>
      <c r="DA103" s="65"/>
      <c r="DB103" s="65"/>
      <c r="DC103" s="65"/>
      <c r="DD103" s="65"/>
      <c r="DE103" s="65"/>
      <c r="DF103" s="65"/>
      <c r="DG103" s="65"/>
      <c r="DH103" s="65"/>
      <c r="DI103" s="65"/>
      <c r="DJ103" s="65"/>
      <c r="DK103" s="65"/>
      <c r="DL103" s="65"/>
      <c r="DM103" s="65"/>
      <c r="DN103" s="65"/>
      <c r="DO103" s="65"/>
      <c r="DP103" s="65"/>
      <c r="DQ103" s="65"/>
      <c r="DR103" s="65"/>
      <c r="DS103" s="65"/>
      <c r="DT103" s="65"/>
      <c r="DU103" s="65"/>
      <c r="DV103" s="65"/>
      <c r="DW103" s="65"/>
      <c r="DX103" s="65"/>
      <c r="DY103" s="65"/>
      <c r="DZ103" s="65"/>
      <c r="EA103" s="65"/>
      <c r="EB103" s="65"/>
      <c r="EC103" s="65"/>
      <c r="ED103" s="65"/>
      <c r="EE103" s="65"/>
      <c r="EF103" s="65"/>
      <c r="EG103" s="65"/>
      <c r="EH103" s="65"/>
      <c r="EI103" s="65"/>
      <c r="EJ103" s="65"/>
      <c r="EK103" s="65"/>
      <c r="EL103" s="65"/>
      <c r="EM103" s="65"/>
      <c r="EN103" s="65"/>
      <c r="EO103" s="65"/>
      <c r="EP103" s="65"/>
      <c r="EQ103" s="65"/>
      <c r="ER103" s="65"/>
      <c r="ES103" s="65"/>
      <c r="ET103" s="65"/>
      <c r="EU103" s="65"/>
      <c r="EV103" s="65"/>
      <c r="EW103" s="65"/>
      <c r="EX103" s="65"/>
      <c r="EY103" s="65"/>
      <c r="EZ103" s="65"/>
      <c r="FA103" s="65"/>
      <c r="FB103" s="65"/>
      <c r="FC103" s="65"/>
      <c r="FD103" s="65"/>
      <c r="FE103" s="65"/>
      <c r="FF103" s="65"/>
      <c r="FG103" s="65"/>
      <c r="FH103" s="65"/>
      <c r="FI103" s="65"/>
      <c r="FJ103" s="65"/>
      <c r="FK103" s="65"/>
      <c r="FL103" s="65"/>
      <c r="FM103" s="65"/>
      <c r="FN103" s="65"/>
      <c r="FO103" s="65"/>
      <c r="FP103" s="65"/>
      <c r="FQ103" s="65"/>
      <c r="FR103" s="65"/>
      <c r="FS103" s="65"/>
      <c r="FT103" s="65"/>
      <c r="FU103" s="65"/>
      <c r="FV103" s="65"/>
      <c r="FW103" s="65"/>
      <c r="FX103" s="65"/>
      <c r="FY103" s="65"/>
      <c r="FZ103" s="65"/>
      <c r="GA103" s="65"/>
      <c r="GB103" s="65"/>
      <c r="GC103" s="65"/>
      <c r="GD103" s="65"/>
      <c r="GE103" s="65"/>
      <c r="GF103" s="65"/>
      <c r="GG103" s="65"/>
      <c r="GH103" s="65"/>
      <c r="GI103" s="65"/>
      <c r="GJ103" s="65"/>
      <c r="GK103" s="65"/>
      <c r="GL103" s="65"/>
      <c r="GM103" s="65"/>
      <c r="GN103" s="65"/>
      <c r="GO103" s="65"/>
      <c r="GP103" s="65"/>
      <c r="GQ103" s="65"/>
      <c r="GR103" s="65"/>
      <c r="GS103" s="65"/>
      <c r="GT103" s="65"/>
      <c r="GU103" s="65"/>
      <c r="GV103" s="65"/>
      <c r="GW103" s="65"/>
      <c r="GX103" s="65"/>
      <c r="GY103" s="65"/>
      <c r="GZ103" s="65"/>
      <c r="HA103" s="65"/>
      <c r="HB103" s="65"/>
      <c r="HC103" s="65"/>
      <c r="HD103" s="65"/>
      <c r="HE103" s="65"/>
      <c r="HF103" s="65"/>
      <c r="HG103" s="65"/>
      <c r="HH103" s="65"/>
      <c r="HI103" s="65"/>
      <c r="HJ103" s="65"/>
      <c r="HK103" s="65"/>
      <c r="HL103" s="65"/>
      <c r="HM103" s="65"/>
      <c r="HN103" s="65"/>
      <c r="HO103" s="65"/>
      <c r="HP103" s="65"/>
      <c r="HQ103" s="65"/>
      <c r="HR103" s="65"/>
      <c r="HS103" s="65"/>
      <c r="HT103" s="65"/>
      <c r="HU103" s="65"/>
      <c r="HV103" s="65"/>
      <c r="HW103" s="65"/>
      <c r="HX103" s="65"/>
      <c r="HY103" s="65"/>
      <c r="HZ103" s="65"/>
      <c r="IA103" s="65"/>
      <c r="IB103" s="65"/>
      <c r="IC103" s="65"/>
      <c r="ID103" s="65"/>
      <c r="IE103" s="65"/>
      <c r="IF103" s="65"/>
      <c r="IG103" s="65"/>
      <c r="IH103" s="65"/>
      <c r="II103" s="65"/>
      <c r="IJ103" s="65"/>
      <c r="IK103" s="65"/>
      <c r="IL103" s="65"/>
      <c r="IM103" s="65"/>
      <c r="IN103" s="65"/>
      <c r="IO103" s="65"/>
      <c r="IP103" s="65"/>
      <c r="IQ103" s="65"/>
      <c r="IR103" s="65"/>
      <c r="IS103" s="65"/>
      <c r="IT103" s="65"/>
      <c r="IU103" s="65"/>
      <c r="IV103" s="65"/>
      <c r="IW103" s="65"/>
      <c r="IX103" s="65"/>
      <c r="IY103" s="65"/>
      <c r="IZ103" s="65"/>
      <c r="JA103" s="65"/>
      <c r="JB103" s="65"/>
      <c r="JC103" s="65"/>
      <c r="JD103" s="65"/>
      <c r="JE103" s="65"/>
      <c r="JF103" s="65"/>
      <c r="JG103" s="65"/>
      <c r="JH103" s="65"/>
      <c r="JI103" s="65"/>
      <c r="JJ103" s="65"/>
      <c r="JK103" s="65"/>
      <c r="JL103" s="65"/>
      <c r="JM103" s="65"/>
      <c r="JN103" s="65"/>
      <c r="JO103" s="65"/>
      <c r="JP103" s="65"/>
      <c r="JQ103" s="65"/>
      <c r="JR103" s="65"/>
      <c r="JS103" s="65"/>
      <c r="JT103" s="65"/>
      <c r="JU103" s="65"/>
      <c r="JV103" s="65"/>
      <c r="JW103" s="65"/>
      <c r="JX103" s="65"/>
      <c r="JY103" s="65"/>
      <c r="JZ103" s="65"/>
      <c r="KA103" s="65"/>
      <c r="KB103" s="65"/>
      <c r="KC103" s="65"/>
      <c r="KD103" s="65"/>
      <c r="KE103" s="65"/>
      <c r="KF103" s="65"/>
      <c r="KG103" s="65"/>
      <c r="KH103" s="65"/>
      <c r="KI103" s="65"/>
      <c r="KJ103" s="65"/>
      <c r="KK103" s="65"/>
      <c r="KL103" s="65"/>
      <c r="KM103" s="65"/>
      <c r="KN103" s="65"/>
      <c r="KO103" s="65"/>
      <c r="KP103" s="65"/>
      <c r="KQ103" s="65"/>
      <c r="KR103" s="65"/>
      <c r="KS103" s="65"/>
      <c r="KT103" s="65"/>
      <c r="KU103" s="65"/>
      <c r="KV103" s="65"/>
      <c r="KW103" s="65"/>
      <c r="KX103" s="65"/>
      <c r="KY103" s="65"/>
      <c r="KZ103" s="65"/>
      <c r="LA103" s="65"/>
      <c r="LB103" s="65"/>
      <c r="LC103" s="65"/>
      <c r="LD103" s="65"/>
      <c r="LE103" s="65"/>
      <c r="LF103" s="65"/>
      <c r="LG103" s="65"/>
      <c r="LH103" s="65"/>
      <c r="LI103" s="65"/>
      <c r="LJ103" s="65"/>
      <c r="LK103" s="65"/>
      <c r="LL103" s="65"/>
      <c r="LM103" s="65"/>
      <c r="LN103" s="65"/>
      <c r="LO103" s="65"/>
      <c r="LP103" s="65"/>
      <c r="LQ103" s="65"/>
      <c r="LR103" s="65"/>
      <c r="LS103" s="65"/>
      <c r="LT103" s="65"/>
      <c r="LU103" s="65"/>
      <c r="LV103" s="65"/>
      <c r="LW103" s="65"/>
      <c r="LX103" s="65"/>
      <c r="LY103" s="65"/>
      <c r="LZ103" s="65"/>
      <c r="MA103" s="65"/>
      <c r="MB103" s="65"/>
      <c r="MC103" s="65"/>
      <c r="MD103" s="65"/>
      <c r="ME103" s="65"/>
      <c r="MF103" s="65"/>
      <c r="MG103" s="65"/>
      <c r="MH103" s="65"/>
      <c r="MI103" s="65"/>
      <c r="MJ103" s="65"/>
      <c r="MK103" s="65"/>
      <c r="ML103" s="65"/>
      <c r="MM103" s="65"/>
      <c r="MN103" s="65"/>
      <c r="MO103" s="65"/>
      <c r="MP103" s="65"/>
      <c r="MQ103" s="65"/>
      <c r="MR103" s="65"/>
      <c r="MS103" s="65"/>
      <c r="MT103" s="65"/>
      <c r="MU103" s="65"/>
      <c r="MV103" s="65"/>
      <c r="MW103" s="65"/>
      <c r="MX103" s="65"/>
      <c r="MY103" s="65"/>
      <c r="MZ103" s="65"/>
      <c r="NA103" s="65"/>
      <c r="NB103" s="65"/>
      <c r="NC103" s="65"/>
      <c r="ND103" s="65"/>
      <c r="NE103" s="65"/>
      <c r="NF103" s="65"/>
      <c r="NG103" s="65"/>
      <c r="NH103" s="65"/>
      <c r="NI103" s="65"/>
      <c r="NJ103" s="65"/>
      <c r="NK103" s="65"/>
      <c r="NL103" s="65"/>
      <c r="NM103" s="65"/>
      <c r="NN103" s="65"/>
      <c r="NO103" s="65"/>
      <c r="NP103" s="65"/>
      <c r="NQ103" s="65"/>
      <c r="NR103" s="65"/>
      <c r="NS103" s="65"/>
      <c r="NT103" s="65"/>
      <c r="NU103" s="65"/>
      <c r="NV103" s="65"/>
      <c r="NW103" s="65"/>
      <c r="NX103" s="65"/>
      <c r="NY103" s="65"/>
      <c r="NZ103" s="65"/>
      <c r="OA103" s="65"/>
      <c r="OB103" s="65"/>
      <c r="OC103" s="65"/>
      <c r="OD103" s="65"/>
      <c r="OE103" s="65"/>
      <c r="OF103" s="65"/>
      <c r="OG103" s="65"/>
      <c r="OH103" s="65"/>
      <c r="OI103" s="65"/>
      <c r="OJ103" s="65"/>
      <c r="OK103" s="65"/>
      <c r="OL103" s="65"/>
      <c r="OM103" s="65"/>
      <c r="ON103" s="65"/>
      <c r="OO103" s="65"/>
      <c r="OP103" s="65"/>
      <c r="OQ103" s="65"/>
      <c r="OR103" s="65"/>
      <c r="OS103" s="65"/>
      <c r="OT103" s="65"/>
      <c r="OU103" s="65"/>
      <c r="OV103" s="65"/>
      <c r="OW103" s="65"/>
      <c r="OX103" s="65"/>
      <c r="OY103" s="65"/>
      <c r="OZ103" s="65"/>
      <c r="PA103" s="65"/>
      <c r="PB103" s="65"/>
      <c r="PC103" s="65"/>
      <c r="PD103" s="65"/>
      <c r="PE103" s="65"/>
      <c r="PF103" s="65"/>
      <c r="PG103" s="65"/>
      <c r="PH103" s="65"/>
      <c r="PI103" s="65"/>
      <c r="PJ103" s="65"/>
      <c r="PK103" s="65"/>
      <c r="PL103" s="65"/>
      <c r="PM103" s="65"/>
      <c r="PN103" s="65"/>
      <c r="PO103" s="65"/>
      <c r="PP103" s="65"/>
      <c r="PQ103" s="65"/>
      <c r="PR103" s="65"/>
      <c r="PS103" s="65"/>
      <c r="PT103" s="65"/>
      <c r="PU103" s="65"/>
      <c r="PV103" s="65"/>
      <c r="PW103" s="65"/>
      <c r="PX103" s="65"/>
      <c r="PY103" s="65"/>
      <c r="PZ103" s="65"/>
      <c r="QA103" s="65"/>
      <c r="QB103" s="65"/>
      <c r="QC103" s="65"/>
      <c r="QD103" s="65"/>
      <c r="QE103" s="65"/>
      <c r="QF103" s="65"/>
      <c r="QG103" s="65"/>
      <c r="QH103" s="65"/>
      <c r="QI103" s="65"/>
      <c r="QJ103" s="65"/>
      <c r="QK103" s="65"/>
      <c r="QL103" s="65"/>
      <c r="QM103" s="65"/>
      <c r="QN103" s="65"/>
      <c r="QO103" s="65"/>
      <c r="QP103" s="65"/>
      <c r="QQ103" s="65"/>
      <c r="QR103" s="65"/>
      <c r="QS103" s="65"/>
      <c r="QT103" s="65"/>
      <c r="QU103" s="65"/>
      <c r="QV103" s="65"/>
      <c r="QW103" s="65"/>
      <c r="QX103" s="65"/>
      <c r="QY103" s="65"/>
      <c r="QZ103" s="65"/>
      <c r="RA103" s="65"/>
      <c r="RB103" s="65"/>
      <c r="RC103" s="65"/>
      <c r="RD103" s="65"/>
      <c r="RE103" s="65"/>
      <c r="RF103" s="65"/>
      <c r="RG103" s="65"/>
      <c r="RH103" s="65"/>
      <c r="RI103" s="65"/>
      <c r="RJ103" s="65"/>
      <c r="RK103" s="65"/>
      <c r="RL103" s="65"/>
      <c r="RM103" s="65"/>
      <c r="RN103" s="65"/>
      <c r="RO103" s="65"/>
      <c r="RP103" s="65"/>
      <c r="RQ103" s="65"/>
      <c r="RR103" s="65"/>
      <c r="RS103" s="65"/>
      <c r="RT103" s="65"/>
      <c r="RU103" s="65"/>
      <c r="RV103" s="65"/>
      <c r="RW103" s="65"/>
      <c r="RX103" s="65"/>
      <c r="RY103" s="65"/>
      <c r="RZ103" s="65"/>
      <c r="SA103" s="65"/>
      <c r="SB103" s="65"/>
      <c r="SC103" s="65"/>
      <c r="SD103" s="65"/>
      <c r="SE103" s="65"/>
      <c r="SF103" s="65"/>
      <c r="SG103" s="65"/>
      <c r="SH103" s="65"/>
      <c r="SI103" s="65"/>
      <c r="SJ103" s="65"/>
      <c r="SK103" s="65"/>
      <c r="SL103" s="65"/>
      <c r="SM103" s="65"/>
      <c r="SN103" s="65"/>
      <c r="SO103" s="65"/>
      <c r="SP103" s="65"/>
      <c r="SQ103" s="65"/>
      <c r="SR103" s="65"/>
      <c r="SS103" s="65"/>
      <c r="ST103" s="65"/>
      <c r="SU103" s="65"/>
      <c r="SV103" s="65"/>
      <c r="SW103" s="65"/>
      <c r="SX103" s="65"/>
      <c r="SY103" s="65"/>
      <c r="SZ103" s="65"/>
      <c r="TA103" s="65"/>
      <c r="TB103" s="65"/>
      <c r="TC103" s="65"/>
      <c r="TD103" s="65"/>
      <c r="TE103" s="65"/>
      <c r="TF103" s="65"/>
      <c r="TG103" s="65"/>
      <c r="TH103" s="65"/>
      <c r="TI103" s="65"/>
      <c r="TJ103" s="65"/>
      <c r="TK103" s="65"/>
      <c r="TL103" s="65"/>
      <c r="TM103" s="65"/>
      <c r="TN103" s="65"/>
      <c r="TO103" s="65"/>
      <c r="TP103" s="65"/>
      <c r="TQ103" s="65"/>
      <c r="TR103" s="65"/>
      <c r="TS103" s="65"/>
      <c r="TT103" s="65"/>
      <c r="TU103" s="65"/>
      <c r="TV103" s="65"/>
      <c r="TW103" s="65"/>
      <c r="TX103" s="65"/>
      <c r="TY103" s="65"/>
      <c r="TZ103" s="65"/>
      <c r="UA103" s="65"/>
      <c r="UB103" s="65"/>
      <c r="UC103" s="65"/>
      <c r="UD103" s="65"/>
      <c r="UE103" s="65"/>
      <c r="UF103" s="65"/>
      <c r="UG103" s="65"/>
      <c r="UH103" s="65"/>
      <c r="UI103" s="65"/>
      <c r="UJ103" s="65"/>
      <c r="UK103" s="65"/>
      <c r="UL103" s="65"/>
      <c r="UM103" s="65"/>
      <c r="UN103" s="65"/>
      <c r="UO103" s="65"/>
      <c r="UP103" s="65"/>
      <c r="UQ103" s="65"/>
      <c r="UR103" s="65"/>
      <c r="US103" s="65"/>
      <c r="UT103" s="65"/>
      <c r="UU103" s="65"/>
      <c r="UV103" s="65"/>
      <c r="UW103" s="65"/>
      <c r="UX103" s="65"/>
      <c r="UY103" s="65"/>
      <c r="UZ103" s="65"/>
      <c r="VA103" s="65"/>
      <c r="VB103" s="65"/>
      <c r="VC103" s="65"/>
      <c r="VD103" s="65"/>
      <c r="VE103" s="65"/>
      <c r="VF103" s="65"/>
      <c r="VG103" s="65"/>
      <c r="VH103" s="65"/>
      <c r="VI103" s="65"/>
      <c r="VJ103" s="65"/>
      <c r="VK103" s="65"/>
      <c r="VL103" s="65"/>
      <c r="VM103" s="65"/>
      <c r="VN103" s="65"/>
      <c r="VO103" s="65"/>
      <c r="VP103" s="65"/>
      <c r="VQ103" s="65"/>
      <c r="VR103" s="65"/>
      <c r="VS103" s="65"/>
      <c r="VT103" s="65"/>
      <c r="VU103" s="65"/>
      <c r="VV103" s="65"/>
      <c r="VW103" s="65"/>
      <c r="VX103" s="65"/>
      <c r="VY103" s="65"/>
      <c r="VZ103" s="65"/>
      <c r="WA103" s="65"/>
      <c r="WB103" s="65"/>
      <c r="WC103" s="65"/>
      <c r="WD103" s="65"/>
      <c r="WE103" s="65"/>
      <c r="WF103" s="65"/>
      <c r="WG103" s="65"/>
      <c r="WH103" s="65"/>
      <c r="WI103" s="65"/>
      <c r="WJ103" s="65"/>
      <c r="WK103" s="65"/>
      <c r="WL103" s="65"/>
      <c r="WM103" s="65"/>
      <c r="WN103" s="65"/>
      <c r="WO103" s="65"/>
      <c r="WP103" s="65"/>
      <c r="WQ103" s="65"/>
      <c r="WR103" s="65"/>
      <c r="WS103" s="65"/>
      <c r="WT103" s="65"/>
      <c r="WU103" s="65"/>
      <c r="WV103" s="65"/>
      <c r="WW103" s="65"/>
      <c r="WX103" s="65"/>
      <c r="WY103" s="65"/>
      <c r="WZ103" s="65"/>
      <c r="XA103" s="65"/>
      <c r="XB103" s="65"/>
      <c r="XC103" s="65"/>
      <c r="XD103" s="65"/>
      <c r="XE103" s="65"/>
      <c r="XF103" s="65"/>
      <c r="XG103" s="65"/>
      <c r="XH103" s="65"/>
      <c r="XI103" s="65"/>
      <c r="XJ103" s="65"/>
      <c r="XK103" s="65"/>
      <c r="XL103" s="65"/>
      <c r="XM103" s="65"/>
      <c r="XN103" s="65"/>
      <c r="XO103" s="65"/>
      <c r="XP103" s="65"/>
      <c r="XQ103" s="65"/>
      <c r="XR103" s="65"/>
      <c r="XS103" s="65"/>
      <c r="XT103" s="65"/>
      <c r="XU103" s="65"/>
      <c r="XV103" s="65"/>
      <c r="XW103" s="65"/>
      <c r="XX103" s="65"/>
      <c r="XY103" s="65"/>
      <c r="XZ103" s="65"/>
      <c r="YA103" s="65"/>
      <c r="YB103" s="65"/>
      <c r="YC103" s="65"/>
      <c r="YD103" s="65"/>
      <c r="YE103" s="65"/>
      <c r="YF103" s="65"/>
      <c r="YG103" s="65"/>
      <c r="YH103" s="65"/>
      <c r="YI103" s="65"/>
      <c r="YJ103" s="65"/>
      <c r="YK103" s="65"/>
      <c r="YL103" s="65"/>
      <c r="YM103" s="65"/>
      <c r="YN103" s="65"/>
      <c r="YO103" s="65"/>
      <c r="YP103" s="65"/>
      <c r="YQ103" s="65"/>
      <c r="YR103" s="65"/>
      <c r="YS103" s="65"/>
      <c r="YT103" s="65"/>
      <c r="YU103" s="65"/>
      <c r="YV103" s="65"/>
      <c r="YW103" s="65"/>
      <c r="YX103" s="65"/>
      <c r="YY103" s="65"/>
      <c r="YZ103" s="65"/>
      <c r="ZA103" s="65"/>
      <c r="ZB103" s="65"/>
      <c r="ZC103" s="65"/>
      <c r="ZD103" s="65"/>
      <c r="ZE103" s="65"/>
      <c r="ZF103" s="65"/>
      <c r="ZG103" s="65"/>
      <c r="ZH103" s="65"/>
      <c r="ZI103" s="65"/>
      <c r="ZJ103" s="65"/>
      <c r="ZK103" s="65"/>
      <c r="ZL103" s="65"/>
      <c r="ZM103" s="65"/>
      <c r="ZN103" s="65"/>
      <c r="ZO103" s="65"/>
      <c r="ZP103" s="65"/>
      <c r="ZQ103" s="65"/>
      <c r="ZR103" s="65"/>
      <c r="ZS103" s="65"/>
      <c r="ZT103" s="65"/>
      <c r="ZU103" s="65"/>
      <c r="ZV103" s="65"/>
      <c r="ZW103" s="65"/>
      <c r="ZX103" s="65"/>
      <c r="ZY103" s="65"/>
      <c r="ZZ103" s="65"/>
      <c r="AAA103" s="65"/>
      <c r="AAB103" s="65"/>
      <c r="AAC103" s="65"/>
      <c r="AAD103" s="65"/>
      <c r="AAE103" s="65"/>
      <c r="AAF103" s="65"/>
      <c r="AAG103" s="65"/>
      <c r="AAH103" s="65"/>
      <c r="AAI103" s="65"/>
      <c r="AAJ103" s="65"/>
      <c r="AAK103" s="65"/>
      <c r="AAL103" s="65"/>
      <c r="AAM103" s="65"/>
      <c r="AAN103" s="65"/>
      <c r="AAO103" s="65"/>
      <c r="AAP103" s="65"/>
      <c r="AAQ103" s="65"/>
      <c r="AAR103" s="65"/>
      <c r="AAS103" s="65"/>
      <c r="AAT103" s="65"/>
      <c r="AAU103" s="65"/>
      <c r="AAV103" s="65"/>
      <c r="AAW103" s="65"/>
      <c r="AAX103" s="65"/>
      <c r="AAY103" s="65"/>
      <c r="AAZ103" s="65"/>
      <c r="ABA103" s="65"/>
      <c r="ABB103" s="65"/>
      <c r="ABC103" s="65"/>
      <c r="ABD103" s="65"/>
      <c r="ABE103" s="65"/>
      <c r="ABF103" s="65"/>
      <c r="ABG103" s="65"/>
      <c r="ABH103" s="65"/>
      <c r="ABI103" s="65"/>
      <c r="ABJ103" s="65"/>
      <c r="ABK103" s="65"/>
      <c r="ABL103" s="65"/>
      <c r="ABM103" s="65"/>
      <c r="ABN103" s="65"/>
    </row>
    <row r="104" spans="1:742" s="207" customFormat="1" ht="45" x14ac:dyDescent="0.25">
      <c r="A104" s="99">
        <v>2025</v>
      </c>
      <c r="B104" s="233">
        <v>4</v>
      </c>
      <c r="C104" s="356">
        <v>22611</v>
      </c>
      <c r="D104" s="278">
        <v>45776</v>
      </c>
      <c r="E104" s="100" t="s">
        <v>1084</v>
      </c>
      <c r="F104" s="100" t="s">
        <v>738</v>
      </c>
      <c r="G104" s="99" t="s">
        <v>570</v>
      </c>
      <c r="H104" s="99">
        <v>3155490659</v>
      </c>
      <c r="I104" s="99">
        <v>3155490659</v>
      </c>
      <c r="J104" s="97">
        <v>45756</v>
      </c>
      <c r="K104" s="99" t="s">
        <v>88</v>
      </c>
      <c r="L104" s="101" t="s">
        <v>1085</v>
      </c>
      <c r="M104" s="99" t="s">
        <v>136</v>
      </c>
      <c r="N104" s="99">
        <v>5914</v>
      </c>
      <c r="O104" s="99">
        <v>6153</v>
      </c>
      <c r="P104" s="99" t="s">
        <v>134</v>
      </c>
      <c r="Q104" s="99" t="s">
        <v>134</v>
      </c>
      <c r="R104" s="99" t="s">
        <v>134</v>
      </c>
      <c r="S104" s="99" t="s">
        <v>136</v>
      </c>
      <c r="T104" s="99" t="s">
        <v>136</v>
      </c>
      <c r="U104" s="99" t="s">
        <v>136</v>
      </c>
      <c r="V104" s="100" t="s">
        <v>119</v>
      </c>
      <c r="W104" s="97">
        <v>45785</v>
      </c>
      <c r="X104" s="97">
        <v>45801</v>
      </c>
      <c r="Y104" s="99"/>
      <c r="Z104" s="120" t="s">
        <v>85</v>
      </c>
      <c r="AA104" s="122">
        <v>0</v>
      </c>
      <c r="AB104" s="99" t="s">
        <v>136</v>
      </c>
      <c r="AC104" s="103">
        <v>0</v>
      </c>
      <c r="AD104" s="198">
        <f t="shared" si="6"/>
        <v>0</v>
      </c>
      <c r="AE104" s="103">
        <v>0</v>
      </c>
      <c r="AF104" s="99"/>
      <c r="AG104" s="104" t="s">
        <v>1916</v>
      </c>
      <c r="AH104" s="233" t="s">
        <v>136</v>
      </c>
      <c r="AI104" s="97">
        <v>45807</v>
      </c>
      <c r="AJ104" s="99" t="s">
        <v>1705</v>
      </c>
      <c r="AK104" s="401" t="s">
        <v>1133</v>
      </c>
      <c r="AL104" s="65"/>
      <c r="AM104" s="65"/>
      <c r="AN104" s="65"/>
      <c r="AO104" s="65"/>
      <c r="AP104" s="65"/>
      <c r="AQ104" s="65"/>
      <c r="AR104" s="65"/>
      <c r="AS104" s="65"/>
      <c r="AT104" s="65"/>
      <c r="AU104" s="65"/>
      <c r="AV104" s="65"/>
      <c r="AW104" s="65"/>
      <c r="AX104" s="65"/>
      <c r="AY104" s="65"/>
      <c r="AZ104" s="65"/>
      <c r="BA104" s="65"/>
      <c r="BB104" s="65"/>
      <c r="BC104" s="65"/>
      <c r="BD104" s="65"/>
      <c r="BE104" s="65"/>
      <c r="BF104" s="65"/>
      <c r="BG104" s="65"/>
      <c r="BH104" s="65"/>
      <c r="BI104" s="65"/>
      <c r="BJ104" s="65"/>
      <c r="BK104" s="65"/>
      <c r="BL104" s="65"/>
      <c r="BM104" s="65"/>
      <c r="BN104" s="65"/>
      <c r="BO104" s="65"/>
      <c r="BP104" s="65"/>
      <c r="BQ104" s="65"/>
      <c r="BR104" s="65"/>
      <c r="BS104" s="65"/>
      <c r="BT104" s="65"/>
      <c r="BU104" s="65"/>
      <c r="BV104" s="65"/>
      <c r="BW104" s="65"/>
      <c r="BX104" s="65"/>
      <c r="BY104" s="65"/>
      <c r="BZ104" s="65"/>
      <c r="CA104" s="65"/>
      <c r="CB104" s="65"/>
      <c r="CC104" s="65"/>
      <c r="CD104" s="65"/>
      <c r="CE104" s="65"/>
      <c r="CF104" s="65"/>
      <c r="CG104" s="65"/>
      <c r="CH104" s="65"/>
      <c r="CI104" s="65"/>
      <c r="CJ104" s="65"/>
      <c r="CK104" s="65"/>
      <c r="CL104" s="65"/>
      <c r="CM104" s="65"/>
      <c r="CN104" s="65"/>
      <c r="CO104" s="65"/>
      <c r="CP104" s="65"/>
      <c r="CQ104" s="65"/>
      <c r="CR104" s="65"/>
      <c r="CS104" s="65"/>
      <c r="CT104" s="65"/>
      <c r="CU104" s="65"/>
      <c r="CV104" s="65"/>
      <c r="CW104" s="65"/>
      <c r="CX104" s="65"/>
      <c r="CY104" s="65"/>
      <c r="CZ104" s="65"/>
      <c r="DA104" s="65"/>
      <c r="DB104" s="65"/>
      <c r="DC104" s="65"/>
      <c r="DD104" s="65"/>
      <c r="DE104" s="65"/>
      <c r="DF104" s="65"/>
      <c r="DG104" s="65"/>
      <c r="DH104" s="65"/>
      <c r="DI104" s="65"/>
      <c r="DJ104" s="65"/>
      <c r="DK104" s="65"/>
      <c r="DL104" s="65"/>
      <c r="DM104" s="65"/>
      <c r="DN104" s="65"/>
      <c r="DO104" s="65"/>
      <c r="DP104" s="65"/>
      <c r="DQ104" s="65"/>
      <c r="DR104" s="65"/>
      <c r="DS104" s="65"/>
      <c r="DT104" s="65"/>
      <c r="DU104" s="65"/>
      <c r="DV104" s="65"/>
      <c r="DW104" s="65"/>
      <c r="DX104" s="65"/>
      <c r="DY104" s="65"/>
      <c r="DZ104" s="65"/>
      <c r="EA104" s="65"/>
      <c r="EB104" s="65"/>
      <c r="EC104" s="65"/>
      <c r="ED104" s="65"/>
      <c r="EE104" s="65"/>
      <c r="EF104" s="65"/>
      <c r="EG104" s="65"/>
      <c r="EH104" s="65"/>
      <c r="EI104" s="65"/>
      <c r="EJ104" s="65"/>
      <c r="EK104" s="65"/>
      <c r="EL104" s="65"/>
      <c r="EM104" s="65"/>
      <c r="EN104" s="65"/>
      <c r="EO104" s="65"/>
      <c r="EP104" s="65"/>
      <c r="EQ104" s="65"/>
      <c r="ER104" s="65"/>
      <c r="ES104" s="65"/>
      <c r="ET104" s="65"/>
      <c r="EU104" s="65"/>
      <c r="EV104" s="65"/>
      <c r="EW104" s="65"/>
      <c r="EX104" s="65"/>
      <c r="EY104" s="65"/>
      <c r="EZ104" s="65"/>
      <c r="FA104" s="65"/>
      <c r="FB104" s="65"/>
      <c r="FC104" s="65"/>
      <c r="FD104" s="65"/>
      <c r="FE104" s="65"/>
      <c r="FF104" s="65"/>
      <c r="FG104" s="65"/>
      <c r="FH104" s="65"/>
      <c r="FI104" s="65"/>
      <c r="FJ104" s="65"/>
      <c r="FK104" s="65"/>
      <c r="FL104" s="65"/>
      <c r="FM104" s="65"/>
      <c r="FN104" s="65"/>
      <c r="FO104" s="65"/>
      <c r="FP104" s="65"/>
      <c r="FQ104" s="65"/>
      <c r="FR104" s="65"/>
      <c r="FS104" s="65"/>
      <c r="FT104" s="65"/>
      <c r="FU104" s="65"/>
      <c r="FV104" s="65"/>
      <c r="FW104" s="65"/>
      <c r="FX104" s="65"/>
      <c r="FY104" s="65"/>
      <c r="FZ104" s="65"/>
      <c r="GA104" s="65"/>
      <c r="GB104" s="65"/>
      <c r="GC104" s="65"/>
      <c r="GD104" s="65"/>
      <c r="GE104" s="65"/>
      <c r="GF104" s="65"/>
      <c r="GG104" s="65"/>
      <c r="GH104" s="65"/>
      <c r="GI104" s="65"/>
      <c r="GJ104" s="65"/>
      <c r="GK104" s="65"/>
      <c r="GL104" s="65"/>
      <c r="GM104" s="65"/>
      <c r="GN104" s="65"/>
      <c r="GO104" s="65"/>
      <c r="GP104" s="65"/>
      <c r="GQ104" s="65"/>
      <c r="GR104" s="65"/>
      <c r="GS104" s="65"/>
      <c r="GT104" s="65"/>
      <c r="GU104" s="65"/>
      <c r="GV104" s="65"/>
      <c r="GW104" s="65"/>
      <c r="GX104" s="65"/>
      <c r="GY104" s="65"/>
      <c r="GZ104" s="65"/>
      <c r="HA104" s="65"/>
      <c r="HB104" s="65"/>
      <c r="HC104" s="65"/>
      <c r="HD104" s="65"/>
      <c r="HE104" s="65"/>
      <c r="HF104" s="65"/>
      <c r="HG104" s="65"/>
      <c r="HH104" s="65"/>
      <c r="HI104" s="65"/>
      <c r="HJ104" s="65"/>
      <c r="HK104" s="65"/>
      <c r="HL104" s="65"/>
      <c r="HM104" s="65"/>
      <c r="HN104" s="65"/>
      <c r="HO104" s="65"/>
      <c r="HP104" s="65"/>
      <c r="HQ104" s="65"/>
      <c r="HR104" s="65"/>
      <c r="HS104" s="65"/>
      <c r="HT104" s="65"/>
      <c r="HU104" s="65"/>
      <c r="HV104" s="65"/>
      <c r="HW104" s="65"/>
      <c r="HX104" s="65"/>
      <c r="HY104" s="65"/>
      <c r="HZ104" s="65"/>
      <c r="IA104" s="65"/>
      <c r="IB104" s="65"/>
      <c r="IC104" s="65"/>
      <c r="ID104" s="65"/>
      <c r="IE104" s="65"/>
      <c r="IF104" s="65"/>
      <c r="IG104" s="65"/>
      <c r="IH104" s="65"/>
      <c r="II104" s="65"/>
      <c r="IJ104" s="65"/>
      <c r="IK104" s="65"/>
      <c r="IL104" s="65"/>
      <c r="IM104" s="65"/>
      <c r="IN104" s="65"/>
      <c r="IO104" s="65"/>
      <c r="IP104" s="65"/>
      <c r="IQ104" s="65"/>
      <c r="IR104" s="65"/>
      <c r="IS104" s="65"/>
      <c r="IT104" s="65"/>
      <c r="IU104" s="65"/>
      <c r="IV104" s="65"/>
      <c r="IW104" s="65"/>
      <c r="IX104" s="65"/>
      <c r="IY104" s="65"/>
      <c r="IZ104" s="65"/>
      <c r="JA104" s="65"/>
      <c r="JB104" s="65"/>
      <c r="JC104" s="65"/>
      <c r="JD104" s="65"/>
      <c r="JE104" s="65"/>
      <c r="JF104" s="65"/>
      <c r="JG104" s="65"/>
      <c r="JH104" s="65"/>
      <c r="JI104" s="65"/>
      <c r="JJ104" s="65"/>
      <c r="JK104" s="65"/>
      <c r="JL104" s="65"/>
      <c r="JM104" s="65"/>
      <c r="JN104" s="65"/>
      <c r="JO104" s="65"/>
      <c r="JP104" s="65"/>
      <c r="JQ104" s="65"/>
      <c r="JR104" s="65"/>
      <c r="JS104" s="65"/>
      <c r="JT104" s="65"/>
      <c r="JU104" s="65"/>
      <c r="JV104" s="65"/>
      <c r="JW104" s="65"/>
      <c r="JX104" s="65"/>
      <c r="JY104" s="65"/>
      <c r="JZ104" s="65"/>
      <c r="KA104" s="65"/>
      <c r="KB104" s="65"/>
      <c r="KC104" s="65"/>
      <c r="KD104" s="65"/>
      <c r="KE104" s="65"/>
      <c r="KF104" s="65"/>
      <c r="KG104" s="65"/>
      <c r="KH104" s="65"/>
      <c r="KI104" s="65"/>
      <c r="KJ104" s="65"/>
      <c r="KK104" s="65"/>
      <c r="KL104" s="65"/>
      <c r="KM104" s="65"/>
      <c r="KN104" s="65"/>
      <c r="KO104" s="65"/>
      <c r="KP104" s="65"/>
      <c r="KQ104" s="65"/>
      <c r="KR104" s="65"/>
      <c r="KS104" s="65"/>
      <c r="KT104" s="65"/>
      <c r="KU104" s="65"/>
      <c r="KV104" s="65"/>
      <c r="KW104" s="65"/>
      <c r="KX104" s="65"/>
      <c r="KY104" s="65"/>
      <c r="KZ104" s="65"/>
      <c r="LA104" s="65"/>
      <c r="LB104" s="65"/>
      <c r="LC104" s="65"/>
      <c r="LD104" s="65"/>
      <c r="LE104" s="65"/>
      <c r="LF104" s="65"/>
      <c r="LG104" s="65"/>
      <c r="LH104" s="65"/>
      <c r="LI104" s="65"/>
      <c r="LJ104" s="65"/>
      <c r="LK104" s="65"/>
      <c r="LL104" s="65"/>
      <c r="LM104" s="65"/>
      <c r="LN104" s="65"/>
      <c r="LO104" s="65"/>
      <c r="LP104" s="65"/>
      <c r="LQ104" s="65"/>
      <c r="LR104" s="65"/>
      <c r="LS104" s="65"/>
      <c r="LT104" s="65"/>
      <c r="LU104" s="65"/>
      <c r="LV104" s="65"/>
      <c r="LW104" s="65"/>
      <c r="LX104" s="65"/>
      <c r="LY104" s="65"/>
      <c r="LZ104" s="65"/>
      <c r="MA104" s="65"/>
      <c r="MB104" s="65"/>
      <c r="MC104" s="65"/>
      <c r="MD104" s="65"/>
      <c r="ME104" s="65"/>
      <c r="MF104" s="65"/>
      <c r="MG104" s="65"/>
      <c r="MH104" s="65"/>
      <c r="MI104" s="65"/>
      <c r="MJ104" s="65"/>
      <c r="MK104" s="65"/>
      <c r="ML104" s="65"/>
      <c r="MM104" s="65"/>
      <c r="MN104" s="65"/>
      <c r="MO104" s="65"/>
      <c r="MP104" s="65"/>
      <c r="MQ104" s="65"/>
      <c r="MR104" s="65"/>
      <c r="MS104" s="65"/>
      <c r="MT104" s="65"/>
      <c r="MU104" s="65"/>
      <c r="MV104" s="65"/>
      <c r="MW104" s="65"/>
      <c r="MX104" s="65"/>
      <c r="MY104" s="65"/>
      <c r="MZ104" s="65"/>
      <c r="NA104" s="65"/>
      <c r="NB104" s="65"/>
      <c r="NC104" s="65"/>
      <c r="ND104" s="65"/>
      <c r="NE104" s="65"/>
      <c r="NF104" s="65"/>
      <c r="NG104" s="65"/>
      <c r="NH104" s="65"/>
      <c r="NI104" s="65"/>
      <c r="NJ104" s="65"/>
      <c r="NK104" s="65"/>
      <c r="NL104" s="65"/>
      <c r="NM104" s="65"/>
      <c r="NN104" s="65"/>
      <c r="NO104" s="65"/>
      <c r="NP104" s="65"/>
      <c r="NQ104" s="65"/>
      <c r="NR104" s="65"/>
      <c r="NS104" s="65"/>
      <c r="NT104" s="65"/>
      <c r="NU104" s="65"/>
      <c r="NV104" s="65"/>
      <c r="NW104" s="65"/>
      <c r="NX104" s="65"/>
      <c r="NY104" s="65"/>
      <c r="NZ104" s="65"/>
      <c r="OA104" s="65"/>
      <c r="OB104" s="65"/>
      <c r="OC104" s="65"/>
      <c r="OD104" s="65"/>
      <c r="OE104" s="65"/>
      <c r="OF104" s="65"/>
      <c r="OG104" s="65"/>
      <c r="OH104" s="65"/>
      <c r="OI104" s="65"/>
      <c r="OJ104" s="65"/>
      <c r="OK104" s="65"/>
      <c r="OL104" s="65"/>
      <c r="OM104" s="65"/>
      <c r="ON104" s="65"/>
      <c r="OO104" s="65"/>
      <c r="OP104" s="65"/>
      <c r="OQ104" s="65"/>
      <c r="OR104" s="65"/>
      <c r="OS104" s="65"/>
      <c r="OT104" s="65"/>
      <c r="OU104" s="65"/>
      <c r="OV104" s="65"/>
      <c r="OW104" s="65"/>
      <c r="OX104" s="65"/>
      <c r="OY104" s="65"/>
      <c r="OZ104" s="65"/>
      <c r="PA104" s="65"/>
      <c r="PB104" s="65"/>
      <c r="PC104" s="65"/>
      <c r="PD104" s="65"/>
      <c r="PE104" s="65"/>
      <c r="PF104" s="65"/>
      <c r="PG104" s="65"/>
      <c r="PH104" s="65"/>
      <c r="PI104" s="65"/>
      <c r="PJ104" s="65"/>
      <c r="PK104" s="65"/>
      <c r="PL104" s="65"/>
      <c r="PM104" s="65"/>
      <c r="PN104" s="65"/>
      <c r="PO104" s="65"/>
      <c r="PP104" s="65"/>
      <c r="PQ104" s="65"/>
      <c r="PR104" s="65"/>
      <c r="PS104" s="65"/>
      <c r="PT104" s="65"/>
      <c r="PU104" s="65"/>
      <c r="PV104" s="65"/>
      <c r="PW104" s="65"/>
      <c r="PX104" s="65"/>
      <c r="PY104" s="65"/>
      <c r="PZ104" s="65"/>
      <c r="QA104" s="65"/>
      <c r="QB104" s="65"/>
      <c r="QC104" s="65"/>
      <c r="QD104" s="65"/>
      <c r="QE104" s="65"/>
      <c r="QF104" s="65"/>
      <c r="QG104" s="65"/>
      <c r="QH104" s="65"/>
      <c r="QI104" s="65"/>
      <c r="QJ104" s="65"/>
      <c r="QK104" s="65"/>
      <c r="QL104" s="65"/>
      <c r="QM104" s="65"/>
      <c r="QN104" s="65"/>
      <c r="QO104" s="65"/>
      <c r="QP104" s="65"/>
      <c r="QQ104" s="65"/>
      <c r="QR104" s="65"/>
      <c r="QS104" s="65"/>
      <c r="QT104" s="65"/>
      <c r="QU104" s="65"/>
      <c r="QV104" s="65"/>
      <c r="QW104" s="65"/>
      <c r="QX104" s="65"/>
      <c r="QY104" s="65"/>
      <c r="QZ104" s="65"/>
      <c r="RA104" s="65"/>
      <c r="RB104" s="65"/>
      <c r="RC104" s="65"/>
      <c r="RD104" s="65"/>
      <c r="RE104" s="65"/>
      <c r="RF104" s="65"/>
      <c r="RG104" s="65"/>
      <c r="RH104" s="65"/>
      <c r="RI104" s="65"/>
      <c r="RJ104" s="65"/>
      <c r="RK104" s="65"/>
      <c r="RL104" s="65"/>
      <c r="RM104" s="65"/>
      <c r="RN104" s="65"/>
      <c r="RO104" s="65"/>
      <c r="RP104" s="65"/>
      <c r="RQ104" s="65"/>
      <c r="RR104" s="65"/>
      <c r="RS104" s="65"/>
      <c r="RT104" s="65"/>
      <c r="RU104" s="65"/>
      <c r="RV104" s="65"/>
      <c r="RW104" s="65"/>
      <c r="RX104" s="65"/>
      <c r="RY104" s="65"/>
      <c r="RZ104" s="65"/>
      <c r="SA104" s="65"/>
      <c r="SB104" s="65"/>
      <c r="SC104" s="65"/>
      <c r="SD104" s="65"/>
      <c r="SE104" s="65"/>
      <c r="SF104" s="65"/>
      <c r="SG104" s="65"/>
      <c r="SH104" s="65"/>
      <c r="SI104" s="65"/>
      <c r="SJ104" s="65"/>
      <c r="SK104" s="65"/>
      <c r="SL104" s="65"/>
      <c r="SM104" s="65"/>
      <c r="SN104" s="65"/>
      <c r="SO104" s="65"/>
      <c r="SP104" s="65"/>
      <c r="SQ104" s="65"/>
      <c r="SR104" s="65"/>
      <c r="SS104" s="65"/>
      <c r="ST104" s="65"/>
      <c r="SU104" s="65"/>
      <c r="SV104" s="65"/>
      <c r="SW104" s="65"/>
      <c r="SX104" s="65"/>
      <c r="SY104" s="65"/>
      <c r="SZ104" s="65"/>
      <c r="TA104" s="65"/>
      <c r="TB104" s="65"/>
      <c r="TC104" s="65"/>
      <c r="TD104" s="65"/>
      <c r="TE104" s="65"/>
      <c r="TF104" s="65"/>
      <c r="TG104" s="65"/>
      <c r="TH104" s="65"/>
      <c r="TI104" s="65"/>
      <c r="TJ104" s="65"/>
      <c r="TK104" s="65"/>
      <c r="TL104" s="65"/>
      <c r="TM104" s="65"/>
      <c r="TN104" s="65"/>
      <c r="TO104" s="65"/>
      <c r="TP104" s="65"/>
      <c r="TQ104" s="65"/>
      <c r="TR104" s="65"/>
      <c r="TS104" s="65"/>
      <c r="TT104" s="65"/>
      <c r="TU104" s="65"/>
      <c r="TV104" s="65"/>
      <c r="TW104" s="65"/>
      <c r="TX104" s="65"/>
      <c r="TY104" s="65"/>
      <c r="TZ104" s="65"/>
      <c r="UA104" s="65"/>
      <c r="UB104" s="65"/>
      <c r="UC104" s="65"/>
      <c r="UD104" s="65"/>
      <c r="UE104" s="65"/>
      <c r="UF104" s="65"/>
      <c r="UG104" s="65"/>
      <c r="UH104" s="65"/>
      <c r="UI104" s="65"/>
      <c r="UJ104" s="65"/>
      <c r="UK104" s="65"/>
      <c r="UL104" s="65"/>
      <c r="UM104" s="65"/>
      <c r="UN104" s="65"/>
      <c r="UO104" s="65"/>
      <c r="UP104" s="65"/>
      <c r="UQ104" s="65"/>
      <c r="UR104" s="65"/>
      <c r="US104" s="65"/>
      <c r="UT104" s="65"/>
      <c r="UU104" s="65"/>
      <c r="UV104" s="65"/>
      <c r="UW104" s="65"/>
      <c r="UX104" s="65"/>
      <c r="UY104" s="65"/>
      <c r="UZ104" s="65"/>
      <c r="VA104" s="65"/>
      <c r="VB104" s="65"/>
      <c r="VC104" s="65"/>
      <c r="VD104" s="65"/>
      <c r="VE104" s="65"/>
      <c r="VF104" s="65"/>
      <c r="VG104" s="65"/>
      <c r="VH104" s="65"/>
      <c r="VI104" s="65"/>
      <c r="VJ104" s="65"/>
      <c r="VK104" s="65"/>
      <c r="VL104" s="65"/>
      <c r="VM104" s="65"/>
      <c r="VN104" s="65"/>
      <c r="VO104" s="65"/>
      <c r="VP104" s="65"/>
      <c r="VQ104" s="65"/>
      <c r="VR104" s="65"/>
      <c r="VS104" s="65"/>
      <c r="VT104" s="65"/>
      <c r="VU104" s="65"/>
      <c r="VV104" s="65"/>
      <c r="VW104" s="65"/>
      <c r="VX104" s="65"/>
      <c r="VY104" s="65"/>
      <c r="VZ104" s="65"/>
      <c r="WA104" s="65"/>
      <c r="WB104" s="65"/>
      <c r="WC104" s="65"/>
      <c r="WD104" s="65"/>
      <c r="WE104" s="65"/>
      <c r="WF104" s="65"/>
      <c r="WG104" s="65"/>
      <c r="WH104" s="65"/>
      <c r="WI104" s="65"/>
      <c r="WJ104" s="65"/>
      <c r="WK104" s="65"/>
      <c r="WL104" s="65"/>
      <c r="WM104" s="65"/>
      <c r="WN104" s="65"/>
      <c r="WO104" s="65"/>
      <c r="WP104" s="65"/>
      <c r="WQ104" s="65"/>
      <c r="WR104" s="65"/>
      <c r="WS104" s="65"/>
      <c r="WT104" s="65"/>
      <c r="WU104" s="65"/>
      <c r="WV104" s="65"/>
      <c r="WW104" s="65"/>
      <c r="WX104" s="65"/>
      <c r="WY104" s="65"/>
      <c r="WZ104" s="65"/>
      <c r="XA104" s="65"/>
      <c r="XB104" s="65"/>
      <c r="XC104" s="65"/>
      <c r="XD104" s="65"/>
      <c r="XE104" s="65"/>
      <c r="XF104" s="65"/>
      <c r="XG104" s="65"/>
      <c r="XH104" s="65"/>
      <c r="XI104" s="65"/>
      <c r="XJ104" s="65"/>
      <c r="XK104" s="65"/>
      <c r="XL104" s="65"/>
      <c r="XM104" s="65"/>
      <c r="XN104" s="65"/>
      <c r="XO104" s="65"/>
      <c r="XP104" s="65"/>
      <c r="XQ104" s="65"/>
      <c r="XR104" s="65"/>
      <c r="XS104" s="65"/>
      <c r="XT104" s="65"/>
      <c r="XU104" s="65"/>
      <c r="XV104" s="65"/>
      <c r="XW104" s="65"/>
      <c r="XX104" s="65"/>
      <c r="XY104" s="65"/>
      <c r="XZ104" s="65"/>
      <c r="YA104" s="65"/>
      <c r="YB104" s="65"/>
      <c r="YC104" s="65"/>
      <c r="YD104" s="65"/>
      <c r="YE104" s="65"/>
      <c r="YF104" s="65"/>
      <c r="YG104" s="65"/>
      <c r="YH104" s="65"/>
      <c r="YI104" s="65"/>
      <c r="YJ104" s="65"/>
      <c r="YK104" s="65"/>
      <c r="YL104" s="65"/>
      <c r="YM104" s="65"/>
      <c r="YN104" s="65"/>
      <c r="YO104" s="65"/>
      <c r="YP104" s="65"/>
      <c r="YQ104" s="65"/>
      <c r="YR104" s="65"/>
      <c r="YS104" s="65"/>
      <c r="YT104" s="65"/>
      <c r="YU104" s="65"/>
      <c r="YV104" s="65"/>
      <c r="YW104" s="65"/>
      <c r="YX104" s="65"/>
      <c r="YY104" s="65"/>
      <c r="YZ104" s="65"/>
      <c r="ZA104" s="65"/>
      <c r="ZB104" s="65"/>
      <c r="ZC104" s="65"/>
      <c r="ZD104" s="65"/>
      <c r="ZE104" s="65"/>
      <c r="ZF104" s="65"/>
      <c r="ZG104" s="65"/>
      <c r="ZH104" s="65"/>
      <c r="ZI104" s="65"/>
      <c r="ZJ104" s="65"/>
      <c r="ZK104" s="65"/>
      <c r="ZL104" s="65"/>
      <c r="ZM104" s="65"/>
      <c r="ZN104" s="65"/>
      <c r="ZO104" s="65"/>
      <c r="ZP104" s="65"/>
      <c r="ZQ104" s="65"/>
      <c r="ZR104" s="65"/>
      <c r="ZS104" s="65"/>
      <c r="ZT104" s="65"/>
      <c r="ZU104" s="65"/>
      <c r="ZV104" s="65"/>
      <c r="ZW104" s="65"/>
      <c r="ZX104" s="65"/>
      <c r="ZY104" s="65"/>
      <c r="ZZ104" s="65"/>
      <c r="AAA104" s="65"/>
      <c r="AAB104" s="65"/>
      <c r="AAC104" s="65"/>
      <c r="AAD104" s="65"/>
      <c r="AAE104" s="65"/>
      <c r="AAF104" s="65"/>
      <c r="AAG104" s="65"/>
      <c r="AAH104" s="65"/>
      <c r="AAI104" s="65"/>
      <c r="AAJ104" s="65"/>
      <c r="AAK104" s="65"/>
      <c r="AAL104" s="65"/>
      <c r="AAM104" s="65"/>
      <c r="AAN104" s="65"/>
      <c r="AAO104" s="65"/>
      <c r="AAP104" s="65"/>
      <c r="AAQ104" s="65"/>
      <c r="AAR104" s="65"/>
      <c r="AAS104" s="65"/>
      <c r="AAT104" s="65"/>
      <c r="AAU104" s="65"/>
      <c r="AAV104" s="65"/>
      <c r="AAW104" s="65"/>
      <c r="AAX104" s="65"/>
      <c r="AAY104" s="65"/>
      <c r="AAZ104" s="65"/>
      <c r="ABA104" s="65"/>
      <c r="ABB104" s="65"/>
      <c r="ABC104" s="65"/>
      <c r="ABD104" s="65"/>
      <c r="ABE104" s="65"/>
      <c r="ABF104" s="65"/>
      <c r="ABG104" s="65"/>
      <c r="ABH104" s="65"/>
      <c r="ABI104" s="65"/>
      <c r="ABJ104" s="65"/>
      <c r="ABK104" s="65"/>
      <c r="ABL104" s="65"/>
      <c r="ABM104" s="65"/>
      <c r="ABN104" s="65"/>
    </row>
    <row r="105" spans="1:742" ht="210" x14ac:dyDescent="0.25">
      <c r="A105" s="110">
        <v>2025</v>
      </c>
      <c r="B105" s="230">
        <v>4</v>
      </c>
      <c r="C105" s="152">
        <v>22612</v>
      </c>
      <c r="D105" s="277">
        <v>45807</v>
      </c>
      <c r="E105" s="111" t="s">
        <v>1134</v>
      </c>
      <c r="F105" s="111" t="s">
        <v>852</v>
      </c>
      <c r="G105" s="110" t="s">
        <v>853</v>
      </c>
      <c r="H105" s="110">
        <v>3166024091</v>
      </c>
      <c r="I105" s="110">
        <v>3177039332</v>
      </c>
      <c r="J105" s="108">
        <v>45790</v>
      </c>
      <c r="K105" s="110" t="s">
        <v>95</v>
      </c>
      <c r="L105" s="112" t="s">
        <v>1135</v>
      </c>
      <c r="M105" s="110" t="s">
        <v>136</v>
      </c>
      <c r="N105" s="110">
        <v>5915</v>
      </c>
      <c r="O105" s="110">
        <v>6158</v>
      </c>
      <c r="P105" s="110">
        <v>8886</v>
      </c>
      <c r="Q105" s="110" t="s">
        <v>136</v>
      </c>
      <c r="R105" s="110" t="s">
        <v>134</v>
      </c>
      <c r="S105" s="110" t="s">
        <v>134</v>
      </c>
      <c r="T105" s="110" t="s">
        <v>136</v>
      </c>
      <c r="U105" s="110" t="s">
        <v>136</v>
      </c>
      <c r="V105" s="111" t="s">
        <v>119</v>
      </c>
      <c r="W105" s="108">
        <v>45797</v>
      </c>
      <c r="X105" s="108">
        <v>45804</v>
      </c>
      <c r="Y105" s="110"/>
      <c r="Z105" s="126" t="s">
        <v>85</v>
      </c>
      <c r="AA105" s="124">
        <v>0</v>
      </c>
      <c r="AB105" s="110">
        <v>5881</v>
      </c>
      <c r="AC105" s="114">
        <v>9035936</v>
      </c>
      <c r="AD105" s="212">
        <f t="shared" si="6"/>
        <v>10752763.84</v>
      </c>
      <c r="AE105" s="114">
        <v>5000000</v>
      </c>
      <c r="AF105" s="110"/>
      <c r="AG105" s="142" t="s">
        <v>1824</v>
      </c>
      <c r="AH105" s="230" t="s">
        <v>136</v>
      </c>
      <c r="AI105" s="108">
        <v>45817</v>
      </c>
      <c r="AJ105" s="110" t="s">
        <v>1705</v>
      </c>
      <c r="AK105" s="110"/>
    </row>
    <row r="106" spans="1:742" s="155" customFormat="1" ht="34.5" customHeight="1" x14ac:dyDescent="0.25">
      <c r="A106" s="110">
        <v>2025</v>
      </c>
      <c r="B106" s="230">
        <v>4</v>
      </c>
      <c r="C106" s="152">
        <v>22613</v>
      </c>
      <c r="D106" s="277">
        <v>45777</v>
      </c>
      <c r="E106" s="111" t="s">
        <v>935</v>
      </c>
      <c r="F106" s="111" t="s">
        <v>937</v>
      </c>
      <c r="G106" s="110" t="s">
        <v>98</v>
      </c>
      <c r="H106" s="110">
        <v>3184920200</v>
      </c>
      <c r="I106" s="111" t="s">
        <v>1136</v>
      </c>
      <c r="J106" s="108">
        <v>45786</v>
      </c>
      <c r="K106" s="110" t="s">
        <v>88</v>
      </c>
      <c r="L106" s="112" t="s">
        <v>1137</v>
      </c>
      <c r="M106" s="110" t="s">
        <v>136</v>
      </c>
      <c r="N106" s="110">
        <v>5916</v>
      </c>
      <c r="O106" s="110" t="s">
        <v>136</v>
      </c>
      <c r="P106" s="110" t="s">
        <v>136</v>
      </c>
      <c r="Q106" s="110" t="s">
        <v>136</v>
      </c>
      <c r="R106" s="110" t="s">
        <v>136</v>
      </c>
      <c r="S106" s="110" t="s">
        <v>136</v>
      </c>
      <c r="T106" s="110" t="s">
        <v>136</v>
      </c>
      <c r="U106" s="110" t="s">
        <v>136</v>
      </c>
      <c r="V106" s="111" t="s">
        <v>119</v>
      </c>
      <c r="W106" s="108">
        <v>45785</v>
      </c>
      <c r="X106" s="108">
        <v>45785</v>
      </c>
      <c r="Y106" s="110"/>
      <c r="Z106" s="126" t="s">
        <v>85</v>
      </c>
      <c r="AA106" s="130">
        <v>120000</v>
      </c>
      <c r="AB106" s="110">
        <v>5831</v>
      </c>
      <c r="AC106" s="114">
        <v>100840</v>
      </c>
      <c r="AD106" s="212">
        <f t="shared" si="6"/>
        <v>119999.59999999999</v>
      </c>
      <c r="AE106" s="114">
        <v>0</v>
      </c>
      <c r="AF106" s="110"/>
      <c r="AG106" s="142" t="s">
        <v>1562</v>
      </c>
      <c r="AH106" s="248">
        <v>45777</v>
      </c>
      <c r="AI106" s="108">
        <v>45785</v>
      </c>
      <c r="AJ106" s="110" t="s">
        <v>571</v>
      </c>
      <c r="AK106" s="110"/>
      <c r="AL106" s="65"/>
      <c r="AM106" s="65"/>
      <c r="AN106" s="65"/>
      <c r="AO106" s="65"/>
      <c r="AP106" s="65"/>
      <c r="AQ106" s="65"/>
      <c r="AR106" s="65"/>
      <c r="AS106" s="65"/>
      <c r="AT106" s="65"/>
      <c r="AU106" s="65"/>
      <c r="AV106" s="65"/>
      <c r="AW106" s="65"/>
      <c r="AX106" s="65"/>
      <c r="AY106" s="65"/>
      <c r="AZ106" s="65"/>
      <c r="BA106" s="65"/>
      <c r="BB106" s="65"/>
      <c r="BC106" s="65"/>
      <c r="BD106" s="65"/>
      <c r="BE106" s="65"/>
      <c r="BF106" s="65"/>
      <c r="BG106" s="65"/>
      <c r="BH106" s="65"/>
      <c r="BI106" s="65"/>
      <c r="BJ106" s="65"/>
      <c r="BK106" s="65"/>
      <c r="BL106" s="65"/>
      <c r="BM106" s="65"/>
      <c r="BN106" s="65"/>
      <c r="BO106" s="65"/>
      <c r="BP106" s="65"/>
      <c r="BQ106" s="65"/>
      <c r="BR106" s="65"/>
      <c r="BS106" s="65"/>
      <c r="BT106" s="65"/>
      <c r="BU106" s="65"/>
      <c r="BV106" s="65"/>
      <c r="BW106" s="65"/>
      <c r="BX106" s="65"/>
      <c r="BY106" s="65"/>
      <c r="BZ106" s="65"/>
      <c r="CA106" s="65"/>
      <c r="CB106" s="65"/>
      <c r="CC106" s="65"/>
      <c r="CD106" s="65"/>
      <c r="CE106" s="65"/>
      <c r="CF106" s="65"/>
      <c r="CG106" s="65"/>
      <c r="CH106" s="65"/>
      <c r="CI106" s="65"/>
      <c r="CJ106" s="65"/>
      <c r="CK106" s="65"/>
      <c r="CL106" s="65"/>
      <c r="CM106" s="65"/>
      <c r="CN106" s="65"/>
      <c r="CO106" s="65"/>
      <c r="CP106" s="65"/>
      <c r="CQ106" s="65"/>
      <c r="CR106" s="65"/>
      <c r="CS106" s="65"/>
      <c r="CT106" s="65"/>
      <c r="CU106" s="65"/>
      <c r="CV106" s="65"/>
      <c r="CW106" s="65"/>
      <c r="CX106" s="65"/>
      <c r="CY106" s="65"/>
      <c r="CZ106" s="65"/>
      <c r="DA106" s="65"/>
      <c r="DB106" s="65"/>
      <c r="DC106" s="65"/>
      <c r="DD106" s="65"/>
      <c r="DE106" s="65"/>
      <c r="DF106" s="65"/>
      <c r="DG106" s="65"/>
      <c r="DH106" s="65"/>
      <c r="DI106" s="65"/>
      <c r="DJ106" s="65"/>
      <c r="DK106" s="65"/>
      <c r="DL106" s="65"/>
      <c r="DM106" s="65"/>
      <c r="DN106" s="65"/>
      <c r="DO106" s="65"/>
      <c r="DP106" s="65"/>
      <c r="DQ106" s="65"/>
      <c r="DR106" s="65"/>
      <c r="DS106" s="65"/>
      <c r="DT106" s="65"/>
      <c r="DU106" s="65"/>
      <c r="DV106" s="65"/>
      <c r="DW106" s="65"/>
      <c r="DX106" s="65"/>
      <c r="DY106" s="65"/>
      <c r="DZ106" s="65"/>
      <c r="EA106" s="65"/>
      <c r="EB106" s="65"/>
      <c r="EC106" s="65"/>
      <c r="ED106" s="65"/>
      <c r="EE106" s="65"/>
      <c r="EF106" s="65"/>
      <c r="EG106" s="65"/>
      <c r="EH106" s="65"/>
      <c r="EI106" s="65"/>
      <c r="EJ106" s="65"/>
      <c r="EK106" s="65"/>
      <c r="EL106" s="65"/>
      <c r="EM106" s="65"/>
      <c r="EN106" s="65"/>
      <c r="EO106" s="65"/>
      <c r="EP106" s="65"/>
      <c r="EQ106" s="65"/>
      <c r="ER106" s="65"/>
      <c r="ES106" s="65"/>
      <c r="ET106" s="65"/>
      <c r="EU106" s="65"/>
      <c r="EV106" s="65"/>
      <c r="EW106" s="65"/>
      <c r="EX106" s="65"/>
      <c r="EY106" s="65"/>
      <c r="EZ106" s="65"/>
      <c r="FA106" s="65"/>
      <c r="FB106" s="65"/>
      <c r="FC106" s="65"/>
      <c r="FD106" s="65"/>
      <c r="FE106" s="65"/>
      <c r="FF106" s="65"/>
      <c r="FG106" s="65"/>
      <c r="FH106" s="65"/>
      <c r="FI106" s="65"/>
      <c r="FJ106" s="65"/>
      <c r="FK106" s="65"/>
      <c r="FL106" s="65"/>
      <c r="FM106" s="65"/>
      <c r="FN106" s="65"/>
      <c r="FO106" s="65"/>
      <c r="FP106" s="65"/>
      <c r="FQ106" s="65"/>
      <c r="FR106" s="65"/>
      <c r="FS106" s="65"/>
      <c r="FT106" s="65"/>
      <c r="FU106" s="65"/>
      <c r="FV106" s="65"/>
      <c r="FW106" s="65"/>
      <c r="FX106" s="65"/>
      <c r="FY106" s="65"/>
      <c r="FZ106" s="65"/>
      <c r="GA106" s="65"/>
      <c r="GB106" s="65"/>
      <c r="GC106" s="65"/>
      <c r="GD106" s="65"/>
      <c r="GE106" s="65"/>
      <c r="GF106" s="65"/>
      <c r="GG106" s="65"/>
      <c r="GH106" s="65"/>
      <c r="GI106" s="65"/>
      <c r="GJ106" s="65"/>
      <c r="GK106" s="65"/>
      <c r="GL106" s="65"/>
      <c r="GM106" s="65"/>
      <c r="GN106" s="65"/>
      <c r="GO106" s="65"/>
      <c r="GP106" s="65"/>
      <c r="GQ106" s="65"/>
      <c r="GR106" s="65"/>
      <c r="GS106" s="65"/>
      <c r="GT106" s="65"/>
      <c r="GU106" s="65"/>
      <c r="GV106" s="65"/>
      <c r="GW106" s="65"/>
      <c r="GX106" s="65"/>
      <c r="GY106" s="65"/>
      <c r="GZ106" s="65"/>
      <c r="HA106" s="65"/>
      <c r="HB106" s="65"/>
      <c r="HC106" s="65"/>
      <c r="HD106" s="65"/>
      <c r="HE106" s="65"/>
      <c r="HF106" s="65"/>
      <c r="HG106" s="65"/>
      <c r="HH106" s="65"/>
      <c r="HI106" s="65"/>
      <c r="HJ106" s="65"/>
      <c r="HK106" s="65"/>
      <c r="HL106" s="65"/>
      <c r="HM106" s="65"/>
      <c r="HN106" s="65"/>
      <c r="HO106" s="65"/>
      <c r="HP106" s="65"/>
      <c r="HQ106" s="65"/>
      <c r="HR106" s="65"/>
      <c r="HS106" s="65"/>
      <c r="HT106" s="65"/>
      <c r="HU106" s="65"/>
      <c r="HV106" s="65"/>
      <c r="HW106" s="65"/>
      <c r="HX106" s="65"/>
      <c r="HY106" s="65"/>
      <c r="HZ106" s="65"/>
      <c r="IA106" s="65"/>
      <c r="IB106" s="65"/>
      <c r="IC106" s="65"/>
      <c r="ID106" s="65"/>
      <c r="IE106" s="65"/>
      <c r="IF106" s="65"/>
      <c r="IG106" s="65"/>
      <c r="IH106" s="65"/>
      <c r="II106" s="65"/>
      <c r="IJ106" s="65"/>
      <c r="IK106" s="65"/>
      <c r="IL106" s="65"/>
      <c r="IM106" s="65"/>
      <c r="IN106" s="65"/>
      <c r="IO106" s="65"/>
      <c r="IP106" s="65"/>
      <c r="IQ106" s="65"/>
      <c r="IR106" s="65"/>
      <c r="IS106" s="65"/>
      <c r="IT106" s="65"/>
      <c r="IU106" s="65"/>
      <c r="IV106" s="65"/>
      <c r="IW106" s="65"/>
      <c r="IX106" s="65"/>
      <c r="IY106" s="65"/>
      <c r="IZ106" s="65"/>
      <c r="JA106" s="65"/>
      <c r="JB106" s="65"/>
      <c r="JC106" s="65"/>
      <c r="JD106" s="65"/>
      <c r="JE106" s="65"/>
      <c r="JF106" s="65"/>
      <c r="JG106" s="65"/>
      <c r="JH106" s="65"/>
      <c r="JI106" s="65"/>
      <c r="JJ106" s="65"/>
      <c r="JK106" s="65"/>
      <c r="JL106" s="65"/>
      <c r="JM106" s="65"/>
      <c r="JN106" s="65"/>
      <c r="JO106" s="65"/>
      <c r="JP106" s="65"/>
      <c r="JQ106" s="65"/>
      <c r="JR106" s="65"/>
      <c r="JS106" s="65"/>
      <c r="JT106" s="65"/>
      <c r="JU106" s="65"/>
      <c r="JV106" s="65"/>
      <c r="JW106" s="65"/>
      <c r="JX106" s="65"/>
      <c r="JY106" s="65"/>
      <c r="JZ106" s="65"/>
      <c r="KA106" s="65"/>
      <c r="KB106" s="65"/>
      <c r="KC106" s="65"/>
      <c r="KD106" s="65"/>
      <c r="KE106" s="65"/>
      <c r="KF106" s="65"/>
      <c r="KG106" s="65"/>
      <c r="KH106" s="65"/>
      <c r="KI106" s="65"/>
      <c r="KJ106" s="65"/>
      <c r="KK106" s="65"/>
      <c r="KL106" s="65"/>
      <c r="KM106" s="65"/>
      <c r="KN106" s="65"/>
      <c r="KO106" s="65"/>
      <c r="KP106" s="65"/>
      <c r="KQ106" s="65"/>
      <c r="KR106" s="65"/>
      <c r="KS106" s="65"/>
      <c r="KT106" s="65"/>
      <c r="KU106" s="65"/>
      <c r="KV106" s="65"/>
      <c r="KW106" s="65"/>
      <c r="KX106" s="65"/>
      <c r="KY106" s="65"/>
      <c r="KZ106" s="65"/>
      <c r="LA106" s="65"/>
      <c r="LB106" s="65"/>
      <c r="LC106" s="65"/>
      <c r="LD106" s="65"/>
      <c r="LE106" s="65"/>
      <c r="LF106" s="65"/>
      <c r="LG106" s="65"/>
      <c r="LH106" s="65"/>
      <c r="LI106" s="65"/>
      <c r="LJ106" s="65"/>
      <c r="LK106" s="65"/>
      <c r="LL106" s="65"/>
      <c r="LM106" s="65"/>
      <c r="LN106" s="65"/>
      <c r="LO106" s="65"/>
      <c r="LP106" s="65"/>
      <c r="LQ106" s="65"/>
      <c r="LR106" s="65"/>
      <c r="LS106" s="65"/>
      <c r="LT106" s="65"/>
      <c r="LU106" s="65"/>
      <c r="LV106" s="65"/>
      <c r="LW106" s="65"/>
      <c r="LX106" s="65"/>
      <c r="LY106" s="65"/>
      <c r="LZ106" s="65"/>
      <c r="MA106" s="65"/>
      <c r="MB106" s="65"/>
      <c r="MC106" s="65"/>
      <c r="MD106" s="65"/>
      <c r="ME106" s="65"/>
      <c r="MF106" s="65"/>
      <c r="MG106" s="65"/>
      <c r="MH106" s="65"/>
      <c r="MI106" s="65"/>
      <c r="MJ106" s="65"/>
      <c r="MK106" s="65"/>
      <c r="ML106" s="65"/>
      <c r="MM106" s="65"/>
      <c r="MN106" s="65"/>
      <c r="MO106" s="65"/>
      <c r="MP106" s="65"/>
      <c r="MQ106" s="65"/>
      <c r="MR106" s="65"/>
      <c r="MS106" s="65"/>
      <c r="MT106" s="65"/>
      <c r="MU106" s="65"/>
      <c r="MV106" s="65"/>
      <c r="MW106" s="65"/>
      <c r="MX106" s="65"/>
      <c r="MY106" s="65"/>
      <c r="MZ106" s="65"/>
      <c r="NA106" s="65"/>
      <c r="NB106" s="65"/>
      <c r="NC106" s="65"/>
      <c r="ND106" s="65"/>
      <c r="NE106" s="65"/>
      <c r="NF106" s="65"/>
      <c r="NG106" s="65"/>
      <c r="NH106" s="65"/>
      <c r="NI106" s="65"/>
      <c r="NJ106" s="65"/>
      <c r="NK106" s="65"/>
      <c r="NL106" s="65"/>
      <c r="NM106" s="65"/>
      <c r="NN106" s="65"/>
      <c r="NO106" s="65"/>
      <c r="NP106" s="65"/>
      <c r="NQ106" s="65"/>
      <c r="NR106" s="65"/>
      <c r="NS106" s="65"/>
      <c r="NT106" s="65"/>
      <c r="NU106" s="65"/>
      <c r="NV106" s="65"/>
      <c r="NW106" s="65"/>
      <c r="NX106" s="65"/>
      <c r="NY106" s="65"/>
      <c r="NZ106" s="65"/>
      <c r="OA106" s="65"/>
      <c r="OB106" s="65"/>
      <c r="OC106" s="65"/>
      <c r="OD106" s="65"/>
      <c r="OE106" s="65"/>
      <c r="OF106" s="65"/>
      <c r="OG106" s="65"/>
      <c r="OH106" s="65"/>
      <c r="OI106" s="65"/>
      <c r="OJ106" s="65"/>
      <c r="OK106" s="65"/>
      <c r="OL106" s="65"/>
      <c r="OM106" s="65"/>
      <c r="ON106" s="65"/>
      <c r="OO106" s="65"/>
      <c r="OP106" s="65"/>
      <c r="OQ106" s="65"/>
      <c r="OR106" s="65"/>
      <c r="OS106" s="65"/>
      <c r="OT106" s="65"/>
      <c r="OU106" s="65"/>
      <c r="OV106" s="65"/>
      <c r="OW106" s="65"/>
      <c r="OX106" s="65"/>
      <c r="OY106" s="65"/>
      <c r="OZ106" s="65"/>
      <c r="PA106" s="65"/>
      <c r="PB106" s="65"/>
      <c r="PC106" s="65"/>
      <c r="PD106" s="65"/>
      <c r="PE106" s="65"/>
      <c r="PF106" s="65"/>
      <c r="PG106" s="65"/>
      <c r="PH106" s="65"/>
      <c r="PI106" s="65"/>
      <c r="PJ106" s="65"/>
      <c r="PK106" s="65"/>
      <c r="PL106" s="65"/>
      <c r="PM106" s="65"/>
      <c r="PN106" s="65"/>
      <c r="PO106" s="65"/>
      <c r="PP106" s="65"/>
      <c r="PQ106" s="65"/>
      <c r="PR106" s="65"/>
      <c r="PS106" s="65"/>
      <c r="PT106" s="65"/>
      <c r="PU106" s="65"/>
      <c r="PV106" s="65"/>
      <c r="PW106" s="65"/>
      <c r="PX106" s="65"/>
      <c r="PY106" s="65"/>
      <c r="PZ106" s="65"/>
      <c r="QA106" s="65"/>
      <c r="QB106" s="65"/>
      <c r="QC106" s="65"/>
      <c r="QD106" s="65"/>
      <c r="QE106" s="65"/>
      <c r="QF106" s="65"/>
      <c r="QG106" s="65"/>
      <c r="QH106" s="65"/>
      <c r="QI106" s="65"/>
      <c r="QJ106" s="65"/>
      <c r="QK106" s="65"/>
      <c r="QL106" s="65"/>
      <c r="QM106" s="65"/>
      <c r="QN106" s="65"/>
      <c r="QO106" s="65"/>
      <c r="QP106" s="65"/>
      <c r="QQ106" s="65"/>
      <c r="QR106" s="65"/>
      <c r="QS106" s="65"/>
      <c r="QT106" s="65"/>
      <c r="QU106" s="65"/>
      <c r="QV106" s="65"/>
      <c r="QW106" s="65"/>
      <c r="QX106" s="65"/>
      <c r="QY106" s="65"/>
      <c r="QZ106" s="65"/>
      <c r="RA106" s="65"/>
      <c r="RB106" s="65"/>
      <c r="RC106" s="65"/>
      <c r="RD106" s="65"/>
      <c r="RE106" s="65"/>
      <c r="RF106" s="65"/>
      <c r="RG106" s="65"/>
      <c r="RH106" s="65"/>
      <c r="RI106" s="65"/>
      <c r="RJ106" s="65"/>
      <c r="RK106" s="65"/>
      <c r="RL106" s="65"/>
      <c r="RM106" s="65"/>
      <c r="RN106" s="65"/>
      <c r="RO106" s="65"/>
      <c r="RP106" s="65"/>
      <c r="RQ106" s="65"/>
      <c r="RR106" s="65"/>
      <c r="RS106" s="65"/>
      <c r="RT106" s="65"/>
      <c r="RU106" s="65"/>
      <c r="RV106" s="65"/>
      <c r="RW106" s="65"/>
      <c r="RX106" s="65"/>
      <c r="RY106" s="65"/>
      <c r="RZ106" s="65"/>
      <c r="SA106" s="65"/>
      <c r="SB106" s="65"/>
      <c r="SC106" s="65"/>
      <c r="SD106" s="65"/>
      <c r="SE106" s="65"/>
      <c r="SF106" s="65"/>
      <c r="SG106" s="65"/>
      <c r="SH106" s="65"/>
      <c r="SI106" s="65"/>
      <c r="SJ106" s="65"/>
      <c r="SK106" s="65"/>
      <c r="SL106" s="65"/>
      <c r="SM106" s="65"/>
      <c r="SN106" s="65"/>
      <c r="SO106" s="65"/>
      <c r="SP106" s="65"/>
      <c r="SQ106" s="65"/>
      <c r="SR106" s="65"/>
      <c r="SS106" s="65"/>
      <c r="ST106" s="65"/>
      <c r="SU106" s="65"/>
      <c r="SV106" s="65"/>
      <c r="SW106" s="65"/>
      <c r="SX106" s="65"/>
      <c r="SY106" s="65"/>
      <c r="SZ106" s="65"/>
      <c r="TA106" s="65"/>
      <c r="TB106" s="65"/>
      <c r="TC106" s="65"/>
      <c r="TD106" s="65"/>
      <c r="TE106" s="65"/>
      <c r="TF106" s="65"/>
      <c r="TG106" s="65"/>
      <c r="TH106" s="65"/>
      <c r="TI106" s="65"/>
      <c r="TJ106" s="65"/>
      <c r="TK106" s="65"/>
      <c r="TL106" s="65"/>
      <c r="TM106" s="65"/>
      <c r="TN106" s="65"/>
      <c r="TO106" s="65"/>
      <c r="TP106" s="65"/>
      <c r="TQ106" s="65"/>
      <c r="TR106" s="65"/>
      <c r="TS106" s="65"/>
      <c r="TT106" s="65"/>
      <c r="TU106" s="65"/>
      <c r="TV106" s="65"/>
      <c r="TW106" s="65"/>
      <c r="TX106" s="65"/>
      <c r="TY106" s="65"/>
      <c r="TZ106" s="65"/>
      <c r="UA106" s="65"/>
      <c r="UB106" s="65"/>
      <c r="UC106" s="65"/>
      <c r="UD106" s="65"/>
      <c r="UE106" s="65"/>
      <c r="UF106" s="65"/>
      <c r="UG106" s="65"/>
      <c r="UH106" s="65"/>
      <c r="UI106" s="65"/>
      <c r="UJ106" s="65"/>
      <c r="UK106" s="65"/>
      <c r="UL106" s="65"/>
      <c r="UM106" s="65"/>
      <c r="UN106" s="65"/>
      <c r="UO106" s="65"/>
      <c r="UP106" s="65"/>
      <c r="UQ106" s="65"/>
      <c r="UR106" s="65"/>
      <c r="US106" s="65"/>
      <c r="UT106" s="65"/>
      <c r="UU106" s="65"/>
      <c r="UV106" s="65"/>
      <c r="UW106" s="65"/>
      <c r="UX106" s="65"/>
      <c r="UY106" s="65"/>
      <c r="UZ106" s="65"/>
      <c r="VA106" s="65"/>
      <c r="VB106" s="65"/>
      <c r="VC106" s="65"/>
      <c r="VD106" s="65"/>
      <c r="VE106" s="65"/>
      <c r="VF106" s="65"/>
      <c r="VG106" s="65"/>
      <c r="VH106" s="65"/>
      <c r="VI106" s="65"/>
      <c r="VJ106" s="65"/>
      <c r="VK106" s="65"/>
      <c r="VL106" s="65"/>
      <c r="VM106" s="65"/>
      <c r="VN106" s="65"/>
      <c r="VO106" s="65"/>
      <c r="VP106" s="65"/>
      <c r="VQ106" s="65"/>
      <c r="VR106" s="65"/>
      <c r="VS106" s="65"/>
      <c r="VT106" s="65"/>
      <c r="VU106" s="65"/>
      <c r="VV106" s="65"/>
      <c r="VW106" s="65"/>
      <c r="VX106" s="65"/>
      <c r="VY106" s="65"/>
      <c r="VZ106" s="65"/>
      <c r="WA106" s="65"/>
      <c r="WB106" s="65"/>
      <c r="WC106" s="65"/>
      <c r="WD106" s="65"/>
      <c r="WE106" s="65"/>
      <c r="WF106" s="65"/>
      <c r="WG106" s="65"/>
      <c r="WH106" s="65"/>
      <c r="WI106" s="65"/>
      <c r="WJ106" s="65"/>
      <c r="WK106" s="65"/>
      <c r="WL106" s="65"/>
      <c r="WM106" s="65"/>
      <c r="WN106" s="65"/>
      <c r="WO106" s="65"/>
      <c r="WP106" s="65"/>
      <c r="WQ106" s="65"/>
      <c r="WR106" s="65"/>
      <c r="WS106" s="65"/>
      <c r="WT106" s="65"/>
      <c r="WU106" s="65"/>
      <c r="WV106" s="65"/>
      <c r="WW106" s="65"/>
      <c r="WX106" s="65"/>
      <c r="WY106" s="65"/>
      <c r="WZ106" s="65"/>
      <c r="XA106" s="65"/>
      <c r="XB106" s="65"/>
      <c r="XC106" s="65"/>
      <c r="XD106" s="65"/>
      <c r="XE106" s="65"/>
      <c r="XF106" s="65"/>
      <c r="XG106" s="65"/>
      <c r="XH106" s="65"/>
      <c r="XI106" s="65"/>
      <c r="XJ106" s="65"/>
      <c r="XK106" s="65"/>
      <c r="XL106" s="65"/>
      <c r="XM106" s="65"/>
      <c r="XN106" s="65"/>
      <c r="XO106" s="65"/>
      <c r="XP106" s="65"/>
      <c r="XQ106" s="65"/>
      <c r="XR106" s="65"/>
      <c r="XS106" s="65"/>
      <c r="XT106" s="65"/>
      <c r="XU106" s="65"/>
      <c r="XV106" s="65"/>
      <c r="XW106" s="65"/>
      <c r="XX106" s="65"/>
      <c r="XY106" s="65"/>
      <c r="XZ106" s="65"/>
      <c r="YA106" s="65"/>
      <c r="YB106" s="65"/>
      <c r="YC106" s="65"/>
      <c r="YD106" s="65"/>
      <c r="YE106" s="65"/>
      <c r="YF106" s="65"/>
      <c r="YG106" s="65"/>
      <c r="YH106" s="65"/>
      <c r="YI106" s="65"/>
      <c r="YJ106" s="65"/>
      <c r="YK106" s="65"/>
      <c r="YL106" s="65"/>
      <c r="YM106" s="65"/>
      <c r="YN106" s="65"/>
      <c r="YO106" s="65"/>
      <c r="YP106" s="65"/>
      <c r="YQ106" s="65"/>
      <c r="YR106" s="65"/>
      <c r="YS106" s="65"/>
      <c r="YT106" s="65"/>
      <c r="YU106" s="65"/>
      <c r="YV106" s="65"/>
      <c r="YW106" s="65"/>
      <c r="YX106" s="65"/>
      <c r="YY106" s="65"/>
      <c r="YZ106" s="65"/>
      <c r="ZA106" s="65"/>
      <c r="ZB106" s="65"/>
      <c r="ZC106" s="65"/>
      <c r="ZD106" s="65"/>
      <c r="ZE106" s="65"/>
      <c r="ZF106" s="65"/>
      <c r="ZG106" s="65"/>
      <c r="ZH106" s="65"/>
      <c r="ZI106" s="65"/>
      <c r="ZJ106" s="65"/>
      <c r="ZK106" s="65"/>
      <c r="ZL106" s="65"/>
      <c r="ZM106" s="65"/>
      <c r="ZN106" s="65"/>
      <c r="ZO106" s="65"/>
      <c r="ZP106" s="65"/>
      <c r="ZQ106" s="65"/>
      <c r="ZR106" s="65"/>
      <c r="ZS106" s="65"/>
      <c r="ZT106" s="65"/>
      <c r="ZU106" s="65"/>
      <c r="ZV106" s="65"/>
      <c r="ZW106" s="65"/>
      <c r="ZX106" s="65"/>
      <c r="ZY106" s="65"/>
      <c r="ZZ106" s="65"/>
      <c r="AAA106" s="65"/>
      <c r="AAB106" s="65"/>
      <c r="AAC106" s="65"/>
      <c r="AAD106" s="65"/>
      <c r="AAE106" s="65"/>
      <c r="AAF106" s="65"/>
      <c r="AAG106" s="65"/>
      <c r="AAH106" s="65"/>
      <c r="AAI106" s="65"/>
      <c r="AAJ106" s="65"/>
      <c r="AAK106" s="65"/>
      <c r="AAL106" s="65"/>
      <c r="AAM106" s="65"/>
      <c r="AAN106" s="65"/>
      <c r="AAO106" s="65"/>
      <c r="AAP106" s="65"/>
      <c r="AAQ106" s="65"/>
      <c r="AAR106" s="65"/>
      <c r="AAS106" s="65"/>
      <c r="AAT106" s="65"/>
      <c r="AAU106" s="65"/>
      <c r="AAV106" s="65"/>
      <c r="AAW106" s="65"/>
      <c r="AAX106" s="65"/>
      <c r="AAY106" s="65"/>
      <c r="AAZ106" s="65"/>
      <c r="ABA106" s="65"/>
      <c r="ABB106" s="65"/>
      <c r="ABC106" s="65"/>
      <c r="ABD106" s="65"/>
      <c r="ABE106" s="65"/>
      <c r="ABF106" s="65"/>
      <c r="ABG106" s="65"/>
      <c r="ABH106" s="65"/>
      <c r="ABI106" s="65"/>
      <c r="ABJ106" s="65"/>
      <c r="ABK106" s="65"/>
      <c r="ABL106" s="65"/>
      <c r="ABM106" s="65"/>
      <c r="ABN106" s="65"/>
    </row>
    <row r="107" spans="1:742" customFormat="1" ht="34.5" customHeight="1" x14ac:dyDescent="0.25"/>
    <row r="108" spans="1:742" customFormat="1" ht="34.5" customHeight="1" x14ac:dyDescent="0.25"/>
    <row r="109" spans="1:742" customFormat="1" ht="34.5" customHeight="1" x14ac:dyDescent="0.25"/>
    <row r="110" spans="1:742" customFormat="1" ht="34.5" customHeight="1" x14ac:dyDescent="0.25"/>
    <row r="111" spans="1:742" customFormat="1" ht="34.5" customHeight="1" x14ac:dyDescent="0.25"/>
    <row r="112" spans="1:742" customFormat="1" ht="34.5" customHeight="1" x14ac:dyDescent="0.25"/>
    <row r="113" customFormat="1" ht="34.5" customHeight="1" x14ac:dyDescent="0.25"/>
    <row r="114" customFormat="1" ht="34.5" customHeight="1" x14ac:dyDescent="0.25"/>
    <row r="115" customFormat="1" ht="34.5" customHeight="1" x14ac:dyDescent="0.25"/>
    <row r="116" customFormat="1" ht="34.5" customHeight="1" x14ac:dyDescent="0.25"/>
    <row r="117" customFormat="1" ht="34.5" customHeight="1" x14ac:dyDescent="0.25"/>
    <row r="118" customFormat="1" ht="34.5" customHeight="1" x14ac:dyDescent="0.25"/>
    <row r="119" customFormat="1" ht="34.5" customHeight="1" x14ac:dyDescent="0.25"/>
    <row r="120" customFormat="1" ht="34.5" customHeight="1" x14ac:dyDescent="0.25"/>
    <row r="121" customFormat="1" ht="34.5" customHeight="1" x14ac:dyDescent="0.25"/>
    <row r="122" customFormat="1" ht="34.5" customHeight="1" x14ac:dyDescent="0.25"/>
    <row r="123" customFormat="1" ht="34.5" customHeight="1" x14ac:dyDescent="0.25"/>
    <row r="124" customFormat="1" ht="34.5" customHeight="1" x14ac:dyDescent="0.25"/>
    <row r="125" customFormat="1" ht="34.5" customHeight="1" x14ac:dyDescent="0.25"/>
    <row r="126" customFormat="1" ht="34.5" customHeight="1" x14ac:dyDescent="0.25"/>
    <row r="127" customFormat="1" ht="34.5" customHeight="1" x14ac:dyDescent="0.25"/>
    <row r="128" customFormat="1" ht="34.5" customHeight="1" x14ac:dyDescent="0.25"/>
    <row r="129" customFormat="1" ht="34.5" customHeight="1" x14ac:dyDescent="0.25"/>
    <row r="130" customFormat="1" ht="34.5" customHeight="1" x14ac:dyDescent="0.25"/>
    <row r="131" customFormat="1" ht="34.5" customHeight="1" x14ac:dyDescent="0.25"/>
    <row r="132" customFormat="1" ht="34.5" customHeight="1" x14ac:dyDescent="0.25"/>
    <row r="133" customFormat="1" ht="34.5" customHeight="1" x14ac:dyDescent="0.25"/>
    <row r="134" customFormat="1" ht="34.5" customHeight="1" x14ac:dyDescent="0.25"/>
    <row r="135" customFormat="1" ht="34.5" customHeight="1" x14ac:dyDescent="0.25"/>
    <row r="136" customFormat="1" ht="34.5" customHeight="1" x14ac:dyDescent="0.25"/>
    <row r="137" customFormat="1" ht="34.5" customHeight="1" x14ac:dyDescent="0.25"/>
    <row r="138" customFormat="1" ht="34.5" customHeight="1" x14ac:dyDescent="0.25"/>
    <row r="139" customFormat="1" ht="34.5" customHeight="1" x14ac:dyDescent="0.25"/>
    <row r="140" customFormat="1" ht="34.5" customHeight="1" x14ac:dyDescent="0.25"/>
    <row r="141" customFormat="1" ht="34.5" customHeight="1" x14ac:dyDescent="0.25"/>
    <row r="142" customFormat="1" ht="34.5" customHeight="1" x14ac:dyDescent="0.25"/>
    <row r="143" customFormat="1" ht="34.5" customHeight="1" x14ac:dyDescent="0.25"/>
    <row r="144" customFormat="1" ht="34.5" customHeight="1" x14ac:dyDescent="0.25"/>
    <row r="145" customFormat="1" ht="34.5" customHeight="1" x14ac:dyDescent="0.25"/>
    <row r="146" customFormat="1" ht="34.5" customHeight="1" x14ac:dyDescent="0.25"/>
    <row r="147" customFormat="1" ht="34.5" customHeight="1" x14ac:dyDescent="0.25"/>
    <row r="148" customFormat="1" ht="34.5" customHeight="1" x14ac:dyDescent="0.25"/>
    <row r="149" customFormat="1" ht="34.5" customHeight="1" x14ac:dyDescent="0.25"/>
    <row r="150" customFormat="1" ht="34.5" customHeight="1" x14ac:dyDescent="0.25"/>
    <row r="151" customFormat="1" ht="34.5" customHeight="1" x14ac:dyDescent="0.25"/>
    <row r="152" customFormat="1" ht="34.5" customHeight="1" x14ac:dyDescent="0.25"/>
    <row r="153" customFormat="1" ht="34.5" customHeight="1" x14ac:dyDescent="0.25"/>
    <row r="154" customFormat="1" ht="34.5" customHeight="1" x14ac:dyDescent="0.25"/>
    <row r="155" customFormat="1" ht="34.5" customHeight="1" x14ac:dyDescent="0.25"/>
    <row r="156" customFormat="1" ht="34.5" customHeight="1" x14ac:dyDescent="0.25"/>
    <row r="157" customFormat="1" ht="34.5" customHeight="1" x14ac:dyDescent="0.25"/>
    <row r="158" customFormat="1" ht="34.5" customHeight="1" x14ac:dyDescent="0.25"/>
    <row r="159" customFormat="1" ht="34.5" customHeight="1" x14ac:dyDescent="0.25"/>
    <row r="160" customFormat="1" ht="34.5" customHeight="1" x14ac:dyDescent="0.25"/>
    <row r="161" customFormat="1" ht="34.5" customHeight="1" x14ac:dyDescent="0.25"/>
    <row r="162" customFormat="1" ht="34.5" customHeight="1" x14ac:dyDescent="0.25"/>
    <row r="163" customFormat="1" ht="34.5" customHeight="1" x14ac:dyDescent="0.25"/>
    <row r="164" customFormat="1" ht="34.5" customHeight="1" x14ac:dyDescent="0.25"/>
    <row r="165" customFormat="1" ht="34.5" customHeight="1" x14ac:dyDescent="0.25"/>
    <row r="166" customFormat="1" ht="34.5" customHeight="1" x14ac:dyDescent="0.25"/>
    <row r="167" customFormat="1" ht="34.5" customHeight="1" x14ac:dyDescent="0.25"/>
    <row r="168" customFormat="1" ht="34.5" customHeight="1" x14ac:dyDescent="0.25"/>
    <row r="169" customFormat="1" ht="34.5" customHeight="1" x14ac:dyDescent="0.25"/>
    <row r="170" customFormat="1" ht="34.5" customHeight="1" x14ac:dyDescent="0.25"/>
    <row r="171" customFormat="1" ht="34.5" customHeight="1" x14ac:dyDescent="0.25"/>
    <row r="172" customFormat="1" ht="34.5" customHeight="1" x14ac:dyDescent="0.25"/>
    <row r="173" customFormat="1" ht="34.5" customHeight="1" x14ac:dyDescent="0.25"/>
    <row r="174" customFormat="1" ht="34.5" customHeight="1" x14ac:dyDescent="0.25"/>
    <row r="175" customFormat="1" ht="34.5" customHeight="1" x14ac:dyDescent="0.25"/>
    <row r="176" customFormat="1" ht="34.5" customHeight="1" x14ac:dyDescent="0.25"/>
    <row r="177" customFormat="1" ht="34.5" customHeight="1" x14ac:dyDescent="0.25"/>
    <row r="178" customFormat="1" ht="34.5" customHeight="1" x14ac:dyDescent="0.25"/>
    <row r="179" customFormat="1" ht="34.5" customHeight="1" x14ac:dyDescent="0.25"/>
    <row r="180" customFormat="1" ht="34.5" customHeight="1" x14ac:dyDescent="0.25"/>
    <row r="181" customFormat="1" ht="34.5" customHeight="1" x14ac:dyDescent="0.25"/>
    <row r="182" customFormat="1" ht="34.5" customHeight="1" x14ac:dyDescent="0.25"/>
    <row r="183" customFormat="1" ht="34.5" customHeight="1" x14ac:dyDescent="0.25"/>
    <row r="184" customFormat="1" ht="34.5" customHeight="1" x14ac:dyDescent="0.25"/>
    <row r="185" customFormat="1" ht="34.5" customHeight="1" x14ac:dyDescent="0.25"/>
    <row r="186" customFormat="1" ht="34.5" customHeight="1" x14ac:dyDescent="0.25"/>
    <row r="187" customFormat="1" ht="34.5" customHeight="1" x14ac:dyDescent="0.25"/>
    <row r="188" customFormat="1" ht="34.5" customHeight="1" x14ac:dyDescent="0.25"/>
    <row r="189" customFormat="1" ht="34.5" customHeight="1" x14ac:dyDescent="0.25"/>
    <row r="190" customFormat="1" ht="34.5" customHeight="1" x14ac:dyDescent="0.25"/>
    <row r="191" customFormat="1" ht="34.5" customHeight="1" x14ac:dyDescent="0.25"/>
    <row r="192" customFormat="1" ht="34.5" customHeight="1" x14ac:dyDescent="0.25"/>
    <row r="193" customFormat="1" ht="34.5" customHeight="1" x14ac:dyDescent="0.25"/>
    <row r="194" customFormat="1" ht="34.5" customHeight="1" x14ac:dyDescent="0.25"/>
    <row r="195" customFormat="1" ht="34.5" customHeight="1" x14ac:dyDescent="0.25"/>
    <row r="196" customFormat="1" ht="34.5" customHeight="1" x14ac:dyDescent="0.25"/>
    <row r="197" customFormat="1" ht="34.5" customHeight="1" x14ac:dyDescent="0.25"/>
    <row r="198" customFormat="1" ht="34.5" customHeight="1" x14ac:dyDescent="0.25"/>
    <row r="199" customFormat="1" ht="34.5" customHeight="1" x14ac:dyDescent="0.25"/>
    <row r="200" customFormat="1" ht="34.5" customHeight="1" x14ac:dyDescent="0.25"/>
    <row r="201" customFormat="1" ht="34.5" customHeight="1" x14ac:dyDescent="0.25"/>
    <row r="202" customFormat="1" ht="34.5" customHeight="1" x14ac:dyDescent="0.25"/>
    <row r="203" customFormat="1" ht="34.5" customHeight="1" x14ac:dyDescent="0.25"/>
    <row r="204" customFormat="1" ht="34.5" customHeight="1" x14ac:dyDescent="0.25"/>
    <row r="205" customFormat="1" ht="34.5" customHeight="1" x14ac:dyDescent="0.25"/>
    <row r="206" customFormat="1" ht="34.5" customHeight="1" x14ac:dyDescent="0.25"/>
    <row r="207" customFormat="1" ht="34.5" customHeight="1" x14ac:dyDescent="0.25"/>
    <row r="208" customFormat="1" ht="34.5" customHeight="1" x14ac:dyDescent="0.25"/>
    <row r="209" customFormat="1" ht="34.5" customHeight="1" x14ac:dyDescent="0.25"/>
    <row r="210" customFormat="1" ht="34.5" customHeight="1" x14ac:dyDescent="0.25"/>
    <row r="211" customFormat="1" ht="34.5" customHeight="1" x14ac:dyDescent="0.25"/>
    <row r="212" customFormat="1" ht="34.5" customHeight="1" x14ac:dyDescent="0.25"/>
    <row r="213" customFormat="1" ht="34.5" customHeight="1" x14ac:dyDescent="0.25"/>
    <row r="214" customFormat="1" ht="34.5" customHeight="1" x14ac:dyDescent="0.25"/>
    <row r="215" customFormat="1" ht="34.5" customHeight="1" x14ac:dyDescent="0.25"/>
    <row r="216" customFormat="1" ht="34.5" customHeight="1" x14ac:dyDescent="0.25"/>
  </sheetData>
  <autoFilter ref="A1:AK106" xr:uid="{00000000-0009-0000-0000-000004000000}"/>
  <conditionalFormatting sqref="A2:AK106">
    <cfRule type="expression" dxfId="24" priority="1">
      <formula>$Z2="ARCHIVADO"</formula>
    </cfRule>
  </conditionalFormatting>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LiSTAS!$C$2:$C$11</xm:f>
          </x14:formula1>
          <xm:sqref>Z5:Z37 Z79:Z106 Z39:Z77</xm:sqref>
        </x14:dataValidation>
        <x14:dataValidation type="list" allowBlank="1" showInputMessage="1" showErrorMessage="1" xr:uid="{00000000-0002-0000-0400-000001000000}">
          <x14:formula1>
            <xm:f>LiSTAS!$A$2:$A$14</xm:f>
          </x14:formula1>
          <xm:sqref>V5:V23 V25:V37 V39:V53 V56:V59 V61:V72 V75:V77 V79:V80 V82:V91 V93:V94 V96:V106</xm:sqref>
        </x14:dataValidation>
        <x14:dataValidation type="list" allowBlank="1" showInputMessage="1" showErrorMessage="1" xr:uid="{00000000-0002-0000-0400-000002000000}">
          <x14:formula1>
            <xm:f>LiSTAS!$B$2:$B$7</xm:f>
          </x14:formula1>
          <xm:sqref>K5:K24 K107:K1048576</xm:sqref>
        </x14:dataValidation>
        <x14:dataValidation type="list" allowBlank="1" showInputMessage="1" showErrorMessage="1" xr:uid="{00000000-0002-0000-0400-000003000000}">
          <x14:formula1>
            <xm:f>LiSTAS!$A$2:$A$12</xm:f>
          </x14:formula1>
          <xm:sqref>V24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0"/>
  <dimension ref="A1:ES672"/>
  <sheetViews>
    <sheetView zoomScale="80" zoomScaleNormal="80" workbookViewId="0">
      <pane xSplit="3" ySplit="1" topLeftCell="D99" activePane="bottomRight" state="frozen"/>
      <selection pane="topRight" activeCell="D1" sqref="D1"/>
      <selection pane="bottomLeft" activeCell="A2" sqref="A2"/>
      <selection pane="bottomRight" activeCell="A34" sqref="A34"/>
    </sheetView>
  </sheetViews>
  <sheetFormatPr baseColWidth="10" defaultColWidth="8.85546875" defaultRowHeight="34.5" customHeight="1" x14ac:dyDescent="0.25"/>
  <cols>
    <col min="1" max="1" width="7" style="359" customWidth="1"/>
    <col min="2" max="2" width="4.5703125" style="359" customWidth="1"/>
    <col min="3" max="3" width="7.28515625" style="353" customWidth="1"/>
    <col min="4" max="4" width="13.140625" style="239" customWidth="1"/>
    <col min="5" max="5" width="34.140625" style="193" customWidth="1"/>
    <col min="6" max="6" width="26.7109375" style="193" customWidth="1"/>
    <col min="7" max="7" width="23.140625" style="65" customWidth="1"/>
    <col min="8" max="8" width="15.140625" style="65" customWidth="1"/>
    <col min="9" max="9" width="13.42578125" style="65" customWidth="1"/>
    <col min="10" max="10" width="10.7109375" style="65" bestFit="1" customWidth="1"/>
    <col min="11" max="11" width="16" style="65" customWidth="1"/>
    <col min="12" max="12" width="56.140625" style="45" customWidth="1"/>
    <col min="13" max="13" width="5.140625" style="65" customWidth="1"/>
    <col min="14" max="14" width="5.5703125" style="65" customWidth="1"/>
    <col min="15" max="15" width="5.7109375" style="65" customWidth="1"/>
    <col min="16" max="16" width="6.28515625" style="65" customWidth="1"/>
    <col min="17" max="17" width="5.7109375" style="65" customWidth="1"/>
    <col min="18" max="18" width="5.140625" style="65" customWidth="1"/>
    <col min="19" max="20" width="6" style="65" customWidth="1"/>
    <col min="21" max="21" width="5.7109375" style="65" customWidth="1"/>
    <col min="22" max="22" width="13.7109375" style="65" customWidth="1"/>
    <col min="23" max="23" width="11.5703125" style="65" bestFit="1" customWidth="1"/>
    <col min="24" max="24" width="11.42578125" style="65" bestFit="1" customWidth="1"/>
    <col min="25" max="25" width="15.42578125" style="65" hidden="1" customWidth="1"/>
    <col min="26" max="26" width="16.28515625" style="193" customWidth="1"/>
    <col min="27" max="27" width="13.7109375" style="372" customWidth="1"/>
    <col min="28" max="28" width="7.28515625" style="65" customWidth="1"/>
    <col min="29" max="29" width="16" style="65" customWidth="1"/>
    <col min="30" max="30" width="12.42578125" style="65" customWidth="1"/>
    <col min="31" max="31" width="13.7109375" style="65" bestFit="1" customWidth="1"/>
    <col min="32" max="32" width="13.5703125" style="65" hidden="1" customWidth="1"/>
    <col min="33" max="33" width="35.85546875" style="236" customWidth="1"/>
    <col min="34" max="34" width="15.28515625" style="65" customWidth="1"/>
    <col min="35" max="35" width="13.7109375" style="78" bestFit="1" customWidth="1"/>
    <col min="36" max="36" width="8.28515625" style="78" customWidth="1"/>
    <col min="37" max="37" width="9.85546875" style="78" bestFit="1" customWidth="1"/>
    <col min="38" max="16384" width="8.85546875" style="65"/>
  </cols>
  <sheetData>
    <row r="1" spans="1:149" customFormat="1" ht="34.5" customHeight="1" x14ac:dyDescent="0.25">
      <c r="A1" s="1" t="s">
        <v>0</v>
      </c>
      <c r="B1" s="269" t="s">
        <v>1</v>
      </c>
      <c r="C1" s="1" t="s">
        <v>2</v>
      </c>
      <c r="D1" s="272" t="s">
        <v>3</v>
      </c>
      <c r="E1" s="1" t="s">
        <v>4</v>
      </c>
      <c r="F1" s="3" t="s">
        <v>5</v>
      </c>
      <c r="G1" s="3" t="s">
        <v>6</v>
      </c>
      <c r="H1" s="3" t="s">
        <v>7</v>
      </c>
      <c r="I1" s="1" t="s">
        <v>8</v>
      </c>
      <c r="J1" s="2" t="s">
        <v>9</v>
      </c>
      <c r="K1" s="4" t="s">
        <v>115</v>
      </c>
      <c r="L1" s="159" t="s">
        <v>11</v>
      </c>
      <c r="M1" s="6" t="s">
        <v>655</v>
      </c>
      <c r="N1" s="7" t="s">
        <v>13</v>
      </c>
      <c r="O1" s="8" t="s">
        <v>14</v>
      </c>
      <c r="P1" s="8" t="s">
        <v>15</v>
      </c>
      <c r="Q1" s="8" t="s">
        <v>16</v>
      </c>
      <c r="R1" s="9" t="s">
        <v>116</v>
      </c>
      <c r="S1" s="9" t="s">
        <v>330</v>
      </c>
      <c r="T1" s="9" t="s">
        <v>19</v>
      </c>
      <c r="U1" s="9" t="s">
        <v>20</v>
      </c>
      <c r="V1" s="4" t="s">
        <v>21</v>
      </c>
      <c r="W1" s="11" t="s">
        <v>22</v>
      </c>
      <c r="X1" s="2" t="s">
        <v>23</v>
      </c>
      <c r="Y1" s="12" t="s">
        <v>24</v>
      </c>
      <c r="Z1" s="13" t="s">
        <v>25</v>
      </c>
      <c r="AA1" s="367" t="s">
        <v>26</v>
      </c>
      <c r="AB1" s="6" t="s">
        <v>27</v>
      </c>
      <c r="AC1" s="15" t="s">
        <v>28</v>
      </c>
      <c r="AD1" s="15" t="s">
        <v>29</v>
      </c>
      <c r="AE1" s="15" t="s">
        <v>30</v>
      </c>
      <c r="AF1" s="16" t="s">
        <v>31</v>
      </c>
      <c r="AG1" s="86" t="s">
        <v>32</v>
      </c>
      <c r="AH1" s="240" t="s">
        <v>398</v>
      </c>
      <c r="AI1" s="87" t="s">
        <v>33</v>
      </c>
      <c r="AJ1" s="87" t="s">
        <v>34</v>
      </c>
      <c r="AK1" s="88" t="s">
        <v>126</v>
      </c>
    </row>
    <row r="2" spans="1:149" s="350" customFormat="1" ht="30" x14ac:dyDescent="0.25">
      <c r="A2" s="360">
        <v>2025</v>
      </c>
      <c r="B2" s="361">
        <v>5</v>
      </c>
      <c r="C2" s="361">
        <v>22614</v>
      </c>
      <c r="D2" s="249">
        <v>45777</v>
      </c>
      <c r="E2" s="348" t="s">
        <v>1550</v>
      </c>
      <c r="F2" s="348" t="s">
        <v>1550</v>
      </c>
      <c r="G2" s="349" t="s">
        <v>143</v>
      </c>
      <c r="H2" s="348">
        <v>3136554947</v>
      </c>
      <c r="I2" s="348">
        <v>3136554947</v>
      </c>
      <c r="J2" s="249">
        <v>45790</v>
      </c>
      <c r="K2" s="347" t="s">
        <v>84</v>
      </c>
      <c r="L2" s="362" t="s">
        <v>1551</v>
      </c>
      <c r="M2" s="349" t="s">
        <v>136</v>
      </c>
      <c r="N2" s="349">
        <v>5919</v>
      </c>
      <c r="O2" s="349" t="s">
        <v>136</v>
      </c>
      <c r="P2" s="349" t="s">
        <v>136</v>
      </c>
      <c r="Q2" s="349" t="s">
        <v>136</v>
      </c>
      <c r="R2" s="349" t="s">
        <v>136</v>
      </c>
      <c r="S2" s="349" t="s">
        <v>136</v>
      </c>
      <c r="T2" s="349" t="s">
        <v>136</v>
      </c>
      <c r="U2" s="349" t="s">
        <v>136</v>
      </c>
      <c r="V2" s="348" t="s">
        <v>590</v>
      </c>
      <c r="W2" s="249">
        <v>45785</v>
      </c>
      <c r="X2" s="105">
        <v>45790</v>
      </c>
      <c r="Y2" s="349"/>
      <c r="Z2" s="378" t="s">
        <v>85</v>
      </c>
      <c r="AA2" s="368"/>
      <c r="AB2" s="363"/>
      <c r="AC2" s="198">
        <v>105229</v>
      </c>
      <c r="AD2" s="198">
        <f>AC2*1.19</f>
        <v>125222.51</v>
      </c>
      <c r="AE2" s="198">
        <v>50000</v>
      </c>
      <c r="AF2" s="349"/>
      <c r="AG2" s="364" t="s">
        <v>1774</v>
      </c>
      <c r="AH2" s="365">
        <v>45790</v>
      </c>
      <c r="AI2" s="249">
        <v>45785</v>
      </c>
      <c r="AJ2" s="349" t="s">
        <v>571</v>
      </c>
      <c r="AK2" s="349"/>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row>
    <row r="3" spans="1:149" s="350" customFormat="1" ht="60" x14ac:dyDescent="0.25">
      <c r="A3" s="360">
        <v>2025</v>
      </c>
      <c r="B3" s="361">
        <v>5</v>
      </c>
      <c r="C3" s="361">
        <v>22615</v>
      </c>
      <c r="D3" s="249">
        <v>45777</v>
      </c>
      <c r="E3" s="348" t="s">
        <v>1145</v>
      </c>
      <c r="F3" s="348" t="s">
        <v>1146</v>
      </c>
      <c r="G3" s="349" t="s">
        <v>206</v>
      </c>
      <c r="H3" s="348" t="s">
        <v>1147</v>
      </c>
      <c r="I3" s="348" t="s">
        <v>1148</v>
      </c>
      <c r="J3" s="249">
        <v>45792</v>
      </c>
      <c r="K3" s="347" t="s">
        <v>95</v>
      </c>
      <c r="L3" s="362" t="s">
        <v>1149</v>
      </c>
      <c r="M3" s="349" t="s">
        <v>136</v>
      </c>
      <c r="N3" s="349" t="s">
        <v>136</v>
      </c>
      <c r="O3" s="349">
        <v>6161</v>
      </c>
      <c r="P3" s="349">
        <v>8945</v>
      </c>
      <c r="Q3" s="349">
        <v>5546</v>
      </c>
      <c r="R3" s="349" t="s">
        <v>134</v>
      </c>
      <c r="S3" s="349" t="s">
        <v>134</v>
      </c>
      <c r="T3" s="349" t="s">
        <v>134</v>
      </c>
      <c r="U3" s="349" t="s">
        <v>136</v>
      </c>
      <c r="V3" s="348" t="s">
        <v>87</v>
      </c>
      <c r="W3" s="249">
        <v>45786</v>
      </c>
      <c r="X3" s="105">
        <v>45798</v>
      </c>
      <c r="Y3" s="349"/>
      <c r="Z3" s="378" t="s">
        <v>85</v>
      </c>
      <c r="AA3" s="368">
        <v>3314985</v>
      </c>
      <c r="AB3" s="363">
        <v>5840</v>
      </c>
      <c r="AC3" s="198">
        <v>2785701</v>
      </c>
      <c r="AD3" s="198">
        <f>AC3*1.19</f>
        <v>3314984.19</v>
      </c>
      <c r="AE3" s="198">
        <v>1657492</v>
      </c>
      <c r="AF3" s="349"/>
      <c r="AG3" s="364" t="s">
        <v>1895</v>
      </c>
      <c r="AH3" s="365">
        <v>45791</v>
      </c>
      <c r="AI3" s="249">
        <v>45807</v>
      </c>
      <c r="AJ3" s="349" t="s">
        <v>1705</v>
      </c>
      <c r="AK3" s="349"/>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row>
    <row r="4" spans="1:149" s="155" customFormat="1" ht="60" x14ac:dyDescent="0.25">
      <c r="A4" s="356">
        <v>2025</v>
      </c>
      <c r="B4" s="357">
        <v>5</v>
      </c>
      <c r="C4" s="356">
        <v>22616</v>
      </c>
      <c r="D4" s="249">
        <v>45777</v>
      </c>
      <c r="E4" s="100" t="s">
        <v>1153</v>
      </c>
      <c r="F4" s="100" t="s">
        <v>1153</v>
      </c>
      <c r="G4" s="99" t="s">
        <v>143</v>
      </c>
      <c r="H4" s="99">
        <v>3195490760</v>
      </c>
      <c r="I4" s="99">
        <v>3195490760</v>
      </c>
      <c r="J4" s="205">
        <v>45792</v>
      </c>
      <c r="K4" s="99" t="s">
        <v>84</v>
      </c>
      <c r="L4" s="101" t="s">
        <v>1695</v>
      </c>
      <c r="M4" s="99" t="s">
        <v>136</v>
      </c>
      <c r="N4" s="99">
        <v>5920</v>
      </c>
      <c r="O4" s="99">
        <v>6160</v>
      </c>
      <c r="P4" s="99">
        <v>8801</v>
      </c>
      <c r="Q4" s="99">
        <v>5547</v>
      </c>
      <c r="R4" s="99" t="s">
        <v>136</v>
      </c>
      <c r="S4" s="99" t="s">
        <v>134</v>
      </c>
      <c r="T4" s="99" t="s">
        <v>134</v>
      </c>
      <c r="U4" s="99" t="s">
        <v>136</v>
      </c>
      <c r="V4" s="99" t="s">
        <v>119</v>
      </c>
      <c r="W4" s="249">
        <v>45790</v>
      </c>
      <c r="X4" s="205"/>
      <c r="Y4" s="99"/>
      <c r="Z4" s="378" t="s">
        <v>97</v>
      </c>
      <c r="AA4" s="368">
        <v>1034084</v>
      </c>
      <c r="AB4" s="99">
        <v>5920</v>
      </c>
      <c r="AC4" s="117">
        <v>868978</v>
      </c>
      <c r="AD4" s="117">
        <v>1034084</v>
      </c>
      <c r="AE4" s="117">
        <v>0</v>
      </c>
      <c r="AF4" s="99"/>
      <c r="AG4" s="104"/>
      <c r="AH4" s="205">
        <v>45775</v>
      </c>
      <c r="AI4" s="249">
        <v>45792</v>
      </c>
      <c r="AJ4" s="99" t="s">
        <v>571</v>
      </c>
      <c r="AK4" s="99"/>
      <c r="AL4" s="65"/>
      <c r="AM4" s="65"/>
      <c r="AN4" s="65"/>
      <c r="AO4" s="65"/>
      <c r="AP4" s="65"/>
      <c r="AQ4" s="65"/>
      <c r="AR4" s="65"/>
      <c r="AS4" s="65"/>
      <c r="AT4" s="65"/>
      <c r="AU4" s="65"/>
      <c r="AV4" s="65"/>
      <c r="AW4" s="65"/>
      <c r="AX4" s="65"/>
      <c r="AY4" s="65"/>
      <c r="AZ4" s="65"/>
      <c r="BA4" s="65"/>
      <c r="BB4" s="65"/>
      <c r="BC4" s="65"/>
      <c r="BD4" s="65"/>
      <c r="BE4" s="65"/>
      <c r="BF4" s="65"/>
      <c r="BG4" s="65"/>
      <c r="BH4" s="65"/>
      <c r="BI4" s="65"/>
      <c r="BJ4" s="65"/>
      <c r="BK4" s="65"/>
      <c r="BL4" s="65"/>
      <c r="BM4" s="65"/>
      <c r="BN4" s="65"/>
      <c r="BO4" s="65"/>
      <c r="BP4" s="65"/>
      <c r="BQ4" s="65"/>
      <c r="BR4" s="65"/>
      <c r="BS4" s="65"/>
      <c r="BT4" s="65"/>
      <c r="BU4" s="65"/>
      <c r="BV4" s="65"/>
      <c r="BW4" s="65"/>
      <c r="BX4" s="65"/>
      <c r="BY4" s="65"/>
      <c r="BZ4" s="65"/>
      <c r="CA4" s="65"/>
      <c r="CB4" s="65"/>
      <c r="CC4" s="65"/>
      <c r="CD4" s="65"/>
      <c r="CE4" s="65"/>
      <c r="CF4" s="65"/>
      <c r="CG4" s="65"/>
      <c r="CH4" s="65"/>
      <c r="CI4" s="65"/>
      <c r="CJ4" s="65"/>
      <c r="CK4" s="65"/>
      <c r="CL4" s="65"/>
      <c r="CM4" s="65"/>
      <c r="CN4" s="65"/>
      <c r="CO4" s="65"/>
      <c r="CP4" s="65"/>
      <c r="CQ4" s="65"/>
      <c r="CR4" s="65"/>
      <c r="CS4" s="65"/>
      <c r="CT4" s="65"/>
      <c r="CU4" s="65"/>
      <c r="CV4" s="65"/>
      <c r="CW4" s="65"/>
      <c r="CX4" s="65"/>
      <c r="CY4" s="65"/>
      <c r="CZ4" s="65"/>
      <c r="DA4" s="65"/>
      <c r="DB4" s="65"/>
      <c r="DC4" s="65"/>
      <c r="DD4" s="65"/>
      <c r="DE4" s="65"/>
      <c r="DF4" s="65"/>
      <c r="DG4" s="65"/>
      <c r="DH4" s="65"/>
      <c r="DI4" s="65"/>
      <c r="DJ4" s="65"/>
      <c r="DK4" s="65"/>
      <c r="DL4" s="65"/>
      <c r="DM4" s="65"/>
      <c r="DN4" s="65"/>
      <c r="DO4" s="65"/>
      <c r="DP4" s="65"/>
      <c r="DQ4" s="65"/>
      <c r="DR4" s="65"/>
      <c r="DS4" s="65"/>
      <c r="DT4" s="65"/>
      <c r="DU4" s="65"/>
      <c r="DV4" s="65"/>
      <c r="DW4" s="65"/>
      <c r="DX4" s="65"/>
      <c r="DY4" s="65"/>
      <c r="DZ4" s="65"/>
      <c r="EA4" s="65"/>
      <c r="EB4" s="65"/>
      <c r="EC4" s="65"/>
      <c r="ED4" s="65"/>
      <c r="EE4" s="65"/>
      <c r="EF4" s="65"/>
      <c r="EG4" s="65"/>
      <c r="EH4" s="65"/>
      <c r="EI4" s="65"/>
      <c r="EJ4" s="65"/>
      <c r="EK4" s="65"/>
      <c r="EL4" s="65"/>
      <c r="EM4" s="65"/>
      <c r="EN4" s="65"/>
      <c r="EO4" s="65"/>
      <c r="EP4" s="65"/>
      <c r="EQ4" s="65"/>
      <c r="ER4" s="65"/>
      <c r="ES4" s="65"/>
    </row>
    <row r="5" spans="1:149" ht="30" x14ac:dyDescent="0.25">
      <c r="A5" s="351">
        <v>2025</v>
      </c>
      <c r="B5" s="352">
        <v>5</v>
      </c>
      <c r="C5" s="351">
        <v>22617</v>
      </c>
      <c r="D5" s="314">
        <v>45777</v>
      </c>
      <c r="E5" s="308" t="s">
        <v>1150</v>
      </c>
      <c r="F5" s="308" t="s">
        <v>1150</v>
      </c>
      <c r="G5" s="310" t="s">
        <v>143</v>
      </c>
      <c r="H5" s="310">
        <v>3006512935</v>
      </c>
      <c r="I5" s="310">
        <v>3006512935</v>
      </c>
      <c r="J5" s="309">
        <v>45777</v>
      </c>
      <c r="K5" s="311" t="s">
        <v>88</v>
      </c>
      <c r="L5" s="312" t="s">
        <v>1151</v>
      </c>
      <c r="M5" s="310" t="s">
        <v>136</v>
      </c>
      <c r="N5" s="310" t="s">
        <v>136</v>
      </c>
      <c r="O5" s="310">
        <v>6155</v>
      </c>
      <c r="P5" s="310">
        <v>8892</v>
      </c>
      <c r="Q5" s="310" t="s">
        <v>136</v>
      </c>
      <c r="R5" s="310" t="s">
        <v>136</v>
      </c>
      <c r="S5" s="310" t="s">
        <v>136</v>
      </c>
      <c r="T5" s="310" t="s">
        <v>134</v>
      </c>
      <c r="U5" s="310" t="s">
        <v>136</v>
      </c>
      <c r="V5" s="308" t="s">
        <v>89</v>
      </c>
      <c r="W5" s="309"/>
      <c r="X5" s="309">
        <v>45772</v>
      </c>
      <c r="Y5" s="310"/>
      <c r="Z5" s="377" t="s">
        <v>85</v>
      </c>
      <c r="AA5" s="369">
        <v>285600</v>
      </c>
      <c r="AB5" s="310">
        <v>5811</v>
      </c>
      <c r="AC5" s="235">
        <v>240000</v>
      </c>
      <c r="AD5" s="235">
        <f>AC5*1.19</f>
        <v>285600</v>
      </c>
      <c r="AE5" s="315">
        <v>0</v>
      </c>
      <c r="AF5" s="310"/>
      <c r="AG5" s="316" t="s">
        <v>1780</v>
      </c>
      <c r="AH5" s="394">
        <v>45799</v>
      </c>
      <c r="AI5" s="309">
        <v>45782</v>
      </c>
      <c r="AJ5" s="310" t="s">
        <v>571</v>
      </c>
      <c r="AK5" s="310"/>
    </row>
    <row r="6" spans="1:149" customFormat="1" ht="45" x14ac:dyDescent="0.25">
      <c r="A6" s="351">
        <v>2025</v>
      </c>
      <c r="B6" s="352">
        <v>5</v>
      </c>
      <c r="C6" s="358">
        <v>22618</v>
      </c>
      <c r="D6" s="274">
        <v>45777</v>
      </c>
      <c r="E6" s="308" t="s">
        <v>1701</v>
      </c>
      <c r="F6" s="308" t="s">
        <v>1701</v>
      </c>
      <c r="G6" s="310" t="s">
        <v>143</v>
      </c>
      <c r="H6" s="310">
        <v>3214582973</v>
      </c>
      <c r="I6" s="310">
        <v>3214582973</v>
      </c>
      <c r="J6" s="309">
        <v>45790</v>
      </c>
      <c r="K6" s="311" t="s">
        <v>84</v>
      </c>
      <c r="L6" s="312" t="s">
        <v>1702</v>
      </c>
      <c r="M6" s="310" t="s">
        <v>136</v>
      </c>
      <c r="N6" s="310">
        <v>5943</v>
      </c>
      <c r="O6" s="310">
        <v>6188</v>
      </c>
      <c r="P6" s="310">
        <v>8915</v>
      </c>
      <c r="Q6" s="310" t="s">
        <v>136</v>
      </c>
      <c r="R6" s="310" t="s">
        <v>136</v>
      </c>
      <c r="S6" s="310" t="s">
        <v>134</v>
      </c>
      <c r="T6" s="310" t="s">
        <v>134</v>
      </c>
      <c r="U6" s="310" t="s">
        <v>136</v>
      </c>
      <c r="V6" s="308" t="s">
        <v>590</v>
      </c>
      <c r="W6" s="309">
        <v>45799</v>
      </c>
      <c r="X6" s="311">
        <v>45800</v>
      </c>
      <c r="Y6" s="310"/>
      <c r="Z6" s="377" t="s">
        <v>85</v>
      </c>
      <c r="AA6" s="369">
        <v>1571602</v>
      </c>
      <c r="AB6" s="310">
        <v>5879</v>
      </c>
      <c r="AC6" s="235">
        <v>1320674</v>
      </c>
      <c r="AD6" s="235">
        <f t="shared" ref="AD6:AD16" si="0">AC6*1.19</f>
        <v>1571602.0599999998</v>
      </c>
      <c r="AE6" s="219">
        <v>700000</v>
      </c>
      <c r="AF6" s="310"/>
      <c r="AG6" s="316" t="s">
        <v>1895</v>
      </c>
      <c r="AH6" s="381">
        <v>45799</v>
      </c>
      <c r="AI6" s="89">
        <v>45807</v>
      </c>
      <c r="AJ6" s="90" t="s">
        <v>1705</v>
      </c>
      <c r="AK6" s="94"/>
    </row>
    <row r="7" spans="1:149" s="350" customFormat="1" ht="15" x14ac:dyDescent="0.25">
      <c r="A7" s="356">
        <v>2025</v>
      </c>
      <c r="B7" s="357">
        <v>5</v>
      </c>
      <c r="C7" s="356">
        <v>22619</v>
      </c>
      <c r="D7" s="278">
        <v>45777</v>
      </c>
      <c r="E7" s="100" t="s">
        <v>1154</v>
      </c>
      <c r="F7" s="100" t="s">
        <v>1154</v>
      </c>
      <c r="G7" s="99" t="s">
        <v>143</v>
      </c>
      <c r="H7" s="99">
        <v>3017886208</v>
      </c>
      <c r="I7" s="99">
        <v>3017886208</v>
      </c>
      <c r="J7" s="249">
        <v>45790</v>
      </c>
      <c r="K7" s="347" t="s">
        <v>84</v>
      </c>
      <c r="L7" s="101" t="s">
        <v>1155</v>
      </c>
      <c r="M7" s="349" t="s">
        <v>136</v>
      </c>
      <c r="N7" s="99">
        <v>5918</v>
      </c>
      <c r="O7" s="349" t="s">
        <v>136</v>
      </c>
      <c r="P7" s="349" t="s">
        <v>136</v>
      </c>
      <c r="Q7" s="349" t="s">
        <v>136</v>
      </c>
      <c r="R7" s="349" t="s">
        <v>136</v>
      </c>
      <c r="S7" s="349" t="s">
        <v>136</v>
      </c>
      <c r="T7" s="349" t="s">
        <v>136</v>
      </c>
      <c r="U7" s="349" t="s">
        <v>136</v>
      </c>
      <c r="V7" s="348" t="s">
        <v>590</v>
      </c>
      <c r="W7" s="97">
        <v>45785</v>
      </c>
      <c r="X7" s="97"/>
      <c r="Y7" s="99"/>
      <c r="Z7" s="120" t="s">
        <v>21</v>
      </c>
      <c r="AA7" s="368">
        <v>0</v>
      </c>
      <c r="AB7" s="99">
        <v>5833</v>
      </c>
      <c r="AC7" s="198">
        <v>94118</v>
      </c>
      <c r="AD7" s="198">
        <f t="shared" si="0"/>
        <v>112000.42</v>
      </c>
      <c r="AE7" s="117">
        <v>56000</v>
      </c>
      <c r="AF7" s="99"/>
      <c r="AG7" s="104"/>
      <c r="AH7" s="233"/>
      <c r="AI7" s="97">
        <v>45786</v>
      </c>
      <c r="AJ7" s="99" t="s">
        <v>571</v>
      </c>
      <c r="AK7" s="99"/>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row>
    <row r="8" spans="1:149" customFormat="1" ht="45" x14ac:dyDescent="0.25">
      <c r="A8" s="351">
        <v>2025</v>
      </c>
      <c r="B8" s="352">
        <v>5</v>
      </c>
      <c r="C8" s="351">
        <v>22620</v>
      </c>
      <c r="D8" s="274">
        <v>45779</v>
      </c>
      <c r="E8" s="90" t="s">
        <v>149</v>
      </c>
      <c r="F8" s="90" t="s">
        <v>166</v>
      </c>
      <c r="G8" s="94" t="s">
        <v>150</v>
      </c>
      <c r="H8" s="94">
        <v>3153406315</v>
      </c>
      <c r="I8" s="94">
        <v>3153406315</v>
      </c>
      <c r="J8" s="309">
        <v>45779</v>
      </c>
      <c r="K8" s="311" t="s">
        <v>88</v>
      </c>
      <c r="L8" s="91" t="s">
        <v>1152</v>
      </c>
      <c r="M8" s="310" t="s">
        <v>136</v>
      </c>
      <c r="N8" s="310" t="s">
        <v>136</v>
      </c>
      <c r="O8" s="310" t="s">
        <v>136</v>
      </c>
      <c r="P8" s="310" t="s">
        <v>136</v>
      </c>
      <c r="Q8" s="310" t="s">
        <v>136</v>
      </c>
      <c r="R8" s="310" t="s">
        <v>136</v>
      </c>
      <c r="S8" s="310" t="s">
        <v>136</v>
      </c>
      <c r="T8" s="310" t="s">
        <v>136</v>
      </c>
      <c r="U8" s="310" t="s">
        <v>136</v>
      </c>
      <c r="V8" s="308" t="s">
        <v>89</v>
      </c>
      <c r="W8" s="89"/>
      <c r="X8" s="89">
        <v>45786</v>
      </c>
      <c r="Y8" s="94"/>
      <c r="Z8" s="134" t="s">
        <v>85</v>
      </c>
      <c r="AA8" s="370">
        <v>0</v>
      </c>
      <c r="AB8" s="94">
        <v>5809</v>
      </c>
      <c r="AC8" s="235">
        <v>70000</v>
      </c>
      <c r="AD8" s="235">
        <f t="shared" si="0"/>
        <v>83300</v>
      </c>
      <c r="AE8" s="219">
        <v>0</v>
      </c>
      <c r="AF8" s="94"/>
      <c r="AG8" s="214" t="s">
        <v>1778</v>
      </c>
      <c r="AH8" s="334">
        <v>45793</v>
      </c>
      <c r="AI8" s="89">
        <v>45782</v>
      </c>
      <c r="AJ8" s="94" t="s">
        <v>571</v>
      </c>
      <c r="AK8" s="94"/>
    </row>
    <row r="9" spans="1:149" s="333" customFormat="1" ht="120" x14ac:dyDescent="0.25">
      <c r="A9" s="351">
        <v>2025</v>
      </c>
      <c r="B9" s="352">
        <v>5</v>
      </c>
      <c r="C9" s="351">
        <v>22621</v>
      </c>
      <c r="D9" s="274">
        <v>45780</v>
      </c>
      <c r="E9" s="90" t="s">
        <v>1448</v>
      </c>
      <c r="F9" s="90" t="s">
        <v>1449</v>
      </c>
      <c r="G9" s="90" t="s">
        <v>98</v>
      </c>
      <c r="H9" s="90">
        <v>3168776326</v>
      </c>
      <c r="I9" s="90" t="s">
        <v>1450</v>
      </c>
      <c r="J9" s="89">
        <v>45793</v>
      </c>
      <c r="K9" s="311" t="s">
        <v>88</v>
      </c>
      <c r="L9" s="91" t="s">
        <v>1451</v>
      </c>
      <c r="M9" s="90" t="s">
        <v>281</v>
      </c>
      <c r="N9" s="90">
        <v>5925</v>
      </c>
      <c r="O9" s="90">
        <v>6165</v>
      </c>
      <c r="P9" s="90">
        <v>8955</v>
      </c>
      <c r="Q9" s="90" t="s">
        <v>136</v>
      </c>
      <c r="R9" s="90" t="s">
        <v>134</v>
      </c>
      <c r="S9" s="90" t="s">
        <v>134</v>
      </c>
      <c r="T9" s="90" t="s">
        <v>134</v>
      </c>
      <c r="U9" s="90" t="s">
        <v>136</v>
      </c>
      <c r="V9" s="308" t="s">
        <v>119</v>
      </c>
      <c r="W9" s="313">
        <v>45793</v>
      </c>
      <c r="X9" s="313">
        <v>45793</v>
      </c>
      <c r="Y9" s="90"/>
      <c r="Z9" s="134" t="s">
        <v>85</v>
      </c>
      <c r="AA9" s="370">
        <v>1424313</v>
      </c>
      <c r="AB9" s="90">
        <v>5852</v>
      </c>
      <c r="AC9" s="235">
        <v>1196902</v>
      </c>
      <c r="AD9" s="235">
        <f t="shared" si="0"/>
        <v>1424313.38</v>
      </c>
      <c r="AE9" s="219">
        <v>712157</v>
      </c>
      <c r="AF9" s="90"/>
      <c r="AG9" s="214" t="s">
        <v>1781</v>
      </c>
      <c r="AH9" s="332">
        <v>45805</v>
      </c>
      <c r="AI9" s="89">
        <v>45799</v>
      </c>
      <c r="AJ9" s="90" t="s">
        <v>1705</v>
      </c>
      <c r="AK9" s="90"/>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row>
    <row r="10" spans="1:149" s="333" customFormat="1" ht="45" x14ac:dyDescent="0.25">
      <c r="A10" s="351">
        <v>2025</v>
      </c>
      <c r="B10" s="352">
        <v>5</v>
      </c>
      <c r="C10" s="358">
        <v>22622</v>
      </c>
      <c r="D10" s="274">
        <v>45785</v>
      </c>
      <c r="E10" s="90" t="s">
        <v>1580</v>
      </c>
      <c r="F10" s="90" t="s">
        <v>1581</v>
      </c>
      <c r="G10" s="94" t="s">
        <v>98</v>
      </c>
      <c r="H10" s="94">
        <v>3106134555</v>
      </c>
      <c r="I10" s="90" t="s">
        <v>1582</v>
      </c>
      <c r="J10" s="309">
        <v>45793</v>
      </c>
      <c r="K10" s="311" t="s">
        <v>88</v>
      </c>
      <c r="L10" s="91" t="s">
        <v>1583</v>
      </c>
      <c r="M10" s="90" t="s">
        <v>136</v>
      </c>
      <c r="N10" s="94">
        <v>5931</v>
      </c>
      <c r="O10" s="90" t="s">
        <v>136</v>
      </c>
      <c r="P10" s="90" t="s">
        <v>136</v>
      </c>
      <c r="Q10" s="90" t="s">
        <v>136</v>
      </c>
      <c r="R10" s="90" t="s">
        <v>136</v>
      </c>
      <c r="S10" s="90" t="s">
        <v>136</v>
      </c>
      <c r="T10" s="90" t="s">
        <v>136</v>
      </c>
      <c r="U10" s="90" t="s">
        <v>136</v>
      </c>
      <c r="V10" s="308" t="s">
        <v>119</v>
      </c>
      <c r="W10" s="89">
        <v>45787</v>
      </c>
      <c r="X10" s="89">
        <v>45794</v>
      </c>
      <c r="Y10" s="94"/>
      <c r="Z10" s="134" t="s">
        <v>85</v>
      </c>
      <c r="AA10" s="370">
        <v>520000</v>
      </c>
      <c r="AB10" s="94">
        <v>5850</v>
      </c>
      <c r="AC10" s="235">
        <v>436976</v>
      </c>
      <c r="AD10" s="235">
        <f t="shared" si="0"/>
        <v>520001.44</v>
      </c>
      <c r="AE10" s="219">
        <v>0</v>
      </c>
      <c r="AF10" s="94"/>
      <c r="AG10" s="214" t="s">
        <v>2139</v>
      </c>
      <c r="AH10" s="334">
        <v>45782</v>
      </c>
      <c r="AI10" s="89">
        <v>45826</v>
      </c>
      <c r="AJ10" s="94" t="s">
        <v>1705</v>
      </c>
      <c r="AK10" s="94"/>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row>
    <row r="11" spans="1:149" s="207" customFormat="1" ht="45" x14ac:dyDescent="0.25">
      <c r="A11" s="356">
        <v>2025</v>
      </c>
      <c r="B11" s="357">
        <v>5</v>
      </c>
      <c r="C11" s="356">
        <v>22623</v>
      </c>
      <c r="D11" s="278">
        <v>45785</v>
      </c>
      <c r="E11" s="100" t="s">
        <v>1554</v>
      </c>
      <c r="F11" s="100" t="s">
        <v>1554</v>
      </c>
      <c r="G11" s="99" t="s">
        <v>143</v>
      </c>
      <c r="H11" s="99">
        <v>3147313332</v>
      </c>
      <c r="I11" s="99">
        <v>3147313332</v>
      </c>
      <c r="J11" s="249">
        <v>45793</v>
      </c>
      <c r="K11" s="347" t="s">
        <v>84</v>
      </c>
      <c r="L11" s="101" t="s">
        <v>1555</v>
      </c>
      <c r="M11" s="99" t="s">
        <v>136</v>
      </c>
      <c r="N11" s="99" t="s">
        <v>136</v>
      </c>
      <c r="O11" s="99">
        <v>6170</v>
      </c>
      <c r="P11" s="99" t="s">
        <v>136</v>
      </c>
      <c r="Q11" s="99" t="s">
        <v>136</v>
      </c>
      <c r="R11" s="99" t="s">
        <v>134</v>
      </c>
      <c r="S11" s="99" t="s">
        <v>134</v>
      </c>
      <c r="T11" s="99" t="s">
        <v>134</v>
      </c>
      <c r="U11" s="99" t="s">
        <v>136</v>
      </c>
      <c r="V11" s="348" t="s">
        <v>119</v>
      </c>
      <c r="W11" s="97">
        <v>45786</v>
      </c>
      <c r="X11" s="97">
        <v>45798</v>
      </c>
      <c r="Y11" s="99"/>
      <c r="Z11" s="120" t="s">
        <v>85</v>
      </c>
      <c r="AA11" s="368">
        <v>450000</v>
      </c>
      <c r="AB11" s="99">
        <v>5839</v>
      </c>
      <c r="AC11" s="198">
        <v>378151</v>
      </c>
      <c r="AD11" s="198">
        <f t="shared" si="0"/>
        <v>449999.69</v>
      </c>
      <c r="AE11" s="117">
        <v>225000</v>
      </c>
      <c r="AF11" s="99"/>
      <c r="AG11" s="104" t="s">
        <v>1893</v>
      </c>
      <c r="AH11" s="258">
        <v>45791</v>
      </c>
      <c r="AI11" s="97">
        <v>45807</v>
      </c>
      <c r="AJ11" s="99" t="s">
        <v>1705</v>
      </c>
      <c r="AK11" s="99"/>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c r="CE11" s="65"/>
      <c r="CF11" s="65"/>
      <c r="CG11" s="65"/>
      <c r="CH11" s="65"/>
      <c r="CI11" s="65"/>
      <c r="CJ11" s="65"/>
      <c r="CK11" s="65"/>
      <c r="CL11" s="65"/>
      <c r="CM11" s="65"/>
      <c r="CN11" s="65"/>
      <c r="CO11" s="65"/>
      <c r="CP11" s="65"/>
      <c r="CQ11" s="65"/>
      <c r="CR11" s="65"/>
      <c r="CS11" s="65"/>
      <c r="CT11" s="65"/>
      <c r="CU11" s="65"/>
      <c r="CV11" s="65"/>
      <c r="CW11" s="65"/>
      <c r="CX11" s="65"/>
      <c r="CY11" s="65"/>
      <c r="CZ11" s="65"/>
      <c r="DA11" s="65"/>
      <c r="DB11" s="65"/>
      <c r="DC11" s="65"/>
      <c r="DD11" s="65"/>
      <c r="DE11" s="65"/>
      <c r="DF11" s="65"/>
      <c r="DG11" s="65"/>
      <c r="DH11" s="65"/>
      <c r="DI11" s="65"/>
      <c r="DJ11" s="65"/>
      <c r="DK11" s="65"/>
      <c r="DL11" s="65"/>
      <c r="DM11" s="65"/>
      <c r="DN11" s="65"/>
      <c r="DO11" s="65"/>
      <c r="DP11" s="65"/>
      <c r="DQ11" s="65"/>
      <c r="DR11" s="65"/>
      <c r="DS11" s="65"/>
      <c r="DT11" s="65"/>
      <c r="DU11" s="65"/>
      <c r="DV11" s="65"/>
      <c r="DW11" s="65"/>
      <c r="DX11" s="65"/>
      <c r="DY11" s="65"/>
      <c r="DZ11" s="65"/>
      <c r="EA11" s="65"/>
      <c r="EB11" s="65"/>
      <c r="EC11" s="65"/>
      <c r="ED11" s="65"/>
      <c r="EE11" s="65"/>
      <c r="EF11" s="65"/>
      <c r="EG11" s="65"/>
      <c r="EH11" s="65"/>
      <c r="EI11" s="65"/>
      <c r="EJ11" s="65"/>
      <c r="EK11" s="65"/>
      <c r="EL11" s="65"/>
      <c r="EM11" s="65"/>
      <c r="EN11" s="65"/>
      <c r="EO11" s="65"/>
      <c r="EP11" s="65"/>
      <c r="EQ11" s="65"/>
      <c r="ER11" s="65"/>
      <c r="ES11" s="65"/>
    </row>
    <row r="12" spans="1:149" s="336" customFormat="1" ht="30" x14ac:dyDescent="0.25">
      <c r="A12" s="351">
        <v>2025</v>
      </c>
      <c r="B12" s="352">
        <v>5</v>
      </c>
      <c r="C12" s="351">
        <v>22624</v>
      </c>
      <c r="D12" s="274">
        <v>45782</v>
      </c>
      <c r="E12" s="90" t="s">
        <v>1452</v>
      </c>
      <c r="F12" s="90" t="s">
        <v>1452</v>
      </c>
      <c r="G12" s="94" t="s">
        <v>143</v>
      </c>
      <c r="H12" s="94">
        <v>3122521063</v>
      </c>
      <c r="I12" s="94">
        <v>3122521063</v>
      </c>
      <c r="J12" s="89">
        <v>45791</v>
      </c>
      <c r="K12" s="311" t="s">
        <v>84</v>
      </c>
      <c r="L12" s="91" t="s">
        <v>1453</v>
      </c>
      <c r="M12" s="90" t="s">
        <v>136</v>
      </c>
      <c r="N12" s="94">
        <v>5924</v>
      </c>
      <c r="O12" s="90" t="s">
        <v>136</v>
      </c>
      <c r="P12" s="90" t="s">
        <v>136</v>
      </c>
      <c r="Q12" s="90" t="s">
        <v>136</v>
      </c>
      <c r="R12" s="90" t="s">
        <v>136</v>
      </c>
      <c r="S12" s="90" t="s">
        <v>136</v>
      </c>
      <c r="T12" s="90" t="s">
        <v>136</v>
      </c>
      <c r="U12" s="90" t="s">
        <v>136</v>
      </c>
      <c r="V12" s="308" t="s">
        <v>119</v>
      </c>
      <c r="W12" s="89">
        <v>45790</v>
      </c>
      <c r="X12" s="89">
        <v>45797</v>
      </c>
      <c r="Y12" s="94"/>
      <c r="Z12" s="134" t="s">
        <v>85</v>
      </c>
      <c r="AA12" s="370">
        <v>1400000</v>
      </c>
      <c r="AB12" s="94">
        <v>5853</v>
      </c>
      <c r="AC12" s="235">
        <v>1176470</v>
      </c>
      <c r="AD12" s="235">
        <f t="shared" si="0"/>
        <v>1399999.3</v>
      </c>
      <c r="AE12" s="219">
        <v>700000</v>
      </c>
      <c r="AF12" s="94"/>
      <c r="AG12" s="214"/>
      <c r="AH12" s="334">
        <v>45797</v>
      </c>
      <c r="AI12" s="335">
        <v>45807</v>
      </c>
      <c r="AJ12" s="94" t="s">
        <v>1705</v>
      </c>
      <c r="AK12" s="94"/>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row>
    <row r="13" spans="1:149" s="336" customFormat="1" ht="75" x14ac:dyDescent="0.25">
      <c r="A13" s="351">
        <v>2025</v>
      </c>
      <c r="B13" s="352">
        <v>5</v>
      </c>
      <c r="C13" s="351">
        <v>22625</v>
      </c>
      <c r="D13" s="274">
        <v>45782</v>
      </c>
      <c r="E13" s="90" t="s">
        <v>1455</v>
      </c>
      <c r="F13" s="90" t="s">
        <v>1456</v>
      </c>
      <c r="G13" s="94" t="s">
        <v>173</v>
      </c>
      <c r="H13" s="90" t="s">
        <v>1457</v>
      </c>
      <c r="I13" s="94">
        <v>6044017891</v>
      </c>
      <c r="J13" s="89">
        <v>45793</v>
      </c>
      <c r="K13" s="311" t="s">
        <v>88</v>
      </c>
      <c r="L13" s="91" t="s">
        <v>1458</v>
      </c>
      <c r="M13" s="94" t="s">
        <v>136</v>
      </c>
      <c r="N13" s="94">
        <v>5923</v>
      </c>
      <c r="O13" s="94">
        <v>6162</v>
      </c>
      <c r="P13" s="94">
        <v>8696</v>
      </c>
      <c r="Q13" s="94">
        <v>5487</v>
      </c>
      <c r="R13" s="94" t="s">
        <v>134</v>
      </c>
      <c r="S13" s="94" t="s">
        <v>134</v>
      </c>
      <c r="T13" s="94" t="s">
        <v>134</v>
      </c>
      <c r="U13" s="94" t="s">
        <v>136</v>
      </c>
      <c r="V13" s="308" t="s">
        <v>87</v>
      </c>
      <c r="W13" s="89">
        <v>45796</v>
      </c>
      <c r="X13" s="89">
        <v>45800</v>
      </c>
      <c r="Y13" s="94"/>
      <c r="Z13" s="134" t="s">
        <v>85</v>
      </c>
      <c r="AA13" s="219">
        <v>9746977</v>
      </c>
      <c r="AB13" s="94">
        <v>5856</v>
      </c>
      <c r="AC13" s="235">
        <v>8190737</v>
      </c>
      <c r="AD13" s="235">
        <f>AC13*1.19</f>
        <v>9746977.0299999993</v>
      </c>
      <c r="AE13" s="155"/>
      <c r="AF13" s="94"/>
      <c r="AG13" s="214"/>
      <c r="AH13" s="334">
        <v>45796</v>
      </c>
      <c r="AI13" s="89">
        <v>45800</v>
      </c>
      <c r="AJ13" s="94" t="s">
        <v>1705</v>
      </c>
      <c r="AK13" s="94"/>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row>
    <row r="14" spans="1:149" s="336" customFormat="1" ht="60" x14ac:dyDescent="0.25">
      <c r="A14" s="356">
        <v>2025</v>
      </c>
      <c r="B14" s="357">
        <v>5</v>
      </c>
      <c r="C14" s="161">
        <v>22626</v>
      </c>
      <c r="D14" s="278">
        <v>45782</v>
      </c>
      <c r="E14" s="100" t="s">
        <v>1696</v>
      </c>
      <c r="F14" s="100" t="s">
        <v>815</v>
      </c>
      <c r="G14" s="99" t="s">
        <v>143</v>
      </c>
      <c r="H14" s="99">
        <v>3103965158</v>
      </c>
      <c r="I14" s="99">
        <v>4488838</v>
      </c>
      <c r="J14" s="97">
        <v>45793</v>
      </c>
      <c r="K14" s="347" t="s">
        <v>99</v>
      </c>
      <c r="L14" s="101" t="s">
        <v>1454</v>
      </c>
      <c r="M14" s="99" t="s">
        <v>136</v>
      </c>
      <c r="N14" s="99">
        <v>5921</v>
      </c>
      <c r="O14" s="99">
        <v>6163</v>
      </c>
      <c r="P14" s="99" t="s">
        <v>136</v>
      </c>
      <c r="Q14" s="99" t="s">
        <v>136</v>
      </c>
      <c r="R14" s="99" t="s">
        <v>136</v>
      </c>
      <c r="S14" s="99" t="s">
        <v>134</v>
      </c>
      <c r="T14" s="99" t="s">
        <v>134</v>
      </c>
      <c r="U14" s="99" t="s">
        <v>136</v>
      </c>
      <c r="V14" s="348" t="s">
        <v>87</v>
      </c>
      <c r="W14" s="97">
        <v>45790</v>
      </c>
      <c r="X14" s="97">
        <v>45820</v>
      </c>
      <c r="Y14" s="99"/>
      <c r="Z14" s="120" t="s">
        <v>85</v>
      </c>
      <c r="AA14" s="368">
        <v>0</v>
      </c>
      <c r="AB14" s="99">
        <v>5854</v>
      </c>
      <c r="AC14" s="198">
        <v>1668163</v>
      </c>
      <c r="AD14" s="198">
        <f t="shared" si="0"/>
        <v>1985113.97</v>
      </c>
      <c r="AE14" s="117">
        <v>750000</v>
      </c>
      <c r="AF14" s="99"/>
      <c r="AG14" s="104" t="s">
        <v>2100</v>
      </c>
      <c r="AH14" s="258">
        <v>45798</v>
      </c>
      <c r="AI14" s="97">
        <v>45821</v>
      </c>
      <c r="AJ14" s="99" t="s">
        <v>1705</v>
      </c>
      <c r="AK14" s="94"/>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row>
    <row r="15" spans="1:149" s="336" customFormat="1" ht="90" x14ac:dyDescent="0.25">
      <c r="A15" s="351">
        <v>2025</v>
      </c>
      <c r="B15" s="352">
        <v>5</v>
      </c>
      <c r="C15" s="351">
        <v>22627</v>
      </c>
      <c r="D15" s="274">
        <v>45782</v>
      </c>
      <c r="E15" s="90" t="s">
        <v>848</v>
      </c>
      <c r="F15" s="90" t="s">
        <v>1088</v>
      </c>
      <c r="G15" s="94" t="s">
        <v>150</v>
      </c>
      <c r="H15" s="94">
        <v>4483227</v>
      </c>
      <c r="I15" s="94">
        <v>4483227</v>
      </c>
      <c r="J15" s="89">
        <v>45797</v>
      </c>
      <c r="K15" s="311" t="s">
        <v>88</v>
      </c>
      <c r="L15" s="91" t="s">
        <v>1459</v>
      </c>
      <c r="M15" s="90" t="s">
        <v>1089</v>
      </c>
      <c r="N15" s="94">
        <v>5922</v>
      </c>
      <c r="O15" s="94">
        <v>6164</v>
      </c>
      <c r="P15" s="94">
        <v>8946</v>
      </c>
      <c r="Q15" s="94" t="s">
        <v>136</v>
      </c>
      <c r="R15" s="94" t="s">
        <v>136</v>
      </c>
      <c r="S15" s="94" t="s">
        <v>134</v>
      </c>
      <c r="T15" s="94" t="s">
        <v>134</v>
      </c>
      <c r="U15" s="94" t="s">
        <v>136</v>
      </c>
      <c r="V15" s="308" t="s">
        <v>89</v>
      </c>
      <c r="W15" s="89">
        <v>45796</v>
      </c>
      <c r="X15" s="89">
        <v>45812</v>
      </c>
      <c r="Y15" s="94"/>
      <c r="Z15" s="134" t="s">
        <v>92</v>
      </c>
      <c r="AA15" s="370">
        <v>0</v>
      </c>
      <c r="AB15" s="94">
        <v>5918</v>
      </c>
      <c r="AC15" s="235">
        <v>5907642</v>
      </c>
      <c r="AD15" s="235">
        <f t="shared" si="0"/>
        <v>7030093.9799999995</v>
      </c>
      <c r="AE15" s="219">
        <v>0</v>
      </c>
      <c r="AF15" s="94"/>
      <c r="AG15" s="214" t="s">
        <v>1911</v>
      </c>
      <c r="AH15" s="234"/>
      <c r="AI15" s="89">
        <v>45813</v>
      </c>
      <c r="AJ15" s="94" t="s">
        <v>1705</v>
      </c>
      <c r="AK15" s="94"/>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row>
    <row r="16" spans="1:149" s="155" customFormat="1" ht="45" x14ac:dyDescent="0.25">
      <c r="A16" s="152">
        <v>2025</v>
      </c>
      <c r="B16" s="379">
        <v>5</v>
      </c>
      <c r="C16" s="152">
        <v>22628</v>
      </c>
      <c r="D16" s="277">
        <v>45785</v>
      </c>
      <c r="E16" s="111" t="s">
        <v>1578</v>
      </c>
      <c r="F16" s="111" t="s">
        <v>1578</v>
      </c>
      <c r="G16" s="110" t="s">
        <v>143</v>
      </c>
      <c r="H16" s="110">
        <v>3153832466</v>
      </c>
      <c r="I16" s="110">
        <v>3153832466</v>
      </c>
      <c r="J16" s="108">
        <v>45793</v>
      </c>
      <c r="K16" s="243" t="s">
        <v>84</v>
      </c>
      <c r="L16" s="112" t="s">
        <v>1579</v>
      </c>
      <c r="M16" s="110" t="s">
        <v>136</v>
      </c>
      <c r="N16" s="110">
        <v>5932</v>
      </c>
      <c r="O16" s="110">
        <v>6172</v>
      </c>
      <c r="P16" s="110" t="s">
        <v>136</v>
      </c>
      <c r="Q16" s="110" t="s">
        <v>136</v>
      </c>
      <c r="R16" s="110" t="s">
        <v>136</v>
      </c>
      <c r="S16" s="110" t="s">
        <v>136</v>
      </c>
      <c r="T16" s="110" t="s">
        <v>136</v>
      </c>
      <c r="U16" s="110" t="s">
        <v>136</v>
      </c>
      <c r="V16" s="154" t="s">
        <v>119</v>
      </c>
      <c r="W16" s="108">
        <v>45791</v>
      </c>
      <c r="X16" s="108">
        <v>45791</v>
      </c>
      <c r="Y16" s="94"/>
      <c r="Z16" s="126" t="s">
        <v>85</v>
      </c>
      <c r="AA16" s="380">
        <v>320000</v>
      </c>
      <c r="AB16" s="110">
        <v>5849</v>
      </c>
      <c r="AC16" s="212">
        <v>268908</v>
      </c>
      <c r="AD16" s="212">
        <f t="shared" si="0"/>
        <v>320000.51999999996</v>
      </c>
      <c r="AE16" s="130">
        <v>160000</v>
      </c>
      <c r="AF16" s="94"/>
      <c r="AG16" s="142" t="s">
        <v>1700</v>
      </c>
      <c r="AH16" s="248">
        <v>45791</v>
      </c>
      <c r="AI16" s="108">
        <v>45807</v>
      </c>
      <c r="AJ16" s="110" t="s">
        <v>1705</v>
      </c>
      <c r="AK16" s="110"/>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row>
    <row r="17" spans="1:89" s="207" customFormat="1" ht="45" x14ac:dyDescent="0.25">
      <c r="A17" s="356">
        <v>2025</v>
      </c>
      <c r="B17" s="357">
        <v>5</v>
      </c>
      <c r="C17" s="161">
        <v>22629</v>
      </c>
      <c r="D17" s="278">
        <v>45783</v>
      </c>
      <c r="E17" s="100" t="s">
        <v>1541</v>
      </c>
      <c r="F17" s="100" t="s">
        <v>1542</v>
      </c>
      <c r="G17" s="99" t="s">
        <v>173</v>
      </c>
      <c r="H17" s="99">
        <v>3015081546</v>
      </c>
      <c r="I17" s="99">
        <v>4805024</v>
      </c>
      <c r="J17" s="97">
        <v>45790</v>
      </c>
      <c r="K17" s="347" t="s">
        <v>88</v>
      </c>
      <c r="L17" s="101" t="s">
        <v>1543</v>
      </c>
      <c r="M17" s="99" t="s">
        <v>136</v>
      </c>
      <c r="N17" s="99" t="s">
        <v>136</v>
      </c>
      <c r="O17" s="99">
        <v>6166</v>
      </c>
      <c r="P17" s="99">
        <v>8192</v>
      </c>
      <c r="Q17" s="99" t="s">
        <v>136</v>
      </c>
      <c r="R17" s="99" t="s">
        <v>136</v>
      </c>
      <c r="S17" s="99" t="s">
        <v>136</v>
      </c>
      <c r="T17" s="99" t="s">
        <v>136</v>
      </c>
      <c r="U17" s="99" t="s">
        <v>136</v>
      </c>
      <c r="V17" s="348" t="s">
        <v>87</v>
      </c>
      <c r="W17" s="97">
        <v>45785</v>
      </c>
      <c r="X17" s="97">
        <v>45791</v>
      </c>
      <c r="Y17" s="99"/>
      <c r="Z17" s="120" t="s">
        <v>85</v>
      </c>
      <c r="AA17" s="368">
        <v>0</v>
      </c>
      <c r="AB17" s="99">
        <v>5832</v>
      </c>
      <c r="AC17" s="198">
        <v>1405367</v>
      </c>
      <c r="AD17" s="198">
        <f t="shared" ref="AD17:AD80" si="1">AC17*1.19</f>
        <v>1672386.73</v>
      </c>
      <c r="AE17" s="117">
        <v>836200</v>
      </c>
      <c r="AF17" s="99"/>
      <c r="AG17" s="104" t="s">
        <v>1775</v>
      </c>
      <c r="AH17" s="258">
        <v>45789</v>
      </c>
      <c r="AI17" s="97">
        <v>45786</v>
      </c>
      <c r="AJ17" s="99" t="s">
        <v>571</v>
      </c>
      <c r="AK17" s="99"/>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c r="CE17" s="65"/>
      <c r="CF17" s="65"/>
      <c r="CG17" s="65"/>
      <c r="CH17" s="65"/>
      <c r="CI17" s="65"/>
      <c r="CJ17" s="65"/>
      <c r="CK17" s="65"/>
    </row>
    <row r="18" spans="1:89" s="336" customFormat="1" ht="45" x14ac:dyDescent="0.25">
      <c r="A18" s="356">
        <v>2025</v>
      </c>
      <c r="B18" s="357">
        <v>5</v>
      </c>
      <c r="C18" s="356">
        <v>22630</v>
      </c>
      <c r="D18" s="278">
        <v>45783</v>
      </c>
      <c r="E18" s="100" t="s">
        <v>1576</v>
      </c>
      <c r="F18" s="100" t="s">
        <v>1576</v>
      </c>
      <c r="G18" s="99" t="s">
        <v>143</v>
      </c>
      <c r="H18" s="99">
        <v>3137441370</v>
      </c>
      <c r="I18" s="99">
        <v>3137441370</v>
      </c>
      <c r="J18" s="97">
        <v>45797</v>
      </c>
      <c r="K18" s="347" t="s">
        <v>84</v>
      </c>
      <c r="L18" s="101" t="s">
        <v>1577</v>
      </c>
      <c r="M18" s="99" t="s">
        <v>136</v>
      </c>
      <c r="N18" s="99">
        <v>5927</v>
      </c>
      <c r="O18" s="99">
        <v>6167</v>
      </c>
      <c r="P18" s="99">
        <v>8985</v>
      </c>
      <c r="Q18" s="99" t="s">
        <v>136</v>
      </c>
      <c r="R18" s="99" t="s">
        <v>134</v>
      </c>
      <c r="S18" s="99" t="s">
        <v>134</v>
      </c>
      <c r="T18" s="99" t="s">
        <v>134</v>
      </c>
      <c r="U18" s="99" t="s">
        <v>136</v>
      </c>
      <c r="V18" s="348" t="s">
        <v>87</v>
      </c>
      <c r="W18" s="97">
        <v>45790</v>
      </c>
      <c r="X18" s="97">
        <v>45800</v>
      </c>
      <c r="Y18" s="99"/>
      <c r="Z18" s="120" t="s">
        <v>85</v>
      </c>
      <c r="AA18" s="368">
        <v>850000</v>
      </c>
      <c r="AB18" s="99"/>
      <c r="AC18" s="198">
        <v>714285</v>
      </c>
      <c r="AD18" s="198">
        <f t="shared" si="1"/>
        <v>849999.14999999991</v>
      </c>
      <c r="AE18" s="117">
        <v>0</v>
      </c>
      <c r="AF18" s="99"/>
      <c r="AG18" s="104"/>
      <c r="AH18" s="258">
        <v>45783</v>
      </c>
      <c r="AI18" s="97">
        <v>45800</v>
      </c>
      <c r="AJ18" s="99" t="s">
        <v>1705</v>
      </c>
      <c r="AK18" s="99"/>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c r="CE18" s="65"/>
      <c r="CF18" s="65"/>
      <c r="CG18" s="65"/>
      <c r="CH18" s="65"/>
      <c r="CI18" s="65"/>
      <c r="CJ18" s="65"/>
      <c r="CK18" s="65"/>
    </row>
    <row r="19" spans="1:89" s="336" customFormat="1" ht="105" x14ac:dyDescent="0.25">
      <c r="A19" s="351">
        <v>2025</v>
      </c>
      <c r="B19" s="352">
        <v>5</v>
      </c>
      <c r="C19" s="351">
        <v>22631</v>
      </c>
      <c r="D19" s="274">
        <v>45784</v>
      </c>
      <c r="E19" s="90" t="s">
        <v>1573</v>
      </c>
      <c r="F19" s="90" t="s">
        <v>1573</v>
      </c>
      <c r="G19" s="94" t="s">
        <v>143</v>
      </c>
      <c r="H19" s="94">
        <v>3004094656</v>
      </c>
      <c r="I19" s="94">
        <v>3004094656</v>
      </c>
      <c r="J19" s="89">
        <v>45798</v>
      </c>
      <c r="K19" s="311" t="s">
        <v>84</v>
      </c>
      <c r="L19" s="91" t="s">
        <v>1574</v>
      </c>
      <c r="M19" s="94" t="s">
        <v>136</v>
      </c>
      <c r="N19" s="94">
        <v>5930</v>
      </c>
      <c r="O19" s="94">
        <v>6168</v>
      </c>
      <c r="P19" s="90" t="s">
        <v>1575</v>
      </c>
      <c r="Q19" s="94">
        <v>5540</v>
      </c>
      <c r="R19" s="94" t="s">
        <v>136</v>
      </c>
      <c r="S19" s="94" t="s">
        <v>134</v>
      </c>
      <c r="T19" s="94" t="s">
        <v>134</v>
      </c>
      <c r="U19" s="94" t="s">
        <v>136</v>
      </c>
      <c r="V19" s="308" t="s">
        <v>87</v>
      </c>
      <c r="W19" s="89">
        <v>45793</v>
      </c>
      <c r="X19" s="89">
        <v>45806</v>
      </c>
      <c r="Y19" s="94"/>
      <c r="Z19" s="134" t="s">
        <v>85</v>
      </c>
      <c r="AA19" s="370">
        <v>0</v>
      </c>
      <c r="AB19" s="94">
        <v>5857</v>
      </c>
      <c r="AC19" s="235">
        <v>7689075</v>
      </c>
      <c r="AD19" s="235">
        <v>9150000</v>
      </c>
      <c r="AE19" s="219">
        <v>650000</v>
      </c>
      <c r="AF19" s="94"/>
      <c r="AG19" s="214" t="s">
        <v>1893</v>
      </c>
      <c r="AH19" s="234"/>
      <c r="AI19" s="89">
        <v>45814</v>
      </c>
      <c r="AJ19" s="94" t="s">
        <v>1705</v>
      </c>
      <c r="AK19" s="94"/>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c r="CE19" s="65"/>
      <c r="CF19" s="65"/>
      <c r="CG19" s="65"/>
      <c r="CH19" s="65"/>
      <c r="CI19" s="65"/>
      <c r="CJ19" s="65"/>
      <c r="CK19" s="65"/>
    </row>
    <row r="20" spans="1:89" s="336" customFormat="1" ht="30" x14ac:dyDescent="0.25">
      <c r="A20" s="152">
        <v>2025</v>
      </c>
      <c r="B20" s="379">
        <v>5</v>
      </c>
      <c r="C20" s="148">
        <v>22632</v>
      </c>
      <c r="D20" s="277">
        <v>45784</v>
      </c>
      <c r="E20" s="111" t="s">
        <v>1571</v>
      </c>
      <c r="F20" s="111" t="s">
        <v>1571</v>
      </c>
      <c r="G20" s="110" t="s">
        <v>143</v>
      </c>
      <c r="H20" s="110">
        <v>3108032892</v>
      </c>
      <c r="I20" s="110">
        <v>3108032892</v>
      </c>
      <c r="J20" s="108">
        <v>45794</v>
      </c>
      <c r="K20" s="243" t="s">
        <v>84</v>
      </c>
      <c r="L20" s="112" t="s">
        <v>1572</v>
      </c>
      <c r="M20" s="110" t="s">
        <v>136</v>
      </c>
      <c r="N20" s="110">
        <v>5928</v>
      </c>
      <c r="O20" s="110" t="s">
        <v>136</v>
      </c>
      <c r="P20" s="110" t="s">
        <v>136</v>
      </c>
      <c r="Q20" s="110" t="s">
        <v>136</v>
      </c>
      <c r="R20" s="110" t="s">
        <v>136</v>
      </c>
      <c r="S20" s="110" t="s">
        <v>136</v>
      </c>
      <c r="T20" s="110" t="s">
        <v>136</v>
      </c>
      <c r="U20" s="110" t="s">
        <v>136</v>
      </c>
      <c r="V20" s="154" t="s">
        <v>87</v>
      </c>
      <c r="W20" s="108">
        <v>45790</v>
      </c>
      <c r="X20" s="108">
        <v>45794</v>
      </c>
      <c r="Y20" s="110"/>
      <c r="Z20" s="126" t="s">
        <v>85</v>
      </c>
      <c r="AA20" s="380">
        <v>0</v>
      </c>
      <c r="AB20" s="110">
        <v>5844</v>
      </c>
      <c r="AC20" s="212">
        <v>292436</v>
      </c>
      <c r="AD20" s="212">
        <f t="shared" si="1"/>
        <v>347998.83999999997</v>
      </c>
      <c r="AE20" s="130">
        <v>174000</v>
      </c>
      <c r="AF20" s="110"/>
      <c r="AG20" s="142" t="s">
        <v>1773</v>
      </c>
      <c r="AH20" s="248">
        <v>45794</v>
      </c>
      <c r="AI20" s="108">
        <v>45785</v>
      </c>
      <c r="AJ20" s="110" t="s">
        <v>571</v>
      </c>
      <c r="AK20" s="110"/>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5"/>
      <c r="CI20" s="65"/>
      <c r="CJ20" s="65"/>
      <c r="CK20" s="65"/>
    </row>
    <row r="21" spans="1:89" s="336" customFormat="1" ht="30" x14ac:dyDescent="0.25">
      <c r="A21" s="351">
        <v>2025</v>
      </c>
      <c r="B21" s="352">
        <v>5</v>
      </c>
      <c r="C21" s="351">
        <v>22633</v>
      </c>
      <c r="D21" s="274">
        <v>45785</v>
      </c>
      <c r="E21" s="366" t="s">
        <v>1568</v>
      </c>
      <c r="F21" s="90" t="s">
        <v>662</v>
      </c>
      <c r="G21" s="94" t="s">
        <v>98</v>
      </c>
      <c r="H21" s="90" t="s">
        <v>1569</v>
      </c>
      <c r="I21" s="94">
        <v>6043266900</v>
      </c>
      <c r="J21" s="89">
        <v>45793</v>
      </c>
      <c r="K21" s="311" t="s">
        <v>94</v>
      </c>
      <c r="L21" s="91" t="s">
        <v>1570</v>
      </c>
      <c r="M21" s="94" t="s">
        <v>136</v>
      </c>
      <c r="N21" s="94" t="s">
        <v>136</v>
      </c>
      <c r="O21" s="94" t="s">
        <v>136</v>
      </c>
      <c r="P21" s="94">
        <v>8460</v>
      </c>
      <c r="Q21" s="94" t="s">
        <v>136</v>
      </c>
      <c r="R21" s="94" t="s">
        <v>136</v>
      </c>
      <c r="S21" s="94" t="s">
        <v>136</v>
      </c>
      <c r="T21" s="94" t="s">
        <v>136</v>
      </c>
      <c r="U21" s="94" t="s">
        <v>136</v>
      </c>
      <c r="V21" s="308" t="s">
        <v>119</v>
      </c>
      <c r="W21" s="89">
        <v>45811</v>
      </c>
      <c r="X21" s="89">
        <v>45828</v>
      </c>
      <c r="Y21" s="94"/>
      <c r="Z21" s="134" t="s">
        <v>85</v>
      </c>
      <c r="AA21" s="370">
        <v>71400</v>
      </c>
      <c r="AB21" s="94">
        <v>5912</v>
      </c>
      <c r="AC21" s="235">
        <v>60000</v>
      </c>
      <c r="AD21" s="235">
        <f t="shared" si="1"/>
        <v>71400</v>
      </c>
      <c r="AE21" s="219">
        <v>0</v>
      </c>
      <c r="AF21" s="94"/>
      <c r="AG21" s="214" t="s">
        <v>2231</v>
      </c>
      <c r="AH21" s="441">
        <v>45783</v>
      </c>
      <c r="AI21" s="89">
        <v>45836</v>
      </c>
      <c r="AJ21" s="94" t="s">
        <v>1705</v>
      </c>
      <c r="AK21" s="94"/>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c r="CE21" s="65"/>
      <c r="CF21" s="65"/>
      <c r="CG21" s="65"/>
      <c r="CH21" s="65"/>
      <c r="CI21" s="65"/>
      <c r="CJ21" s="65"/>
      <c r="CK21" s="65"/>
    </row>
    <row r="22" spans="1:89" s="336" customFormat="1" ht="90" x14ac:dyDescent="0.25">
      <c r="A22" s="351">
        <v>2025</v>
      </c>
      <c r="B22" s="352">
        <v>5</v>
      </c>
      <c r="C22" s="351">
        <v>22634</v>
      </c>
      <c r="D22" s="274">
        <v>45785</v>
      </c>
      <c r="E22" s="90" t="s">
        <v>1598</v>
      </c>
      <c r="F22" s="90" t="s">
        <v>1599</v>
      </c>
      <c r="G22" s="94" t="s">
        <v>98</v>
      </c>
      <c r="H22" s="94">
        <v>3005190957</v>
      </c>
      <c r="I22" s="90" t="s">
        <v>1600</v>
      </c>
      <c r="J22" s="89">
        <v>45797</v>
      </c>
      <c r="K22" s="311" t="s">
        <v>88</v>
      </c>
      <c r="L22" s="91" t="s">
        <v>1601</v>
      </c>
      <c r="M22" s="94" t="s">
        <v>136</v>
      </c>
      <c r="N22" s="94">
        <v>5937</v>
      </c>
      <c r="O22" s="94">
        <v>6173</v>
      </c>
      <c r="P22" s="94">
        <v>8970</v>
      </c>
      <c r="Q22" s="94" t="s">
        <v>136</v>
      </c>
      <c r="R22" s="94" t="s">
        <v>134</v>
      </c>
      <c r="S22" s="94" t="s">
        <v>134</v>
      </c>
      <c r="T22" s="94" t="s">
        <v>134</v>
      </c>
      <c r="U22" s="94" t="s">
        <v>136</v>
      </c>
      <c r="V22" s="308" t="s">
        <v>119</v>
      </c>
      <c r="W22" s="89">
        <v>45796</v>
      </c>
      <c r="X22" s="89">
        <v>45797</v>
      </c>
      <c r="Y22" s="94"/>
      <c r="Z22" s="134" t="s">
        <v>85</v>
      </c>
      <c r="AA22" s="370">
        <v>1784525</v>
      </c>
      <c r="AB22" s="94">
        <v>5861</v>
      </c>
      <c r="AC22" s="235">
        <v>1499601</v>
      </c>
      <c r="AD22" s="235">
        <f t="shared" si="1"/>
        <v>1784525.19</v>
      </c>
      <c r="AE22" s="219">
        <v>749800</v>
      </c>
      <c r="AF22" s="94"/>
      <c r="AG22" s="214" t="s">
        <v>1896</v>
      </c>
      <c r="AH22" s="334">
        <v>45797</v>
      </c>
      <c r="AI22" s="89">
        <v>45807</v>
      </c>
      <c r="AJ22" s="94" t="s">
        <v>1705</v>
      </c>
      <c r="AK22" s="94"/>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c r="CE22" s="65"/>
      <c r="CF22" s="65"/>
      <c r="CG22" s="65"/>
      <c r="CH22" s="65"/>
      <c r="CI22" s="65"/>
      <c r="CJ22" s="65"/>
      <c r="CK22" s="65"/>
    </row>
    <row r="23" spans="1:89" s="336" customFormat="1" ht="45" customHeight="1" x14ac:dyDescent="0.25">
      <c r="A23" s="351">
        <v>2025</v>
      </c>
      <c r="B23" s="352">
        <v>5</v>
      </c>
      <c r="C23" s="358">
        <v>22635</v>
      </c>
      <c r="D23" s="274">
        <v>45785</v>
      </c>
      <c r="E23" s="90" t="s">
        <v>1596</v>
      </c>
      <c r="F23" s="90" t="s">
        <v>1596</v>
      </c>
      <c r="G23" s="94" t="s">
        <v>98</v>
      </c>
      <c r="H23" s="94">
        <v>3218260481</v>
      </c>
      <c r="I23" s="94">
        <v>3218260481</v>
      </c>
      <c r="J23" s="89">
        <v>45796</v>
      </c>
      <c r="K23" s="311" t="s">
        <v>86</v>
      </c>
      <c r="L23" s="91" t="s">
        <v>1597</v>
      </c>
      <c r="M23" s="94" t="s">
        <v>136</v>
      </c>
      <c r="N23" s="94">
        <v>5936</v>
      </c>
      <c r="O23" s="94" t="s">
        <v>136</v>
      </c>
      <c r="P23" s="94" t="s">
        <v>136</v>
      </c>
      <c r="Q23" s="94" t="s">
        <v>136</v>
      </c>
      <c r="R23" s="94" t="s">
        <v>136</v>
      </c>
      <c r="S23" s="94" t="s">
        <v>136</v>
      </c>
      <c r="T23" s="94" t="s">
        <v>136</v>
      </c>
      <c r="U23" s="94" t="s">
        <v>136</v>
      </c>
      <c r="V23" s="308" t="s">
        <v>119</v>
      </c>
      <c r="W23" s="89">
        <v>45796</v>
      </c>
      <c r="X23" s="89">
        <v>45803</v>
      </c>
      <c r="Y23" s="94"/>
      <c r="Z23" s="134" t="s">
        <v>85</v>
      </c>
      <c r="AA23" s="370">
        <v>380000</v>
      </c>
      <c r="AB23" s="94">
        <v>5859</v>
      </c>
      <c r="AC23" s="235">
        <v>319328</v>
      </c>
      <c r="AD23" s="235">
        <f t="shared" si="1"/>
        <v>380000.32</v>
      </c>
      <c r="AE23" s="219">
        <v>250000</v>
      </c>
      <c r="AF23" s="94"/>
      <c r="AG23" s="214"/>
      <c r="AH23" s="334">
        <v>45803</v>
      </c>
      <c r="AI23" s="89">
        <v>45807</v>
      </c>
      <c r="AJ23" s="94" t="s">
        <v>1705</v>
      </c>
      <c r="AK23" s="94"/>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c r="CE23" s="65"/>
      <c r="CF23" s="65"/>
      <c r="CG23" s="65"/>
      <c r="CH23" s="65"/>
      <c r="CI23" s="65"/>
      <c r="CJ23" s="65"/>
      <c r="CK23" s="65"/>
    </row>
    <row r="24" spans="1:89" s="336" customFormat="1" ht="45" x14ac:dyDescent="0.25">
      <c r="A24" s="351">
        <v>2025</v>
      </c>
      <c r="B24" s="352">
        <v>5</v>
      </c>
      <c r="C24" s="351">
        <v>22636</v>
      </c>
      <c r="D24" s="274">
        <v>45785</v>
      </c>
      <c r="E24" s="90" t="s">
        <v>1593</v>
      </c>
      <c r="F24" s="90" t="s">
        <v>1594</v>
      </c>
      <c r="G24" s="94" t="s">
        <v>98</v>
      </c>
      <c r="H24" s="94">
        <v>3137506526</v>
      </c>
      <c r="I24" s="94">
        <v>4300600</v>
      </c>
      <c r="J24" s="89">
        <v>45793</v>
      </c>
      <c r="K24" s="311" t="s">
        <v>88</v>
      </c>
      <c r="L24" s="91" t="s">
        <v>1595</v>
      </c>
      <c r="M24" s="94" t="s">
        <v>136</v>
      </c>
      <c r="N24" s="94">
        <v>5935</v>
      </c>
      <c r="O24" s="94" t="s">
        <v>136</v>
      </c>
      <c r="P24" s="94" t="s">
        <v>136</v>
      </c>
      <c r="Q24" s="94" t="s">
        <v>136</v>
      </c>
      <c r="R24" s="94" t="s">
        <v>136</v>
      </c>
      <c r="S24" s="94" t="s">
        <v>136</v>
      </c>
      <c r="T24" s="94" t="s">
        <v>136</v>
      </c>
      <c r="U24" s="94" t="s">
        <v>136</v>
      </c>
      <c r="V24" s="308" t="s">
        <v>119</v>
      </c>
      <c r="W24" s="89"/>
      <c r="X24" s="89"/>
      <c r="Y24" s="94"/>
      <c r="Z24" s="134" t="s">
        <v>114</v>
      </c>
      <c r="AA24" s="370">
        <v>0</v>
      </c>
      <c r="AB24" s="94"/>
      <c r="AC24" s="235">
        <v>310924</v>
      </c>
      <c r="AD24" s="235">
        <f t="shared" si="1"/>
        <v>369999.56</v>
      </c>
      <c r="AE24" s="219">
        <v>185000</v>
      </c>
      <c r="AF24" s="94"/>
      <c r="AG24" s="214"/>
      <c r="AH24" s="234"/>
      <c r="AI24" s="89">
        <v>45787</v>
      </c>
      <c r="AJ24" s="94" t="s">
        <v>571</v>
      </c>
      <c r="AK24" s="94"/>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c r="CE24" s="65"/>
      <c r="CF24" s="65"/>
      <c r="CG24" s="65"/>
      <c r="CH24" s="65"/>
      <c r="CI24" s="65"/>
      <c r="CJ24" s="65"/>
      <c r="CK24" s="65"/>
    </row>
    <row r="25" spans="1:89" s="336" customFormat="1" ht="75" x14ac:dyDescent="0.25">
      <c r="A25" s="351">
        <v>2025</v>
      </c>
      <c r="B25" s="352">
        <v>5</v>
      </c>
      <c r="C25" s="351">
        <v>22637</v>
      </c>
      <c r="D25" s="274">
        <v>45785</v>
      </c>
      <c r="E25" s="90" t="s">
        <v>1566</v>
      </c>
      <c r="F25" s="90" t="s">
        <v>1566</v>
      </c>
      <c r="G25" s="94" t="s">
        <v>143</v>
      </c>
      <c r="H25" s="94">
        <v>312887712</v>
      </c>
      <c r="I25" s="94">
        <v>312887712</v>
      </c>
      <c r="J25" s="89"/>
      <c r="K25" s="311" t="s">
        <v>84</v>
      </c>
      <c r="L25" s="91" t="s">
        <v>1567</v>
      </c>
      <c r="M25" s="94" t="s">
        <v>282</v>
      </c>
      <c r="N25" s="94" t="s">
        <v>136</v>
      </c>
      <c r="O25" s="94">
        <v>8982</v>
      </c>
      <c r="P25" s="94" t="s">
        <v>136</v>
      </c>
      <c r="Q25" s="94" t="s">
        <v>136</v>
      </c>
      <c r="R25" s="94" t="s">
        <v>136</v>
      </c>
      <c r="S25" s="94" t="s">
        <v>134</v>
      </c>
      <c r="T25" s="94" t="s">
        <v>134</v>
      </c>
      <c r="U25" s="94" t="s">
        <v>136</v>
      </c>
      <c r="V25" s="308" t="s">
        <v>590</v>
      </c>
      <c r="W25" s="89">
        <v>45796</v>
      </c>
      <c r="X25" s="89">
        <v>45799</v>
      </c>
      <c r="Y25" s="94"/>
      <c r="Z25" s="134" t="s">
        <v>85</v>
      </c>
      <c r="AA25" s="370">
        <v>887366</v>
      </c>
      <c r="AB25" s="94">
        <v>5864</v>
      </c>
      <c r="AC25" s="235">
        <v>745686</v>
      </c>
      <c r="AD25" s="235">
        <f t="shared" si="1"/>
        <v>887366.34</v>
      </c>
      <c r="AE25" s="219">
        <v>443683</v>
      </c>
      <c r="AF25" s="94"/>
      <c r="AG25" s="214"/>
      <c r="AH25" s="334">
        <v>45797</v>
      </c>
      <c r="AI25" s="89">
        <v>45807</v>
      </c>
      <c r="AJ25" s="94" t="s">
        <v>1705</v>
      </c>
      <c r="AK25" s="94"/>
      <c r="AL25" s="393"/>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c r="CE25" s="65"/>
      <c r="CF25" s="65"/>
      <c r="CG25" s="65"/>
      <c r="CH25" s="65"/>
      <c r="CI25" s="65"/>
      <c r="CJ25" s="65"/>
      <c r="CK25" s="65"/>
    </row>
    <row r="26" spans="1:89" ht="38.25" customHeight="1" x14ac:dyDescent="0.25">
      <c r="A26" s="351">
        <v>2025</v>
      </c>
      <c r="B26" s="352">
        <v>5</v>
      </c>
      <c r="C26" s="358">
        <v>22638</v>
      </c>
      <c r="D26" s="274">
        <v>45787</v>
      </c>
      <c r="E26" s="90" t="s">
        <v>1703</v>
      </c>
      <c r="F26" s="90" t="s">
        <v>1703</v>
      </c>
      <c r="G26" s="94" t="s">
        <v>143</v>
      </c>
      <c r="H26" s="94">
        <v>3123677425</v>
      </c>
      <c r="I26" s="94">
        <v>3123677425</v>
      </c>
      <c r="J26" s="89">
        <v>45800</v>
      </c>
      <c r="K26" s="311" t="s">
        <v>84</v>
      </c>
      <c r="L26" s="91" t="s">
        <v>1704</v>
      </c>
      <c r="M26" s="94" t="s">
        <v>136</v>
      </c>
      <c r="N26" s="94">
        <v>5944</v>
      </c>
      <c r="O26" s="94">
        <v>6174</v>
      </c>
      <c r="P26" s="94" t="s">
        <v>136</v>
      </c>
      <c r="Q26" s="94" t="s">
        <v>136</v>
      </c>
      <c r="R26" s="94" t="s">
        <v>136</v>
      </c>
      <c r="S26" s="94" t="s">
        <v>134</v>
      </c>
      <c r="T26" s="94" t="s">
        <v>134</v>
      </c>
      <c r="U26" s="94" t="s">
        <v>136</v>
      </c>
      <c r="V26" s="308" t="s">
        <v>89</v>
      </c>
      <c r="W26" s="89">
        <v>45799</v>
      </c>
      <c r="X26" s="89">
        <v>45799</v>
      </c>
      <c r="Y26" s="94"/>
      <c r="Z26" s="134" t="s">
        <v>85</v>
      </c>
      <c r="AA26" s="370">
        <v>320000</v>
      </c>
      <c r="AB26" s="94">
        <v>5880</v>
      </c>
      <c r="AC26" s="235">
        <v>268908</v>
      </c>
      <c r="AD26" s="235">
        <f t="shared" si="1"/>
        <v>320000.51999999996</v>
      </c>
      <c r="AE26" s="219">
        <v>0</v>
      </c>
      <c r="AF26" s="94"/>
      <c r="AG26" s="214" t="s">
        <v>1893</v>
      </c>
      <c r="AH26" s="334">
        <v>45781</v>
      </c>
      <c r="AI26" s="89">
        <v>45807</v>
      </c>
      <c r="AJ26" s="94" t="s">
        <v>1705</v>
      </c>
      <c r="AK26" s="94" t="s">
        <v>136</v>
      </c>
    </row>
    <row r="27" spans="1:89" s="336" customFormat="1" ht="66.75" customHeight="1" x14ac:dyDescent="0.25">
      <c r="A27" s="356">
        <v>2025</v>
      </c>
      <c r="B27" s="357">
        <v>5</v>
      </c>
      <c r="C27" s="356">
        <v>22639</v>
      </c>
      <c r="D27" s="278">
        <v>45785</v>
      </c>
      <c r="E27" s="100" t="s">
        <v>195</v>
      </c>
      <c r="F27" s="100" t="s">
        <v>196</v>
      </c>
      <c r="G27" s="99" t="s">
        <v>143</v>
      </c>
      <c r="H27" s="99">
        <v>337372413</v>
      </c>
      <c r="I27" s="99">
        <v>337372413</v>
      </c>
      <c r="J27" s="97">
        <v>45798</v>
      </c>
      <c r="K27" s="347" t="s">
        <v>84</v>
      </c>
      <c r="L27" s="101" t="s">
        <v>1565</v>
      </c>
      <c r="M27" s="99" t="s">
        <v>136</v>
      </c>
      <c r="N27" s="99">
        <v>5929</v>
      </c>
      <c r="O27" s="99">
        <v>6171</v>
      </c>
      <c r="P27" s="99" t="s">
        <v>136</v>
      </c>
      <c r="Q27" s="99" t="s">
        <v>136</v>
      </c>
      <c r="R27" s="99" t="s">
        <v>136</v>
      </c>
      <c r="S27" s="99" t="s">
        <v>134</v>
      </c>
      <c r="T27" s="99" t="s">
        <v>134</v>
      </c>
      <c r="U27" s="99" t="s">
        <v>136</v>
      </c>
      <c r="V27" s="348" t="s">
        <v>89</v>
      </c>
      <c r="W27" s="97">
        <v>45792</v>
      </c>
      <c r="X27" s="97">
        <v>45805</v>
      </c>
      <c r="Y27" s="99"/>
      <c r="Z27" s="120" t="s">
        <v>90</v>
      </c>
      <c r="AA27" s="368">
        <v>0</v>
      </c>
      <c r="AB27" s="99">
        <v>5882</v>
      </c>
      <c r="AC27" s="198">
        <v>813769</v>
      </c>
      <c r="AD27" s="198">
        <f t="shared" si="1"/>
        <v>968385.11</v>
      </c>
      <c r="AE27" s="117">
        <v>0</v>
      </c>
      <c r="AF27" s="99"/>
      <c r="AG27" s="104" t="s">
        <v>1825</v>
      </c>
      <c r="AH27" s="233"/>
      <c r="AI27" s="97">
        <v>45807</v>
      </c>
      <c r="AJ27" s="99" t="s">
        <v>1705</v>
      </c>
      <c r="AK27" s="99"/>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c r="CE27" s="65"/>
      <c r="CF27" s="65"/>
      <c r="CG27" s="65"/>
      <c r="CH27" s="65"/>
      <c r="CI27" s="65"/>
      <c r="CJ27" s="65"/>
      <c r="CK27" s="65"/>
    </row>
    <row r="28" spans="1:89" s="317" customFormat="1" ht="30" x14ac:dyDescent="0.25">
      <c r="A28" s="351">
        <v>2025</v>
      </c>
      <c r="B28" s="352">
        <v>5</v>
      </c>
      <c r="C28" s="351">
        <v>22640</v>
      </c>
      <c r="D28" s="274">
        <v>45785</v>
      </c>
      <c r="E28" s="90" t="s">
        <v>1706</v>
      </c>
      <c r="F28" s="90" t="s">
        <v>1707</v>
      </c>
      <c r="G28" s="94" t="s">
        <v>143</v>
      </c>
      <c r="H28" s="94">
        <v>3122798944</v>
      </c>
      <c r="I28" s="94">
        <v>3122798944</v>
      </c>
      <c r="J28" s="89">
        <v>45800</v>
      </c>
      <c r="K28" s="311" t="s">
        <v>88</v>
      </c>
      <c r="L28" s="91" t="s">
        <v>1708</v>
      </c>
      <c r="M28" s="94" t="s">
        <v>136</v>
      </c>
      <c r="N28" s="94">
        <v>5947</v>
      </c>
      <c r="O28" s="94" t="s">
        <v>136</v>
      </c>
      <c r="P28" s="94" t="s">
        <v>136</v>
      </c>
      <c r="Q28" s="94" t="s">
        <v>136</v>
      </c>
      <c r="R28" s="94" t="s">
        <v>136</v>
      </c>
      <c r="S28" s="94" t="s">
        <v>134</v>
      </c>
      <c r="T28" s="94" t="s">
        <v>134</v>
      </c>
      <c r="U28" s="94" t="s">
        <v>136</v>
      </c>
      <c r="V28" s="308" t="s">
        <v>119</v>
      </c>
      <c r="W28" s="89">
        <v>45812</v>
      </c>
      <c r="X28" s="89"/>
      <c r="Y28" s="94"/>
      <c r="Z28" s="134" t="s">
        <v>97</v>
      </c>
      <c r="AA28" s="370">
        <v>0</v>
      </c>
      <c r="AB28" s="94">
        <v>5915</v>
      </c>
      <c r="AC28" s="235">
        <v>405714</v>
      </c>
      <c r="AD28" s="235">
        <f t="shared" si="1"/>
        <v>482799.66</v>
      </c>
      <c r="AE28" s="219">
        <v>250000</v>
      </c>
      <c r="AF28" s="94"/>
      <c r="AG28" s="214"/>
      <c r="AH28" s="234"/>
      <c r="AI28" s="89">
        <v>45813</v>
      </c>
      <c r="AJ28" s="94" t="s">
        <v>1705</v>
      </c>
      <c r="AK28" s="94"/>
    </row>
    <row r="29" spans="1:89" ht="30" x14ac:dyDescent="0.25">
      <c r="A29" s="353">
        <v>2025</v>
      </c>
      <c r="B29" s="354">
        <v>5</v>
      </c>
      <c r="C29" s="355">
        <v>22641</v>
      </c>
      <c r="D29" s="279">
        <v>45787</v>
      </c>
      <c r="E29" s="81" t="s">
        <v>597</v>
      </c>
      <c r="F29" s="81" t="s">
        <v>1782</v>
      </c>
      <c r="G29" s="78" t="s">
        <v>98</v>
      </c>
      <c r="H29" s="78">
        <v>3108221586</v>
      </c>
      <c r="I29" s="78">
        <v>3108221586</v>
      </c>
      <c r="J29" s="66">
        <v>45787</v>
      </c>
      <c r="K29" s="306" t="s">
        <v>88</v>
      </c>
      <c r="L29" s="79" t="s">
        <v>1783</v>
      </c>
      <c r="M29" s="78" t="s">
        <v>136</v>
      </c>
      <c r="N29" s="78" t="s">
        <v>136</v>
      </c>
      <c r="O29" s="78">
        <v>6180</v>
      </c>
      <c r="P29" s="78">
        <v>8969</v>
      </c>
      <c r="Q29" s="78" t="s">
        <v>136</v>
      </c>
      <c r="R29" s="78" t="s">
        <v>134</v>
      </c>
      <c r="S29" s="78" t="s">
        <v>134</v>
      </c>
      <c r="T29" s="78" t="s">
        <v>134</v>
      </c>
      <c r="U29" s="78" t="s">
        <v>136</v>
      </c>
      <c r="V29" s="305" t="s">
        <v>119</v>
      </c>
      <c r="W29" s="66">
        <v>45792</v>
      </c>
      <c r="X29" s="66">
        <v>45785</v>
      </c>
      <c r="Y29" s="78"/>
      <c r="Z29" s="80" t="s">
        <v>85</v>
      </c>
      <c r="AA29" s="371">
        <v>0</v>
      </c>
      <c r="AB29" s="78">
        <v>5848</v>
      </c>
      <c r="AC29" s="228">
        <v>329470</v>
      </c>
      <c r="AD29" s="228">
        <f t="shared" si="1"/>
        <v>392069.3</v>
      </c>
      <c r="AE29" s="303">
        <v>0</v>
      </c>
      <c r="AF29" s="78"/>
      <c r="AG29" s="210" t="s">
        <v>1929</v>
      </c>
      <c r="AH29" s="403">
        <v>45808</v>
      </c>
      <c r="AI29" s="66">
        <v>45814</v>
      </c>
      <c r="AJ29" s="78" t="s">
        <v>1705</v>
      </c>
    </row>
    <row r="30" spans="1:89" ht="34.5" customHeight="1" x14ac:dyDescent="0.25">
      <c r="A30" s="353">
        <v>2025</v>
      </c>
      <c r="B30" s="354">
        <v>5</v>
      </c>
      <c r="C30" s="353">
        <v>22642</v>
      </c>
      <c r="D30" s="279">
        <v>45787</v>
      </c>
      <c r="E30" s="81" t="s">
        <v>1709</v>
      </c>
      <c r="F30" s="81" t="s">
        <v>262</v>
      </c>
      <c r="G30" s="78" t="s">
        <v>98</v>
      </c>
      <c r="H30" s="78">
        <v>3006467241</v>
      </c>
      <c r="I30" s="78">
        <v>3506671258</v>
      </c>
      <c r="J30" s="66">
        <v>45799</v>
      </c>
      <c r="K30" s="306" t="s">
        <v>88</v>
      </c>
      <c r="L30" s="79" t="s">
        <v>1710</v>
      </c>
      <c r="M30" s="78" t="s">
        <v>136</v>
      </c>
      <c r="N30" s="78" t="s">
        <v>136</v>
      </c>
      <c r="O30" s="78">
        <v>6181</v>
      </c>
      <c r="P30" s="78" t="s">
        <v>136</v>
      </c>
      <c r="Q30" s="78" t="s">
        <v>136</v>
      </c>
      <c r="R30" s="78" t="s">
        <v>134</v>
      </c>
      <c r="S30" s="78" t="s">
        <v>134</v>
      </c>
      <c r="T30" s="78" t="s">
        <v>134</v>
      </c>
      <c r="U30" s="78" t="s">
        <v>136</v>
      </c>
      <c r="V30" s="305" t="s">
        <v>119</v>
      </c>
      <c r="W30" s="66"/>
      <c r="X30" s="66">
        <v>45799</v>
      </c>
      <c r="Y30" s="78"/>
      <c r="Z30" s="80" t="s">
        <v>85</v>
      </c>
      <c r="AA30" s="371">
        <v>450000</v>
      </c>
      <c r="AB30" s="78"/>
      <c r="AC30" s="228">
        <v>378151</v>
      </c>
      <c r="AD30" s="228">
        <f t="shared" si="1"/>
        <v>449999.69</v>
      </c>
      <c r="AE30" s="303">
        <v>0</v>
      </c>
      <c r="AF30" s="78"/>
      <c r="AG30" s="210"/>
      <c r="AH30" s="241"/>
      <c r="AI30" s="66">
        <v>45798</v>
      </c>
      <c r="AJ30" s="78" t="s">
        <v>1705</v>
      </c>
      <c r="AK30" s="78" t="s">
        <v>136</v>
      </c>
    </row>
    <row r="31" spans="1:89" s="336" customFormat="1" ht="45" x14ac:dyDescent="0.25">
      <c r="A31" s="351">
        <v>2025</v>
      </c>
      <c r="B31" s="352">
        <v>5</v>
      </c>
      <c r="C31" s="351">
        <v>22643</v>
      </c>
      <c r="D31" s="274">
        <v>45786</v>
      </c>
      <c r="E31" s="90" t="s">
        <v>1563</v>
      </c>
      <c r="F31" s="90" t="s">
        <v>224</v>
      </c>
      <c r="G31" s="94" t="s">
        <v>225</v>
      </c>
      <c r="H31" s="94">
        <v>3112559947</v>
      </c>
      <c r="I31" s="94">
        <v>6017421861</v>
      </c>
      <c r="J31" s="89">
        <v>45793</v>
      </c>
      <c r="K31" s="311" t="s">
        <v>88</v>
      </c>
      <c r="L31" s="91" t="s">
        <v>1564</v>
      </c>
      <c r="M31" s="94" t="s">
        <v>136</v>
      </c>
      <c r="N31" s="94" t="s">
        <v>136</v>
      </c>
      <c r="O31" s="94">
        <v>6175</v>
      </c>
      <c r="P31" s="94">
        <v>8999</v>
      </c>
      <c r="Q31" s="94" t="s">
        <v>136</v>
      </c>
      <c r="R31" s="94" t="s">
        <v>136</v>
      </c>
      <c r="S31" s="94" t="s">
        <v>134</v>
      </c>
      <c r="T31" s="94" t="s">
        <v>134</v>
      </c>
      <c r="U31" s="94" t="s">
        <v>136</v>
      </c>
      <c r="V31" s="308" t="s">
        <v>89</v>
      </c>
      <c r="W31" s="89"/>
      <c r="X31" s="89"/>
      <c r="Y31" s="94"/>
      <c r="Z31" s="134" t="s">
        <v>114</v>
      </c>
      <c r="AA31" s="370">
        <v>0</v>
      </c>
      <c r="AB31" s="94"/>
      <c r="AC31" s="235">
        <v>145960</v>
      </c>
      <c r="AD31" s="235">
        <f t="shared" ref="AD31" si="2">AC31*1.19</f>
        <v>173692.4</v>
      </c>
      <c r="AE31" s="219">
        <v>0</v>
      </c>
      <c r="AF31" s="94"/>
      <c r="AG31" s="214"/>
      <c r="AH31" s="234"/>
      <c r="AI31" s="89">
        <v>45786</v>
      </c>
      <c r="AJ31" s="94" t="s">
        <v>571</v>
      </c>
      <c r="AK31" s="94"/>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row>
    <row r="32" spans="1:89" s="336" customFormat="1" ht="30" x14ac:dyDescent="0.25">
      <c r="A32" s="351">
        <v>2025</v>
      </c>
      <c r="B32" s="352">
        <v>5</v>
      </c>
      <c r="C32" s="358">
        <v>22644</v>
      </c>
      <c r="D32" s="274">
        <v>45786</v>
      </c>
      <c r="E32" s="90" t="s">
        <v>1591</v>
      </c>
      <c r="F32" s="90" t="s">
        <v>1591</v>
      </c>
      <c r="G32" s="94" t="s">
        <v>98</v>
      </c>
      <c r="H32" s="94">
        <v>2689806</v>
      </c>
      <c r="I32" s="94">
        <v>2689806</v>
      </c>
      <c r="J32" s="89">
        <v>45800</v>
      </c>
      <c r="K32" s="311" t="s">
        <v>88</v>
      </c>
      <c r="L32" s="91" t="s">
        <v>1592</v>
      </c>
      <c r="M32" s="94" t="s">
        <v>136</v>
      </c>
      <c r="N32" s="94">
        <v>5934</v>
      </c>
      <c r="O32" s="94">
        <v>6177</v>
      </c>
      <c r="P32" s="94">
        <v>8899</v>
      </c>
      <c r="Q32" s="94">
        <v>5520</v>
      </c>
      <c r="R32" s="94" t="s">
        <v>134</v>
      </c>
      <c r="S32" s="94" t="s">
        <v>134</v>
      </c>
      <c r="T32" s="94" t="s">
        <v>134</v>
      </c>
      <c r="U32" s="94" t="s">
        <v>136</v>
      </c>
      <c r="V32" s="308" t="s">
        <v>89</v>
      </c>
      <c r="W32" s="89">
        <v>45805</v>
      </c>
      <c r="X32" s="89">
        <v>45806</v>
      </c>
      <c r="Y32" s="94"/>
      <c r="Z32" s="134" t="s">
        <v>85</v>
      </c>
      <c r="AA32" s="370">
        <v>0</v>
      </c>
      <c r="AB32" s="94">
        <v>5893</v>
      </c>
      <c r="AC32" s="235">
        <v>2428812</v>
      </c>
      <c r="AD32" s="235">
        <f t="shared" si="1"/>
        <v>2890286.28</v>
      </c>
      <c r="AE32" s="219">
        <v>1445143</v>
      </c>
      <c r="AF32" s="94"/>
      <c r="AG32" s="214" t="s">
        <v>1928</v>
      </c>
      <c r="AH32" s="334">
        <v>45806</v>
      </c>
      <c r="AI32" s="89">
        <v>45814</v>
      </c>
      <c r="AJ32" s="94" t="s">
        <v>1705</v>
      </c>
      <c r="AK32" s="94"/>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row>
    <row r="33" spans="1:88" s="336" customFormat="1" ht="45" x14ac:dyDescent="0.25">
      <c r="A33" s="351">
        <v>2025</v>
      </c>
      <c r="B33" s="352">
        <v>5</v>
      </c>
      <c r="C33" s="351">
        <v>22645</v>
      </c>
      <c r="D33" s="274">
        <v>45786</v>
      </c>
      <c r="E33" s="90" t="s">
        <v>1587</v>
      </c>
      <c r="F33" s="90" t="s">
        <v>1588</v>
      </c>
      <c r="G33" s="94" t="s">
        <v>98</v>
      </c>
      <c r="H33" s="94">
        <v>3102283620</v>
      </c>
      <c r="I33" s="90" t="s">
        <v>1589</v>
      </c>
      <c r="J33" s="89">
        <v>45800</v>
      </c>
      <c r="K33" s="311" t="s">
        <v>86</v>
      </c>
      <c r="L33" s="91" t="s">
        <v>1590</v>
      </c>
      <c r="M33" s="94" t="s">
        <v>136</v>
      </c>
      <c r="N33" s="94">
        <v>5933</v>
      </c>
      <c r="O33" s="94">
        <v>6178</v>
      </c>
      <c r="P33" s="94">
        <v>8908</v>
      </c>
      <c r="Q33" s="94" t="s">
        <v>136</v>
      </c>
      <c r="R33" s="94" t="s">
        <v>134</v>
      </c>
      <c r="S33" s="94" t="s">
        <v>134</v>
      </c>
      <c r="T33" s="94" t="s">
        <v>134</v>
      </c>
      <c r="U33" s="94" t="s">
        <v>136</v>
      </c>
      <c r="V33" s="308" t="s">
        <v>87</v>
      </c>
      <c r="W33" s="89">
        <v>45796</v>
      </c>
      <c r="X33" s="89">
        <v>45798</v>
      </c>
      <c r="Y33" s="94"/>
      <c r="Z33" s="134" t="s">
        <v>85</v>
      </c>
      <c r="AA33" s="370">
        <v>2356966</v>
      </c>
      <c r="AB33" s="94">
        <v>5860</v>
      </c>
      <c r="AC33" s="235">
        <v>1980644</v>
      </c>
      <c r="AD33" s="235">
        <f t="shared" si="1"/>
        <v>2356966.36</v>
      </c>
      <c r="AE33" s="219">
        <v>2307450</v>
      </c>
      <c r="AF33" s="94"/>
      <c r="AG33" s="214" t="s">
        <v>1897</v>
      </c>
      <c r="AH33" s="334">
        <v>45785</v>
      </c>
      <c r="AI33" s="89">
        <v>45807</v>
      </c>
      <c r="AJ33" s="94" t="s">
        <v>1705</v>
      </c>
      <c r="AK33" s="94"/>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c r="BT33" s="65"/>
      <c r="BU33" s="65"/>
      <c r="BV33" s="65"/>
      <c r="BW33" s="65"/>
      <c r="BX33" s="65"/>
      <c r="BY33" s="65"/>
      <c r="BZ33" s="65"/>
      <c r="CA33" s="65"/>
      <c r="CB33" s="65"/>
      <c r="CC33" s="65"/>
      <c r="CD33" s="65"/>
      <c r="CE33" s="65"/>
      <c r="CF33" s="65"/>
      <c r="CG33" s="65"/>
      <c r="CH33" s="65"/>
      <c r="CI33" s="65"/>
      <c r="CJ33" s="65"/>
    </row>
    <row r="34" spans="1:88" ht="40.5" customHeight="1" x14ac:dyDescent="0.25">
      <c r="A34" s="353">
        <v>2025</v>
      </c>
      <c r="B34" s="354">
        <v>5</v>
      </c>
      <c r="C34" s="353">
        <v>22646</v>
      </c>
      <c r="D34" s="279">
        <v>45786</v>
      </c>
      <c r="E34" s="81" t="s">
        <v>1874</v>
      </c>
      <c r="F34" s="81" t="s">
        <v>1875</v>
      </c>
      <c r="G34" s="78"/>
      <c r="H34" s="78">
        <v>3175029345</v>
      </c>
      <c r="I34" s="78">
        <v>6045802300</v>
      </c>
      <c r="J34" s="66"/>
      <c r="K34" s="306"/>
      <c r="L34" s="79"/>
      <c r="M34" s="78"/>
      <c r="N34" s="78"/>
      <c r="O34" s="78"/>
      <c r="P34" s="78">
        <v>8700</v>
      </c>
      <c r="Q34" s="78">
        <v>5518</v>
      </c>
      <c r="R34" s="78" t="s">
        <v>136</v>
      </c>
      <c r="S34" s="78" t="s">
        <v>134</v>
      </c>
      <c r="T34" s="78" t="s">
        <v>134</v>
      </c>
      <c r="U34" s="78" t="s">
        <v>136</v>
      </c>
      <c r="V34" s="305" t="s">
        <v>590</v>
      </c>
      <c r="W34" s="66"/>
      <c r="X34" s="66"/>
      <c r="Y34" s="78"/>
      <c r="Z34" s="80" t="s">
        <v>21</v>
      </c>
      <c r="AA34" s="371">
        <v>0</v>
      </c>
      <c r="AB34" s="78"/>
      <c r="AC34" s="228">
        <v>0</v>
      </c>
      <c r="AD34" s="228">
        <f t="shared" si="1"/>
        <v>0</v>
      </c>
      <c r="AE34" s="303">
        <v>0</v>
      </c>
      <c r="AF34" s="78"/>
      <c r="AG34" s="210"/>
      <c r="AH34" s="241"/>
      <c r="AI34" s="66">
        <v>45805</v>
      </c>
      <c r="AJ34" s="78" t="s">
        <v>1705</v>
      </c>
    </row>
    <row r="35" spans="1:88" ht="78.75" customHeight="1" x14ac:dyDescent="0.25">
      <c r="A35" s="351">
        <v>2025</v>
      </c>
      <c r="B35" s="352">
        <v>5</v>
      </c>
      <c r="C35" s="358">
        <v>22647</v>
      </c>
      <c r="D35" s="274">
        <v>45787</v>
      </c>
      <c r="E35" s="90" t="s">
        <v>1711</v>
      </c>
      <c r="F35" s="90" t="s">
        <v>1712</v>
      </c>
      <c r="G35" s="94" t="s">
        <v>1713</v>
      </c>
      <c r="H35" s="94">
        <v>3234535350</v>
      </c>
      <c r="I35" s="94">
        <v>3177039332</v>
      </c>
      <c r="J35" s="89">
        <v>45799</v>
      </c>
      <c r="K35" s="311" t="s">
        <v>95</v>
      </c>
      <c r="L35" s="91" t="s">
        <v>1714</v>
      </c>
      <c r="M35" s="94" t="s">
        <v>282</v>
      </c>
      <c r="N35" s="94">
        <v>5938</v>
      </c>
      <c r="O35" s="94">
        <v>6179</v>
      </c>
      <c r="P35" s="94">
        <v>8992</v>
      </c>
      <c r="Q35" s="94" t="s">
        <v>136</v>
      </c>
      <c r="R35" s="94" t="s">
        <v>136</v>
      </c>
      <c r="S35" s="94" t="s">
        <v>134</v>
      </c>
      <c r="T35" s="94" t="s">
        <v>134</v>
      </c>
      <c r="U35" s="94" t="s">
        <v>136</v>
      </c>
      <c r="V35" s="308" t="s">
        <v>119</v>
      </c>
      <c r="W35" s="89">
        <v>45803</v>
      </c>
      <c r="X35" s="89" t="s">
        <v>2107</v>
      </c>
      <c r="Y35" s="94"/>
      <c r="Z35" s="134" t="s">
        <v>90</v>
      </c>
      <c r="AA35" s="370">
        <v>0</v>
      </c>
      <c r="AB35" s="94">
        <v>5888</v>
      </c>
      <c r="AC35" s="235">
        <v>3005278</v>
      </c>
      <c r="AD35" s="235">
        <f t="shared" si="1"/>
        <v>3576280.82</v>
      </c>
      <c r="AE35" s="219">
        <v>1780000</v>
      </c>
      <c r="AF35" s="78"/>
      <c r="AG35" s="210" t="s">
        <v>2108</v>
      </c>
      <c r="AH35" s="241"/>
      <c r="AI35" s="66">
        <v>45821</v>
      </c>
      <c r="AJ35" s="78" t="s">
        <v>1705</v>
      </c>
    </row>
    <row r="36" spans="1:88" ht="135" x14ac:dyDescent="0.25">
      <c r="A36" s="351">
        <v>2025</v>
      </c>
      <c r="B36" s="352">
        <v>5</v>
      </c>
      <c r="C36" s="351">
        <v>22648</v>
      </c>
      <c r="D36" s="274">
        <v>45791</v>
      </c>
      <c r="E36" s="90" t="s">
        <v>1715</v>
      </c>
      <c r="F36" s="90" t="s">
        <v>1716</v>
      </c>
      <c r="G36" s="94" t="s">
        <v>143</v>
      </c>
      <c r="H36" s="94">
        <v>3045325858</v>
      </c>
      <c r="I36" s="94">
        <v>3218122475</v>
      </c>
      <c r="J36" s="89">
        <v>45807</v>
      </c>
      <c r="K36" s="311" t="s">
        <v>88</v>
      </c>
      <c r="L36" s="91" t="s">
        <v>1717</v>
      </c>
      <c r="M36" s="94" t="s">
        <v>136</v>
      </c>
      <c r="N36" s="94">
        <v>5946</v>
      </c>
      <c r="O36" s="94">
        <v>6185</v>
      </c>
      <c r="P36" s="94">
        <v>7932</v>
      </c>
      <c r="Q36" s="94">
        <v>5365</v>
      </c>
      <c r="R36" s="94" t="s">
        <v>134</v>
      </c>
      <c r="S36" s="94" t="s">
        <v>134</v>
      </c>
      <c r="T36" s="94" t="s">
        <v>134</v>
      </c>
      <c r="U36" s="94" t="s">
        <v>136</v>
      </c>
      <c r="V36" s="308" t="s">
        <v>119</v>
      </c>
      <c r="W36" s="89">
        <v>45813</v>
      </c>
      <c r="X36" s="89">
        <v>45812</v>
      </c>
      <c r="Y36" s="94"/>
      <c r="Z36" s="134" t="s">
        <v>97</v>
      </c>
      <c r="AA36" s="370">
        <v>0</v>
      </c>
      <c r="AB36" s="94">
        <v>5904</v>
      </c>
      <c r="AC36" s="235">
        <v>34723873</v>
      </c>
      <c r="AD36" s="235">
        <f t="shared" si="1"/>
        <v>41321408.869999997</v>
      </c>
      <c r="AE36" s="219">
        <v>20660705</v>
      </c>
      <c r="AF36" s="94"/>
      <c r="AG36" s="214" t="s">
        <v>1917</v>
      </c>
      <c r="AH36" s="234"/>
      <c r="AI36" s="89">
        <v>45805</v>
      </c>
      <c r="AJ36" s="94" t="s">
        <v>1705</v>
      </c>
      <c r="AK36" s="94"/>
    </row>
    <row r="37" spans="1:88" ht="34.5" customHeight="1" x14ac:dyDescent="0.25">
      <c r="A37" s="152">
        <v>2025</v>
      </c>
      <c r="B37" s="379">
        <v>5</v>
      </c>
      <c r="C37" s="152">
        <v>22649</v>
      </c>
      <c r="D37" s="277">
        <v>45789</v>
      </c>
      <c r="E37" s="111" t="s">
        <v>1764</v>
      </c>
      <c r="F37" s="111" t="s">
        <v>1765</v>
      </c>
      <c r="G37" s="110" t="s">
        <v>143</v>
      </c>
      <c r="H37" s="110">
        <v>3165161418</v>
      </c>
      <c r="I37" s="110">
        <v>3165161418</v>
      </c>
      <c r="J37" s="108">
        <v>45798</v>
      </c>
      <c r="K37" s="243" t="s">
        <v>88</v>
      </c>
      <c r="L37" s="112" t="s">
        <v>1766</v>
      </c>
      <c r="M37" s="110" t="s">
        <v>136</v>
      </c>
      <c r="N37" s="110" t="s">
        <v>136</v>
      </c>
      <c r="O37" s="110">
        <v>6189</v>
      </c>
      <c r="P37" s="110" t="s">
        <v>136</v>
      </c>
      <c r="Q37" s="110" t="s">
        <v>136</v>
      </c>
      <c r="R37" s="110" t="s">
        <v>136</v>
      </c>
      <c r="S37" s="110" t="s">
        <v>136</v>
      </c>
      <c r="T37" s="110" t="s">
        <v>134</v>
      </c>
      <c r="U37" s="110" t="s">
        <v>134</v>
      </c>
      <c r="V37" s="154" t="s">
        <v>590</v>
      </c>
      <c r="W37" s="108">
        <v>45796</v>
      </c>
      <c r="X37" s="108">
        <v>45798</v>
      </c>
      <c r="Y37" s="110"/>
      <c r="Z37" s="126" t="s">
        <v>85</v>
      </c>
      <c r="AA37" s="380">
        <v>520000</v>
      </c>
      <c r="AB37" s="110">
        <v>5873</v>
      </c>
      <c r="AC37" s="212">
        <v>436975</v>
      </c>
      <c r="AD37" s="212">
        <f t="shared" si="1"/>
        <v>520000.25</v>
      </c>
      <c r="AE37" s="130">
        <v>0</v>
      </c>
      <c r="AF37" s="110"/>
      <c r="AG37" s="142" t="s">
        <v>1772</v>
      </c>
      <c r="AH37" s="248">
        <v>45789</v>
      </c>
      <c r="AI37" s="108">
        <v>45798</v>
      </c>
      <c r="AJ37" s="110" t="s">
        <v>1705</v>
      </c>
      <c r="AK37" s="110" t="s">
        <v>136</v>
      </c>
    </row>
    <row r="38" spans="1:88" ht="30" x14ac:dyDescent="0.25">
      <c r="A38" s="383">
        <v>2025</v>
      </c>
      <c r="B38" s="384">
        <v>5</v>
      </c>
      <c r="C38" s="262">
        <v>22650</v>
      </c>
      <c r="D38" s="280">
        <v>45790</v>
      </c>
      <c r="E38" s="253" t="s">
        <v>1718</v>
      </c>
      <c r="F38" s="253" t="s">
        <v>1719</v>
      </c>
      <c r="G38" s="252" t="s">
        <v>143</v>
      </c>
      <c r="H38" s="252">
        <v>3188741565</v>
      </c>
      <c r="I38" s="252">
        <v>3188741565</v>
      </c>
      <c r="J38" s="263">
        <v>45800</v>
      </c>
      <c r="K38" s="385" t="s">
        <v>84</v>
      </c>
      <c r="L38" s="264" t="s">
        <v>1720</v>
      </c>
      <c r="M38" s="252" t="s">
        <v>136</v>
      </c>
      <c r="N38" s="252">
        <v>5940</v>
      </c>
      <c r="O38" s="252" t="s">
        <v>136</v>
      </c>
      <c r="P38" s="252">
        <v>9033</v>
      </c>
      <c r="Q38" s="252" t="s">
        <v>136</v>
      </c>
      <c r="R38" s="252" t="s">
        <v>136</v>
      </c>
      <c r="S38" s="252" t="s">
        <v>134</v>
      </c>
      <c r="T38" s="252" t="s">
        <v>136</v>
      </c>
      <c r="U38" s="252" t="s">
        <v>136</v>
      </c>
      <c r="V38" s="386" t="s">
        <v>590</v>
      </c>
      <c r="W38" s="263">
        <v>45796</v>
      </c>
      <c r="X38" s="263">
        <v>45817</v>
      </c>
      <c r="Y38" s="78"/>
      <c r="Z38" s="387" t="s">
        <v>85</v>
      </c>
      <c r="AA38" s="388">
        <v>0</v>
      </c>
      <c r="AB38" s="252">
        <v>5874</v>
      </c>
      <c r="AC38" s="256">
        <v>212576</v>
      </c>
      <c r="AD38" s="256">
        <f t="shared" si="1"/>
        <v>252965.44</v>
      </c>
      <c r="AE38" s="389">
        <v>200000</v>
      </c>
      <c r="AF38" s="78"/>
      <c r="AG38" s="257" t="s">
        <v>1992</v>
      </c>
      <c r="AH38" s="415">
        <v>45813</v>
      </c>
      <c r="AI38" s="263">
        <v>45817</v>
      </c>
      <c r="AJ38" s="252" t="s">
        <v>1705</v>
      </c>
      <c r="AK38" s="252"/>
    </row>
    <row r="39" spans="1:88" ht="90" customHeight="1" x14ac:dyDescent="0.25">
      <c r="A39" s="353">
        <v>2025</v>
      </c>
      <c r="B39" s="354">
        <v>5</v>
      </c>
      <c r="C39" s="353">
        <v>22651</v>
      </c>
      <c r="D39" s="279">
        <v>45794</v>
      </c>
      <c r="E39" s="81" t="s">
        <v>1877</v>
      </c>
      <c r="F39" s="81" t="s">
        <v>662</v>
      </c>
      <c r="G39" s="78" t="s">
        <v>1878</v>
      </c>
      <c r="H39" s="78">
        <v>3155490669</v>
      </c>
      <c r="I39" s="78">
        <v>6042946988</v>
      </c>
      <c r="J39" s="66">
        <v>45805</v>
      </c>
      <c r="K39" s="306" t="s">
        <v>84</v>
      </c>
      <c r="L39" s="79" t="s">
        <v>1879</v>
      </c>
      <c r="M39" s="78" t="s">
        <v>136</v>
      </c>
      <c r="N39" s="78">
        <v>5989</v>
      </c>
      <c r="O39" s="78">
        <v>6779</v>
      </c>
      <c r="P39" s="78">
        <v>9019</v>
      </c>
      <c r="Q39" s="78" t="s">
        <v>136</v>
      </c>
      <c r="R39" s="78" t="s">
        <v>134</v>
      </c>
      <c r="S39" s="78" t="s">
        <v>134</v>
      </c>
      <c r="T39" s="78" t="s">
        <v>134</v>
      </c>
      <c r="U39" s="78" t="s">
        <v>136</v>
      </c>
      <c r="V39" s="305" t="s">
        <v>119</v>
      </c>
      <c r="W39" s="66">
        <v>45822</v>
      </c>
      <c r="X39" s="66">
        <v>45825</v>
      </c>
      <c r="Y39" s="78"/>
      <c r="Z39" s="80" t="s">
        <v>85</v>
      </c>
      <c r="AA39" s="371">
        <v>0</v>
      </c>
      <c r="AB39" s="78">
        <v>5940</v>
      </c>
      <c r="AC39" s="228">
        <v>2249946</v>
      </c>
      <c r="AD39" s="228">
        <f t="shared" si="1"/>
        <v>2677435.7399999998</v>
      </c>
      <c r="AE39" s="303">
        <v>1339000</v>
      </c>
      <c r="AF39" s="78"/>
      <c r="AG39" s="210" t="s">
        <v>2132</v>
      </c>
      <c r="AH39" s="403">
        <v>45824</v>
      </c>
      <c r="AI39" s="66">
        <v>45826</v>
      </c>
      <c r="AJ39" s="78" t="s">
        <v>1705</v>
      </c>
    </row>
    <row r="40" spans="1:88" ht="30" x14ac:dyDescent="0.25">
      <c r="A40" s="383">
        <v>2025</v>
      </c>
      <c r="B40" s="384">
        <v>5</v>
      </c>
      <c r="C40" s="383">
        <v>22652</v>
      </c>
      <c r="D40" s="280">
        <v>45790</v>
      </c>
      <c r="E40" s="253" t="s">
        <v>591</v>
      </c>
      <c r="F40" s="253" t="s">
        <v>1721</v>
      </c>
      <c r="G40" s="252" t="s">
        <v>592</v>
      </c>
      <c r="H40" s="252">
        <v>3147771160</v>
      </c>
      <c r="I40" s="252">
        <v>3147771160</v>
      </c>
      <c r="J40" s="263">
        <v>45799</v>
      </c>
      <c r="K40" s="385" t="s">
        <v>84</v>
      </c>
      <c r="L40" s="264" t="s">
        <v>1722</v>
      </c>
      <c r="M40" s="252" t="s">
        <v>136</v>
      </c>
      <c r="N40" s="252">
        <v>5941</v>
      </c>
      <c r="O40" s="252" t="s">
        <v>136</v>
      </c>
      <c r="P40" s="252">
        <v>9015</v>
      </c>
      <c r="Q40" s="252" t="s">
        <v>136</v>
      </c>
      <c r="R40" s="252" t="s">
        <v>136</v>
      </c>
      <c r="S40" s="252" t="s">
        <v>134</v>
      </c>
      <c r="T40" s="252" t="s">
        <v>136</v>
      </c>
      <c r="U40" s="252" t="s">
        <v>136</v>
      </c>
      <c r="V40" s="386" t="s">
        <v>119</v>
      </c>
      <c r="W40" s="263">
        <v>45796</v>
      </c>
      <c r="X40" s="263">
        <v>45814</v>
      </c>
      <c r="Y40" s="252"/>
      <c r="Z40" s="387" t="s">
        <v>85</v>
      </c>
      <c r="AA40" s="414">
        <v>1100000</v>
      </c>
      <c r="AB40" s="252">
        <v>5875</v>
      </c>
      <c r="AC40" s="256">
        <v>924370</v>
      </c>
      <c r="AD40" s="256">
        <f t="shared" si="1"/>
        <v>1100000.3</v>
      </c>
      <c r="AE40" s="389">
        <v>1000000</v>
      </c>
      <c r="AF40" s="252"/>
      <c r="AG40" s="257" t="s">
        <v>1930</v>
      </c>
      <c r="AH40" s="415">
        <v>45811</v>
      </c>
      <c r="AI40" s="263">
        <v>45814</v>
      </c>
      <c r="AJ40" s="252" t="s">
        <v>1705</v>
      </c>
      <c r="AK40" s="252"/>
    </row>
    <row r="41" spans="1:88" ht="34.5" customHeight="1" x14ac:dyDescent="0.25">
      <c r="A41" s="351">
        <v>2025</v>
      </c>
      <c r="B41" s="352">
        <v>5</v>
      </c>
      <c r="C41" s="358">
        <v>22653</v>
      </c>
      <c r="D41" s="274">
        <v>45791</v>
      </c>
      <c r="E41" s="90" t="s">
        <v>1723</v>
      </c>
      <c r="F41" s="90" t="s">
        <v>1724</v>
      </c>
      <c r="G41" s="94" t="s">
        <v>148</v>
      </c>
      <c r="H41" s="94">
        <v>4912687</v>
      </c>
      <c r="I41" s="94">
        <v>4912687</v>
      </c>
      <c r="J41" s="89">
        <v>45800</v>
      </c>
      <c r="K41" s="311" t="s">
        <v>99</v>
      </c>
      <c r="L41" s="91" t="s">
        <v>1725</v>
      </c>
      <c r="M41" s="94" t="s">
        <v>281</v>
      </c>
      <c r="N41" s="94" t="s">
        <v>136</v>
      </c>
      <c r="O41" s="94" t="s">
        <v>136</v>
      </c>
      <c r="P41" s="94">
        <v>8879</v>
      </c>
      <c r="Q41" s="94">
        <v>5522</v>
      </c>
      <c r="R41" s="94" t="s">
        <v>136</v>
      </c>
      <c r="S41" s="94" t="s">
        <v>134</v>
      </c>
      <c r="T41" s="94" t="s">
        <v>134</v>
      </c>
      <c r="U41" s="94" t="s">
        <v>136</v>
      </c>
      <c r="V41" s="308" t="s">
        <v>89</v>
      </c>
      <c r="W41" s="89">
        <v>45800</v>
      </c>
      <c r="X41" s="89">
        <v>45800</v>
      </c>
      <c r="Y41" s="94"/>
      <c r="Z41" s="134" t="s">
        <v>85</v>
      </c>
      <c r="AA41" s="370">
        <v>290806</v>
      </c>
      <c r="AB41" s="94">
        <v>5883</v>
      </c>
      <c r="AC41" s="235">
        <v>244375</v>
      </c>
      <c r="AD41" s="235">
        <f t="shared" si="1"/>
        <v>290806.25</v>
      </c>
      <c r="AE41" s="219">
        <v>0</v>
      </c>
      <c r="AF41" s="94"/>
      <c r="AG41" s="214" t="s">
        <v>1826</v>
      </c>
      <c r="AH41" s="334">
        <v>45790</v>
      </c>
      <c r="AI41" s="89">
        <v>45804</v>
      </c>
      <c r="AJ41" s="94" t="s">
        <v>1705</v>
      </c>
      <c r="AK41" s="94" t="s">
        <v>136</v>
      </c>
    </row>
    <row r="42" spans="1:88" ht="30" x14ac:dyDescent="0.25">
      <c r="A42" s="383">
        <v>2025</v>
      </c>
      <c r="B42" s="384">
        <v>5</v>
      </c>
      <c r="C42" s="383">
        <v>22654</v>
      </c>
      <c r="D42" s="280">
        <v>45791</v>
      </c>
      <c r="E42" s="253" t="s">
        <v>289</v>
      </c>
      <c r="F42" s="253" t="s">
        <v>1726</v>
      </c>
      <c r="G42" s="252" t="s">
        <v>143</v>
      </c>
      <c r="H42" s="252">
        <v>3043383337</v>
      </c>
      <c r="I42" s="252">
        <v>4005100</v>
      </c>
      <c r="J42" s="263">
        <v>45801</v>
      </c>
      <c r="K42" s="385" t="s">
        <v>88</v>
      </c>
      <c r="L42" s="264" t="s">
        <v>1727</v>
      </c>
      <c r="M42" s="252" t="s">
        <v>136</v>
      </c>
      <c r="N42" s="252">
        <v>5939</v>
      </c>
      <c r="O42" s="252">
        <v>6183</v>
      </c>
      <c r="P42" s="252">
        <v>8968</v>
      </c>
      <c r="Q42" s="252">
        <v>5545</v>
      </c>
      <c r="R42" s="252" t="s">
        <v>136</v>
      </c>
      <c r="S42" s="252" t="s">
        <v>134</v>
      </c>
      <c r="T42" s="252" t="s">
        <v>134</v>
      </c>
      <c r="U42" s="252" t="s">
        <v>136</v>
      </c>
      <c r="V42" s="386" t="s">
        <v>89</v>
      </c>
      <c r="W42" s="263">
        <v>45796</v>
      </c>
      <c r="X42" s="263"/>
      <c r="Y42" s="252"/>
      <c r="Z42" s="387" t="s">
        <v>92</v>
      </c>
      <c r="AA42" s="388">
        <v>0</v>
      </c>
      <c r="AB42" s="252"/>
      <c r="AC42" s="256">
        <v>962776</v>
      </c>
      <c r="AD42" s="256">
        <f t="shared" si="1"/>
        <v>1145703.44</v>
      </c>
      <c r="AE42" s="389">
        <v>0</v>
      </c>
      <c r="AF42" s="252"/>
      <c r="AG42" s="257" t="s">
        <v>1771</v>
      </c>
      <c r="AH42" s="267"/>
      <c r="AI42" s="263">
        <v>45798</v>
      </c>
      <c r="AJ42" s="252" t="s">
        <v>1705</v>
      </c>
      <c r="AK42" s="252" t="s">
        <v>136</v>
      </c>
    </row>
    <row r="43" spans="1:88" ht="30" x14ac:dyDescent="0.25">
      <c r="A43" s="351">
        <v>2025</v>
      </c>
      <c r="B43" s="352">
        <v>5</v>
      </c>
      <c r="C43" s="351">
        <v>22655</v>
      </c>
      <c r="D43" s="274">
        <v>45791</v>
      </c>
      <c r="E43" s="90" t="s">
        <v>289</v>
      </c>
      <c r="F43" s="90" t="s">
        <v>1726</v>
      </c>
      <c r="G43" s="94" t="s">
        <v>143</v>
      </c>
      <c r="H43" s="94">
        <v>3043383337</v>
      </c>
      <c r="I43" s="94">
        <v>4005100</v>
      </c>
      <c r="J43" s="89">
        <v>45800</v>
      </c>
      <c r="K43" s="311" t="s">
        <v>88</v>
      </c>
      <c r="L43" s="91" t="s">
        <v>1728</v>
      </c>
      <c r="M43" s="94" t="s">
        <v>136</v>
      </c>
      <c r="N43" s="94" t="s">
        <v>136</v>
      </c>
      <c r="O43" s="94">
        <v>6184</v>
      </c>
      <c r="P43" s="94">
        <v>8968</v>
      </c>
      <c r="Q43" s="94">
        <v>5545</v>
      </c>
      <c r="R43" s="94" t="s">
        <v>136</v>
      </c>
      <c r="S43" s="94" t="s">
        <v>134</v>
      </c>
      <c r="T43" s="94" t="s">
        <v>134</v>
      </c>
      <c r="U43" s="94" t="s">
        <v>136</v>
      </c>
      <c r="V43" s="308" t="s">
        <v>89</v>
      </c>
      <c r="W43" s="89">
        <v>45806</v>
      </c>
      <c r="X43" s="89">
        <v>45820</v>
      </c>
      <c r="Y43" s="94"/>
      <c r="Z43" s="134" t="s">
        <v>90</v>
      </c>
      <c r="AA43" s="370">
        <v>0</v>
      </c>
      <c r="AB43" s="94">
        <v>5914</v>
      </c>
      <c r="AC43" s="235">
        <v>275601</v>
      </c>
      <c r="AD43" s="235">
        <f t="shared" si="1"/>
        <v>327965.19</v>
      </c>
      <c r="AE43" s="219">
        <v>0</v>
      </c>
      <c r="AF43" s="94"/>
      <c r="AG43" s="214" t="s">
        <v>2105</v>
      </c>
      <c r="AH43" s="234"/>
      <c r="AI43" s="89">
        <v>45821</v>
      </c>
      <c r="AJ43" s="94" t="s">
        <v>1705</v>
      </c>
      <c r="AK43" s="94"/>
    </row>
    <row r="44" spans="1:88" ht="34.5" customHeight="1" x14ac:dyDescent="0.25">
      <c r="A44" s="351">
        <v>2025</v>
      </c>
      <c r="B44" s="352">
        <v>5</v>
      </c>
      <c r="C44" s="358">
        <v>22656</v>
      </c>
      <c r="D44" s="274">
        <v>45791</v>
      </c>
      <c r="E44" s="90" t="s">
        <v>1729</v>
      </c>
      <c r="F44" s="90" t="s">
        <v>1730</v>
      </c>
      <c r="G44" s="94" t="s">
        <v>98</v>
      </c>
      <c r="H44" s="94">
        <v>3216425669</v>
      </c>
      <c r="I44" s="94">
        <v>4487170</v>
      </c>
      <c r="J44" s="89">
        <v>45803</v>
      </c>
      <c r="K44" s="311" t="s">
        <v>86</v>
      </c>
      <c r="L44" s="91" t="s">
        <v>1731</v>
      </c>
      <c r="M44" s="94" t="s">
        <v>136</v>
      </c>
      <c r="N44" s="94">
        <v>5942</v>
      </c>
      <c r="O44" s="94" t="s">
        <v>136</v>
      </c>
      <c r="P44" s="94">
        <v>9045</v>
      </c>
      <c r="Q44" s="94" t="s">
        <v>136</v>
      </c>
      <c r="R44" s="94" t="s">
        <v>136</v>
      </c>
      <c r="S44" s="94" t="s">
        <v>136</v>
      </c>
      <c r="T44" s="94" t="s">
        <v>136</v>
      </c>
      <c r="U44" s="94" t="s">
        <v>136</v>
      </c>
      <c r="V44" s="308" t="s">
        <v>87</v>
      </c>
      <c r="W44" s="89">
        <v>45799</v>
      </c>
      <c r="X44" s="89"/>
      <c r="Y44" s="94"/>
      <c r="Z44" s="134" t="s">
        <v>97</v>
      </c>
      <c r="AA44" s="370">
        <v>0</v>
      </c>
      <c r="AB44" s="94"/>
      <c r="AC44" s="235">
        <v>358572</v>
      </c>
      <c r="AD44" s="235">
        <f t="shared" si="1"/>
        <v>426700.68</v>
      </c>
      <c r="AE44" s="219">
        <v>0</v>
      </c>
      <c r="AF44" s="94"/>
      <c r="AG44" s="214"/>
      <c r="AH44" s="234"/>
      <c r="AI44" s="89">
        <v>45798</v>
      </c>
      <c r="AJ44" s="94" t="s">
        <v>1705</v>
      </c>
      <c r="AK44" s="94" t="s">
        <v>136</v>
      </c>
    </row>
    <row r="45" spans="1:88" ht="36" customHeight="1" x14ac:dyDescent="0.25">
      <c r="A45" s="353">
        <v>2025</v>
      </c>
      <c r="B45" s="354">
        <v>5</v>
      </c>
      <c r="C45" s="353">
        <v>22657</v>
      </c>
      <c r="D45" s="279">
        <v>45803</v>
      </c>
      <c r="E45" s="81" t="s">
        <v>526</v>
      </c>
      <c r="F45" s="81" t="s">
        <v>527</v>
      </c>
      <c r="G45" s="78" t="s">
        <v>98</v>
      </c>
      <c r="H45" s="78">
        <v>3147098099</v>
      </c>
      <c r="I45" s="78">
        <v>3104910099</v>
      </c>
      <c r="J45" s="66">
        <v>45813</v>
      </c>
      <c r="K45" s="306" t="s">
        <v>88</v>
      </c>
      <c r="L45" s="79" t="s">
        <v>1833</v>
      </c>
      <c r="M45" s="78" t="s">
        <v>281</v>
      </c>
      <c r="N45" s="78" t="s">
        <v>136</v>
      </c>
      <c r="O45" s="78" t="s">
        <v>136</v>
      </c>
      <c r="P45" s="78">
        <v>9005</v>
      </c>
      <c r="Q45" s="78" t="s">
        <v>136</v>
      </c>
      <c r="R45" s="78" t="s">
        <v>136</v>
      </c>
      <c r="S45" s="78" t="s">
        <v>134</v>
      </c>
      <c r="T45" s="78" t="s">
        <v>134</v>
      </c>
      <c r="U45" s="78" t="s">
        <v>136</v>
      </c>
      <c r="V45" s="305" t="s">
        <v>119</v>
      </c>
      <c r="W45" s="66">
        <v>45813</v>
      </c>
      <c r="X45" s="66">
        <v>45820</v>
      </c>
      <c r="Y45" s="78"/>
      <c r="Z45" s="80" t="s">
        <v>85</v>
      </c>
      <c r="AA45" s="371">
        <v>382775</v>
      </c>
      <c r="AB45" s="78">
        <v>5929</v>
      </c>
      <c r="AC45" s="228">
        <v>321660</v>
      </c>
      <c r="AD45" s="228">
        <f t="shared" si="1"/>
        <v>382775.39999999997</v>
      </c>
      <c r="AE45" s="303">
        <v>0</v>
      </c>
      <c r="AF45" s="78"/>
      <c r="AG45" s="210" t="s">
        <v>2100</v>
      </c>
      <c r="AH45" s="403">
        <v>45800</v>
      </c>
      <c r="AI45" s="66">
        <v>45821</v>
      </c>
      <c r="AJ45" s="78" t="s">
        <v>1705</v>
      </c>
    </row>
    <row r="46" spans="1:88" ht="30" x14ac:dyDescent="0.25">
      <c r="A46" s="351">
        <v>2025</v>
      </c>
      <c r="B46" s="352">
        <v>5</v>
      </c>
      <c r="C46" s="351">
        <v>22658</v>
      </c>
      <c r="D46" s="274">
        <v>45794</v>
      </c>
      <c r="E46" s="90" t="s">
        <v>1732</v>
      </c>
      <c r="F46" s="90" t="s">
        <v>1733</v>
      </c>
      <c r="G46" s="94" t="s">
        <v>160</v>
      </c>
      <c r="H46" s="94">
        <v>3002376540</v>
      </c>
      <c r="I46" s="94">
        <v>3002376540</v>
      </c>
      <c r="J46" s="89">
        <v>45806</v>
      </c>
      <c r="K46" s="311" t="s">
        <v>84</v>
      </c>
      <c r="L46" s="91" t="s">
        <v>1734</v>
      </c>
      <c r="M46" s="94" t="s">
        <v>136</v>
      </c>
      <c r="N46" s="94">
        <v>5954</v>
      </c>
      <c r="O46" s="94">
        <v>6796</v>
      </c>
      <c r="P46" s="94">
        <v>9042</v>
      </c>
      <c r="Q46" s="94" t="s">
        <v>136</v>
      </c>
      <c r="R46" s="94" t="s">
        <v>136</v>
      </c>
      <c r="S46" s="94" t="s">
        <v>134</v>
      </c>
      <c r="T46" s="94" t="s">
        <v>134</v>
      </c>
      <c r="U46" s="94" t="s">
        <v>136</v>
      </c>
      <c r="V46" s="308" t="s">
        <v>119</v>
      </c>
      <c r="W46" s="89">
        <v>45800</v>
      </c>
      <c r="X46" s="89">
        <v>45807</v>
      </c>
      <c r="Y46" s="94"/>
      <c r="Z46" s="134" t="s">
        <v>85</v>
      </c>
      <c r="AA46" s="370">
        <v>629295</v>
      </c>
      <c r="AB46" s="94">
        <v>5884</v>
      </c>
      <c r="AC46" s="235">
        <v>528819</v>
      </c>
      <c r="AD46" s="235">
        <f t="shared" si="1"/>
        <v>629294.61</v>
      </c>
      <c r="AE46" s="219">
        <v>315000</v>
      </c>
      <c r="AF46" s="94"/>
      <c r="AG46" s="214" t="s">
        <v>1890</v>
      </c>
      <c r="AH46" s="334">
        <v>45804</v>
      </c>
      <c r="AI46" s="89">
        <v>45814</v>
      </c>
      <c r="AJ46" s="94" t="s">
        <v>1705</v>
      </c>
      <c r="AK46" s="94"/>
    </row>
    <row r="47" spans="1:88" ht="34.5" customHeight="1" x14ac:dyDescent="0.25">
      <c r="A47" s="356">
        <v>2025</v>
      </c>
      <c r="B47" s="357">
        <v>5</v>
      </c>
      <c r="C47" s="161">
        <v>22659</v>
      </c>
      <c r="D47" s="278">
        <v>45793</v>
      </c>
      <c r="E47" s="100" t="s">
        <v>1131</v>
      </c>
      <c r="F47" s="100" t="s">
        <v>1131</v>
      </c>
      <c r="G47" s="99" t="s">
        <v>143</v>
      </c>
      <c r="H47" s="99">
        <v>3104080989</v>
      </c>
      <c r="I47" s="99">
        <v>3104080989</v>
      </c>
      <c r="J47" s="97">
        <v>45800</v>
      </c>
      <c r="K47" s="347" t="s">
        <v>84</v>
      </c>
      <c r="L47" s="101" t="s">
        <v>1735</v>
      </c>
      <c r="M47" s="99" t="s">
        <v>136</v>
      </c>
      <c r="N47" s="99">
        <v>5945</v>
      </c>
      <c r="O47" s="99" t="s">
        <v>136</v>
      </c>
      <c r="P47" s="99" t="s">
        <v>136</v>
      </c>
      <c r="Q47" s="99">
        <v>5544</v>
      </c>
      <c r="R47" s="99" t="s">
        <v>136</v>
      </c>
      <c r="S47" s="99" t="s">
        <v>134</v>
      </c>
      <c r="T47" s="99" t="s">
        <v>134</v>
      </c>
      <c r="U47" s="99" t="s">
        <v>136</v>
      </c>
      <c r="V47" s="348" t="s">
        <v>119</v>
      </c>
      <c r="W47" s="97">
        <v>45799</v>
      </c>
      <c r="X47" s="97">
        <v>45801</v>
      </c>
      <c r="Y47" s="99"/>
      <c r="Z47" s="120" t="s">
        <v>85</v>
      </c>
      <c r="AA47" s="368">
        <v>0</v>
      </c>
      <c r="AB47" s="99"/>
      <c r="AC47" s="198">
        <v>0</v>
      </c>
      <c r="AD47" s="198">
        <f t="shared" si="1"/>
        <v>0</v>
      </c>
      <c r="AE47" s="117">
        <v>0</v>
      </c>
      <c r="AF47" s="99"/>
      <c r="AG47" s="104" t="s">
        <v>1736</v>
      </c>
      <c r="AH47" s="233"/>
      <c r="AI47" s="97">
        <v>45807</v>
      </c>
      <c r="AJ47" s="99" t="s">
        <v>1705</v>
      </c>
      <c r="AK47" s="401" t="s">
        <v>1823</v>
      </c>
    </row>
    <row r="48" spans="1:88" ht="30" x14ac:dyDescent="0.25">
      <c r="A48" s="353">
        <v>2025</v>
      </c>
      <c r="B48" s="354">
        <v>5</v>
      </c>
      <c r="C48" s="353">
        <v>22660</v>
      </c>
      <c r="D48" s="279">
        <v>45792</v>
      </c>
      <c r="E48" s="81" t="s">
        <v>1769</v>
      </c>
      <c r="F48" s="81" t="s">
        <v>1769</v>
      </c>
      <c r="G48" s="78" t="s">
        <v>143</v>
      </c>
      <c r="H48" s="78">
        <v>3213150292</v>
      </c>
      <c r="I48" s="78">
        <v>3213150292</v>
      </c>
      <c r="J48" s="66">
        <v>45800</v>
      </c>
      <c r="K48" s="306" t="s">
        <v>84</v>
      </c>
      <c r="L48" s="79" t="s">
        <v>1770</v>
      </c>
      <c r="M48" s="78" t="s">
        <v>136</v>
      </c>
      <c r="N48" s="78" t="s">
        <v>136</v>
      </c>
      <c r="O48" s="78">
        <v>6186</v>
      </c>
      <c r="P48" s="78">
        <v>9051</v>
      </c>
      <c r="Q48" s="78" t="s">
        <v>136</v>
      </c>
      <c r="R48" s="78" t="s">
        <v>136</v>
      </c>
      <c r="S48" s="78" t="s">
        <v>136</v>
      </c>
      <c r="T48" s="78" t="s">
        <v>136</v>
      </c>
      <c r="U48" s="78" t="s">
        <v>134</v>
      </c>
      <c r="V48" s="305" t="s">
        <v>87</v>
      </c>
      <c r="W48" s="66"/>
      <c r="X48" s="66">
        <v>45799</v>
      </c>
      <c r="Y48" s="78"/>
      <c r="Z48" s="80" t="s">
        <v>85</v>
      </c>
      <c r="AA48" s="371">
        <v>371875</v>
      </c>
      <c r="AB48" s="78"/>
      <c r="AC48" s="228">
        <v>312500</v>
      </c>
      <c r="AD48" s="228">
        <f t="shared" si="1"/>
        <v>371875</v>
      </c>
      <c r="AE48" s="303">
        <v>0</v>
      </c>
      <c r="AF48" s="78"/>
      <c r="AG48" s="210" t="s">
        <v>1893</v>
      </c>
      <c r="AH48" s="403">
        <v>45798</v>
      </c>
      <c r="AI48" s="66">
        <v>45807</v>
      </c>
      <c r="AJ48" s="78" t="s">
        <v>1705</v>
      </c>
    </row>
    <row r="49" spans="1:37" ht="30" x14ac:dyDescent="0.25">
      <c r="A49" s="351">
        <v>2025</v>
      </c>
      <c r="B49" s="352">
        <v>5</v>
      </c>
      <c r="C49" s="351">
        <v>22661</v>
      </c>
      <c r="D49" s="274">
        <v>45793</v>
      </c>
      <c r="E49" s="90" t="s">
        <v>1737</v>
      </c>
      <c r="F49" s="90" t="s">
        <v>1738</v>
      </c>
      <c r="G49" s="94" t="s">
        <v>143</v>
      </c>
      <c r="H49" s="94">
        <v>3105722235</v>
      </c>
      <c r="I49" s="94">
        <v>3105722235</v>
      </c>
      <c r="J49" s="89">
        <v>45803</v>
      </c>
      <c r="K49" s="311" t="s">
        <v>84</v>
      </c>
      <c r="L49" s="91" t="s">
        <v>1739</v>
      </c>
      <c r="M49" s="94" t="s">
        <v>136</v>
      </c>
      <c r="N49" s="94">
        <v>5948</v>
      </c>
      <c r="O49" s="94" t="s">
        <v>136</v>
      </c>
      <c r="P49" s="94" t="s">
        <v>136</v>
      </c>
      <c r="Q49" s="94" t="s">
        <v>136</v>
      </c>
      <c r="R49" s="94" t="s">
        <v>136</v>
      </c>
      <c r="S49" s="94" t="s">
        <v>136</v>
      </c>
      <c r="T49" s="94" t="s">
        <v>136</v>
      </c>
      <c r="U49" s="94" t="s">
        <v>136</v>
      </c>
      <c r="V49" s="308" t="s">
        <v>119</v>
      </c>
      <c r="W49" s="89">
        <v>45800</v>
      </c>
      <c r="X49" s="89">
        <v>45803</v>
      </c>
      <c r="Y49" s="94"/>
      <c r="Z49" s="134" t="s">
        <v>85</v>
      </c>
      <c r="AA49" s="370">
        <v>450000</v>
      </c>
      <c r="AB49" s="94"/>
      <c r="AC49" s="235">
        <v>277311</v>
      </c>
      <c r="AD49" s="235">
        <f t="shared" si="1"/>
        <v>330000.08999999997</v>
      </c>
      <c r="AE49" s="219">
        <v>0</v>
      </c>
      <c r="AF49" s="94"/>
      <c r="AG49" s="214"/>
      <c r="AH49" s="334">
        <v>45716</v>
      </c>
      <c r="AI49" s="89">
        <v>45807</v>
      </c>
      <c r="AJ49" s="94" t="s">
        <v>1705</v>
      </c>
      <c r="AK49" s="94"/>
    </row>
    <row r="50" spans="1:37" ht="30" x14ac:dyDescent="0.25">
      <c r="A50" s="351">
        <v>2025</v>
      </c>
      <c r="B50" s="352">
        <v>5</v>
      </c>
      <c r="C50" s="358">
        <v>22662</v>
      </c>
      <c r="D50" s="274">
        <v>45793</v>
      </c>
      <c r="E50" s="90" t="s">
        <v>1740</v>
      </c>
      <c r="F50" s="90" t="s">
        <v>1740</v>
      </c>
      <c r="G50" s="94" t="s">
        <v>143</v>
      </c>
      <c r="H50" s="94">
        <v>3164734748</v>
      </c>
      <c r="I50" s="94">
        <v>3164734748</v>
      </c>
      <c r="J50" s="89">
        <v>45803</v>
      </c>
      <c r="K50" s="311" t="s">
        <v>84</v>
      </c>
      <c r="L50" s="91" t="s">
        <v>1741</v>
      </c>
      <c r="M50" s="94" t="s">
        <v>136</v>
      </c>
      <c r="N50" s="94">
        <v>5949</v>
      </c>
      <c r="O50" s="94">
        <v>6191</v>
      </c>
      <c r="P50" s="94" t="s">
        <v>136</v>
      </c>
      <c r="Q50" s="94" t="s">
        <v>136</v>
      </c>
      <c r="R50" s="94" t="s">
        <v>136</v>
      </c>
      <c r="S50" s="94" t="s">
        <v>136</v>
      </c>
      <c r="T50" s="94" t="s">
        <v>136</v>
      </c>
      <c r="U50" s="94" t="s">
        <v>136</v>
      </c>
      <c r="V50" s="308" t="s">
        <v>119</v>
      </c>
      <c r="W50" s="89">
        <v>45799</v>
      </c>
      <c r="X50" s="89"/>
      <c r="Y50" s="94"/>
      <c r="Z50" s="134" t="s">
        <v>97</v>
      </c>
      <c r="AA50" s="370">
        <v>0</v>
      </c>
      <c r="AB50" s="94"/>
      <c r="AC50" s="235">
        <v>1058824</v>
      </c>
      <c r="AD50" s="235">
        <f t="shared" si="1"/>
        <v>1260000.56</v>
      </c>
      <c r="AE50" s="219">
        <v>1000000</v>
      </c>
      <c r="AF50" s="94"/>
      <c r="AG50" s="214"/>
      <c r="AH50" s="234"/>
      <c r="AI50" s="89">
        <v>45798</v>
      </c>
      <c r="AJ50" s="94" t="s">
        <v>1705</v>
      </c>
      <c r="AK50" s="94" t="s">
        <v>136</v>
      </c>
    </row>
    <row r="51" spans="1:37" ht="45" x14ac:dyDescent="0.25">
      <c r="A51" s="351">
        <v>2025</v>
      </c>
      <c r="B51" s="352">
        <v>5</v>
      </c>
      <c r="C51" s="351">
        <v>22663</v>
      </c>
      <c r="D51" s="274">
        <v>45794</v>
      </c>
      <c r="E51" s="90" t="s">
        <v>1751</v>
      </c>
      <c r="F51" s="90" t="s">
        <v>329</v>
      </c>
      <c r="G51" s="94" t="s">
        <v>143</v>
      </c>
      <c r="H51" s="94">
        <v>3113819928</v>
      </c>
      <c r="I51" s="94">
        <v>3113819928</v>
      </c>
      <c r="J51" s="89">
        <v>45807</v>
      </c>
      <c r="K51" s="311" t="s">
        <v>84</v>
      </c>
      <c r="L51" s="91" t="s">
        <v>1752</v>
      </c>
      <c r="M51" s="94" t="s">
        <v>136</v>
      </c>
      <c r="N51" s="94">
        <v>5953</v>
      </c>
      <c r="O51" s="94">
        <v>6192</v>
      </c>
      <c r="P51" s="94">
        <v>8450</v>
      </c>
      <c r="Q51" s="94">
        <v>5403</v>
      </c>
      <c r="R51" s="94" t="s">
        <v>136</v>
      </c>
      <c r="S51" s="94" t="s">
        <v>134</v>
      </c>
      <c r="T51" s="94" t="s">
        <v>134</v>
      </c>
      <c r="U51" s="94" t="s">
        <v>136</v>
      </c>
      <c r="V51" s="308" t="s">
        <v>89</v>
      </c>
      <c r="W51" s="89">
        <v>45800</v>
      </c>
      <c r="X51" s="89">
        <v>45820</v>
      </c>
      <c r="Y51" s="94"/>
      <c r="Z51" s="134" t="s">
        <v>90</v>
      </c>
      <c r="AA51" s="370">
        <v>0</v>
      </c>
      <c r="AB51" s="94">
        <v>5900</v>
      </c>
      <c r="AC51" s="235">
        <v>5472725</v>
      </c>
      <c r="AD51" s="235">
        <f t="shared" si="1"/>
        <v>6512542.75</v>
      </c>
      <c r="AE51" s="219">
        <v>0</v>
      </c>
      <c r="AF51" s="94"/>
      <c r="AG51" s="214" t="s">
        <v>2110</v>
      </c>
      <c r="AH51" s="234"/>
      <c r="AI51" s="89">
        <v>45821</v>
      </c>
      <c r="AJ51" s="94" t="s">
        <v>1705</v>
      </c>
      <c r="AK51" s="94"/>
    </row>
    <row r="52" spans="1:37" ht="30" x14ac:dyDescent="0.25">
      <c r="A52" s="351">
        <v>2025</v>
      </c>
      <c r="B52" s="352">
        <v>5</v>
      </c>
      <c r="C52" s="351">
        <v>22664</v>
      </c>
      <c r="D52" s="274">
        <v>45793</v>
      </c>
      <c r="E52" s="90" t="s">
        <v>1448</v>
      </c>
      <c r="F52" s="90" t="s">
        <v>1449</v>
      </c>
      <c r="G52" s="94" t="s">
        <v>98</v>
      </c>
      <c r="H52" s="94">
        <v>3168776326</v>
      </c>
      <c r="I52" s="94">
        <v>3138036058</v>
      </c>
      <c r="J52" s="89">
        <v>45803</v>
      </c>
      <c r="K52" s="311" t="s">
        <v>88</v>
      </c>
      <c r="L52" s="91" t="s">
        <v>1742</v>
      </c>
      <c r="M52" s="94" t="s">
        <v>136</v>
      </c>
      <c r="N52" s="94">
        <v>5951</v>
      </c>
      <c r="O52" s="94" t="s">
        <v>136</v>
      </c>
      <c r="P52" s="94" t="s">
        <v>136</v>
      </c>
      <c r="Q52" s="94" t="s">
        <v>136</v>
      </c>
      <c r="R52" s="94" t="s">
        <v>136</v>
      </c>
      <c r="S52" s="94" t="s">
        <v>134</v>
      </c>
      <c r="T52" s="94" t="s">
        <v>134</v>
      </c>
      <c r="U52" s="94" t="s">
        <v>136</v>
      </c>
      <c r="V52" s="308" t="s">
        <v>119</v>
      </c>
      <c r="W52" s="89">
        <v>45800</v>
      </c>
      <c r="X52" s="89">
        <v>45801</v>
      </c>
      <c r="Y52" s="94"/>
      <c r="Z52" s="134" t="s">
        <v>85</v>
      </c>
      <c r="AA52" s="370">
        <v>0</v>
      </c>
      <c r="AB52" s="94"/>
      <c r="AC52" s="235">
        <v>0</v>
      </c>
      <c r="AD52" s="235">
        <f t="shared" si="1"/>
        <v>0</v>
      </c>
      <c r="AE52" s="219">
        <v>0</v>
      </c>
      <c r="AF52" s="94"/>
      <c r="AG52" s="214" t="s">
        <v>1898</v>
      </c>
      <c r="AH52" s="234"/>
      <c r="AI52" s="89">
        <v>45800</v>
      </c>
      <c r="AJ52" s="94" t="s">
        <v>1705</v>
      </c>
      <c r="AK52" s="94" t="s">
        <v>236</v>
      </c>
    </row>
    <row r="53" spans="1:37" ht="30" x14ac:dyDescent="0.25">
      <c r="A53" s="351">
        <v>2025</v>
      </c>
      <c r="B53" s="352">
        <v>5</v>
      </c>
      <c r="C53" s="358">
        <v>22665</v>
      </c>
      <c r="D53" s="274">
        <v>45793</v>
      </c>
      <c r="E53" s="90" t="s">
        <v>967</v>
      </c>
      <c r="F53" s="90" t="s">
        <v>967</v>
      </c>
      <c r="G53" s="94" t="s">
        <v>968</v>
      </c>
      <c r="H53" s="94">
        <v>3117345805</v>
      </c>
      <c r="I53" s="94">
        <v>3117345805</v>
      </c>
      <c r="J53" s="89">
        <v>45803</v>
      </c>
      <c r="K53" s="311" t="s">
        <v>94</v>
      </c>
      <c r="L53" s="91" t="s">
        <v>1743</v>
      </c>
      <c r="M53" s="94" t="s">
        <v>136</v>
      </c>
      <c r="N53" s="94">
        <v>5950</v>
      </c>
      <c r="O53" s="94" t="s">
        <v>136</v>
      </c>
      <c r="P53" s="94" t="s">
        <v>136</v>
      </c>
      <c r="Q53" s="94" t="s">
        <v>136</v>
      </c>
      <c r="R53" s="94" t="s">
        <v>136</v>
      </c>
      <c r="S53" s="94" t="s">
        <v>134</v>
      </c>
      <c r="T53" s="94" t="s">
        <v>136</v>
      </c>
      <c r="U53" s="94" t="s">
        <v>136</v>
      </c>
      <c r="V53" s="308" t="s">
        <v>119</v>
      </c>
      <c r="W53" s="89">
        <v>45800</v>
      </c>
      <c r="X53" s="89"/>
      <c r="Y53" s="94"/>
      <c r="Z53" s="134" t="s">
        <v>97</v>
      </c>
      <c r="AA53" s="370">
        <v>0</v>
      </c>
      <c r="AB53" s="94">
        <v>5886</v>
      </c>
      <c r="AC53" s="235">
        <v>316260</v>
      </c>
      <c r="AD53" s="235">
        <f t="shared" si="1"/>
        <v>376349.39999999997</v>
      </c>
      <c r="AE53" s="219">
        <v>250000</v>
      </c>
      <c r="AF53" s="94"/>
      <c r="AG53" s="214" t="s">
        <v>18</v>
      </c>
      <c r="AH53" s="234"/>
      <c r="AI53" s="89">
        <v>45800</v>
      </c>
      <c r="AJ53" s="94" t="s">
        <v>1705</v>
      </c>
      <c r="AK53" s="94" t="s">
        <v>136</v>
      </c>
    </row>
    <row r="54" spans="1:37" ht="30" x14ac:dyDescent="0.25">
      <c r="A54" s="152">
        <v>2025</v>
      </c>
      <c r="B54" s="379">
        <v>5</v>
      </c>
      <c r="C54" s="152">
        <v>22666</v>
      </c>
      <c r="D54" s="277">
        <v>45794</v>
      </c>
      <c r="E54" s="111" t="s">
        <v>1744</v>
      </c>
      <c r="F54" s="111" t="s">
        <v>1745</v>
      </c>
      <c r="G54" s="110" t="s">
        <v>143</v>
      </c>
      <c r="H54" s="110">
        <v>3003750531</v>
      </c>
      <c r="I54" s="110">
        <v>4441770</v>
      </c>
      <c r="J54" s="108">
        <v>45807</v>
      </c>
      <c r="K54" s="243" t="s">
        <v>88</v>
      </c>
      <c r="L54" s="112" t="s">
        <v>1746</v>
      </c>
      <c r="M54" s="110" t="s">
        <v>281</v>
      </c>
      <c r="N54" s="110" t="s">
        <v>136</v>
      </c>
      <c r="O54" s="110">
        <v>6194</v>
      </c>
      <c r="P54" s="110">
        <v>9036</v>
      </c>
      <c r="Q54" s="110" t="s">
        <v>136</v>
      </c>
      <c r="R54" s="110" t="s">
        <v>134</v>
      </c>
      <c r="S54" s="110" t="s">
        <v>134</v>
      </c>
      <c r="T54" s="110" t="s">
        <v>134</v>
      </c>
      <c r="U54" s="110" t="s">
        <v>136</v>
      </c>
      <c r="V54" s="154" t="s">
        <v>119</v>
      </c>
      <c r="W54" s="108">
        <v>45799</v>
      </c>
      <c r="X54" s="108">
        <v>45798</v>
      </c>
      <c r="Y54" s="110"/>
      <c r="Z54" s="126" t="s">
        <v>85</v>
      </c>
      <c r="AA54" s="380">
        <v>0</v>
      </c>
      <c r="AB54" s="110">
        <v>5871</v>
      </c>
      <c r="AC54" s="212">
        <v>1306482</v>
      </c>
      <c r="AD54" s="212">
        <f t="shared" si="1"/>
        <v>1554713.5799999998</v>
      </c>
      <c r="AE54" s="130">
        <v>0</v>
      </c>
      <c r="AF54" s="110"/>
      <c r="AG54" s="142" t="s">
        <v>2141</v>
      </c>
      <c r="AH54" s="248">
        <v>45821</v>
      </c>
      <c r="AI54" s="108">
        <v>45826</v>
      </c>
      <c r="AJ54" s="110" t="s">
        <v>1705</v>
      </c>
      <c r="AK54" s="110"/>
    </row>
    <row r="55" spans="1:37" ht="60" x14ac:dyDescent="0.25">
      <c r="A55" s="356">
        <v>2025</v>
      </c>
      <c r="B55" s="357">
        <v>5</v>
      </c>
      <c r="C55" s="356">
        <v>22667</v>
      </c>
      <c r="D55" s="278">
        <v>45794</v>
      </c>
      <c r="E55" s="100" t="s">
        <v>1753</v>
      </c>
      <c r="F55" s="100" t="s">
        <v>1754</v>
      </c>
      <c r="G55" s="99" t="s">
        <v>143</v>
      </c>
      <c r="H55" s="99">
        <v>3105013824</v>
      </c>
      <c r="I55" s="99">
        <v>3105013824</v>
      </c>
      <c r="J55" s="97">
        <v>45805</v>
      </c>
      <c r="K55" s="347" t="s">
        <v>88</v>
      </c>
      <c r="L55" s="101" t="s">
        <v>1755</v>
      </c>
      <c r="M55" s="99" t="s">
        <v>136</v>
      </c>
      <c r="N55" s="99">
        <v>5952</v>
      </c>
      <c r="O55" s="99" t="s">
        <v>136</v>
      </c>
      <c r="P55" s="99" t="s">
        <v>136</v>
      </c>
      <c r="Q55" s="99" t="s">
        <v>136</v>
      </c>
      <c r="R55" s="99" t="s">
        <v>134</v>
      </c>
      <c r="S55" s="99" t="s">
        <v>134</v>
      </c>
      <c r="T55" s="99" t="s">
        <v>134</v>
      </c>
      <c r="U55" s="99" t="s">
        <v>136</v>
      </c>
      <c r="V55" s="348" t="s">
        <v>590</v>
      </c>
      <c r="W55" s="97">
        <v>45803</v>
      </c>
      <c r="X55" s="97">
        <v>45813</v>
      </c>
      <c r="Y55" s="94"/>
      <c r="Z55" s="120" t="s">
        <v>85</v>
      </c>
      <c r="AA55" s="368">
        <v>578692</v>
      </c>
      <c r="AB55" s="99">
        <v>5902</v>
      </c>
      <c r="AC55" s="198">
        <v>486523</v>
      </c>
      <c r="AD55" s="198">
        <f t="shared" si="1"/>
        <v>578962.37</v>
      </c>
      <c r="AE55" s="117">
        <v>300000</v>
      </c>
      <c r="AF55" s="94"/>
      <c r="AG55" s="104" t="s">
        <v>1912</v>
      </c>
      <c r="AH55" s="258">
        <v>45812</v>
      </c>
      <c r="AI55" s="97">
        <v>45814</v>
      </c>
      <c r="AJ55" s="99" t="s">
        <v>1705</v>
      </c>
      <c r="AK55" s="99"/>
    </row>
    <row r="56" spans="1:37" ht="30" x14ac:dyDescent="0.25">
      <c r="A56" s="351">
        <v>2025</v>
      </c>
      <c r="B56" s="352">
        <v>5</v>
      </c>
      <c r="C56" s="358">
        <v>22668</v>
      </c>
      <c r="D56" s="274">
        <v>45796</v>
      </c>
      <c r="E56" s="90" t="s">
        <v>1747</v>
      </c>
      <c r="F56" s="90" t="s">
        <v>222</v>
      </c>
      <c r="G56" s="94" t="s">
        <v>173</v>
      </c>
      <c r="H56" s="94">
        <v>3023998725</v>
      </c>
      <c r="I56" s="94">
        <v>5459643</v>
      </c>
      <c r="J56" s="89">
        <v>45801</v>
      </c>
      <c r="K56" s="311" t="s">
        <v>88</v>
      </c>
      <c r="L56" s="91" t="s">
        <v>1748</v>
      </c>
      <c r="M56" s="94" t="s">
        <v>136</v>
      </c>
      <c r="N56" s="94" t="s">
        <v>136</v>
      </c>
      <c r="O56" s="94" t="s">
        <v>136</v>
      </c>
      <c r="P56" s="94">
        <v>9073</v>
      </c>
      <c r="Q56" s="94" t="s">
        <v>136</v>
      </c>
      <c r="R56" s="94" t="s">
        <v>136</v>
      </c>
      <c r="S56" s="94" t="s">
        <v>136</v>
      </c>
      <c r="T56" s="94" t="s">
        <v>134</v>
      </c>
      <c r="U56" s="94" t="s">
        <v>134</v>
      </c>
      <c r="V56" s="308" t="s">
        <v>119</v>
      </c>
      <c r="W56" s="89"/>
      <c r="X56" s="89">
        <v>45801</v>
      </c>
      <c r="Y56" s="94"/>
      <c r="Z56" s="134" t="s">
        <v>85</v>
      </c>
      <c r="AA56" s="370">
        <v>214200</v>
      </c>
      <c r="AB56" s="94"/>
      <c r="AC56" s="235">
        <v>180000</v>
      </c>
      <c r="AD56" s="235">
        <f t="shared" si="1"/>
        <v>214200</v>
      </c>
      <c r="AE56" s="219">
        <v>0</v>
      </c>
      <c r="AF56" s="94"/>
      <c r="AG56" s="214" t="s">
        <v>1899</v>
      </c>
      <c r="AH56" s="334">
        <v>45796</v>
      </c>
      <c r="AI56" s="89">
        <v>45805</v>
      </c>
      <c r="AJ56" s="94" t="s">
        <v>1705</v>
      </c>
      <c r="AK56" s="94"/>
    </row>
    <row r="57" spans="1:37" ht="30" x14ac:dyDescent="0.25">
      <c r="A57" s="351">
        <v>2025</v>
      </c>
      <c r="B57" s="352">
        <v>5</v>
      </c>
      <c r="C57" s="351">
        <v>22669</v>
      </c>
      <c r="D57" s="274">
        <v>45796</v>
      </c>
      <c r="E57" s="90" t="s">
        <v>1756</v>
      </c>
      <c r="F57" s="90" t="s">
        <v>1757</v>
      </c>
      <c r="G57" s="94" t="s">
        <v>143</v>
      </c>
      <c r="H57" s="94">
        <v>3206699358</v>
      </c>
      <c r="I57" s="94">
        <v>4488600</v>
      </c>
      <c r="J57" s="89">
        <v>45813</v>
      </c>
      <c r="K57" s="311" t="s">
        <v>86</v>
      </c>
      <c r="L57" s="91" t="s">
        <v>1758</v>
      </c>
      <c r="M57" s="94" t="s">
        <v>136</v>
      </c>
      <c r="N57" s="94">
        <v>5957</v>
      </c>
      <c r="O57" s="94" t="s">
        <v>136</v>
      </c>
      <c r="P57" s="94">
        <v>9062</v>
      </c>
      <c r="Q57" s="94" t="s">
        <v>136</v>
      </c>
      <c r="R57" s="94" t="s">
        <v>136</v>
      </c>
      <c r="S57" s="94" t="s">
        <v>136</v>
      </c>
      <c r="T57" s="94" t="s">
        <v>136</v>
      </c>
      <c r="U57" s="94" t="s">
        <v>136</v>
      </c>
      <c r="V57" s="308" t="s">
        <v>119</v>
      </c>
      <c r="W57" s="89">
        <v>45822</v>
      </c>
      <c r="X57" s="89">
        <v>45825</v>
      </c>
      <c r="Y57" s="94"/>
      <c r="Z57" s="134" t="s">
        <v>85</v>
      </c>
      <c r="AA57" s="370">
        <v>0</v>
      </c>
      <c r="AB57" s="94">
        <v>5956</v>
      </c>
      <c r="AC57" s="235">
        <v>615385</v>
      </c>
      <c r="AD57" s="235">
        <f t="shared" si="1"/>
        <v>732308.15</v>
      </c>
      <c r="AE57" s="219">
        <v>400000</v>
      </c>
      <c r="AF57" s="94"/>
      <c r="AG57" s="214" t="s">
        <v>2036</v>
      </c>
      <c r="AH57" s="334">
        <v>45825</v>
      </c>
      <c r="AI57" s="89">
        <v>45826</v>
      </c>
      <c r="AJ57" s="94" t="s">
        <v>1705</v>
      </c>
      <c r="AK57" s="94"/>
    </row>
    <row r="58" spans="1:37" ht="66.75" customHeight="1" x14ac:dyDescent="0.25">
      <c r="A58" s="351">
        <v>2025</v>
      </c>
      <c r="B58" s="352">
        <v>5</v>
      </c>
      <c r="C58" s="351">
        <v>22670</v>
      </c>
      <c r="D58" s="274">
        <v>45796</v>
      </c>
      <c r="E58" s="90" t="s">
        <v>1759</v>
      </c>
      <c r="F58" s="90" t="s">
        <v>1760</v>
      </c>
      <c r="G58" s="94" t="s">
        <v>143</v>
      </c>
      <c r="H58" s="94">
        <v>3154529699</v>
      </c>
      <c r="I58" s="94">
        <v>3147189433</v>
      </c>
      <c r="J58" s="89">
        <v>45806</v>
      </c>
      <c r="K58" s="311" t="s">
        <v>88</v>
      </c>
      <c r="L58" s="91" t="s">
        <v>1761</v>
      </c>
      <c r="M58" s="94" t="s">
        <v>136</v>
      </c>
      <c r="N58" s="94">
        <v>5955</v>
      </c>
      <c r="O58" s="94">
        <v>6799</v>
      </c>
      <c r="P58" s="94" t="s">
        <v>136</v>
      </c>
      <c r="Q58" s="94" t="s">
        <v>136</v>
      </c>
      <c r="R58" s="94" t="s">
        <v>134</v>
      </c>
      <c r="S58" s="94" t="s">
        <v>136</v>
      </c>
      <c r="T58" s="94" t="s">
        <v>136</v>
      </c>
      <c r="U58" s="94" t="s">
        <v>134</v>
      </c>
      <c r="V58" s="308" t="s">
        <v>89</v>
      </c>
      <c r="W58" s="89">
        <v>45803</v>
      </c>
      <c r="X58" s="89">
        <v>45806</v>
      </c>
      <c r="Y58" s="94"/>
      <c r="Z58" s="134" t="s">
        <v>85</v>
      </c>
      <c r="AA58" s="370">
        <v>0</v>
      </c>
      <c r="AB58" s="94">
        <v>5894</v>
      </c>
      <c r="AC58" s="235">
        <v>692437</v>
      </c>
      <c r="AD58" s="235">
        <f t="shared" si="1"/>
        <v>824000.02999999991</v>
      </c>
      <c r="AE58" s="219">
        <v>0</v>
      </c>
      <c r="AF58" s="94"/>
      <c r="AG58" s="214"/>
      <c r="AH58" s="334">
        <v>45808</v>
      </c>
      <c r="AI58" s="89">
        <v>45814</v>
      </c>
      <c r="AJ58" s="94" t="s">
        <v>1705</v>
      </c>
      <c r="AK58" s="94"/>
    </row>
    <row r="59" spans="1:37" ht="34.5" customHeight="1" x14ac:dyDescent="0.25">
      <c r="A59" s="353">
        <v>2025</v>
      </c>
      <c r="B59" s="354">
        <v>5</v>
      </c>
      <c r="C59" s="355">
        <v>22671</v>
      </c>
      <c r="D59" s="279">
        <v>45796</v>
      </c>
      <c r="E59" s="81" t="s">
        <v>1784</v>
      </c>
      <c r="F59" s="81" t="s">
        <v>1785</v>
      </c>
      <c r="G59" s="78" t="s">
        <v>143</v>
      </c>
      <c r="H59" s="78">
        <v>3113765573</v>
      </c>
      <c r="I59" s="78">
        <v>3113765573</v>
      </c>
      <c r="J59" s="66">
        <v>45807</v>
      </c>
      <c r="K59" s="306" t="s">
        <v>88</v>
      </c>
      <c r="L59" s="79" t="s">
        <v>1786</v>
      </c>
      <c r="M59" s="78" t="s">
        <v>136</v>
      </c>
      <c r="N59" s="78">
        <v>5960</v>
      </c>
      <c r="O59" s="78" t="s">
        <v>136</v>
      </c>
      <c r="P59" s="78" t="s">
        <v>136</v>
      </c>
      <c r="Q59" s="78" t="s">
        <v>136</v>
      </c>
      <c r="R59" s="78" t="s">
        <v>136</v>
      </c>
      <c r="S59" s="78" t="s">
        <v>136</v>
      </c>
      <c r="T59" s="78" t="s">
        <v>136</v>
      </c>
      <c r="U59" s="78" t="s">
        <v>136</v>
      </c>
      <c r="V59" s="305" t="s">
        <v>590</v>
      </c>
      <c r="W59" s="66">
        <v>45805</v>
      </c>
      <c r="X59" s="66">
        <v>45796</v>
      </c>
      <c r="Y59" s="78"/>
      <c r="Z59" s="80" t="s">
        <v>85</v>
      </c>
      <c r="AA59" s="371">
        <v>218000</v>
      </c>
      <c r="AB59" s="78">
        <v>5895</v>
      </c>
      <c r="AC59" s="228">
        <v>366725</v>
      </c>
      <c r="AD59" s="228">
        <f t="shared" si="1"/>
        <v>436402.75</v>
      </c>
      <c r="AE59" s="303">
        <v>218200</v>
      </c>
      <c r="AF59" s="78"/>
      <c r="AG59" s="210"/>
      <c r="AH59" s="403">
        <v>45806</v>
      </c>
      <c r="AI59" s="66">
        <v>45807</v>
      </c>
      <c r="AJ59" s="78" t="s">
        <v>1705</v>
      </c>
    </row>
    <row r="60" spans="1:37" ht="34.5" customHeight="1" x14ac:dyDescent="0.25">
      <c r="A60" s="351">
        <v>2025</v>
      </c>
      <c r="B60" s="352">
        <v>5</v>
      </c>
      <c r="C60" s="351">
        <v>22672</v>
      </c>
      <c r="D60" s="274">
        <v>45796</v>
      </c>
      <c r="E60" s="90" t="s">
        <v>1762</v>
      </c>
      <c r="F60" s="90" t="s">
        <v>1762</v>
      </c>
      <c r="G60" s="94" t="s">
        <v>143</v>
      </c>
      <c r="H60" s="94">
        <v>3147249888</v>
      </c>
      <c r="I60" s="94">
        <v>3147249888</v>
      </c>
      <c r="J60" s="89">
        <v>45807</v>
      </c>
      <c r="K60" s="311" t="s">
        <v>84</v>
      </c>
      <c r="L60" s="91" t="s">
        <v>1763</v>
      </c>
      <c r="M60" s="94" t="s">
        <v>136</v>
      </c>
      <c r="N60" s="94">
        <v>5956</v>
      </c>
      <c r="O60" s="94" t="s">
        <v>136</v>
      </c>
      <c r="P60" s="94">
        <v>9078</v>
      </c>
      <c r="Q60" s="94" t="s">
        <v>136</v>
      </c>
      <c r="R60" s="94" t="s">
        <v>136</v>
      </c>
      <c r="S60" s="94" t="s">
        <v>134</v>
      </c>
      <c r="T60" s="94" t="s">
        <v>136</v>
      </c>
      <c r="U60" s="94" t="s">
        <v>136</v>
      </c>
      <c r="V60" s="308" t="s">
        <v>119</v>
      </c>
      <c r="W60" s="89">
        <v>45803</v>
      </c>
      <c r="X60" s="89">
        <v>45782</v>
      </c>
      <c r="Y60" s="94"/>
      <c r="Z60" s="134" t="s">
        <v>85</v>
      </c>
      <c r="AA60" s="370">
        <v>0</v>
      </c>
      <c r="AB60" s="94">
        <v>5889</v>
      </c>
      <c r="AC60" s="235">
        <v>1155880</v>
      </c>
      <c r="AD60" s="235">
        <f t="shared" si="1"/>
        <v>1375497.2</v>
      </c>
      <c r="AE60" s="219">
        <v>690000</v>
      </c>
      <c r="AF60" s="94"/>
      <c r="AG60" s="214" t="s">
        <v>1990</v>
      </c>
      <c r="AH60" s="334">
        <v>45811</v>
      </c>
      <c r="AI60" s="89">
        <v>45817</v>
      </c>
      <c r="AJ60" s="94" t="s">
        <v>1705</v>
      </c>
      <c r="AK60" s="94" t="s">
        <v>136</v>
      </c>
    </row>
    <row r="61" spans="1:37" ht="60" x14ac:dyDescent="0.25">
      <c r="A61" s="353">
        <v>2025</v>
      </c>
      <c r="B61" s="354">
        <v>5</v>
      </c>
      <c r="C61" s="353">
        <v>22673</v>
      </c>
      <c r="D61" s="279">
        <v>45797</v>
      </c>
      <c r="E61" s="81" t="s">
        <v>1787</v>
      </c>
      <c r="F61" s="81" t="s">
        <v>1788</v>
      </c>
      <c r="G61" s="78" t="s">
        <v>173</v>
      </c>
      <c r="H61" s="78">
        <v>3108304426</v>
      </c>
      <c r="I61" s="78">
        <v>6057389</v>
      </c>
      <c r="J61" s="66">
        <v>45807</v>
      </c>
      <c r="K61" s="306" t="s">
        <v>95</v>
      </c>
      <c r="L61" s="79" t="s">
        <v>1789</v>
      </c>
      <c r="M61" s="78" t="s">
        <v>136</v>
      </c>
      <c r="N61" s="78">
        <v>5959</v>
      </c>
      <c r="O61" s="78">
        <v>6800</v>
      </c>
      <c r="P61" s="78">
        <v>9076</v>
      </c>
      <c r="Q61" s="78" t="s">
        <v>136</v>
      </c>
      <c r="R61" s="78" t="s">
        <v>136</v>
      </c>
      <c r="S61" s="78" t="s">
        <v>136</v>
      </c>
      <c r="T61" s="78" t="s">
        <v>136</v>
      </c>
      <c r="U61" s="78" t="s">
        <v>136</v>
      </c>
      <c r="V61" s="305" t="s">
        <v>87</v>
      </c>
      <c r="W61" s="66">
        <v>45811</v>
      </c>
      <c r="X61" s="66">
        <v>45814</v>
      </c>
      <c r="Y61" s="78"/>
      <c r="Z61" s="80" t="s">
        <v>85</v>
      </c>
      <c r="AA61" s="371">
        <v>0</v>
      </c>
      <c r="AB61" s="78">
        <v>5909</v>
      </c>
      <c r="AC61" s="228">
        <v>1647192</v>
      </c>
      <c r="AD61" s="228">
        <f t="shared" si="1"/>
        <v>1960158.48</v>
      </c>
      <c r="AE61" s="303">
        <v>824000</v>
      </c>
      <c r="AF61" s="78"/>
      <c r="AG61" s="210" t="s">
        <v>1950</v>
      </c>
      <c r="AH61" s="403">
        <v>45813</v>
      </c>
      <c r="AI61" s="66">
        <v>45817</v>
      </c>
      <c r="AJ61" s="78" t="s">
        <v>1705</v>
      </c>
    </row>
    <row r="62" spans="1:37" ht="30" x14ac:dyDescent="0.25">
      <c r="A62" s="353">
        <v>2025</v>
      </c>
      <c r="B62" s="354">
        <v>5</v>
      </c>
      <c r="C62" s="355">
        <v>22674</v>
      </c>
      <c r="D62" s="279">
        <v>45797</v>
      </c>
      <c r="E62" s="81" t="s">
        <v>1818</v>
      </c>
      <c r="F62" s="81" t="s">
        <v>1818</v>
      </c>
      <c r="G62" s="78" t="s">
        <v>143</v>
      </c>
      <c r="H62" s="78">
        <v>3146789067</v>
      </c>
      <c r="I62" s="78">
        <v>3146789067</v>
      </c>
      <c r="J62" s="66">
        <v>45808</v>
      </c>
      <c r="K62" s="306" t="s">
        <v>84</v>
      </c>
      <c r="L62" s="79" t="s">
        <v>1819</v>
      </c>
      <c r="M62" s="78" t="s">
        <v>136</v>
      </c>
      <c r="N62" s="78">
        <v>5963</v>
      </c>
      <c r="O62" s="78">
        <v>5802</v>
      </c>
      <c r="P62" s="78">
        <v>9066</v>
      </c>
      <c r="Q62" s="78">
        <v>5557</v>
      </c>
      <c r="R62" s="78" t="s">
        <v>136</v>
      </c>
      <c r="S62" s="78" t="s">
        <v>134</v>
      </c>
      <c r="T62" s="78" t="s">
        <v>134</v>
      </c>
      <c r="U62" s="78" t="s">
        <v>136</v>
      </c>
      <c r="V62" s="305" t="s">
        <v>87</v>
      </c>
      <c r="W62" s="66">
        <v>45806</v>
      </c>
      <c r="X62" s="66">
        <v>45807</v>
      </c>
      <c r="Y62" s="78"/>
      <c r="Z62" s="80" t="s">
        <v>85</v>
      </c>
      <c r="AA62" s="371">
        <v>585000</v>
      </c>
      <c r="AB62" s="78">
        <v>5899</v>
      </c>
      <c r="AC62" s="228">
        <v>491596</v>
      </c>
      <c r="AD62" s="228">
        <f t="shared" si="1"/>
        <v>584999.24</v>
      </c>
      <c r="AE62" s="303">
        <v>290000</v>
      </c>
      <c r="AF62" s="78"/>
      <c r="AG62" s="210" t="s">
        <v>1895</v>
      </c>
      <c r="AH62" s="403">
        <v>45806</v>
      </c>
      <c r="AI62" s="66">
        <v>45814</v>
      </c>
      <c r="AJ62" s="78" t="s">
        <v>1705</v>
      </c>
    </row>
    <row r="63" spans="1:37" ht="48" customHeight="1" x14ac:dyDescent="0.25">
      <c r="A63" s="353">
        <v>2025</v>
      </c>
      <c r="B63" s="354">
        <v>5</v>
      </c>
      <c r="C63" s="353">
        <v>22675</v>
      </c>
      <c r="D63" s="279">
        <v>45797</v>
      </c>
      <c r="E63" s="81" t="s">
        <v>1872</v>
      </c>
      <c r="F63" s="81" t="s">
        <v>2037</v>
      </c>
      <c r="G63" s="81" t="s">
        <v>2038</v>
      </c>
      <c r="H63" s="78">
        <v>3017874042</v>
      </c>
      <c r="I63" s="78">
        <v>3017874042</v>
      </c>
      <c r="J63" s="66">
        <v>45825</v>
      </c>
      <c r="K63" s="306" t="s">
        <v>88</v>
      </c>
      <c r="L63" s="79" t="s">
        <v>1873</v>
      </c>
      <c r="M63" s="78" t="s">
        <v>136</v>
      </c>
      <c r="N63" s="78">
        <v>5995</v>
      </c>
      <c r="O63" s="78">
        <v>6828</v>
      </c>
      <c r="P63" s="78">
        <v>9069</v>
      </c>
      <c r="Q63" s="78">
        <v>5589</v>
      </c>
      <c r="R63" s="78" t="s">
        <v>136</v>
      </c>
      <c r="S63" s="78" t="s">
        <v>134</v>
      </c>
      <c r="T63" s="78" t="s">
        <v>134</v>
      </c>
      <c r="U63" s="78" t="s">
        <v>136</v>
      </c>
      <c r="V63" s="305" t="s">
        <v>590</v>
      </c>
      <c r="W63" s="66">
        <v>45820</v>
      </c>
      <c r="X63" s="66">
        <v>45824</v>
      </c>
      <c r="Y63" s="78"/>
      <c r="Z63" s="80" t="s">
        <v>85</v>
      </c>
      <c r="AA63" s="371">
        <v>1189215</v>
      </c>
      <c r="AB63" s="78">
        <v>5862</v>
      </c>
      <c r="AC63" s="228">
        <v>999340</v>
      </c>
      <c r="AD63" s="228">
        <f t="shared" si="1"/>
        <v>1189214.5999999999</v>
      </c>
      <c r="AE63" s="303">
        <v>0</v>
      </c>
      <c r="AF63" s="78"/>
      <c r="AG63" s="210" t="s">
        <v>1987</v>
      </c>
      <c r="AH63" s="403">
        <v>45807</v>
      </c>
      <c r="AI63" s="66">
        <v>45826</v>
      </c>
      <c r="AJ63" s="78" t="s">
        <v>1705</v>
      </c>
    </row>
    <row r="64" spans="1:37" ht="30" x14ac:dyDescent="0.25">
      <c r="A64" s="353">
        <v>2025</v>
      </c>
      <c r="B64" s="354">
        <v>5</v>
      </c>
      <c r="C64" s="353">
        <v>22676</v>
      </c>
      <c r="D64" s="279">
        <v>45797</v>
      </c>
      <c r="E64" s="81" t="s">
        <v>1820</v>
      </c>
      <c r="F64" s="81" t="s">
        <v>1821</v>
      </c>
      <c r="G64" s="78" t="s">
        <v>143</v>
      </c>
      <c r="H64" s="78">
        <v>3166186108</v>
      </c>
      <c r="I64" s="78">
        <v>3166186108</v>
      </c>
      <c r="J64" s="66">
        <v>45811</v>
      </c>
      <c r="K64" s="306" t="s">
        <v>84</v>
      </c>
      <c r="L64" s="79" t="s">
        <v>1822</v>
      </c>
      <c r="M64" s="78" t="s">
        <v>136</v>
      </c>
      <c r="N64" s="78">
        <v>5966</v>
      </c>
      <c r="O64" s="78" t="s">
        <v>136</v>
      </c>
      <c r="P64" s="78">
        <v>9070</v>
      </c>
      <c r="Q64" s="78">
        <v>5561</v>
      </c>
      <c r="R64" s="78" t="s">
        <v>136</v>
      </c>
      <c r="S64" s="78" t="s">
        <v>134</v>
      </c>
      <c r="T64" s="78" t="s">
        <v>134</v>
      </c>
      <c r="U64" s="78" t="s">
        <v>136</v>
      </c>
      <c r="V64" s="305" t="s">
        <v>590</v>
      </c>
      <c r="W64" s="66">
        <v>45807</v>
      </c>
      <c r="X64" s="66">
        <v>45818</v>
      </c>
      <c r="Y64" s="78"/>
      <c r="Z64" s="80" t="s">
        <v>85</v>
      </c>
      <c r="AA64" s="371">
        <v>0</v>
      </c>
      <c r="AB64" s="78">
        <v>5908</v>
      </c>
      <c r="AC64" s="228">
        <v>1361345</v>
      </c>
      <c r="AD64" s="228">
        <f t="shared" si="1"/>
        <v>1620000.5499999998</v>
      </c>
      <c r="AE64" s="303">
        <v>1025000</v>
      </c>
      <c r="AF64" s="78"/>
      <c r="AG64" s="210" t="s">
        <v>2052</v>
      </c>
      <c r="AH64" s="403">
        <v>45814</v>
      </c>
      <c r="AI64" s="66">
        <v>45826</v>
      </c>
      <c r="AJ64" s="78" t="s">
        <v>1705</v>
      </c>
    </row>
    <row r="65" spans="1:37" ht="30" x14ac:dyDescent="0.25">
      <c r="A65" s="351">
        <v>2025</v>
      </c>
      <c r="B65" s="352">
        <v>5</v>
      </c>
      <c r="C65" s="358">
        <v>22677</v>
      </c>
      <c r="D65" s="274">
        <v>45797</v>
      </c>
      <c r="E65" s="90" t="s">
        <v>1749</v>
      </c>
      <c r="F65" s="90" t="s">
        <v>1749</v>
      </c>
      <c r="G65" s="94" t="s">
        <v>143</v>
      </c>
      <c r="H65" s="94">
        <v>3116101671</v>
      </c>
      <c r="I65" s="94">
        <v>3116101671</v>
      </c>
      <c r="J65" s="89">
        <v>45807</v>
      </c>
      <c r="K65" s="311" t="s">
        <v>84</v>
      </c>
      <c r="L65" s="91" t="s">
        <v>1750</v>
      </c>
      <c r="M65" s="94" t="s">
        <v>136</v>
      </c>
      <c r="N65" s="94">
        <v>5958</v>
      </c>
      <c r="O65" s="94" t="s">
        <v>136</v>
      </c>
      <c r="P65" s="94" t="s">
        <v>136</v>
      </c>
      <c r="Q65" s="94" t="s">
        <v>136</v>
      </c>
      <c r="R65" s="94" t="s">
        <v>136</v>
      </c>
      <c r="S65" s="94" t="s">
        <v>134</v>
      </c>
      <c r="T65" s="94" t="s">
        <v>136</v>
      </c>
      <c r="U65" s="94" t="s">
        <v>136</v>
      </c>
      <c r="V65" s="308" t="s">
        <v>87</v>
      </c>
      <c r="W65" s="89">
        <v>45805</v>
      </c>
      <c r="X65" s="89">
        <v>45813</v>
      </c>
      <c r="Y65" s="94"/>
      <c r="Z65" s="134" t="s">
        <v>85</v>
      </c>
      <c r="AA65" s="370">
        <v>394999</v>
      </c>
      <c r="AB65" s="94">
        <v>5896</v>
      </c>
      <c r="AC65" s="235">
        <v>331932</v>
      </c>
      <c r="AD65" s="235">
        <f t="shared" ref="AD65" si="3">AC65*1.19</f>
        <v>394999.07999999996</v>
      </c>
      <c r="AE65" s="219">
        <v>197500</v>
      </c>
      <c r="AF65" s="94"/>
      <c r="AG65" s="214" t="s">
        <v>1915</v>
      </c>
      <c r="AH65" s="334">
        <v>45807</v>
      </c>
      <c r="AI65" s="89">
        <v>45817</v>
      </c>
      <c r="AJ65" s="94" t="s">
        <v>1705</v>
      </c>
      <c r="AK65" s="94"/>
    </row>
    <row r="66" spans="1:37" ht="45" x14ac:dyDescent="0.25">
      <c r="A66" s="353">
        <v>2025</v>
      </c>
      <c r="B66" s="354">
        <v>5</v>
      </c>
      <c r="C66" s="353">
        <v>22678</v>
      </c>
      <c r="D66" s="279">
        <v>45797</v>
      </c>
      <c r="E66" s="81" t="s">
        <v>1815</v>
      </c>
      <c r="F66" s="81" t="s">
        <v>1816</v>
      </c>
      <c r="G66" s="78" t="s">
        <v>98</v>
      </c>
      <c r="H66" s="78">
        <v>3207981699</v>
      </c>
      <c r="I66" s="78">
        <v>3658888</v>
      </c>
      <c r="J66" s="66">
        <v>45808</v>
      </c>
      <c r="K66" s="306" t="s">
        <v>88</v>
      </c>
      <c r="L66" s="79" t="s">
        <v>1817</v>
      </c>
      <c r="M66" s="78" t="s">
        <v>136</v>
      </c>
      <c r="N66" s="78">
        <v>5962</v>
      </c>
      <c r="O66" s="78">
        <v>6801</v>
      </c>
      <c r="P66" s="78">
        <v>8993</v>
      </c>
      <c r="Q66" s="78" t="s">
        <v>136</v>
      </c>
      <c r="R66" s="78" t="s">
        <v>134</v>
      </c>
      <c r="S66" s="78" t="s">
        <v>134</v>
      </c>
      <c r="T66" s="78" t="s">
        <v>134</v>
      </c>
      <c r="U66" s="78" t="s">
        <v>136</v>
      </c>
      <c r="V66" s="305" t="s">
        <v>87</v>
      </c>
      <c r="W66" s="66">
        <v>45806</v>
      </c>
      <c r="X66" s="66">
        <v>45818</v>
      </c>
      <c r="Y66" s="78"/>
      <c r="Z66" s="80" t="s">
        <v>97</v>
      </c>
      <c r="AA66" s="371">
        <v>0</v>
      </c>
      <c r="AB66" s="78">
        <v>5913</v>
      </c>
      <c r="AC66" s="228">
        <v>1700346</v>
      </c>
      <c r="AD66" s="228">
        <f t="shared" si="1"/>
        <v>2023411.74</v>
      </c>
      <c r="AE66" s="303">
        <v>1011706</v>
      </c>
      <c r="AF66" s="78"/>
      <c r="AG66" s="210" t="s">
        <v>2105</v>
      </c>
      <c r="AH66" s="241"/>
      <c r="AI66" s="66">
        <v>45821</v>
      </c>
      <c r="AJ66" s="78" t="s">
        <v>1705</v>
      </c>
    </row>
    <row r="67" spans="1:37" ht="27.75" customHeight="1" x14ac:dyDescent="0.25">
      <c r="A67" s="353">
        <v>2025</v>
      </c>
      <c r="B67" s="354">
        <v>5</v>
      </c>
      <c r="C67" s="353">
        <v>22679</v>
      </c>
      <c r="D67" s="279">
        <v>45798</v>
      </c>
      <c r="E67" s="81" t="s">
        <v>1829</v>
      </c>
      <c r="F67" s="81" t="s">
        <v>1830</v>
      </c>
      <c r="G67" s="78" t="s">
        <v>206</v>
      </c>
      <c r="H67" s="78">
        <v>3147637923</v>
      </c>
      <c r="I67" s="78">
        <v>6044873057</v>
      </c>
      <c r="J67" s="66">
        <v>45807</v>
      </c>
      <c r="K67" s="306" t="s">
        <v>95</v>
      </c>
      <c r="L67" s="79" t="s">
        <v>1831</v>
      </c>
      <c r="M67" s="78" t="s">
        <v>136</v>
      </c>
      <c r="N67" s="78" t="s">
        <v>136</v>
      </c>
      <c r="O67" s="78" t="s">
        <v>136</v>
      </c>
      <c r="P67" s="78">
        <v>5587</v>
      </c>
      <c r="Q67" s="78" t="s">
        <v>136</v>
      </c>
      <c r="R67" s="78" t="s">
        <v>136</v>
      </c>
      <c r="S67" s="78" t="s">
        <v>136</v>
      </c>
      <c r="T67" s="78" t="s">
        <v>136</v>
      </c>
      <c r="U67" s="78" t="s">
        <v>134</v>
      </c>
      <c r="V67" s="305" t="s">
        <v>89</v>
      </c>
      <c r="W67" s="66">
        <v>45800</v>
      </c>
      <c r="X67" s="66">
        <v>45800</v>
      </c>
      <c r="Y67" s="78"/>
      <c r="Z67" s="80" t="s">
        <v>85</v>
      </c>
      <c r="AA67" s="371">
        <v>142800</v>
      </c>
      <c r="AB67" s="78">
        <v>5887</v>
      </c>
      <c r="AC67" s="228">
        <v>120000</v>
      </c>
      <c r="AD67" s="228">
        <f t="shared" si="1"/>
        <v>142800</v>
      </c>
      <c r="AE67" s="303">
        <v>0</v>
      </c>
      <c r="AF67" s="78"/>
      <c r="AG67" s="210" t="s">
        <v>1832</v>
      </c>
      <c r="AH67" s="403">
        <v>45798</v>
      </c>
      <c r="AI67" s="66">
        <v>45805</v>
      </c>
      <c r="AJ67" s="78" t="s">
        <v>1705</v>
      </c>
    </row>
    <row r="68" spans="1:37" ht="60" x14ac:dyDescent="0.25">
      <c r="A68" s="353">
        <v>2025</v>
      </c>
      <c r="B68" s="354">
        <v>5</v>
      </c>
      <c r="C68" s="382">
        <v>22680</v>
      </c>
      <c r="D68" s="279">
        <v>45799</v>
      </c>
      <c r="E68" s="81" t="s">
        <v>1834</v>
      </c>
      <c r="F68" s="81" t="s">
        <v>1835</v>
      </c>
      <c r="G68" s="78" t="s">
        <v>143</v>
      </c>
      <c r="H68" s="78">
        <v>3127459901</v>
      </c>
      <c r="I68" s="78">
        <v>2321653</v>
      </c>
      <c r="J68" s="66">
        <v>45814</v>
      </c>
      <c r="K68" s="306" t="s">
        <v>88</v>
      </c>
      <c r="L68" s="79" t="s">
        <v>1836</v>
      </c>
      <c r="M68" s="78" t="s">
        <v>136</v>
      </c>
      <c r="N68" s="78">
        <v>5969</v>
      </c>
      <c r="O68" s="78" t="s">
        <v>136</v>
      </c>
      <c r="P68" s="78">
        <v>9043</v>
      </c>
      <c r="Q68" s="78" t="s">
        <v>136</v>
      </c>
      <c r="R68" s="78" t="s">
        <v>136</v>
      </c>
      <c r="S68" s="78" t="s">
        <v>134</v>
      </c>
      <c r="T68" s="78" t="s">
        <v>134</v>
      </c>
      <c r="U68" s="78" t="s">
        <v>136</v>
      </c>
      <c r="V68" s="305" t="s">
        <v>119</v>
      </c>
      <c r="W68" s="66">
        <v>45811</v>
      </c>
      <c r="X68" s="66">
        <v>45817</v>
      </c>
      <c r="Y68" s="78"/>
      <c r="Z68" s="80" t="s">
        <v>92</v>
      </c>
      <c r="AA68" s="371">
        <v>0</v>
      </c>
      <c r="AB68" s="78">
        <v>5911</v>
      </c>
      <c r="AC68" s="228">
        <v>928010</v>
      </c>
      <c r="AD68" s="228">
        <f t="shared" si="1"/>
        <v>1104331.8999999999</v>
      </c>
      <c r="AE68" s="303">
        <v>0</v>
      </c>
      <c r="AF68" s="78"/>
      <c r="AG68" s="210" t="s">
        <v>1993</v>
      </c>
      <c r="AH68" s="241"/>
      <c r="AI68" s="66">
        <v>45817</v>
      </c>
      <c r="AJ68" s="78" t="s">
        <v>1705</v>
      </c>
    </row>
    <row r="69" spans="1:37" ht="40.5" customHeight="1" x14ac:dyDescent="0.25">
      <c r="A69" s="353">
        <v>2025</v>
      </c>
      <c r="B69" s="354">
        <v>5</v>
      </c>
      <c r="C69" s="353">
        <v>22681</v>
      </c>
      <c r="D69" s="279">
        <v>45798</v>
      </c>
      <c r="E69" s="81" t="s">
        <v>1837</v>
      </c>
      <c r="F69" s="81" t="s">
        <v>1837</v>
      </c>
      <c r="G69" s="78" t="s">
        <v>143</v>
      </c>
      <c r="H69" s="78">
        <v>3012431470</v>
      </c>
      <c r="I69" s="78">
        <v>3012431470</v>
      </c>
      <c r="J69" s="66">
        <v>45811</v>
      </c>
      <c r="K69" s="306" t="s">
        <v>84</v>
      </c>
      <c r="L69" s="79" t="s">
        <v>1838</v>
      </c>
      <c r="M69" s="78" t="s">
        <v>136</v>
      </c>
      <c r="N69" s="78">
        <v>5971</v>
      </c>
      <c r="O69" s="78">
        <v>6803</v>
      </c>
      <c r="P69" s="78">
        <v>8913</v>
      </c>
      <c r="Q69" s="78" t="s">
        <v>136</v>
      </c>
      <c r="R69" s="78" t="s">
        <v>134</v>
      </c>
      <c r="S69" s="78" t="s">
        <v>134</v>
      </c>
      <c r="T69" s="78" t="s">
        <v>134</v>
      </c>
      <c r="U69" s="78" t="s">
        <v>136</v>
      </c>
      <c r="V69" s="305" t="s">
        <v>590</v>
      </c>
      <c r="W69" s="66">
        <v>45812</v>
      </c>
      <c r="X69" s="66">
        <v>45813</v>
      </c>
      <c r="Y69" s="78"/>
      <c r="Z69" s="80" t="s">
        <v>85</v>
      </c>
      <c r="AA69" s="371">
        <v>393797</v>
      </c>
      <c r="AB69" s="78">
        <v>5920</v>
      </c>
      <c r="AC69" s="228">
        <v>330922</v>
      </c>
      <c r="AD69" s="228">
        <f t="shared" si="1"/>
        <v>393797.18</v>
      </c>
      <c r="AE69" s="303">
        <v>197000</v>
      </c>
      <c r="AF69" s="78"/>
      <c r="AG69" s="210" t="s">
        <v>1913</v>
      </c>
      <c r="AH69" s="403">
        <v>45811</v>
      </c>
      <c r="AI69" s="66">
        <v>45814</v>
      </c>
      <c r="AJ69" s="78" t="s">
        <v>1705</v>
      </c>
    </row>
    <row r="70" spans="1:37" ht="48.75" customHeight="1" x14ac:dyDescent="0.25">
      <c r="A70" s="353">
        <v>2025</v>
      </c>
      <c r="B70" s="354">
        <v>5</v>
      </c>
      <c r="C70" s="353">
        <v>22682</v>
      </c>
      <c r="D70" s="279">
        <v>45799</v>
      </c>
      <c r="E70" s="81" t="s">
        <v>584</v>
      </c>
      <c r="F70" s="81" t="s">
        <v>584</v>
      </c>
      <c r="G70" s="78" t="s">
        <v>143</v>
      </c>
      <c r="H70" s="78">
        <v>3167498044</v>
      </c>
      <c r="I70" s="78">
        <v>5599272</v>
      </c>
      <c r="J70" s="66">
        <v>45808</v>
      </c>
      <c r="K70" s="306" t="s">
        <v>84</v>
      </c>
      <c r="L70" s="79" t="s">
        <v>1819</v>
      </c>
      <c r="M70" s="78" t="s">
        <v>136</v>
      </c>
      <c r="N70" s="78">
        <v>5961</v>
      </c>
      <c r="O70" s="78">
        <v>6804</v>
      </c>
      <c r="P70" s="78">
        <v>9099</v>
      </c>
      <c r="Q70" s="78">
        <v>5558</v>
      </c>
      <c r="R70" s="78" t="s">
        <v>136</v>
      </c>
      <c r="S70" s="78" t="s">
        <v>134</v>
      </c>
      <c r="T70" s="78" t="s">
        <v>134</v>
      </c>
      <c r="U70" s="78" t="s">
        <v>136</v>
      </c>
      <c r="V70" s="305" t="s">
        <v>87</v>
      </c>
      <c r="W70" s="66">
        <v>45806</v>
      </c>
      <c r="X70" s="66">
        <v>45807</v>
      </c>
      <c r="Y70" s="78"/>
      <c r="Z70" s="80" t="s">
        <v>85</v>
      </c>
      <c r="AA70" s="371">
        <v>825000</v>
      </c>
      <c r="AB70" s="78">
        <v>5898</v>
      </c>
      <c r="AC70" s="228">
        <v>693277</v>
      </c>
      <c r="AD70" s="228">
        <f t="shared" si="1"/>
        <v>824999.63</v>
      </c>
      <c r="AE70" s="303">
        <v>500000</v>
      </c>
      <c r="AF70" s="78"/>
      <c r="AG70" s="210" t="s">
        <v>1889</v>
      </c>
      <c r="AH70" s="403">
        <v>45806</v>
      </c>
      <c r="AI70" s="66">
        <v>45814</v>
      </c>
      <c r="AJ70" s="78" t="s">
        <v>1705</v>
      </c>
    </row>
    <row r="71" spans="1:37" ht="30" x14ac:dyDescent="0.25">
      <c r="A71" s="353">
        <v>2025</v>
      </c>
      <c r="B71" s="354">
        <v>5</v>
      </c>
      <c r="C71" s="355">
        <v>22683</v>
      </c>
      <c r="D71" s="279">
        <v>45799</v>
      </c>
      <c r="E71" s="81" t="s">
        <v>1153</v>
      </c>
      <c r="F71" s="81" t="s">
        <v>1153</v>
      </c>
      <c r="G71" s="78" t="s">
        <v>143</v>
      </c>
      <c r="H71" s="78">
        <v>3195490760</v>
      </c>
      <c r="I71" s="78">
        <v>3195490760</v>
      </c>
      <c r="J71" s="66">
        <v>45812</v>
      </c>
      <c r="K71" s="306" t="s">
        <v>84</v>
      </c>
      <c r="L71" s="79" t="s">
        <v>1839</v>
      </c>
      <c r="M71" s="78" t="s">
        <v>136</v>
      </c>
      <c r="N71" s="78">
        <v>5970</v>
      </c>
      <c r="O71" s="78" t="s">
        <v>136</v>
      </c>
      <c r="P71" s="78">
        <v>8801</v>
      </c>
      <c r="Q71" s="78">
        <v>5547</v>
      </c>
      <c r="R71" s="78" t="s">
        <v>136</v>
      </c>
      <c r="S71" s="78" t="s">
        <v>134</v>
      </c>
      <c r="T71" s="78" t="s">
        <v>134</v>
      </c>
      <c r="U71" s="78" t="s">
        <v>136</v>
      </c>
      <c r="V71" s="305" t="s">
        <v>119</v>
      </c>
      <c r="W71" s="66"/>
      <c r="X71" s="66">
        <v>45815</v>
      </c>
      <c r="Y71" s="78"/>
      <c r="Z71" s="80" t="s">
        <v>85</v>
      </c>
      <c r="AA71" s="371">
        <v>0</v>
      </c>
      <c r="AB71" s="78"/>
      <c r="AC71" s="228">
        <v>0</v>
      </c>
      <c r="AD71" s="228">
        <f t="shared" si="1"/>
        <v>0</v>
      </c>
      <c r="AE71" s="303">
        <v>0</v>
      </c>
      <c r="AF71" s="78"/>
      <c r="AG71" s="210" t="s">
        <v>2142</v>
      </c>
      <c r="AH71" s="241"/>
      <c r="AI71" s="66">
        <v>45826</v>
      </c>
      <c r="AJ71" s="78" t="s">
        <v>1705</v>
      </c>
      <c r="AK71" s="78" t="s">
        <v>236</v>
      </c>
    </row>
    <row r="72" spans="1:37" ht="30" x14ac:dyDescent="0.25">
      <c r="A72" s="353">
        <v>2025</v>
      </c>
      <c r="B72" s="354">
        <v>5</v>
      </c>
      <c r="C72" s="353">
        <v>22684</v>
      </c>
      <c r="D72" s="279">
        <v>45799</v>
      </c>
      <c r="E72" s="81" t="s">
        <v>1840</v>
      </c>
      <c r="F72" s="81" t="s">
        <v>1840</v>
      </c>
      <c r="G72" s="78" t="s">
        <v>143</v>
      </c>
      <c r="H72" s="78">
        <v>3205869255</v>
      </c>
      <c r="I72" s="78">
        <v>3117538683</v>
      </c>
      <c r="J72" s="66">
        <v>45808</v>
      </c>
      <c r="K72" s="306" t="s">
        <v>86</v>
      </c>
      <c r="L72" s="79" t="s">
        <v>1841</v>
      </c>
      <c r="M72" s="78" t="s">
        <v>136</v>
      </c>
      <c r="N72" s="78">
        <v>5964</v>
      </c>
      <c r="O72" s="78" t="s">
        <v>136</v>
      </c>
      <c r="P72" s="78" t="s">
        <v>136</v>
      </c>
      <c r="Q72" s="78" t="s">
        <v>136</v>
      </c>
      <c r="R72" s="78" t="s">
        <v>136</v>
      </c>
      <c r="S72" s="78" t="s">
        <v>136</v>
      </c>
      <c r="T72" s="78" t="s">
        <v>136</v>
      </c>
      <c r="U72" s="78" t="s">
        <v>136</v>
      </c>
      <c r="V72" s="305" t="s">
        <v>119</v>
      </c>
      <c r="W72" s="66">
        <v>45806</v>
      </c>
      <c r="X72" s="66">
        <v>45821</v>
      </c>
      <c r="Y72" s="78"/>
      <c r="Z72" s="80" t="s">
        <v>85</v>
      </c>
      <c r="AA72" s="371">
        <v>0</v>
      </c>
      <c r="AB72" s="78">
        <v>5903</v>
      </c>
      <c r="AC72" s="228">
        <v>895356</v>
      </c>
      <c r="AD72" s="228">
        <f t="shared" si="1"/>
        <v>1065473.6399999999</v>
      </c>
      <c r="AE72" s="303">
        <v>600000</v>
      </c>
      <c r="AF72" s="78"/>
      <c r="AG72" s="210" t="s">
        <v>2139</v>
      </c>
      <c r="AH72" s="403">
        <v>45807</v>
      </c>
      <c r="AI72" s="66">
        <v>45826</v>
      </c>
      <c r="AJ72" s="78" t="s">
        <v>1705</v>
      </c>
    </row>
    <row r="73" spans="1:37" ht="34.5" customHeight="1" x14ac:dyDescent="0.25">
      <c r="A73" s="353">
        <v>2025</v>
      </c>
      <c r="B73" s="354">
        <v>5</v>
      </c>
      <c r="C73" s="353">
        <v>22685</v>
      </c>
      <c r="D73" s="279">
        <v>45799</v>
      </c>
      <c r="E73" s="81" t="s">
        <v>1842</v>
      </c>
      <c r="F73" s="81" t="s">
        <v>1843</v>
      </c>
      <c r="G73" s="78" t="s">
        <v>143</v>
      </c>
      <c r="H73" s="78">
        <v>3104476235</v>
      </c>
      <c r="I73" s="78">
        <v>3104476235</v>
      </c>
      <c r="J73" s="66">
        <v>45815</v>
      </c>
      <c r="K73" s="306" t="s">
        <v>88</v>
      </c>
      <c r="L73" s="79" t="s">
        <v>1844</v>
      </c>
      <c r="M73" s="78" t="s">
        <v>136</v>
      </c>
      <c r="N73" s="78">
        <v>5965</v>
      </c>
      <c r="O73" s="78" t="s">
        <v>136</v>
      </c>
      <c r="P73" s="78" t="s">
        <v>1845</v>
      </c>
      <c r="Q73" s="78">
        <v>5559</v>
      </c>
      <c r="R73" s="78" t="s">
        <v>136</v>
      </c>
      <c r="S73" s="78" t="s">
        <v>134</v>
      </c>
      <c r="T73" s="78" t="s">
        <v>134</v>
      </c>
      <c r="U73" s="78" t="s">
        <v>136</v>
      </c>
      <c r="V73" s="305" t="s">
        <v>87</v>
      </c>
      <c r="W73" s="66">
        <v>45814</v>
      </c>
      <c r="X73" s="66">
        <v>45819</v>
      </c>
      <c r="Y73" s="78"/>
      <c r="Z73" s="80" t="s">
        <v>85</v>
      </c>
      <c r="AA73" s="371">
        <v>0</v>
      </c>
      <c r="AB73" s="78">
        <v>5930</v>
      </c>
      <c r="AC73" s="228">
        <v>1310807</v>
      </c>
      <c r="AD73" s="228">
        <f t="shared" si="1"/>
        <v>1559860.3299999998</v>
      </c>
      <c r="AE73" s="303">
        <v>800000</v>
      </c>
      <c r="AF73" s="78"/>
      <c r="AG73" s="210" t="s">
        <v>2109</v>
      </c>
      <c r="AH73" s="403">
        <v>45812</v>
      </c>
      <c r="AI73" s="66">
        <v>45826</v>
      </c>
      <c r="AJ73" s="78" t="s">
        <v>1705</v>
      </c>
    </row>
    <row r="74" spans="1:37" ht="60" x14ac:dyDescent="0.25">
      <c r="A74" s="353">
        <v>2025</v>
      </c>
      <c r="B74" s="354">
        <v>5</v>
      </c>
      <c r="C74" s="355">
        <v>22686</v>
      </c>
      <c r="D74" s="279">
        <v>45799</v>
      </c>
      <c r="E74" s="81" t="s">
        <v>235</v>
      </c>
      <c r="F74" s="81" t="s">
        <v>960</v>
      </c>
      <c r="G74" s="78" t="s">
        <v>143</v>
      </c>
      <c r="H74" s="78">
        <v>3185608945</v>
      </c>
      <c r="I74" s="78">
        <v>6046796985</v>
      </c>
      <c r="J74" s="66">
        <v>45814</v>
      </c>
      <c r="K74" s="306" t="s">
        <v>95</v>
      </c>
      <c r="L74" s="79" t="s">
        <v>1846</v>
      </c>
      <c r="M74" s="78" t="s">
        <v>136</v>
      </c>
      <c r="N74" s="78">
        <v>5967</v>
      </c>
      <c r="O74" s="78">
        <v>6805</v>
      </c>
      <c r="P74" s="81" t="s">
        <v>1847</v>
      </c>
      <c r="Q74" s="78">
        <v>5471</v>
      </c>
      <c r="R74" s="78" t="s">
        <v>136</v>
      </c>
      <c r="S74" s="78" t="s">
        <v>134</v>
      </c>
      <c r="T74" s="78" t="s">
        <v>134</v>
      </c>
      <c r="U74" s="78" t="s">
        <v>136</v>
      </c>
      <c r="V74" s="305" t="s">
        <v>89</v>
      </c>
      <c r="W74" s="66">
        <v>45812</v>
      </c>
      <c r="X74" s="66">
        <v>45817</v>
      </c>
      <c r="Y74" s="78"/>
      <c r="Z74" s="80" t="s">
        <v>90</v>
      </c>
      <c r="AA74" s="371">
        <v>0</v>
      </c>
      <c r="AB74" s="78">
        <v>5938</v>
      </c>
      <c r="AC74" s="228">
        <v>3308772</v>
      </c>
      <c r="AD74" s="228">
        <f t="shared" si="1"/>
        <v>3937438.6799999997</v>
      </c>
      <c r="AE74" s="303">
        <v>1613486</v>
      </c>
      <c r="AF74" s="78"/>
      <c r="AG74" s="210" t="s">
        <v>1994</v>
      </c>
      <c r="AH74" s="241"/>
      <c r="AI74" s="66">
        <v>45820</v>
      </c>
      <c r="AJ74" s="78" t="s">
        <v>1705</v>
      </c>
    </row>
    <row r="75" spans="1:37" ht="45" x14ac:dyDescent="0.25">
      <c r="A75" s="353">
        <v>2025</v>
      </c>
      <c r="B75" s="354">
        <v>5</v>
      </c>
      <c r="C75" s="353">
        <v>22687</v>
      </c>
      <c r="D75" s="279">
        <v>45800</v>
      </c>
      <c r="E75" s="81" t="s">
        <v>1566</v>
      </c>
      <c r="F75" s="81" t="s">
        <v>1566</v>
      </c>
      <c r="G75" s="78" t="s">
        <v>143</v>
      </c>
      <c r="H75" s="78">
        <v>3122887712</v>
      </c>
      <c r="I75" s="78">
        <v>3122887712</v>
      </c>
      <c r="J75" s="66">
        <v>45811</v>
      </c>
      <c r="K75" s="306" t="s">
        <v>84</v>
      </c>
      <c r="L75" s="79" t="s">
        <v>1811</v>
      </c>
      <c r="M75" s="78" t="s">
        <v>282</v>
      </c>
      <c r="N75" s="78" t="s">
        <v>136</v>
      </c>
      <c r="O75" s="78">
        <v>6806</v>
      </c>
      <c r="P75" s="78">
        <v>8982</v>
      </c>
      <c r="Q75" s="78" t="s">
        <v>136</v>
      </c>
      <c r="R75" s="78" t="s">
        <v>136</v>
      </c>
      <c r="S75" s="78" t="s">
        <v>134</v>
      </c>
      <c r="T75" s="78" t="s">
        <v>134</v>
      </c>
      <c r="U75" s="78" t="s">
        <v>136</v>
      </c>
      <c r="V75" s="305" t="s">
        <v>590</v>
      </c>
      <c r="W75" s="66"/>
      <c r="X75" s="66">
        <v>45805</v>
      </c>
      <c r="Y75" s="78"/>
      <c r="Z75" s="80" t="s">
        <v>85</v>
      </c>
      <c r="AA75" s="371">
        <v>0</v>
      </c>
      <c r="AB75" s="78"/>
      <c r="AC75" s="228">
        <v>0</v>
      </c>
      <c r="AD75" s="228">
        <f t="shared" si="1"/>
        <v>0</v>
      </c>
      <c r="AE75" s="303">
        <v>0</v>
      </c>
      <c r="AF75" s="78"/>
      <c r="AG75" s="210" t="s">
        <v>1812</v>
      </c>
      <c r="AH75" s="241"/>
      <c r="AI75" s="66">
        <v>45814</v>
      </c>
      <c r="AJ75" s="78" t="s">
        <v>1705</v>
      </c>
      <c r="AK75" s="78" t="s">
        <v>236</v>
      </c>
    </row>
    <row r="76" spans="1:37" ht="60" x14ac:dyDescent="0.25">
      <c r="A76" s="353">
        <v>2025</v>
      </c>
      <c r="B76" s="354">
        <v>5</v>
      </c>
      <c r="C76" s="353">
        <v>22688</v>
      </c>
      <c r="D76" s="279">
        <v>45800</v>
      </c>
      <c r="E76" s="81" t="s">
        <v>848</v>
      </c>
      <c r="F76" s="81" t="s">
        <v>1813</v>
      </c>
      <c r="G76" s="78" t="s">
        <v>143</v>
      </c>
      <c r="H76" s="78"/>
      <c r="I76" s="78">
        <v>4483227</v>
      </c>
      <c r="J76" s="66">
        <v>45814</v>
      </c>
      <c r="K76" s="306" t="s">
        <v>88</v>
      </c>
      <c r="L76" s="79" t="s">
        <v>1814</v>
      </c>
      <c r="M76" s="78" t="s">
        <v>136</v>
      </c>
      <c r="N76" s="78" t="s">
        <v>136</v>
      </c>
      <c r="O76" s="78">
        <v>6807</v>
      </c>
      <c r="P76" s="78">
        <v>9081</v>
      </c>
      <c r="Q76" s="78" t="s">
        <v>136</v>
      </c>
      <c r="R76" s="78" t="s">
        <v>134</v>
      </c>
      <c r="S76" s="78" t="s">
        <v>134</v>
      </c>
      <c r="T76" s="78" t="s">
        <v>134</v>
      </c>
      <c r="U76" s="78" t="s">
        <v>136</v>
      </c>
      <c r="V76" s="305" t="s">
        <v>89</v>
      </c>
      <c r="W76" s="66">
        <v>45814</v>
      </c>
      <c r="X76" s="66">
        <v>45817</v>
      </c>
      <c r="Y76" s="78"/>
      <c r="Z76" s="80" t="s">
        <v>97</v>
      </c>
      <c r="AA76" s="371">
        <v>0</v>
      </c>
      <c r="AB76" s="78"/>
      <c r="AC76" s="228">
        <v>1480647</v>
      </c>
      <c r="AD76" s="228">
        <f t="shared" si="1"/>
        <v>1761969.93</v>
      </c>
      <c r="AE76" s="303">
        <v>0</v>
      </c>
      <c r="AF76" s="78"/>
      <c r="AG76" s="210" t="s">
        <v>1995</v>
      </c>
      <c r="AH76" s="241"/>
      <c r="AI76" s="66">
        <v>45817</v>
      </c>
      <c r="AJ76" s="78" t="s">
        <v>1705</v>
      </c>
    </row>
    <row r="77" spans="1:37" ht="34.5" customHeight="1" x14ac:dyDescent="0.25">
      <c r="A77" s="353">
        <v>2025</v>
      </c>
      <c r="B77" s="354">
        <v>5</v>
      </c>
      <c r="C77" s="355">
        <v>22689</v>
      </c>
      <c r="D77" s="279">
        <v>45800</v>
      </c>
      <c r="E77" s="81" t="s">
        <v>1848</v>
      </c>
      <c r="F77" s="81" t="s">
        <v>1848</v>
      </c>
      <c r="G77" s="78" t="s">
        <v>143</v>
      </c>
      <c r="H77" s="78">
        <v>3128251940</v>
      </c>
      <c r="I77" s="78">
        <v>3128251940</v>
      </c>
      <c r="J77" s="66">
        <v>45812</v>
      </c>
      <c r="K77" s="306" t="s">
        <v>84</v>
      </c>
      <c r="L77" s="79" t="s">
        <v>1849</v>
      </c>
      <c r="M77" s="78" t="s">
        <v>136</v>
      </c>
      <c r="N77" s="78">
        <v>5972</v>
      </c>
      <c r="O77" s="78" t="s">
        <v>136</v>
      </c>
      <c r="P77" s="78" t="s">
        <v>136</v>
      </c>
      <c r="Q77" s="78" t="s">
        <v>136</v>
      </c>
      <c r="R77" s="78" t="s">
        <v>136</v>
      </c>
      <c r="S77" s="78" t="s">
        <v>136</v>
      </c>
      <c r="T77" s="78" t="s">
        <v>136</v>
      </c>
      <c r="U77" s="78" t="s">
        <v>136</v>
      </c>
      <c r="V77" s="305" t="s">
        <v>590</v>
      </c>
      <c r="W77" s="66">
        <v>45811</v>
      </c>
      <c r="X77" s="66">
        <v>45814</v>
      </c>
      <c r="Y77" s="78"/>
      <c r="Z77" s="80" t="s">
        <v>85</v>
      </c>
      <c r="AA77" s="371">
        <v>185304</v>
      </c>
      <c r="AB77" s="78">
        <v>5910</v>
      </c>
      <c r="AC77" s="228">
        <v>155718</v>
      </c>
      <c r="AD77" s="228">
        <f t="shared" si="1"/>
        <v>185304.41999999998</v>
      </c>
      <c r="AE77" s="303">
        <v>0</v>
      </c>
      <c r="AF77" s="78"/>
      <c r="AG77" s="210"/>
      <c r="AH77" s="403">
        <v>45800</v>
      </c>
      <c r="AI77" s="66">
        <v>45814</v>
      </c>
      <c r="AJ77" s="78" t="s">
        <v>1705</v>
      </c>
    </row>
    <row r="78" spans="1:37" ht="30" x14ac:dyDescent="0.25">
      <c r="A78" s="353">
        <v>2025</v>
      </c>
      <c r="B78" s="354">
        <v>5</v>
      </c>
      <c r="C78" s="353">
        <v>22690</v>
      </c>
      <c r="D78" s="279">
        <v>45800</v>
      </c>
      <c r="E78" s="81" t="s">
        <v>1880</v>
      </c>
      <c r="F78" s="81" t="s">
        <v>1880</v>
      </c>
      <c r="G78" s="78" t="s">
        <v>143</v>
      </c>
      <c r="H78" s="78">
        <v>3136395595</v>
      </c>
      <c r="I78" s="78">
        <v>3136395595</v>
      </c>
      <c r="J78" s="66">
        <v>45812</v>
      </c>
      <c r="K78" s="306" t="s">
        <v>94</v>
      </c>
      <c r="L78" s="79" t="s">
        <v>1881</v>
      </c>
      <c r="M78" s="78" t="s">
        <v>136</v>
      </c>
      <c r="N78" s="78">
        <v>5982</v>
      </c>
      <c r="O78" s="78">
        <v>6815</v>
      </c>
      <c r="P78" s="78" t="s">
        <v>136</v>
      </c>
      <c r="Q78" s="78">
        <v>5568</v>
      </c>
      <c r="R78" s="78" t="s">
        <v>136</v>
      </c>
      <c r="S78" s="78" t="s">
        <v>134</v>
      </c>
      <c r="T78" s="78" t="s">
        <v>134</v>
      </c>
      <c r="U78" s="78" t="s">
        <v>136</v>
      </c>
      <c r="V78" s="305" t="s">
        <v>590</v>
      </c>
      <c r="W78" s="66">
        <v>45814</v>
      </c>
      <c r="X78" s="66">
        <v>45818</v>
      </c>
      <c r="Y78" s="78"/>
      <c r="Z78" s="80" t="s">
        <v>85</v>
      </c>
      <c r="AA78" s="371">
        <v>0</v>
      </c>
      <c r="AB78" s="78">
        <v>5925</v>
      </c>
      <c r="AC78" s="228">
        <v>588235</v>
      </c>
      <c r="AD78" s="228">
        <f t="shared" si="1"/>
        <v>699999.65</v>
      </c>
      <c r="AE78" s="303">
        <v>350000</v>
      </c>
      <c r="AF78" s="78"/>
      <c r="AG78" s="210" t="s">
        <v>2098</v>
      </c>
      <c r="AH78" s="403">
        <v>45814</v>
      </c>
      <c r="AI78" s="66">
        <v>45826</v>
      </c>
      <c r="AJ78" s="78" t="s">
        <v>1705</v>
      </c>
    </row>
    <row r="79" spans="1:37" ht="59.25" customHeight="1" x14ac:dyDescent="0.25">
      <c r="A79" s="353">
        <v>2025</v>
      </c>
      <c r="B79" s="354">
        <v>5</v>
      </c>
      <c r="C79" s="353">
        <v>22691</v>
      </c>
      <c r="D79" s="279">
        <v>45800</v>
      </c>
      <c r="E79" s="81" t="s">
        <v>1850</v>
      </c>
      <c r="F79" s="81" t="s">
        <v>1851</v>
      </c>
      <c r="G79" s="78" t="s">
        <v>98</v>
      </c>
      <c r="H79" s="78">
        <v>3222686898</v>
      </c>
      <c r="I79" s="78">
        <v>6363679</v>
      </c>
      <c r="J79" s="66">
        <v>45814</v>
      </c>
      <c r="K79" s="306" t="s">
        <v>88</v>
      </c>
      <c r="L79" s="79" t="s">
        <v>1852</v>
      </c>
      <c r="M79" s="78" t="s">
        <v>136</v>
      </c>
      <c r="N79" s="78">
        <v>5968</v>
      </c>
      <c r="O79" s="78">
        <v>6808</v>
      </c>
      <c r="P79" s="78">
        <v>5958</v>
      </c>
      <c r="Q79" s="78" t="s">
        <v>136</v>
      </c>
      <c r="R79" s="78" t="s">
        <v>134</v>
      </c>
      <c r="S79" s="78" t="s">
        <v>134</v>
      </c>
      <c r="T79" s="78" t="s">
        <v>134</v>
      </c>
      <c r="U79" s="78" t="s">
        <v>136</v>
      </c>
      <c r="V79" s="305" t="s">
        <v>119</v>
      </c>
      <c r="W79" s="66">
        <v>45812</v>
      </c>
      <c r="X79" s="66">
        <v>45818</v>
      </c>
      <c r="Y79" s="78"/>
      <c r="Z79" s="80" t="s">
        <v>85</v>
      </c>
      <c r="AA79" s="371">
        <v>450375</v>
      </c>
      <c r="AB79" s="78">
        <v>5916</v>
      </c>
      <c r="AC79" s="228">
        <v>378467</v>
      </c>
      <c r="AD79" s="228">
        <f t="shared" si="1"/>
        <v>450375.73</v>
      </c>
      <c r="AE79" s="303">
        <v>0</v>
      </c>
      <c r="AF79" s="78"/>
      <c r="AG79" s="210" t="s">
        <v>2105</v>
      </c>
      <c r="AH79" s="403">
        <v>45800</v>
      </c>
      <c r="AI79" s="66">
        <v>45826</v>
      </c>
      <c r="AJ79" s="78" t="s">
        <v>1705</v>
      </c>
    </row>
    <row r="80" spans="1:37" ht="45" customHeight="1" x14ac:dyDescent="0.25">
      <c r="A80" s="353">
        <v>2025</v>
      </c>
      <c r="B80" s="354">
        <v>5</v>
      </c>
      <c r="C80" s="355">
        <v>22692</v>
      </c>
      <c r="D80" s="279">
        <v>45800</v>
      </c>
      <c r="E80" s="81" t="s">
        <v>1853</v>
      </c>
      <c r="F80" s="81" t="s">
        <v>1853</v>
      </c>
      <c r="G80" s="78" t="s">
        <v>143</v>
      </c>
      <c r="H80" s="78">
        <v>3127804475</v>
      </c>
      <c r="I80" s="78">
        <v>3127804475</v>
      </c>
      <c r="J80" s="66">
        <v>45812</v>
      </c>
      <c r="K80" s="306" t="s">
        <v>94</v>
      </c>
      <c r="L80" s="79" t="s">
        <v>1854</v>
      </c>
      <c r="M80" s="78" t="s">
        <v>136</v>
      </c>
      <c r="N80" s="78">
        <v>5979</v>
      </c>
      <c r="O80" s="78">
        <v>6814</v>
      </c>
      <c r="P80" s="78" t="s">
        <v>136</v>
      </c>
      <c r="Q80" s="78" t="s">
        <v>136</v>
      </c>
      <c r="R80" s="78" t="s">
        <v>136</v>
      </c>
      <c r="S80" s="78" t="s">
        <v>136</v>
      </c>
      <c r="T80" s="78" t="s">
        <v>136</v>
      </c>
      <c r="U80" s="78" t="s">
        <v>136</v>
      </c>
      <c r="V80" s="305" t="s">
        <v>590</v>
      </c>
      <c r="W80" s="66">
        <v>45813</v>
      </c>
      <c r="X80" s="66">
        <v>45820</v>
      </c>
      <c r="Y80" s="78"/>
      <c r="Z80" s="80" t="s">
        <v>85</v>
      </c>
      <c r="AA80" s="371">
        <v>0</v>
      </c>
      <c r="AB80" s="78">
        <v>5928</v>
      </c>
      <c r="AC80" s="228">
        <v>852182</v>
      </c>
      <c r="AD80" s="228">
        <f t="shared" si="1"/>
        <v>1014096.58</v>
      </c>
      <c r="AE80" s="303">
        <v>500000</v>
      </c>
      <c r="AF80" s="78"/>
      <c r="AG80" s="210" t="s">
        <v>2139</v>
      </c>
      <c r="AH80" s="403">
        <v>45820</v>
      </c>
      <c r="AI80" s="66">
        <v>45836</v>
      </c>
      <c r="AJ80" s="78" t="s">
        <v>1705</v>
      </c>
    </row>
    <row r="81" spans="1:37" ht="58.5" customHeight="1" x14ac:dyDescent="0.25">
      <c r="A81" s="353">
        <v>2025</v>
      </c>
      <c r="B81" s="354">
        <v>5</v>
      </c>
      <c r="C81" s="353">
        <v>22693</v>
      </c>
      <c r="D81" s="279">
        <v>45800</v>
      </c>
      <c r="E81" s="81" t="s">
        <v>1855</v>
      </c>
      <c r="F81" s="81" t="s">
        <v>1855</v>
      </c>
      <c r="G81" s="78" t="s">
        <v>143</v>
      </c>
      <c r="H81" s="78">
        <v>3214582973</v>
      </c>
      <c r="I81" s="78">
        <v>3214582973</v>
      </c>
      <c r="J81" s="66">
        <v>45812</v>
      </c>
      <c r="K81" s="306" t="s">
        <v>84</v>
      </c>
      <c r="L81" s="79" t="s">
        <v>1856</v>
      </c>
      <c r="M81" s="78" t="s">
        <v>136</v>
      </c>
      <c r="N81" s="78">
        <v>5973</v>
      </c>
      <c r="O81" s="78">
        <v>6809</v>
      </c>
      <c r="P81" s="78">
        <v>8915</v>
      </c>
      <c r="Q81" s="78" t="s">
        <v>136</v>
      </c>
      <c r="R81" s="78" t="s">
        <v>136</v>
      </c>
      <c r="S81" s="78" t="s">
        <v>134</v>
      </c>
      <c r="T81" s="78" t="s">
        <v>134</v>
      </c>
      <c r="U81" s="78" t="s">
        <v>136</v>
      </c>
      <c r="V81" s="305" t="s">
        <v>590</v>
      </c>
      <c r="W81" s="66">
        <v>45814</v>
      </c>
      <c r="X81" s="66">
        <v>45814</v>
      </c>
      <c r="Y81" s="78"/>
      <c r="Z81" s="80" t="s">
        <v>85</v>
      </c>
      <c r="AA81" s="371">
        <v>0</v>
      </c>
      <c r="AB81" s="78">
        <v>5917</v>
      </c>
      <c r="AC81" s="228">
        <v>660337</v>
      </c>
      <c r="AD81" s="228">
        <f t="shared" ref="AD81:AD103" si="4">AC81*1.19</f>
        <v>785801.02999999991</v>
      </c>
      <c r="AE81" s="303">
        <v>514199</v>
      </c>
      <c r="AF81" s="78"/>
      <c r="AG81" s="210" t="s">
        <v>1919</v>
      </c>
      <c r="AH81" s="403">
        <v>45812</v>
      </c>
      <c r="AI81" s="66">
        <v>45817</v>
      </c>
      <c r="AJ81" s="78" t="s">
        <v>1705</v>
      </c>
    </row>
    <row r="82" spans="1:37" ht="69.75" customHeight="1" x14ac:dyDescent="0.25">
      <c r="A82" s="353">
        <v>2025</v>
      </c>
      <c r="B82" s="354">
        <v>5</v>
      </c>
      <c r="C82" s="353">
        <v>22694</v>
      </c>
      <c r="D82" s="279">
        <v>45801</v>
      </c>
      <c r="E82" s="81" t="s">
        <v>235</v>
      </c>
      <c r="F82" s="81" t="s">
        <v>960</v>
      </c>
      <c r="G82" s="78" t="s">
        <v>1827</v>
      </c>
      <c r="H82" s="78">
        <v>3185608945</v>
      </c>
      <c r="I82" s="78">
        <v>6046796985</v>
      </c>
      <c r="J82" s="66">
        <v>45808</v>
      </c>
      <c r="K82" s="306" t="s">
        <v>95</v>
      </c>
      <c r="L82" s="79" t="s">
        <v>1828</v>
      </c>
      <c r="M82" s="78" t="s">
        <v>281</v>
      </c>
      <c r="N82" s="78" t="s">
        <v>136</v>
      </c>
      <c r="O82" s="78" t="s">
        <v>136</v>
      </c>
      <c r="P82" s="78">
        <v>9113</v>
      </c>
      <c r="Q82" s="78" t="s">
        <v>136</v>
      </c>
      <c r="R82" s="78" t="s">
        <v>136</v>
      </c>
      <c r="S82" s="78" t="s">
        <v>134</v>
      </c>
      <c r="T82" s="78" t="s">
        <v>134</v>
      </c>
      <c r="U82" s="78" t="s">
        <v>136</v>
      </c>
      <c r="V82" s="305" t="s">
        <v>89</v>
      </c>
      <c r="W82" s="66">
        <v>45803</v>
      </c>
      <c r="X82" s="66">
        <v>45820</v>
      </c>
      <c r="Y82" s="78"/>
      <c r="Z82" s="80" t="s">
        <v>92</v>
      </c>
      <c r="AA82" s="371">
        <v>0</v>
      </c>
      <c r="AB82" s="78">
        <v>5897</v>
      </c>
      <c r="AC82" s="228">
        <v>304672</v>
      </c>
      <c r="AD82" s="228">
        <f t="shared" si="4"/>
        <v>362559.68</v>
      </c>
      <c r="AE82" s="303">
        <v>0</v>
      </c>
      <c r="AF82" s="78"/>
      <c r="AG82" s="210" t="s">
        <v>2100</v>
      </c>
      <c r="AH82" s="241"/>
      <c r="AI82" s="66">
        <v>45821</v>
      </c>
      <c r="AJ82" s="78" t="s">
        <v>1705</v>
      </c>
    </row>
    <row r="83" spans="1:37" ht="59.25" customHeight="1" x14ac:dyDescent="0.25">
      <c r="A83" s="353">
        <v>2025</v>
      </c>
      <c r="B83" s="354">
        <v>5</v>
      </c>
      <c r="C83" s="355">
        <v>22695</v>
      </c>
      <c r="D83" s="279">
        <v>45801</v>
      </c>
      <c r="E83" s="81" t="s">
        <v>1859</v>
      </c>
      <c r="F83" s="81" t="s">
        <v>1859</v>
      </c>
      <c r="G83" s="78" t="s">
        <v>143</v>
      </c>
      <c r="H83" s="78">
        <v>3117471666</v>
      </c>
      <c r="I83" s="78">
        <v>3117471666</v>
      </c>
      <c r="J83" s="66"/>
      <c r="K83" s="306" t="s">
        <v>84</v>
      </c>
      <c r="L83" s="79" t="s">
        <v>1860</v>
      </c>
      <c r="M83" s="78" t="s">
        <v>136</v>
      </c>
      <c r="N83" s="78">
        <v>5974</v>
      </c>
      <c r="O83" s="78">
        <v>6810</v>
      </c>
      <c r="P83" s="78">
        <v>9080</v>
      </c>
      <c r="Q83" s="78">
        <v>5564</v>
      </c>
      <c r="R83" s="78" t="s">
        <v>136</v>
      </c>
      <c r="S83" s="78" t="s">
        <v>134</v>
      </c>
      <c r="T83" s="78" t="s">
        <v>134</v>
      </c>
      <c r="U83" s="78" t="s">
        <v>136</v>
      </c>
      <c r="V83" s="305" t="s">
        <v>87</v>
      </c>
      <c r="W83" s="66">
        <v>45812</v>
      </c>
      <c r="X83" s="66">
        <v>45814</v>
      </c>
      <c r="Y83" s="78"/>
      <c r="Z83" s="80" t="s">
        <v>85</v>
      </c>
      <c r="AA83" s="371">
        <v>0</v>
      </c>
      <c r="AB83" s="78">
        <v>5923</v>
      </c>
      <c r="AC83" s="228">
        <v>2660027</v>
      </c>
      <c r="AD83" s="228">
        <f t="shared" si="4"/>
        <v>3165432.13</v>
      </c>
      <c r="AE83" s="303">
        <v>1590000</v>
      </c>
      <c r="AF83" s="78"/>
      <c r="AG83" s="210" t="s">
        <v>1991</v>
      </c>
      <c r="AH83" s="403">
        <v>45813</v>
      </c>
      <c r="AI83" s="66">
        <v>45817</v>
      </c>
      <c r="AJ83" s="78" t="s">
        <v>1705</v>
      </c>
    </row>
    <row r="84" spans="1:37" ht="78.75" customHeight="1" x14ac:dyDescent="0.25">
      <c r="A84" s="353">
        <v>2025</v>
      </c>
      <c r="B84" s="354">
        <v>5</v>
      </c>
      <c r="C84" s="353">
        <v>22696</v>
      </c>
      <c r="D84" s="279">
        <v>45801</v>
      </c>
      <c r="E84" s="81" t="s">
        <v>289</v>
      </c>
      <c r="F84" s="81" t="s">
        <v>1857</v>
      </c>
      <c r="G84" s="78" t="s">
        <v>150</v>
      </c>
      <c r="H84" s="78">
        <v>3173699722</v>
      </c>
      <c r="I84" s="78">
        <v>4005100</v>
      </c>
      <c r="J84" s="66">
        <v>45815</v>
      </c>
      <c r="K84" s="306" t="s">
        <v>88</v>
      </c>
      <c r="L84" s="79" t="s">
        <v>1858</v>
      </c>
      <c r="M84" s="78" t="s">
        <v>136</v>
      </c>
      <c r="N84" s="78">
        <v>5977</v>
      </c>
      <c r="O84" s="78">
        <v>6811</v>
      </c>
      <c r="P84" s="78">
        <v>9065</v>
      </c>
      <c r="Q84" s="78">
        <v>5562</v>
      </c>
      <c r="R84" s="78" t="s">
        <v>136</v>
      </c>
      <c r="S84" s="78" t="s">
        <v>134</v>
      </c>
      <c r="T84" s="78" t="s">
        <v>134</v>
      </c>
      <c r="U84" s="78" t="s">
        <v>136</v>
      </c>
      <c r="V84" s="305" t="s">
        <v>89</v>
      </c>
      <c r="W84" s="66">
        <v>45814</v>
      </c>
      <c r="X84" s="66">
        <v>45820</v>
      </c>
      <c r="Y84" s="78"/>
      <c r="Z84" s="80" t="s">
        <v>90</v>
      </c>
      <c r="AA84" s="371">
        <v>0</v>
      </c>
      <c r="AB84" s="78">
        <v>5937</v>
      </c>
      <c r="AC84" s="228">
        <v>7488703</v>
      </c>
      <c r="AD84" s="228">
        <f t="shared" si="4"/>
        <v>8911556.5700000003</v>
      </c>
      <c r="AE84" s="303">
        <v>0</v>
      </c>
      <c r="AF84" s="78"/>
      <c r="AG84" s="210" t="s">
        <v>2047</v>
      </c>
      <c r="AH84" s="241"/>
      <c r="AI84" s="66">
        <v>45820</v>
      </c>
      <c r="AJ84" s="78" t="s">
        <v>1705</v>
      </c>
    </row>
    <row r="85" spans="1:37" ht="32.25" customHeight="1" x14ac:dyDescent="0.25">
      <c r="A85" s="353">
        <v>2025</v>
      </c>
      <c r="B85" s="354">
        <v>5</v>
      </c>
      <c r="C85" s="353">
        <v>22697</v>
      </c>
      <c r="D85" s="279">
        <v>45803</v>
      </c>
      <c r="E85" s="81" t="s">
        <v>1868</v>
      </c>
      <c r="F85" s="81" t="s">
        <v>1868</v>
      </c>
      <c r="G85" s="78" t="s">
        <v>143</v>
      </c>
      <c r="H85" s="78">
        <v>3005660308</v>
      </c>
      <c r="I85" s="78">
        <v>3005660308</v>
      </c>
      <c r="J85" s="66"/>
      <c r="K85" s="306" t="s">
        <v>84</v>
      </c>
      <c r="L85" s="79" t="s">
        <v>1869</v>
      </c>
      <c r="M85" s="78" t="s">
        <v>136</v>
      </c>
      <c r="N85" s="78" t="s">
        <v>136</v>
      </c>
      <c r="O85" s="78" t="s">
        <v>136</v>
      </c>
      <c r="P85" s="78" t="s">
        <v>136</v>
      </c>
      <c r="Q85" s="78" t="s">
        <v>136</v>
      </c>
      <c r="R85" s="78" t="s">
        <v>136</v>
      </c>
      <c r="S85" s="78" t="s">
        <v>136</v>
      </c>
      <c r="T85" s="78" t="s">
        <v>136</v>
      </c>
      <c r="U85" s="78" t="s">
        <v>134</v>
      </c>
      <c r="V85" s="305" t="s">
        <v>590</v>
      </c>
      <c r="W85" s="66"/>
      <c r="X85" s="66">
        <v>45803</v>
      </c>
      <c r="Y85" s="78"/>
      <c r="Z85" s="80" t="s">
        <v>85</v>
      </c>
      <c r="AA85" s="371">
        <v>142800</v>
      </c>
      <c r="AB85" s="78">
        <v>5890</v>
      </c>
      <c r="AC85" s="228">
        <v>120000</v>
      </c>
      <c r="AD85" s="228">
        <f t="shared" si="4"/>
        <v>142800</v>
      </c>
      <c r="AE85" s="303">
        <v>0</v>
      </c>
      <c r="AF85" s="78"/>
      <c r="AG85" s="210" t="s">
        <v>1899</v>
      </c>
      <c r="AH85" s="403">
        <v>45801</v>
      </c>
      <c r="AI85" s="66">
        <v>45807</v>
      </c>
      <c r="AJ85" s="78" t="s">
        <v>1705</v>
      </c>
    </row>
    <row r="86" spans="1:37" ht="129" customHeight="1" x14ac:dyDescent="0.25">
      <c r="A86" s="353">
        <v>2025</v>
      </c>
      <c r="B86" s="354">
        <v>5</v>
      </c>
      <c r="C86" s="355">
        <v>22698</v>
      </c>
      <c r="D86" s="279">
        <v>45803</v>
      </c>
      <c r="E86" s="81" t="s">
        <v>1876</v>
      </c>
      <c r="F86" s="81" t="s">
        <v>1997</v>
      </c>
      <c r="G86" s="78" t="s">
        <v>143</v>
      </c>
      <c r="H86" s="78" t="s">
        <v>1998</v>
      </c>
      <c r="I86" s="78" t="s">
        <v>1998</v>
      </c>
      <c r="J86" s="66">
        <v>45828</v>
      </c>
      <c r="K86" s="306" t="s">
        <v>84</v>
      </c>
      <c r="L86" s="79" t="s">
        <v>1999</v>
      </c>
      <c r="M86" s="78" t="s">
        <v>281</v>
      </c>
      <c r="N86" s="78" t="s">
        <v>136</v>
      </c>
      <c r="O86" s="78">
        <v>6843</v>
      </c>
      <c r="P86" s="81" t="s">
        <v>2000</v>
      </c>
      <c r="Q86" s="81" t="s">
        <v>136</v>
      </c>
      <c r="R86" s="78" t="s">
        <v>136</v>
      </c>
      <c r="S86" s="78" t="s">
        <v>134</v>
      </c>
      <c r="T86" s="78" t="s">
        <v>134</v>
      </c>
      <c r="U86" s="78" t="s">
        <v>136</v>
      </c>
      <c r="V86" s="305" t="s">
        <v>119</v>
      </c>
      <c r="W86" s="66">
        <v>45834</v>
      </c>
      <c r="X86" s="66">
        <v>45835</v>
      </c>
      <c r="Y86" s="78"/>
      <c r="Z86" s="80" t="s">
        <v>85</v>
      </c>
      <c r="AA86" s="371">
        <v>0</v>
      </c>
      <c r="AB86" s="78">
        <v>6009</v>
      </c>
      <c r="AC86" s="228">
        <v>3769851</v>
      </c>
      <c r="AD86" s="228">
        <f t="shared" si="4"/>
        <v>4486122.6899999995</v>
      </c>
      <c r="AE86" s="303">
        <v>2250000</v>
      </c>
      <c r="AF86" s="78"/>
      <c r="AG86" s="210" t="s">
        <v>2097</v>
      </c>
      <c r="AH86" s="403">
        <v>45834</v>
      </c>
      <c r="AI86" s="66">
        <v>45835</v>
      </c>
      <c r="AJ86" s="78" t="s">
        <v>1705</v>
      </c>
    </row>
    <row r="87" spans="1:37" ht="30" x14ac:dyDescent="0.25">
      <c r="A87" s="353">
        <v>2025</v>
      </c>
      <c r="B87" s="354">
        <v>5</v>
      </c>
      <c r="C87" s="353">
        <v>22699</v>
      </c>
      <c r="D87" s="279">
        <v>45803</v>
      </c>
      <c r="E87" s="81" t="s">
        <v>1870</v>
      </c>
      <c r="F87" s="81" t="s">
        <v>1870</v>
      </c>
      <c r="G87" s="78"/>
      <c r="H87" s="78">
        <v>3111616</v>
      </c>
      <c r="I87" s="78">
        <v>3111616</v>
      </c>
      <c r="J87" s="66">
        <v>45821</v>
      </c>
      <c r="K87" s="306" t="s">
        <v>88</v>
      </c>
      <c r="L87" s="79" t="s">
        <v>1871</v>
      </c>
      <c r="M87" s="78" t="s">
        <v>136</v>
      </c>
      <c r="N87" s="78">
        <v>5983</v>
      </c>
      <c r="O87" s="78">
        <v>6813</v>
      </c>
      <c r="P87" s="78">
        <v>9028</v>
      </c>
      <c r="Q87" s="78">
        <v>5553</v>
      </c>
      <c r="R87" s="78" t="s">
        <v>136</v>
      </c>
      <c r="S87" s="78" t="s">
        <v>134</v>
      </c>
      <c r="T87" s="78" t="s">
        <v>134</v>
      </c>
      <c r="U87" s="78" t="s">
        <v>136</v>
      </c>
      <c r="V87" s="305" t="s">
        <v>87</v>
      </c>
      <c r="W87" s="66">
        <v>45820</v>
      </c>
      <c r="X87" s="66">
        <v>45822</v>
      </c>
      <c r="Y87" s="78"/>
      <c r="Z87" s="80" t="s">
        <v>85</v>
      </c>
      <c r="AA87" s="371">
        <v>0</v>
      </c>
      <c r="AB87" s="78">
        <v>5944</v>
      </c>
      <c r="AC87" s="228">
        <v>5941500</v>
      </c>
      <c r="AD87" s="228">
        <f t="shared" si="4"/>
        <v>7070385</v>
      </c>
      <c r="AE87" s="303">
        <v>3945117</v>
      </c>
      <c r="AF87" s="78"/>
      <c r="AG87" s="210" t="s">
        <v>2260</v>
      </c>
      <c r="AH87" s="403">
        <v>45842</v>
      </c>
      <c r="AI87" s="66">
        <v>45845</v>
      </c>
      <c r="AJ87" s="78" t="s">
        <v>1705</v>
      </c>
    </row>
    <row r="88" spans="1:37" ht="45" x14ac:dyDescent="0.25">
      <c r="A88" s="353">
        <v>2025</v>
      </c>
      <c r="B88" s="354">
        <v>5</v>
      </c>
      <c r="C88" s="353">
        <v>22700</v>
      </c>
      <c r="D88" s="279">
        <v>45803</v>
      </c>
      <c r="E88" s="81" t="s">
        <v>1861</v>
      </c>
      <c r="F88" s="81" t="s">
        <v>1862</v>
      </c>
      <c r="G88" s="78" t="s">
        <v>1863</v>
      </c>
      <c r="H88" s="78">
        <v>3217016189</v>
      </c>
      <c r="I88" s="78">
        <v>6044482329</v>
      </c>
      <c r="J88" s="66">
        <v>45813</v>
      </c>
      <c r="K88" s="306" t="s">
        <v>88</v>
      </c>
      <c r="L88" s="79" t="s">
        <v>1864</v>
      </c>
      <c r="M88" s="78" t="s">
        <v>136</v>
      </c>
      <c r="N88" s="78">
        <v>5978</v>
      </c>
      <c r="O88" s="78">
        <v>6812</v>
      </c>
      <c r="P88" s="78" t="s">
        <v>136</v>
      </c>
      <c r="Q88" s="78" t="s">
        <v>136</v>
      </c>
      <c r="R88" s="78" t="s">
        <v>134</v>
      </c>
      <c r="S88" s="78" t="s">
        <v>134</v>
      </c>
      <c r="T88" s="78" t="s">
        <v>134</v>
      </c>
      <c r="U88" s="78" t="s">
        <v>136</v>
      </c>
      <c r="V88" s="305" t="s">
        <v>590</v>
      </c>
      <c r="W88" s="66">
        <v>45814</v>
      </c>
      <c r="X88" s="66">
        <v>45814</v>
      </c>
      <c r="Y88" s="78"/>
      <c r="Z88" s="80" t="s">
        <v>85</v>
      </c>
      <c r="AA88" s="371">
        <v>875136</v>
      </c>
      <c r="AB88" s="78">
        <v>5921</v>
      </c>
      <c r="AC88" s="228">
        <v>735408</v>
      </c>
      <c r="AD88" s="228">
        <f t="shared" si="4"/>
        <v>875135.52</v>
      </c>
      <c r="AE88" s="303">
        <v>0</v>
      </c>
      <c r="AF88" s="78"/>
      <c r="AG88" s="210" t="s">
        <v>1919</v>
      </c>
      <c r="AH88" s="403">
        <v>45797</v>
      </c>
      <c r="AI88" s="66">
        <v>45814</v>
      </c>
      <c r="AJ88" s="78" t="s">
        <v>1705</v>
      </c>
    </row>
    <row r="89" spans="1:37" ht="45" customHeight="1" x14ac:dyDescent="0.25">
      <c r="A89" s="353">
        <v>2025</v>
      </c>
      <c r="B89" s="354">
        <v>5</v>
      </c>
      <c r="C89" s="355">
        <v>22701</v>
      </c>
      <c r="D89" s="279">
        <v>45803</v>
      </c>
      <c r="E89" s="81" t="s">
        <v>1865</v>
      </c>
      <c r="F89" s="81" t="s">
        <v>1866</v>
      </c>
      <c r="G89" s="78" t="s">
        <v>173</v>
      </c>
      <c r="H89" s="78">
        <v>3135475045</v>
      </c>
      <c r="I89" s="78">
        <v>3135475045</v>
      </c>
      <c r="J89" s="66">
        <v>45813</v>
      </c>
      <c r="K89" s="306" t="s">
        <v>88</v>
      </c>
      <c r="L89" s="79" t="s">
        <v>1867</v>
      </c>
      <c r="M89" s="78" t="s">
        <v>136</v>
      </c>
      <c r="N89" s="78">
        <v>5975</v>
      </c>
      <c r="O89" s="78" t="s">
        <v>136</v>
      </c>
      <c r="P89" s="78" t="s">
        <v>136</v>
      </c>
      <c r="Q89" s="78">
        <v>5434</v>
      </c>
      <c r="R89" s="78" t="s">
        <v>136</v>
      </c>
      <c r="S89" s="78" t="s">
        <v>134</v>
      </c>
      <c r="T89" s="78" t="s">
        <v>134</v>
      </c>
      <c r="U89" s="78" t="s">
        <v>136</v>
      </c>
      <c r="V89" s="305" t="s">
        <v>87</v>
      </c>
      <c r="W89" s="66">
        <v>45813</v>
      </c>
      <c r="X89" s="66">
        <v>45818</v>
      </c>
      <c r="Y89" s="78"/>
      <c r="Z89" s="80" t="s">
        <v>97</v>
      </c>
      <c r="AA89" s="371">
        <v>0</v>
      </c>
      <c r="AB89" s="78"/>
      <c r="AC89" s="228">
        <v>0</v>
      </c>
      <c r="AD89" s="228">
        <f t="shared" si="4"/>
        <v>0</v>
      </c>
      <c r="AE89" s="303">
        <v>0</v>
      </c>
      <c r="AF89" s="78"/>
      <c r="AG89" s="210" t="s">
        <v>2105</v>
      </c>
      <c r="AH89" s="241" t="s">
        <v>1918</v>
      </c>
      <c r="AI89" s="66">
        <v>45821</v>
      </c>
      <c r="AJ89" s="78" t="s">
        <v>1705</v>
      </c>
    </row>
    <row r="90" spans="1:37" ht="87.75" customHeight="1" x14ac:dyDescent="0.25">
      <c r="A90" s="353">
        <v>2025</v>
      </c>
      <c r="B90" s="354">
        <v>5</v>
      </c>
      <c r="C90" s="353">
        <v>22702</v>
      </c>
      <c r="D90" s="279">
        <v>45804</v>
      </c>
      <c r="E90" s="81" t="s">
        <v>2001</v>
      </c>
      <c r="F90" s="81" t="s">
        <v>222</v>
      </c>
      <c r="G90" s="78" t="s">
        <v>206</v>
      </c>
      <c r="H90" s="78">
        <v>31222923392</v>
      </c>
      <c r="I90" s="78">
        <v>31222923392</v>
      </c>
      <c r="J90" s="66">
        <v>45825</v>
      </c>
      <c r="K90" s="306" t="s">
        <v>84</v>
      </c>
      <c r="L90" s="79" t="s">
        <v>2002</v>
      </c>
      <c r="M90" s="78" t="s">
        <v>136</v>
      </c>
      <c r="N90" s="78">
        <v>6010</v>
      </c>
      <c r="O90" s="78">
        <v>6838</v>
      </c>
      <c r="P90" s="78">
        <v>8894</v>
      </c>
      <c r="Q90" s="78">
        <v>5578</v>
      </c>
      <c r="R90" s="78" t="s">
        <v>136</v>
      </c>
      <c r="S90" s="78" t="s">
        <v>134</v>
      </c>
      <c r="T90" s="78" t="s">
        <v>134</v>
      </c>
      <c r="U90" s="78" t="s">
        <v>136</v>
      </c>
      <c r="V90" s="305" t="s">
        <v>119</v>
      </c>
      <c r="W90" s="66">
        <v>45824</v>
      </c>
      <c r="X90" s="66">
        <v>45825</v>
      </c>
      <c r="Y90" s="78"/>
      <c r="Z90" s="80" t="s">
        <v>85</v>
      </c>
      <c r="AA90" s="371">
        <v>0</v>
      </c>
      <c r="AB90" s="78">
        <v>5963</v>
      </c>
      <c r="AC90" s="228">
        <v>1388948</v>
      </c>
      <c r="AD90" s="228">
        <f t="shared" si="4"/>
        <v>1652848.1199999999</v>
      </c>
      <c r="AE90" s="303">
        <v>826424</v>
      </c>
      <c r="AF90" s="78"/>
      <c r="AG90" s="210" t="s">
        <v>2133</v>
      </c>
      <c r="AH90" s="403">
        <v>45824</v>
      </c>
      <c r="AI90" s="66">
        <v>45826</v>
      </c>
      <c r="AJ90" s="78" t="s">
        <v>1705</v>
      </c>
    </row>
    <row r="91" spans="1:37" ht="34.5" customHeight="1" x14ac:dyDescent="0.25">
      <c r="A91" s="353">
        <v>2025</v>
      </c>
      <c r="B91" s="354">
        <v>5</v>
      </c>
      <c r="C91" s="353">
        <v>22703</v>
      </c>
      <c r="D91" s="279">
        <v>45805</v>
      </c>
      <c r="E91" s="81" t="s">
        <v>1901</v>
      </c>
      <c r="F91" s="81" t="s">
        <v>1901</v>
      </c>
      <c r="G91" s="78" t="s">
        <v>143</v>
      </c>
      <c r="H91" s="78">
        <v>3128667032</v>
      </c>
      <c r="I91" s="78">
        <v>5985322</v>
      </c>
      <c r="J91" s="66">
        <v>45814</v>
      </c>
      <c r="K91" s="306" t="s">
        <v>94</v>
      </c>
      <c r="L91" s="79" t="s">
        <v>1902</v>
      </c>
      <c r="M91" s="78" t="s">
        <v>136</v>
      </c>
      <c r="N91" s="78">
        <v>5980</v>
      </c>
      <c r="O91" s="78" t="s">
        <v>136</v>
      </c>
      <c r="P91" s="78" t="s">
        <v>136</v>
      </c>
      <c r="Q91" s="78" t="s">
        <v>136</v>
      </c>
      <c r="R91" s="78" t="s">
        <v>136</v>
      </c>
      <c r="S91" s="78" t="s">
        <v>136</v>
      </c>
      <c r="T91" s="78" t="s">
        <v>136</v>
      </c>
      <c r="U91" s="78" t="s">
        <v>136</v>
      </c>
      <c r="V91" s="305" t="s">
        <v>87</v>
      </c>
      <c r="W91" s="66">
        <v>45814</v>
      </c>
      <c r="X91" s="66">
        <v>45817</v>
      </c>
      <c r="Y91" s="78"/>
      <c r="Z91" s="80" t="s">
        <v>85</v>
      </c>
      <c r="AA91" s="371">
        <v>0</v>
      </c>
      <c r="AB91" s="78">
        <v>5926</v>
      </c>
      <c r="AC91" s="228">
        <v>302328</v>
      </c>
      <c r="AD91" s="228">
        <f t="shared" si="4"/>
        <v>359770.32</v>
      </c>
      <c r="AE91" s="303">
        <v>200000</v>
      </c>
      <c r="AF91" s="78"/>
      <c r="AG91" s="210" t="s">
        <v>1954</v>
      </c>
      <c r="AH91" s="403">
        <v>45817</v>
      </c>
      <c r="AI91" s="66">
        <v>45817</v>
      </c>
      <c r="AJ91" s="78" t="s">
        <v>1705</v>
      </c>
    </row>
    <row r="92" spans="1:37" ht="66.75" customHeight="1" x14ac:dyDescent="0.25">
      <c r="A92" s="353">
        <v>2025</v>
      </c>
      <c r="B92" s="354">
        <v>5</v>
      </c>
      <c r="C92" s="355">
        <v>22704</v>
      </c>
      <c r="D92" s="279">
        <v>45805</v>
      </c>
      <c r="E92" s="81" t="s">
        <v>2004</v>
      </c>
      <c r="F92" s="81" t="s">
        <v>685</v>
      </c>
      <c r="G92" s="78" t="s">
        <v>148</v>
      </c>
      <c r="H92" s="78">
        <v>3053942481</v>
      </c>
      <c r="I92" s="78">
        <v>6042880027</v>
      </c>
      <c r="J92" s="66">
        <v>45828</v>
      </c>
      <c r="K92" s="306" t="s">
        <v>88</v>
      </c>
      <c r="L92" s="79" t="s">
        <v>2005</v>
      </c>
      <c r="M92" s="81" t="s">
        <v>2006</v>
      </c>
      <c r="N92" s="78" t="s">
        <v>136</v>
      </c>
      <c r="O92" s="78">
        <v>6850</v>
      </c>
      <c r="P92" s="78">
        <v>9103</v>
      </c>
      <c r="Q92" s="78">
        <v>5567</v>
      </c>
      <c r="R92" s="78" t="s">
        <v>136</v>
      </c>
      <c r="S92" s="78" t="s">
        <v>134</v>
      </c>
      <c r="T92" s="78" t="s">
        <v>134</v>
      </c>
      <c r="U92" s="78" t="s">
        <v>136</v>
      </c>
      <c r="V92" s="305" t="s">
        <v>119</v>
      </c>
      <c r="W92" s="66">
        <v>45822</v>
      </c>
      <c r="X92" s="66">
        <v>45827</v>
      </c>
      <c r="Y92" s="78"/>
      <c r="Z92" s="80" t="s">
        <v>85</v>
      </c>
      <c r="AA92" s="371">
        <v>0</v>
      </c>
      <c r="AB92" s="78">
        <v>5957</v>
      </c>
      <c r="AC92" s="228">
        <v>1503982</v>
      </c>
      <c r="AD92" s="228">
        <f t="shared" si="4"/>
        <v>1789738.5799999998</v>
      </c>
      <c r="AE92" s="303">
        <v>771991</v>
      </c>
      <c r="AF92" s="78"/>
      <c r="AG92" s="210" t="s">
        <v>2232</v>
      </c>
      <c r="AH92" s="403">
        <v>45824</v>
      </c>
      <c r="AI92" s="66">
        <v>45836</v>
      </c>
      <c r="AJ92" s="78" t="s">
        <v>1705</v>
      </c>
    </row>
    <row r="93" spans="1:37" ht="97.5" customHeight="1" x14ac:dyDescent="0.25">
      <c r="A93" s="353">
        <v>2025</v>
      </c>
      <c r="B93" s="354">
        <v>5</v>
      </c>
      <c r="C93" s="353">
        <v>22705</v>
      </c>
      <c r="D93" s="279">
        <v>45806</v>
      </c>
      <c r="E93" s="81" t="s">
        <v>2053</v>
      </c>
      <c r="F93" s="81" t="s">
        <v>2054</v>
      </c>
      <c r="G93" s="78" t="s">
        <v>143</v>
      </c>
      <c r="H93" s="78">
        <v>3175010735</v>
      </c>
      <c r="I93" s="78">
        <v>3175010735</v>
      </c>
      <c r="J93" s="66">
        <v>45828</v>
      </c>
      <c r="K93" s="306" t="s">
        <v>88</v>
      </c>
      <c r="L93" s="79" t="s">
        <v>2055</v>
      </c>
      <c r="M93" s="78" t="s">
        <v>136</v>
      </c>
      <c r="N93" s="78">
        <v>6015</v>
      </c>
      <c r="O93" s="78">
        <v>6851</v>
      </c>
      <c r="P93" s="78">
        <v>9114</v>
      </c>
      <c r="Q93" s="78">
        <v>5570</v>
      </c>
      <c r="R93" s="78" t="s">
        <v>136</v>
      </c>
      <c r="S93" s="78" t="s">
        <v>134</v>
      </c>
      <c r="T93" s="78" t="s">
        <v>134</v>
      </c>
      <c r="U93" s="78" t="s">
        <v>136</v>
      </c>
      <c r="V93" s="305" t="s">
        <v>119</v>
      </c>
      <c r="W93" s="66">
        <v>45827</v>
      </c>
      <c r="X93" s="66">
        <v>45828</v>
      </c>
      <c r="Y93" s="78"/>
      <c r="Z93" s="80" t="s">
        <v>85</v>
      </c>
      <c r="AA93" s="371">
        <v>0</v>
      </c>
      <c r="AB93" s="78">
        <v>5981</v>
      </c>
      <c r="AC93" s="228">
        <v>2846686</v>
      </c>
      <c r="AD93" s="228">
        <f t="shared" si="4"/>
        <v>3387556.34</v>
      </c>
      <c r="AE93" s="303">
        <v>1700000</v>
      </c>
      <c r="AF93" s="78"/>
      <c r="AG93" s="210" t="s">
        <v>2233</v>
      </c>
      <c r="AH93" s="403">
        <v>45827</v>
      </c>
      <c r="AI93" s="66">
        <v>45836</v>
      </c>
      <c r="AJ93" s="78" t="s">
        <v>1705</v>
      </c>
    </row>
    <row r="94" spans="1:37" ht="34.5" customHeight="1" x14ac:dyDescent="0.25">
      <c r="A94" s="353">
        <v>2025</v>
      </c>
      <c r="B94" s="354">
        <v>5</v>
      </c>
      <c r="C94" s="353">
        <v>22706</v>
      </c>
      <c r="D94" s="279">
        <v>45806</v>
      </c>
      <c r="E94" s="81" t="s">
        <v>1818</v>
      </c>
      <c r="F94" s="81" t="s">
        <v>1818</v>
      </c>
      <c r="G94" s="78" t="s">
        <v>143</v>
      </c>
      <c r="H94" s="78">
        <v>3146789067</v>
      </c>
      <c r="I94" s="78">
        <v>3146789067</v>
      </c>
      <c r="J94" s="66">
        <v>45824</v>
      </c>
      <c r="K94" s="306" t="s">
        <v>84</v>
      </c>
      <c r="L94" s="79" t="s">
        <v>1940</v>
      </c>
      <c r="M94" s="78" t="s">
        <v>136</v>
      </c>
      <c r="N94" s="78">
        <v>5987</v>
      </c>
      <c r="O94" s="78">
        <v>6821</v>
      </c>
      <c r="P94" s="78">
        <v>9066</v>
      </c>
      <c r="Q94" s="78" t="s">
        <v>136</v>
      </c>
      <c r="R94" s="78" t="s">
        <v>136</v>
      </c>
      <c r="S94" s="78" t="s">
        <v>134</v>
      </c>
      <c r="T94" s="78" t="s">
        <v>134</v>
      </c>
      <c r="U94" s="78" t="s">
        <v>136</v>
      </c>
      <c r="V94" s="305" t="s">
        <v>87</v>
      </c>
      <c r="W94" s="66">
        <v>45820</v>
      </c>
      <c r="X94" s="66">
        <v>45824</v>
      </c>
      <c r="Y94" s="78"/>
      <c r="Z94" s="80" t="s">
        <v>85</v>
      </c>
      <c r="AA94" s="371">
        <v>0</v>
      </c>
      <c r="AB94" s="78">
        <v>5941</v>
      </c>
      <c r="AC94" s="228">
        <v>327731</v>
      </c>
      <c r="AD94" s="228">
        <f t="shared" si="4"/>
        <v>389999.88999999996</v>
      </c>
      <c r="AE94" s="303">
        <v>200000</v>
      </c>
      <c r="AF94" s="78"/>
      <c r="AG94" s="210" t="s">
        <v>2129</v>
      </c>
      <c r="AH94" s="403">
        <v>45820</v>
      </c>
      <c r="AI94" s="66">
        <v>45826</v>
      </c>
      <c r="AJ94" s="78" t="s">
        <v>1705</v>
      </c>
    </row>
    <row r="95" spans="1:37" ht="30" x14ac:dyDescent="0.25">
      <c r="A95" s="353">
        <v>2025</v>
      </c>
      <c r="B95" s="354">
        <v>5</v>
      </c>
      <c r="C95" s="355">
        <v>22707</v>
      </c>
      <c r="D95" s="279">
        <v>45806</v>
      </c>
      <c r="E95" s="81" t="s">
        <v>1882</v>
      </c>
      <c r="F95" s="81" t="s">
        <v>1883</v>
      </c>
      <c r="G95" s="78" t="s">
        <v>98</v>
      </c>
      <c r="H95" s="78">
        <v>3122240715</v>
      </c>
      <c r="I95" s="78">
        <v>6044443865</v>
      </c>
      <c r="J95" s="66">
        <v>45806</v>
      </c>
      <c r="K95" s="306" t="s">
        <v>88</v>
      </c>
      <c r="L95" s="79" t="s">
        <v>1884</v>
      </c>
      <c r="M95" s="78" t="s">
        <v>136</v>
      </c>
      <c r="N95" s="78" t="s">
        <v>136</v>
      </c>
      <c r="O95" s="78">
        <v>6816</v>
      </c>
      <c r="P95" s="78">
        <v>9159</v>
      </c>
      <c r="Q95" s="78" t="s">
        <v>136</v>
      </c>
      <c r="R95" s="78" t="s">
        <v>134</v>
      </c>
      <c r="S95" s="78" t="s">
        <v>136</v>
      </c>
      <c r="T95" s="78" t="s">
        <v>136</v>
      </c>
      <c r="U95" s="78" t="s">
        <v>136</v>
      </c>
      <c r="V95" s="305" t="s">
        <v>119</v>
      </c>
      <c r="W95" s="66">
        <v>45807</v>
      </c>
      <c r="X95" s="66">
        <v>45807</v>
      </c>
      <c r="Y95" s="78"/>
      <c r="Z95" s="80" t="s">
        <v>85</v>
      </c>
      <c r="AA95" s="371">
        <v>450000</v>
      </c>
      <c r="AB95" s="78">
        <v>5901</v>
      </c>
      <c r="AC95" s="228">
        <v>378151</v>
      </c>
      <c r="AD95" s="228">
        <f t="shared" si="4"/>
        <v>449999.69</v>
      </c>
      <c r="AE95" s="303">
        <v>0</v>
      </c>
      <c r="AF95" s="78"/>
      <c r="AG95" s="210" t="s">
        <v>2139</v>
      </c>
      <c r="AH95" s="403">
        <v>45806</v>
      </c>
      <c r="AI95" s="66">
        <v>45826</v>
      </c>
      <c r="AJ95" s="78" t="s">
        <v>1705</v>
      </c>
    </row>
    <row r="96" spans="1:37" ht="56.25" customHeight="1" x14ac:dyDescent="0.25">
      <c r="A96" s="353">
        <v>2025</v>
      </c>
      <c r="B96" s="354">
        <v>5</v>
      </c>
      <c r="C96" s="353">
        <v>22708</v>
      </c>
      <c r="D96" s="279">
        <v>45808</v>
      </c>
      <c r="E96" s="81" t="s">
        <v>1941</v>
      </c>
      <c r="F96" s="81" t="s">
        <v>993</v>
      </c>
      <c r="G96" s="78" t="s">
        <v>143</v>
      </c>
      <c r="H96" s="78">
        <v>3016934912</v>
      </c>
      <c r="I96" s="78">
        <v>3016934912</v>
      </c>
      <c r="J96" s="66">
        <v>45821</v>
      </c>
      <c r="K96" s="306" t="s">
        <v>84</v>
      </c>
      <c r="L96" s="79" t="s">
        <v>1942</v>
      </c>
      <c r="M96" s="78" t="s">
        <v>136</v>
      </c>
      <c r="N96" s="78">
        <v>5984</v>
      </c>
      <c r="O96" s="78" t="s">
        <v>136</v>
      </c>
      <c r="P96" s="78" t="s">
        <v>136</v>
      </c>
      <c r="Q96" s="78">
        <v>5554</v>
      </c>
      <c r="R96" s="78" t="s">
        <v>134</v>
      </c>
      <c r="S96" s="78" t="s">
        <v>134</v>
      </c>
      <c r="T96" s="78" t="s">
        <v>136</v>
      </c>
      <c r="U96" s="78" t="s">
        <v>136</v>
      </c>
      <c r="V96" s="305" t="s">
        <v>87</v>
      </c>
      <c r="W96" s="66">
        <v>45822</v>
      </c>
      <c r="X96" s="66">
        <v>45835</v>
      </c>
      <c r="Y96" s="78"/>
      <c r="Z96" s="80" t="s">
        <v>85</v>
      </c>
      <c r="AA96" s="371">
        <v>0</v>
      </c>
      <c r="AB96" s="78"/>
      <c r="AC96" s="228">
        <v>0</v>
      </c>
      <c r="AD96" s="228">
        <f t="shared" si="4"/>
        <v>0</v>
      </c>
      <c r="AE96" s="303">
        <v>0</v>
      </c>
      <c r="AF96" s="78"/>
      <c r="AG96" s="210" t="s">
        <v>2234</v>
      </c>
      <c r="AH96" s="241" t="s">
        <v>1918</v>
      </c>
      <c r="AI96" s="66">
        <v>45836</v>
      </c>
      <c r="AJ96" s="78" t="s">
        <v>1705</v>
      </c>
      <c r="AK96" s="78" t="s">
        <v>2211</v>
      </c>
    </row>
    <row r="97" spans="1:37" ht="71.25" customHeight="1" x14ac:dyDescent="0.25">
      <c r="A97" s="353">
        <v>2025</v>
      </c>
      <c r="B97" s="354">
        <v>5</v>
      </c>
      <c r="C97" s="353">
        <v>22709</v>
      </c>
      <c r="D97" s="279">
        <v>45807</v>
      </c>
      <c r="E97" s="81" t="s">
        <v>1759</v>
      </c>
      <c r="F97" s="81" t="s">
        <v>1760</v>
      </c>
      <c r="G97" s="78" t="s">
        <v>143</v>
      </c>
      <c r="H97" s="78">
        <v>3154529699</v>
      </c>
      <c r="I97" s="78">
        <v>3147189433</v>
      </c>
      <c r="J97" s="66">
        <v>45807</v>
      </c>
      <c r="K97" s="306" t="s">
        <v>88</v>
      </c>
      <c r="L97" s="79" t="s">
        <v>1900</v>
      </c>
      <c r="M97" s="78" t="s">
        <v>136</v>
      </c>
      <c r="N97" s="78" t="s">
        <v>136</v>
      </c>
      <c r="O97" s="78">
        <v>6817</v>
      </c>
      <c r="P97" s="78">
        <v>9163</v>
      </c>
      <c r="Q97" s="78">
        <v>5576</v>
      </c>
      <c r="R97" s="78" t="s">
        <v>136</v>
      </c>
      <c r="S97" s="78" t="s">
        <v>136</v>
      </c>
      <c r="T97" s="78" t="s">
        <v>134</v>
      </c>
      <c r="U97" s="78" t="s">
        <v>136</v>
      </c>
      <c r="V97" s="305" t="s">
        <v>89</v>
      </c>
      <c r="W97" s="66">
        <v>45811</v>
      </c>
      <c r="X97" s="66">
        <v>45807</v>
      </c>
      <c r="Y97" s="78"/>
      <c r="Z97" s="80" t="s">
        <v>85</v>
      </c>
      <c r="AA97" s="371">
        <v>0</v>
      </c>
      <c r="AB97" s="78">
        <v>6905</v>
      </c>
      <c r="AC97" s="228">
        <v>1276597</v>
      </c>
      <c r="AD97" s="228">
        <f t="shared" si="4"/>
        <v>1519150.43</v>
      </c>
      <c r="AE97" s="303">
        <v>0</v>
      </c>
      <c r="AF97" s="78"/>
      <c r="AG97" s="210" t="s">
        <v>1893</v>
      </c>
      <c r="AH97" s="403">
        <v>45808</v>
      </c>
      <c r="AI97" s="66">
        <v>45814</v>
      </c>
      <c r="AJ97" s="78" t="s">
        <v>2136</v>
      </c>
    </row>
    <row r="98" spans="1:37" ht="34.5" customHeight="1" x14ac:dyDescent="0.25">
      <c r="A98" s="353">
        <v>2025</v>
      </c>
      <c r="B98" s="354">
        <v>5</v>
      </c>
      <c r="C98" s="355">
        <v>22710</v>
      </c>
      <c r="D98" s="279">
        <v>45807</v>
      </c>
      <c r="E98" s="81" t="s">
        <v>1920</v>
      </c>
      <c r="F98" s="81" t="s">
        <v>1921</v>
      </c>
      <c r="G98" s="78"/>
      <c r="H98" s="78">
        <v>3045306051</v>
      </c>
      <c r="I98" s="78">
        <v>3045306051</v>
      </c>
      <c r="J98" s="66">
        <v>45824</v>
      </c>
      <c r="K98" s="306" t="s">
        <v>95</v>
      </c>
      <c r="L98" s="79" t="s">
        <v>1922</v>
      </c>
      <c r="M98" s="78" t="s">
        <v>136</v>
      </c>
      <c r="N98" s="78" t="s">
        <v>136</v>
      </c>
      <c r="O98" s="78">
        <v>6823</v>
      </c>
      <c r="P98" s="78">
        <v>9097</v>
      </c>
      <c r="Q98" s="78" t="s">
        <v>136</v>
      </c>
      <c r="R98" s="78" t="s">
        <v>136</v>
      </c>
      <c r="S98" s="78" t="s">
        <v>136</v>
      </c>
      <c r="T98" s="78" t="s">
        <v>134</v>
      </c>
      <c r="U98" s="78" t="s">
        <v>136</v>
      </c>
      <c r="V98" s="305" t="s">
        <v>89</v>
      </c>
      <c r="W98" s="66">
        <v>45820</v>
      </c>
      <c r="X98" s="66"/>
      <c r="Y98" s="78"/>
      <c r="Z98" s="80" t="s">
        <v>92</v>
      </c>
      <c r="AA98" s="371">
        <v>357000</v>
      </c>
      <c r="AB98" s="78">
        <v>5907</v>
      </c>
      <c r="AC98" s="228">
        <v>300000</v>
      </c>
      <c r="AD98" s="228">
        <f t="shared" si="4"/>
        <v>357000</v>
      </c>
      <c r="AE98" s="303">
        <v>0</v>
      </c>
      <c r="AF98" s="78"/>
      <c r="AG98" s="210" t="s">
        <v>2042</v>
      </c>
      <c r="AH98" s="403">
        <v>45812</v>
      </c>
      <c r="AI98" s="66">
        <v>45814</v>
      </c>
      <c r="AJ98" s="78" t="s">
        <v>1705</v>
      </c>
    </row>
    <row r="99" spans="1:37" ht="45" x14ac:dyDescent="0.25">
      <c r="A99" s="353">
        <v>2025</v>
      </c>
      <c r="B99" s="354">
        <v>5</v>
      </c>
      <c r="C99" s="353">
        <v>22711</v>
      </c>
      <c r="D99" s="279">
        <v>45807</v>
      </c>
      <c r="E99" s="81" t="s">
        <v>1920</v>
      </c>
      <c r="F99" s="81" t="s">
        <v>1921</v>
      </c>
      <c r="G99" s="78"/>
      <c r="H99" s="78">
        <v>3045306051</v>
      </c>
      <c r="I99" s="78">
        <v>3045306051</v>
      </c>
      <c r="J99" s="66">
        <v>45822</v>
      </c>
      <c r="K99" s="306" t="s">
        <v>95</v>
      </c>
      <c r="L99" s="79" t="s">
        <v>1988</v>
      </c>
      <c r="M99" s="78" t="s">
        <v>136</v>
      </c>
      <c r="N99" s="78" t="s">
        <v>136</v>
      </c>
      <c r="O99" s="78">
        <v>6824</v>
      </c>
      <c r="P99" s="78">
        <v>8974</v>
      </c>
      <c r="Q99" s="78" t="s">
        <v>136</v>
      </c>
      <c r="R99" s="78" t="s">
        <v>134</v>
      </c>
      <c r="S99" s="78" t="s">
        <v>136</v>
      </c>
      <c r="T99" s="78" t="s">
        <v>134</v>
      </c>
      <c r="U99" s="78" t="s">
        <v>136</v>
      </c>
      <c r="V99" s="305" t="s">
        <v>89</v>
      </c>
      <c r="W99" s="66">
        <v>45814</v>
      </c>
      <c r="X99" s="66">
        <v>45814</v>
      </c>
      <c r="Y99" s="78"/>
      <c r="Z99" s="80" t="s">
        <v>85</v>
      </c>
      <c r="AA99" s="371">
        <v>460016</v>
      </c>
      <c r="AB99" s="78">
        <v>5906</v>
      </c>
      <c r="AC99" s="228">
        <v>386568</v>
      </c>
      <c r="AD99" s="228">
        <f t="shared" si="4"/>
        <v>460015.92</v>
      </c>
      <c r="AE99" s="303">
        <v>0</v>
      </c>
      <c r="AF99" s="78"/>
      <c r="AG99" s="210" t="s">
        <v>1989</v>
      </c>
      <c r="AH99" s="403">
        <v>45812</v>
      </c>
      <c r="AI99" s="66">
        <v>45817</v>
      </c>
      <c r="AJ99" s="78" t="s">
        <v>1705</v>
      </c>
    </row>
    <row r="100" spans="1:37" ht="41.25" customHeight="1" x14ac:dyDescent="0.25">
      <c r="A100" s="353">
        <v>2025</v>
      </c>
      <c r="B100" s="354">
        <v>5</v>
      </c>
      <c r="C100" s="353">
        <v>22712</v>
      </c>
      <c r="D100" s="279">
        <v>45808</v>
      </c>
      <c r="E100" s="81" t="s">
        <v>1943</v>
      </c>
      <c r="F100" s="81" t="s">
        <v>1943</v>
      </c>
      <c r="G100" s="78" t="s">
        <v>143</v>
      </c>
      <c r="H100" s="78">
        <v>3145540612</v>
      </c>
      <c r="I100" s="78">
        <v>3145540612</v>
      </c>
      <c r="J100" s="66">
        <v>45819</v>
      </c>
      <c r="K100" s="306" t="s">
        <v>84</v>
      </c>
      <c r="L100" s="79" t="s">
        <v>1944</v>
      </c>
      <c r="M100" s="78" t="s">
        <v>136</v>
      </c>
      <c r="N100" s="78">
        <v>5988</v>
      </c>
      <c r="O100" s="78" t="s">
        <v>136</v>
      </c>
      <c r="P100" s="78" t="s">
        <v>136</v>
      </c>
      <c r="Q100" s="78" t="s">
        <v>136</v>
      </c>
      <c r="R100" s="78" t="s">
        <v>136</v>
      </c>
      <c r="S100" s="78" t="s">
        <v>134</v>
      </c>
      <c r="T100" s="78" t="s">
        <v>136</v>
      </c>
      <c r="U100" s="78" t="s">
        <v>136</v>
      </c>
      <c r="V100" s="305" t="s">
        <v>590</v>
      </c>
      <c r="W100" s="66">
        <v>45820</v>
      </c>
      <c r="X100" s="66">
        <v>45824</v>
      </c>
      <c r="Y100" s="78"/>
      <c r="Z100" s="80" t="s">
        <v>85</v>
      </c>
      <c r="AA100" s="371">
        <v>0</v>
      </c>
      <c r="AB100" s="78">
        <v>5942</v>
      </c>
      <c r="AC100" s="228">
        <v>501600</v>
      </c>
      <c r="AD100" s="228">
        <f t="shared" si="4"/>
        <v>596904</v>
      </c>
      <c r="AE100" s="303">
        <v>300000</v>
      </c>
      <c r="AF100" s="78"/>
      <c r="AG100" s="210" t="s">
        <v>2130</v>
      </c>
      <c r="AH100" s="403">
        <v>45821</v>
      </c>
      <c r="AI100" s="66">
        <v>45826</v>
      </c>
      <c r="AJ100" s="78" t="s">
        <v>1705</v>
      </c>
    </row>
    <row r="101" spans="1:37" ht="54" customHeight="1" x14ac:dyDescent="0.25">
      <c r="A101" s="353">
        <v>2025</v>
      </c>
      <c r="B101" s="354">
        <v>5</v>
      </c>
      <c r="C101" s="355">
        <v>22713</v>
      </c>
      <c r="D101" s="279">
        <v>45808</v>
      </c>
      <c r="E101" s="81" t="s">
        <v>2039</v>
      </c>
      <c r="F101" s="81" t="s">
        <v>2040</v>
      </c>
      <c r="G101" s="78" t="s">
        <v>143</v>
      </c>
      <c r="H101" s="78">
        <v>3136074157</v>
      </c>
      <c r="I101" s="78">
        <v>3136074157</v>
      </c>
      <c r="J101" s="66">
        <v>45832</v>
      </c>
      <c r="K101" s="306" t="s">
        <v>84</v>
      </c>
      <c r="L101" s="79" t="s">
        <v>2041</v>
      </c>
      <c r="M101" s="78" t="s">
        <v>136</v>
      </c>
      <c r="N101" s="78">
        <v>6027</v>
      </c>
      <c r="O101" s="78">
        <v>6866</v>
      </c>
      <c r="P101" s="78">
        <v>9116</v>
      </c>
      <c r="Q101" s="78" t="s">
        <v>136</v>
      </c>
      <c r="R101" s="78" t="s">
        <v>134</v>
      </c>
      <c r="S101" s="78" t="s">
        <v>136</v>
      </c>
      <c r="T101" s="78" t="s">
        <v>136</v>
      </c>
      <c r="U101" s="78" t="s">
        <v>136</v>
      </c>
      <c r="V101" s="305" t="s">
        <v>119</v>
      </c>
      <c r="W101" s="66"/>
      <c r="X101" s="66">
        <v>45836</v>
      </c>
      <c r="Y101" s="78"/>
      <c r="Z101" s="80" t="s">
        <v>85</v>
      </c>
      <c r="AA101" s="371">
        <v>0</v>
      </c>
      <c r="AB101" s="78">
        <v>6015</v>
      </c>
      <c r="AC101" s="228">
        <v>2179640</v>
      </c>
      <c r="AD101" s="228">
        <f t="shared" si="4"/>
        <v>2593771.6</v>
      </c>
      <c r="AE101" s="303">
        <v>1300000</v>
      </c>
      <c r="AF101" s="78"/>
      <c r="AG101" s="210" t="s">
        <v>2099</v>
      </c>
      <c r="AH101" s="403"/>
      <c r="AI101" s="66">
        <v>45833</v>
      </c>
      <c r="AJ101" s="78" t="s">
        <v>1705</v>
      </c>
    </row>
    <row r="102" spans="1:37" ht="30.75" customHeight="1" x14ac:dyDescent="0.25">
      <c r="A102" s="353">
        <v>2025</v>
      </c>
      <c r="B102" s="354">
        <v>6</v>
      </c>
      <c r="C102" s="353">
        <v>22714</v>
      </c>
      <c r="D102" s="279">
        <v>45808</v>
      </c>
      <c r="E102" s="81" t="s">
        <v>1937</v>
      </c>
      <c r="F102" s="81" t="s">
        <v>1938</v>
      </c>
      <c r="G102" s="78" t="s">
        <v>98</v>
      </c>
      <c r="H102" s="78">
        <v>3146948765</v>
      </c>
      <c r="I102" s="78">
        <v>6044246100</v>
      </c>
      <c r="J102" s="66">
        <v>45828</v>
      </c>
      <c r="K102" s="306" t="s">
        <v>88</v>
      </c>
      <c r="L102" s="79" t="s">
        <v>1939</v>
      </c>
      <c r="M102" s="78" t="s">
        <v>281</v>
      </c>
      <c r="N102" s="78" t="s">
        <v>136</v>
      </c>
      <c r="O102" s="78">
        <v>6839</v>
      </c>
      <c r="P102" s="78">
        <v>9122</v>
      </c>
      <c r="Q102" s="78" t="s">
        <v>136</v>
      </c>
      <c r="R102" s="78" t="s">
        <v>136</v>
      </c>
      <c r="S102" s="78" t="s">
        <v>134</v>
      </c>
      <c r="T102" s="78" t="s">
        <v>134</v>
      </c>
      <c r="U102" s="78" t="s">
        <v>136</v>
      </c>
      <c r="V102" s="305" t="s">
        <v>119</v>
      </c>
      <c r="W102" s="66">
        <v>45820</v>
      </c>
      <c r="X102" s="66">
        <v>45826</v>
      </c>
      <c r="Y102" s="78"/>
      <c r="Z102" s="80" t="s">
        <v>85</v>
      </c>
      <c r="AA102" s="371">
        <v>0</v>
      </c>
      <c r="AB102" s="78">
        <v>5943</v>
      </c>
      <c r="AC102" s="228">
        <v>742734</v>
      </c>
      <c r="AD102" s="228">
        <f t="shared" si="4"/>
        <v>883853.46</v>
      </c>
      <c r="AE102" s="303">
        <v>441927</v>
      </c>
      <c r="AF102" s="78"/>
      <c r="AG102" s="210" t="s">
        <v>2235</v>
      </c>
      <c r="AH102" s="403">
        <v>45821</v>
      </c>
      <c r="AI102" s="66">
        <v>45836</v>
      </c>
      <c r="AJ102" s="78" t="s">
        <v>1705</v>
      </c>
    </row>
    <row r="103" spans="1:37" ht="43.5" customHeight="1" thickBot="1" x14ac:dyDescent="0.3">
      <c r="A103" s="420">
        <v>2025</v>
      </c>
      <c r="B103" s="421">
        <v>5</v>
      </c>
      <c r="C103" s="420">
        <v>22715</v>
      </c>
      <c r="D103" s="422">
        <v>45808</v>
      </c>
      <c r="E103" s="423" t="s">
        <v>1932</v>
      </c>
      <c r="F103" s="423" t="s">
        <v>1932</v>
      </c>
      <c r="G103" s="424" t="s">
        <v>143</v>
      </c>
      <c r="H103" s="424">
        <v>3148334337</v>
      </c>
      <c r="I103" s="424">
        <v>3148334337</v>
      </c>
      <c r="J103" s="425">
        <v>45819</v>
      </c>
      <c r="K103" s="426" t="s">
        <v>84</v>
      </c>
      <c r="L103" s="427" t="s">
        <v>1933</v>
      </c>
      <c r="M103" s="424" t="s">
        <v>136</v>
      </c>
      <c r="N103" s="424">
        <v>5985</v>
      </c>
      <c r="O103" s="424">
        <v>6818</v>
      </c>
      <c r="P103" s="424">
        <v>9135</v>
      </c>
      <c r="Q103" s="424" t="s">
        <v>136</v>
      </c>
      <c r="R103" s="424" t="s">
        <v>136</v>
      </c>
      <c r="S103" s="424" t="s">
        <v>134</v>
      </c>
      <c r="T103" s="424" t="s">
        <v>134</v>
      </c>
      <c r="U103" s="424" t="s">
        <v>136</v>
      </c>
      <c r="V103" s="423" t="s">
        <v>590</v>
      </c>
      <c r="W103" s="425">
        <v>45820</v>
      </c>
      <c r="X103" s="425">
        <v>45826</v>
      </c>
      <c r="Y103" s="424"/>
      <c r="Z103" s="428" t="s">
        <v>85</v>
      </c>
      <c r="AA103" s="429">
        <v>0</v>
      </c>
      <c r="AB103" s="424">
        <v>5945</v>
      </c>
      <c r="AC103" s="430">
        <v>587322</v>
      </c>
      <c r="AD103" s="430">
        <f t="shared" si="4"/>
        <v>698913.17999999993</v>
      </c>
      <c r="AE103" s="431">
        <v>350000</v>
      </c>
      <c r="AF103" s="424"/>
      <c r="AG103" s="432" t="s">
        <v>1987</v>
      </c>
      <c r="AH103" s="437">
        <v>45821</v>
      </c>
      <c r="AI103" s="425">
        <v>45826</v>
      </c>
      <c r="AJ103" s="424" t="s">
        <v>1705</v>
      </c>
      <c r="AK103" s="424"/>
    </row>
    <row r="104" spans="1:37" ht="34.5" customHeight="1" x14ac:dyDescent="0.25">
      <c r="C104" s="416"/>
      <c r="D104" s="67"/>
      <c r="J104" s="67"/>
      <c r="K104" s="417"/>
      <c r="V104" s="193"/>
      <c r="W104" s="67"/>
      <c r="X104" s="67"/>
      <c r="Z104" s="70"/>
      <c r="AA104" s="418"/>
      <c r="AC104" s="195"/>
      <c r="AD104" s="195"/>
      <c r="AE104" s="419"/>
      <c r="AI104" s="67"/>
      <c r="AJ104" s="65"/>
      <c r="AK104" s="65"/>
    </row>
    <row r="105" spans="1:37" ht="34.5" customHeight="1" x14ac:dyDescent="0.25">
      <c r="C105" s="359"/>
      <c r="V105" s="193"/>
      <c r="Z105" s="70"/>
      <c r="AA105" s="418"/>
      <c r="AC105" s="195"/>
      <c r="AD105" s="195"/>
      <c r="AE105" s="419"/>
      <c r="AI105" s="65"/>
      <c r="AJ105" s="65"/>
      <c r="AK105" s="65"/>
    </row>
    <row r="106" spans="1:37" ht="34.5" customHeight="1" x14ac:dyDescent="0.25">
      <c r="C106" s="359"/>
      <c r="V106" s="193"/>
      <c r="Z106" s="70"/>
      <c r="AA106" s="418"/>
      <c r="AC106" s="195"/>
      <c r="AD106" s="195"/>
      <c r="AE106" s="419"/>
      <c r="AI106" s="65"/>
      <c r="AJ106" s="65"/>
      <c r="AK106" s="65"/>
    </row>
    <row r="107" spans="1:37" ht="34.5" customHeight="1" x14ac:dyDescent="0.25">
      <c r="C107" s="359"/>
      <c r="V107" s="193"/>
      <c r="Z107" s="70"/>
      <c r="AA107" s="418"/>
      <c r="AC107" s="195"/>
      <c r="AD107" s="195"/>
      <c r="AE107" s="419"/>
      <c r="AI107" s="65"/>
      <c r="AJ107" s="65"/>
      <c r="AK107" s="65"/>
    </row>
    <row r="108" spans="1:37" ht="34.5" customHeight="1" x14ac:dyDescent="0.25">
      <c r="C108" s="359"/>
      <c r="V108" s="193"/>
      <c r="Z108" s="70"/>
      <c r="AA108" s="418"/>
      <c r="AC108" s="195"/>
      <c r="AD108" s="195"/>
      <c r="AE108" s="419"/>
      <c r="AI108" s="65"/>
      <c r="AJ108" s="65"/>
      <c r="AK108" s="65"/>
    </row>
    <row r="109" spans="1:37" ht="34.5" customHeight="1" x14ac:dyDescent="0.25">
      <c r="C109" s="359"/>
      <c r="V109" s="193"/>
      <c r="Z109" s="70"/>
      <c r="AA109" s="418"/>
      <c r="AC109" s="195"/>
      <c r="AD109" s="195"/>
      <c r="AE109" s="419"/>
      <c r="AI109" s="65"/>
      <c r="AJ109" s="65"/>
      <c r="AK109" s="65"/>
    </row>
    <row r="110" spans="1:37" ht="34.5" customHeight="1" x14ac:dyDescent="0.25">
      <c r="C110" s="359"/>
      <c r="V110" s="193"/>
      <c r="Z110" s="70"/>
      <c r="AA110" s="418"/>
      <c r="AC110" s="195"/>
      <c r="AD110" s="195"/>
      <c r="AE110" s="419"/>
      <c r="AI110" s="65"/>
      <c r="AJ110" s="65"/>
      <c r="AK110" s="65"/>
    </row>
    <row r="111" spans="1:37" ht="34.5" customHeight="1" x14ac:dyDescent="0.25">
      <c r="C111" s="359"/>
      <c r="V111" s="193"/>
      <c r="Z111" s="70"/>
      <c r="AA111" s="418"/>
      <c r="AC111" s="195"/>
      <c r="AD111" s="195"/>
      <c r="AE111" s="419"/>
      <c r="AI111" s="65"/>
      <c r="AJ111" s="65"/>
      <c r="AK111" s="65"/>
    </row>
    <row r="112" spans="1:37" ht="34.5" customHeight="1" x14ac:dyDescent="0.25">
      <c r="C112" s="359"/>
      <c r="V112" s="193"/>
      <c r="Z112" s="70"/>
      <c r="AA112" s="418"/>
      <c r="AC112" s="195"/>
      <c r="AD112" s="195"/>
      <c r="AE112" s="419"/>
      <c r="AI112" s="65"/>
      <c r="AJ112" s="65"/>
      <c r="AK112" s="65"/>
    </row>
    <row r="113" spans="3:37" ht="34.5" customHeight="1" x14ac:dyDescent="0.25">
      <c r="C113" s="359"/>
      <c r="V113" s="193"/>
      <c r="Z113" s="70"/>
      <c r="AA113" s="418"/>
      <c r="AC113" s="195"/>
      <c r="AD113" s="195"/>
      <c r="AE113" s="419"/>
      <c r="AI113" s="65"/>
      <c r="AJ113" s="65"/>
      <c r="AK113" s="65"/>
    </row>
    <row r="114" spans="3:37" ht="34.5" customHeight="1" x14ac:dyDescent="0.25">
      <c r="C114" s="359"/>
      <c r="V114" s="193"/>
      <c r="Z114" s="70"/>
      <c r="AA114" s="418"/>
      <c r="AC114" s="195"/>
      <c r="AD114" s="195"/>
      <c r="AE114" s="419"/>
      <c r="AI114" s="65"/>
      <c r="AJ114" s="65"/>
      <c r="AK114" s="65"/>
    </row>
    <row r="115" spans="3:37" ht="34.5" customHeight="1" x14ac:dyDescent="0.25">
      <c r="C115" s="359"/>
      <c r="V115" s="193"/>
      <c r="Z115" s="70"/>
      <c r="AA115" s="418"/>
      <c r="AC115" s="195"/>
      <c r="AD115" s="195"/>
      <c r="AE115" s="419"/>
      <c r="AI115" s="65"/>
      <c r="AJ115" s="65"/>
      <c r="AK115" s="65"/>
    </row>
    <row r="116" spans="3:37" ht="34.5" customHeight="1" x14ac:dyDescent="0.25">
      <c r="C116" s="359"/>
      <c r="AI116" s="65"/>
      <c r="AJ116" s="65"/>
      <c r="AK116" s="65"/>
    </row>
    <row r="117" spans="3:37" ht="34.5" customHeight="1" x14ac:dyDescent="0.25">
      <c r="C117" s="359"/>
      <c r="AI117" s="65"/>
      <c r="AJ117" s="65"/>
      <c r="AK117" s="65"/>
    </row>
    <row r="118" spans="3:37" ht="34.5" customHeight="1" x14ac:dyDescent="0.25">
      <c r="C118" s="359"/>
      <c r="AI118" s="65"/>
      <c r="AJ118" s="65"/>
      <c r="AK118" s="65"/>
    </row>
    <row r="119" spans="3:37" ht="34.5" customHeight="1" x14ac:dyDescent="0.25">
      <c r="C119" s="359"/>
      <c r="AI119" s="65"/>
      <c r="AJ119" s="65"/>
      <c r="AK119" s="65"/>
    </row>
    <row r="120" spans="3:37" ht="34.5" customHeight="1" x14ac:dyDescent="0.25">
      <c r="C120" s="359"/>
      <c r="AI120" s="65"/>
      <c r="AJ120" s="65"/>
      <c r="AK120" s="65"/>
    </row>
    <row r="121" spans="3:37" ht="34.5" customHeight="1" x14ac:dyDescent="0.25">
      <c r="C121" s="359"/>
      <c r="AI121" s="65"/>
      <c r="AJ121" s="65"/>
      <c r="AK121" s="65"/>
    </row>
    <row r="122" spans="3:37" ht="34.5" customHeight="1" x14ac:dyDescent="0.25">
      <c r="C122" s="359"/>
      <c r="AI122" s="65"/>
      <c r="AJ122" s="65"/>
      <c r="AK122" s="65"/>
    </row>
    <row r="123" spans="3:37" ht="34.5" customHeight="1" x14ac:dyDescent="0.25">
      <c r="C123" s="359"/>
      <c r="AI123" s="65"/>
      <c r="AJ123" s="65"/>
      <c r="AK123" s="65"/>
    </row>
    <row r="124" spans="3:37" ht="34.5" customHeight="1" x14ac:dyDescent="0.25">
      <c r="C124" s="359"/>
      <c r="AI124" s="65"/>
      <c r="AJ124" s="65"/>
      <c r="AK124" s="65"/>
    </row>
    <row r="125" spans="3:37" ht="34.5" customHeight="1" x14ac:dyDescent="0.25">
      <c r="C125" s="359"/>
      <c r="AI125" s="65"/>
      <c r="AJ125" s="65"/>
      <c r="AK125" s="65"/>
    </row>
    <row r="126" spans="3:37" ht="34.5" customHeight="1" x14ac:dyDescent="0.25">
      <c r="C126" s="359"/>
      <c r="AI126" s="65"/>
      <c r="AJ126" s="65"/>
      <c r="AK126" s="65"/>
    </row>
    <row r="127" spans="3:37" ht="34.5" customHeight="1" x14ac:dyDescent="0.25">
      <c r="C127" s="359"/>
      <c r="AI127" s="65"/>
      <c r="AJ127" s="65"/>
      <c r="AK127" s="65"/>
    </row>
    <row r="128" spans="3:37" ht="34.5" customHeight="1" x14ac:dyDescent="0.25">
      <c r="C128" s="359"/>
      <c r="AI128" s="65"/>
      <c r="AJ128" s="65"/>
      <c r="AK128" s="65"/>
    </row>
    <row r="129" spans="3:37" ht="34.5" customHeight="1" x14ac:dyDescent="0.25">
      <c r="C129" s="359"/>
      <c r="AI129" s="65"/>
      <c r="AJ129" s="65"/>
      <c r="AK129" s="65"/>
    </row>
    <row r="130" spans="3:37" ht="34.5" customHeight="1" x14ac:dyDescent="0.25">
      <c r="C130" s="359"/>
      <c r="AI130" s="65"/>
      <c r="AJ130" s="65"/>
      <c r="AK130" s="65"/>
    </row>
    <row r="131" spans="3:37" ht="34.5" customHeight="1" x14ac:dyDescent="0.25">
      <c r="C131" s="359"/>
      <c r="AI131" s="65"/>
      <c r="AJ131" s="65"/>
      <c r="AK131" s="65"/>
    </row>
    <row r="132" spans="3:37" ht="34.5" customHeight="1" x14ac:dyDescent="0.25">
      <c r="C132" s="359"/>
      <c r="AI132" s="65"/>
      <c r="AJ132" s="65"/>
      <c r="AK132" s="65"/>
    </row>
    <row r="133" spans="3:37" ht="34.5" customHeight="1" x14ac:dyDescent="0.25">
      <c r="C133" s="359"/>
      <c r="AI133" s="65"/>
      <c r="AJ133" s="65"/>
      <c r="AK133" s="65"/>
    </row>
    <row r="134" spans="3:37" ht="34.5" customHeight="1" x14ac:dyDescent="0.25">
      <c r="C134" s="359"/>
      <c r="AI134" s="65"/>
      <c r="AJ134" s="65"/>
      <c r="AK134" s="65"/>
    </row>
    <row r="135" spans="3:37" ht="34.5" customHeight="1" x14ac:dyDescent="0.25">
      <c r="C135" s="359"/>
      <c r="AI135" s="65"/>
      <c r="AJ135" s="65"/>
      <c r="AK135" s="65"/>
    </row>
    <row r="136" spans="3:37" ht="34.5" customHeight="1" x14ac:dyDescent="0.25">
      <c r="C136" s="359"/>
      <c r="AI136" s="65"/>
      <c r="AJ136" s="65"/>
      <c r="AK136" s="65"/>
    </row>
    <row r="137" spans="3:37" ht="34.5" customHeight="1" x14ac:dyDescent="0.25">
      <c r="C137" s="359"/>
      <c r="AI137" s="65"/>
      <c r="AJ137" s="65"/>
      <c r="AK137" s="65"/>
    </row>
    <row r="138" spans="3:37" ht="34.5" customHeight="1" x14ac:dyDescent="0.25">
      <c r="C138" s="359"/>
      <c r="AI138" s="65"/>
      <c r="AJ138" s="65"/>
      <c r="AK138" s="65"/>
    </row>
    <row r="139" spans="3:37" ht="34.5" customHeight="1" x14ac:dyDescent="0.25">
      <c r="C139" s="359"/>
      <c r="AI139" s="65"/>
      <c r="AJ139" s="65"/>
      <c r="AK139" s="65"/>
    </row>
    <row r="140" spans="3:37" ht="34.5" customHeight="1" x14ac:dyDescent="0.25">
      <c r="C140" s="359"/>
      <c r="AI140" s="65"/>
      <c r="AJ140" s="65"/>
      <c r="AK140" s="65"/>
    </row>
    <row r="141" spans="3:37" ht="34.5" customHeight="1" x14ac:dyDescent="0.25">
      <c r="C141" s="359"/>
      <c r="AI141" s="65"/>
      <c r="AJ141" s="65"/>
      <c r="AK141" s="65"/>
    </row>
    <row r="142" spans="3:37" ht="34.5" customHeight="1" x14ac:dyDescent="0.25">
      <c r="C142" s="359"/>
      <c r="AI142" s="65"/>
      <c r="AJ142" s="65"/>
      <c r="AK142" s="65"/>
    </row>
    <row r="143" spans="3:37" ht="34.5" customHeight="1" x14ac:dyDescent="0.25">
      <c r="C143" s="359"/>
      <c r="AI143" s="65"/>
      <c r="AJ143" s="65"/>
      <c r="AK143" s="65"/>
    </row>
    <row r="144" spans="3:37" ht="34.5" customHeight="1" x14ac:dyDescent="0.25">
      <c r="C144" s="359"/>
      <c r="AI144" s="65"/>
      <c r="AJ144" s="65"/>
      <c r="AK144" s="65"/>
    </row>
    <row r="145" spans="3:37" ht="34.5" customHeight="1" x14ac:dyDescent="0.25">
      <c r="C145" s="359"/>
      <c r="AI145" s="65"/>
      <c r="AJ145" s="65"/>
      <c r="AK145" s="65"/>
    </row>
    <row r="146" spans="3:37" ht="34.5" customHeight="1" x14ac:dyDescent="0.25">
      <c r="C146" s="359"/>
      <c r="AI146" s="65"/>
      <c r="AJ146" s="65"/>
      <c r="AK146" s="65"/>
    </row>
    <row r="147" spans="3:37" ht="34.5" customHeight="1" x14ac:dyDescent="0.25">
      <c r="C147" s="359"/>
      <c r="AI147" s="65"/>
      <c r="AJ147" s="65"/>
      <c r="AK147" s="65"/>
    </row>
    <row r="148" spans="3:37" ht="34.5" customHeight="1" x14ac:dyDescent="0.25">
      <c r="C148" s="359"/>
      <c r="AI148" s="65"/>
      <c r="AJ148" s="65"/>
      <c r="AK148" s="65"/>
    </row>
    <row r="149" spans="3:37" ht="34.5" customHeight="1" x14ac:dyDescent="0.25">
      <c r="C149" s="359"/>
      <c r="AI149" s="65"/>
      <c r="AJ149" s="65"/>
      <c r="AK149" s="65"/>
    </row>
    <row r="150" spans="3:37" ht="34.5" customHeight="1" x14ac:dyDescent="0.25">
      <c r="C150" s="359"/>
      <c r="AI150" s="65"/>
      <c r="AJ150" s="65"/>
      <c r="AK150" s="65"/>
    </row>
    <row r="151" spans="3:37" ht="34.5" customHeight="1" x14ac:dyDescent="0.25">
      <c r="C151" s="359"/>
      <c r="AI151" s="65"/>
      <c r="AJ151" s="65"/>
      <c r="AK151" s="65"/>
    </row>
    <row r="152" spans="3:37" ht="34.5" customHeight="1" x14ac:dyDescent="0.25">
      <c r="C152" s="359"/>
      <c r="AI152" s="65"/>
      <c r="AJ152" s="65"/>
      <c r="AK152" s="65"/>
    </row>
    <row r="153" spans="3:37" ht="34.5" customHeight="1" x14ac:dyDescent="0.25">
      <c r="C153" s="359"/>
      <c r="AI153" s="65"/>
      <c r="AJ153" s="65"/>
      <c r="AK153" s="65"/>
    </row>
    <row r="154" spans="3:37" ht="34.5" customHeight="1" x14ac:dyDescent="0.25">
      <c r="C154" s="359"/>
      <c r="AI154" s="65"/>
      <c r="AJ154" s="65"/>
      <c r="AK154" s="65"/>
    </row>
    <row r="155" spans="3:37" ht="34.5" customHeight="1" x14ac:dyDescent="0.25">
      <c r="C155" s="359"/>
      <c r="AI155" s="65"/>
      <c r="AJ155" s="65"/>
      <c r="AK155" s="65"/>
    </row>
    <row r="156" spans="3:37" ht="34.5" customHeight="1" x14ac:dyDescent="0.25">
      <c r="C156" s="359"/>
      <c r="AI156" s="65"/>
      <c r="AJ156" s="65"/>
      <c r="AK156" s="65"/>
    </row>
    <row r="157" spans="3:37" ht="34.5" customHeight="1" x14ac:dyDescent="0.25">
      <c r="C157" s="359"/>
      <c r="AI157" s="65"/>
      <c r="AJ157" s="65"/>
      <c r="AK157" s="65"/>
    </row>
    <row r="158" spans="3:37" ht="34.5" customHeight="1" x14ac:dyDescent="0.25">
      <c r="C158" s="359"/>
      <c r="AI158" s="65"/>
      <c r="AJ158" s="65"/>
      <c r="AK158" s="65"/>
    </row>
    <row r="159" spans="3:37" ht="34.5" customHeight="1" x14ac:dyDescent="0.25">
      <c r="C159" s="359"/>
      <c r="AI159" s="65"/>
      <c r="AJ159" s="65"/>
      <c r="AK159" s="65"/>
    </row>
    <row r="160" spans="3:37" ht="34.5" customHeight="1" x14ac:dyDescent="0.25">
      <c r="C160" s="359"/>
      <c r="AI160" s="65"/>
      <c r="AJ160" s="65"/>
      <c r="AK160" s="65"/>
    </row>
    <row r="161" spans="3:37" ht="34.5" customHeight="1" x14ac:dyDescent="0.25">
      <c r="C161" s="359"/>
      <c r="AI161" s="65"/>
      <c r="AJ161" s="65"/>
      <c r="AK161" s="65"/>
    </row>
    <row r="162" spans="3:37" ht="34.5" customHeight="1" x14ac:dyDescent="0.25">
      <c r="C162" s="359"/>
      <c r="AI162" s="65"/>
      <c r="AJ162" s="65"/>
      <c r="AK162" s="65"/>
    </row>
    <row r="163" spans="3:37" ht="34.5" customHeight="1" x14ac:dyDescent="0.25">
      <c r="C163" s="359"/>
      <c r="AI163" s="65"/>
      <c r="AJ163" s="65"/>
      <c r="AK163" s="65"/>
    </row>
    <row r="164" spans="3:37" ht="34.5" customHeight="1" x14ac:dyDescent="0.25">
      <c r="C164" s="359"/>
      <c r="AI164" s="65"/>
      <c r="AJ164" s="65"/>
      <c r="AK164" s="65"/>
    </row>
    <row r="165" spans="3:37" ht="34.5" customHeight="1" x14ac:dyDescent="0.25">
      <c r="C165" s="359"/>
      <c r="AI165" s="65"/>
      <c r="AJ165" s="65"/>
      <c r="AK165" s="65"/>
    </row>
    <row r="166" spans="3:37" ht="34.5" customHeight="1" x14ac:dyDescent="0.25">
      <c r="C166" s="359"/>
      <c r="AI166" s="65"/>
      <c r="AJ166" s="65"/>
      <c r="AK166" s="65"/>
    </row>
    <row r="167" spans="3:37" ht="34.5" customHeight="1" x14ac:dyDescent="0.25">
      <c r="C167" s="359"/>
      <c r="AI167" s="65"/>
      <c r="AJ167" s="65"/>
      <c r="AK167" s="65"/>
    </row>
    <row r="168" spans="3:37" ht="34.5" customHeight="1" x14ac:dyDescent="0.25">
      <c r="C168" s="359"/>
      <c r="AI168" s="65"/>
      <c r="AJ168" s="65"/>
      <c r="AK168" s="65"/>
    </row>
    <row r="169" spans="3:37" ht="34.5" customHeight="1" x14ac:dyDescent="0.25">
      <c r="C169" s="359"/>
      <c r="AI169" s="65"/>
      <c r="AJ169" s="65"/>
      <c r="AK169" s="65"/>
    </row>
    <row r="170" spans="3:37" ht="34.5" customHeight="1" x14ac:dyDescent="0.25">
      <c r="C170" s="359"/>
      <c r="AI170" s="65"/>
      <c r="AJ170" s="65"/>
      <c r="AK170" s="65"/>
    </row>
    <row r="171" spans="3:37" ht="34.5" customHeight="1" x14ac:dyDescent="0.25">
      <c r="C171" s="359"/>
      <c r="AI171" s="65"/>
      <c r="AJ171" s="65"/>
      <c r="AK171" s="65"/>
    </row>
    <row r="172" spans="3:37" ht="34.5" customHeight="1" x14ac:dyDescent="0.25">
      <c r="C172" s="359"/>
      <c r="AI172" s="65"/>
      <c r="AJ172" s="65"/>
      <c r="AK172" s="65"/>
    </row>
    <row r="173" spans="3:37" ht="34.5" customHeight="1" x14ac:dyDescent="0.25">
      <c r="C173" s="359"/>
      <c r="AI173" s="65"/>
      <c r="AJ173" s="65"/>
      <c r="AK173" s="65"/>
    </row>
    <row r="174" spans="3:37" ht="34.5" customHeight="1" x14ac:dyDescent="0.25">
      <c r="C174" s="359"/>
      <c r="AI174" s="65"/>
      <c r="AJ174" s="65"/>
      <c r="AK174" s="65"/>
    </row>
    <row r="175" spans="3:37" ht="34.5" customHeight="1" x14ac:dyDescent="0.25">
      <c r="C175" s="359"/>
      <c r="AI175" s="65"/>
      <c r="AJ175" s="65"/>
      <c r="AK175" s="65"/>
    </row>
    <row r="176" spans="3:37" ht="34.5" customHeight="1" x14ac:dyDescent="0.25">
      <c r="C176" s="359"/>
      <c r="AI176" s="65"/>
      <c r="AJ176" s="65"/>
      <c r="AK176" s="65"/>
    </row>
    <row r="177" spans="3:37" ht="34.5" customHeight="1" x14ac:dyDescent="0.25">
      <c r="C177" s="359"/>
      <c r="AI177" s="65"/>
      <c r="AJ177" s="65"/>
      <c r="AK177" s="65"/>
    </row>
    <row r="178" spans="3:37" ht="34.5" customHeight="1" x14ac:dyDescent="0.25">
      <c r="C178" s="359"/>
      <c r="AI178" s="65"/>
      <c r="AJ178" s="65"/>
      <c r="AK178" s="65"/>
    </row>
    <row r="179" spans="3:37" ht="34.5" customHeight="1" x14ac:dyDescent="0.25">
      <c r="C179" s="359"/>
      <c r="AI179" s="65"/>
      <c r="AJ179" s="65"/>
      <c r="AK179" s="65"/>
    </row>
    <row r="180" spans="3:37" ht="34.5" customHeight="1" x14ac:dyDescent="0.25">
      <c r="C180" s="359"/>
      <c r="AI180" s="65"/>
      <c r="AJ180" s="65"/>
      <c r="AK180" s="65"/>
    </row>
    <row r="181" spans="3:37" ht="34.5" customHeight="1" x14ac:dyDescent="0.25">
      <c r="C181" s="359"/>
      <c r="AI181" s="65"/>
      <c r="AJ181" s="65"/>
      <c r="AK181" s="65"/>
    </row>
    <row r="182" spans="3:37" ht="34.5" customHeight="1" x14ac:dyDescent="0.25">
      <c r="C182" s="359"/>
      <c r="AI182" s="65"/>
      <c r="AJ182" s="65"/>
      <c r="AK182" s="65"/>
    </row>
    <row r="183" spans="3:37" ht="34.5" customHeight="1" x14ac:dyDescent="0.25">
      <c r="C183" s="359"/>
      <c r="AI183" s="65"/>
      <c r="AJ183" s="65"/>
      <c r="AK183" s="65"/>
    </row>
    <row r="184" spans="3:37" ht="34.5" customHeight="1" x14ac:dyDescent="0.25">
      <c r="C184" s="359"/>
      <c r="AI184" s="65"/>
      <c r="AJ184" s="65"/>
      <c r="AK184" s="65"/>
    </row>
    <row r="185" spans="3:37" ht="34.5" customHeight="1" x14ac:dyDescent="0.25">
      <c r="C185" s="359"/>
      <c r="AI185" s="65"/>
      <c r="AJ185" s="65"/>
      <c r="AK185" s="65"/>
    </row>
    <row r="186" spans="3:37" ht="34.5" customHeight="1" x14ac:dyDescent="0.25">
      <c r="C186" s="359"/>
      <c r="AI186" s="65"/>
      <c r="AJ186" s="65"/>
      <c r="AK186" s="65"/>
    </row>
    <row r="187" spans="3:37" ht="34.5" customHeight="1" x14ac:dyDescent="0.25">
      <c r="C187" s="359"/>
      <c r="AI187" s="65"/>
      <c r="AJ187" s="65"/>
      <c r="AK187" s="65"/>
    </row>
    <row r="188" spans="3:37" ht="34.5" customHeight="1" x14ac:dyDescent="0.25">
      <c r="C188" s="359"/>
      <c r="AI188" s="65"/>
      <c r="AJ188" s="65"/>
      <c r="AK188" s="65"/>
    </row>
    <row r="189" spans="3:37" ht="34.5" customHeight="1" x14ac:dyDescent="0.25">
      <c r="C189" s="359"/>
      <c r="AI189" s="65"/>
      <c r="AJ189" s="65"/>
      <c r="AK189" s="65"/>
    </row>
    <row r="190" spans="3:37" ht="34.5" customHeight="1" x14ac:dyDescent="0.25">
      <c r="C190" s="359"/>
      <c r="AI190" s="65"/>
      <c r="AJ190" s="65"/>
      <c r="AK190" s="65"/>
    </row>
    <row r="191" spans="3:37" ht="34.5" customHeight="1" x14ac:dyDescent="0.25">
      <c r="C191" s="359"/>
      <c r="AI191" s="65"/>
      <c r="AJ191" s="65"/>
      <c r="AK191" s="65"/>
    </row>
    <row r="192" spans="3:37" ht="34.5" customHeight="1" x14ac:dyDescent="0.25">
      <c r="C192" s="359"/>
      <c r="AI192" s="65"/>
      <c r="AJ192" s="65"/>
      <c r="AK192" s="65"/>
    </row>
    <row r="193" spans="3:37" ht="34.5" customHeight="1" x14ac:dyDescent="0.25">
      <c r="C193" s="359"/>
      <c r="AI193" s="65"/>
      <c r="AJ193" s="65"/>
      <c r="AK193" s="65"/>
    </row>
    <row r="194" spans="3:37" ht="34.5" customHeight="1" x14ac:dyDescent="0.25">
      <c r="C194" s="359"/>
      <c r="AI194" s="65"/>
      <c r="AJ194" s="65"/>
      <c r="AK194" s="65"/>
    </row>
    <row r="195" spans="3:37" ht="34.5" customHeight="1" x14ac:dyDescent="0.25">
      <c r="C195" s="359"/>
      <c r="AI195" s="65"/>
      <c r="AJ195" s="65"/>
      <c r="AK195" s="65"/>
    </row>
    <row r="196" spans="3:37" ht="34.5" customHeight="1" x14ac:dyDescent="0.25">
      <c r="C196" s="359"/>
      <c r="AI196" s="65"/>
      <c r="AJ196" s="65"/>
      <c r="AK196" s="65"/>
    </row>
    <row r="197" spans="3:37" ht="34.5" customHeight="1" x14ac:dyDescent="0.25">
      <c r="C197" s="359"/>
      <c r="AI197" s="65"/>
      <c r="AJ197" s="65"/>
      <c r="AK197" s="65"/>
    </row>
    <row r="198" spans="3:37" ht="34.5" customHeight="1" x14ac:dyDescent="0.25">
      <c r="C198" s="359"/>
      <c r="AI198" s="65"/>
      <c r="AJ198" s="65"/>
      <c r="AK198" s="65"/>
    </row>
    <row r="199" spans="3:37" ht="34.5" customHeight="1" x14ac:dyDescent="0.25">
      <c r="C199" s="359"/>
      <c r="AI199" s="65"/>
      <c r="AJ199" s="65"/>
      <c r="AK199" s="65"/>
    </row>
    <row r="200" spans="3:37" ht="34.5" customHeight="1" x14ac:dyDescent="0.25">
      <c r="C200" s="359"/>
      <c r="AI200" s="65"/>
      <c r="AJ200" s="65"/>
      <c r="AK200" s="65"/>
    </row>
    <row r="201" spans="3:37" ht="34.5" customHeight="1" x14ac:dyDescent="0.25">
      <c r="C201" s="359"/>
      <c r="AI201" s="65"/>
      <c r="AJ201" s="65"/>
      <c r="AK201" s="65"/>
    </row>
    <row r="202" spans="3:37" ht="34.5" customHeight="1" x14ac:dyDescent="0.25">
      <c r="C202" s="359"/>
      <c r="AI202" s="65"/>
      <c r="AJ202" s="65"/>
      <c r="AK202" s="65"/>
    </row>
    <row r="203" spans="3:37" ht="34.5" customHeight="1" x14ac:dyDescent="0.25">
      <c r="C203" s="359"/>
      <c r="AI203" s="65"/>
      <c r="AJ203" s="65"/>
      <c r="AK203" s="65"/>
    </row>
    <row r="204" spans="3:37" ht="34.5" customHeight="1" x14ac:dyDescent="0.25">
      <c r="C204" s="359"/>
      <c r="AI204" s="65"/>
      <c r="AJ204" s="65"/>
      <c r="AK204" s="65"/>
    </row>
    <row r="205" spans="3:37" ht="34.5" customHeight="1" x14ac:dyDescent="0.25">
      <c r="C205" s="359"/>
      <c r="AI205" s="65"/>
      <c r="AJ205" s="65"/>
      <c r="AK205" s="65"/>
    </row>
    <row r="206" spans="3:37" ht="34.5" customHeight="1" x14ac:dyDescent="0.25">
      <c r="C206" s="359"/>
      <c r="AI206" s="65"/>
      <c r="AJ206" s="65"/>
      <c r="AK206" s="65"/>
    </row>
    <row r="207" spans="3:37" ht="34.5" customHeight="1" x14ac:dyDescent="0.25">
      <c r="C207" s="359"/>
      <c r="AI207" s="65"/>
      <c r="AJ207" s="65"/>
      <c r="AK207" s="65"/>
    </row>
    <row r="208" spans="3:37" ht="34.5" customHeight="1" x14ac:dyDescent="0.25">
      <c r="C208" s="359"/>
      <c r="AI208" s="65"/>
      <c r="AJ208" s="65"/>
      <c r="AK208" s="65"/>
    </row>
    <row r="209" spans="3:37" ht="34.5" customHeight="1" x14ac:dyDescent="0.25">
      <c r="C209" s="359"/>
      <c r="AI209" s="65"/>
      <c r="AJ209" s="65"/>
      <c r="AK209" s="65"/>
    </row>
    <row r="210" spans="3:37" ht="34.5" customHeight="1" x14ac:dyDescent="0.25">
      <c r="C210" s="359"/>
      <c r="AI210" s="65"/>
      <c r="AJ210" s="65"/>
      <c r="AK210" s="65"/>
    </row>
    <row r="211" spans="3:37" ht="34.5" customHeight="1" x14ac:dyDescent="0.25">
      <c r="C211" s="359"/>
      <c r="AI211" s="65"/>
      <c r="AJ211" s="65"/>
      <c r="AK211" s="65"/>
    </row>
    <row r="212" spans="3:37" ht="34.5" customHeight="1" x14ac:dyDescent="0.25">
      <c r="C212" s="359"/>
      <c r="AI212" s="65"/>
      <c r="AJ212" s="65"/>
      <c r="AK212" s="65"/>
    </row>
    <row r="213" spans="3:37" ht="34.5" customHeight="1" x14ac:dyDescent="0.25">
      <c r="C213" s="359"/>
      <c r="AI213" s="65"/>
      <c r="AJ213" s="65"/>
      <c r="AK213" s="65"/>
    </row>
    <row r="214" spans="3:37" ht="34.5" customHeight="1" x14ac:dyDescent="0.25">
      <c r="C214" s="359"/>
      <c r="AI214" s="65"/>
      <c r="AJ214" s="65"/>
      <c r="AK214" s="65"/>
    </row>
    <row r="215" spans="3:37" ht="34.5" customHeight="1" x14ac:dyDescent="0.25">
      <c r="C215" s="359"/>
      <c r="AI215" s="65"/>
      <c r="AJ215" s="65"/>
      <c r="AK215" s="65"/>
    </row>
    <row r="216" spans="3:37" ht="34.5" customHeight="1" x14ac:dyDescent="0.25">
      <c r="C216" s="359"/>
      <c r="AI216" s="65"/>
      <c r="AJ216" s="65"/>
      <c r="AK216" s="65"/>
    </row>
    <row r="217" spans="3:37" ht="34.5" customHeight="1" x14ac:dyDescent="0.25">
      <c r="C217" s="359"/>
      <c r="AI217" s="65"/>
      <c r="AJ217" s="65"/>
      <c r="AK217" s="65"/>
    </row>
    <row r="218" spans="3:37" ht="34.5" customHeight="1" x14ac:dyDescent="0.25">
      <c r="C218" s="359"/>
      <c r="AI218" s="65"/>
      <c r="AJ218" s="65"/>
      <c r="AK218" s="65"/>
    </row>
    <row r="219" spans="3:37" ht="34.5" customHeight="1" x14ac:dyDescent="0.25">
      <c r="C219" s="359"/>
      <c r="AI219" s="65"/>
      <c r="AJ219" s="65"/>
      <c r="AK219" s="65"/>
    </row>
    <row r="220" spans="3:37" ht="34.5" customHeight="1" x14ac:dyDescent="0.25">
      <c r="C220" s="359"/>
      <c r="AI220" s="65"/>
      <c r="AJ220" s="65"/>
      <c r="AK220" s="65"/>
    </row>
    <row r="221" spans="3:37" ht="34.5" customHeight="1" x14ac:dyDescent="0.25">
      <c r="C221" s="359"/>
      <c r="AI221" s="65"/>
      <c r="AJ221" s="65"/>
      <c r="AK221" s="65"/>
    </row>
    <row r="222" spans="3:37" ht="34.5" customHeight="1" x14ac:dyDescent="0.25">
      <c r="C222" s="359"/>
      <c r="AI222" s="65"/>
      <c r="AJ222" s="65"/>
      <c r="AK222" s="65"/>
    </row>
    <row r="223" spans="3:37" ht="34.5" customHeight="1" x14ac:dyDescent="0.25">
      <c r="C223" s="359"/>
      <c r="AI223" s="65"/>
      <c r="AJ223" s="65"/>
      <c r="AK223" s="65"/>
    </row>
    <row r="224" spans="3:37" ht="34.5" customHeight="1" x14ac:dyDescent="0.25">
      <c r="C224" s="359"/>
      <c r="AI224" s="65"/>
      <c r="AJ224" s="65"/>
      <c r="AK224" s="65"/>
    </row>
    <row r="225" spans="3:37" ht="34.5" customHeight="1" x14ac:dyDescent="0.25">
      <c r="C225" s="359"/>
      <c r="AI225" s="65"/>
      <c r="AJ225" s="65"/>
      <c r="AK225" s="65"/>
    </row>
    <row r="226" spans="3:37" ht="34.5" customHeight="1" x14ac:dyDescent="0.25">
      <c r="C226" s="359"/>
      <c r="AI226" s="65"/>
      <c r="AJ226" s="65"/>
      <c r="AK226" s="65"/>
    </row>
    <row r="227" spans="3:37" ht="34.5" customHeight="1" x14ac:dyDescent="0.25">
      <c r="C227" s="359"/>
      <c r="AI227" s="65"/>
      <c r="AJ227" s="65"/>
      <c r="AK227" s="65"/>
    </row>
    <row r="228" spans="3:37" ht="34.5" customHeight="1" x14ac:dyDescent="0.25">
      <c r="C228" s="359"/>
      <c r="AI228" s="65"/>
      <c r="AJ228" s="65"/>
      <c r="AK228" s="65"/>
    </row>
    <row r="229" spans="3:37" ht="34.5" customHeight="1" x14ac:dyDescent="0.25">
      <c r="C229" s="359"/>
      <c r="AI229" s="65"/>
      <c r="AJ229" s="65"/>
      <c r="AK229" s="65"/>
    </row>
    <row r="230" spans="3:37" ht="34.5" customHeight="1" x14ac:dyDescent="0.25">
      <c r="C230" s="359"/>
      <c r="AI230" s="65"/>
      <c r="AJ230" s="65"/>
      <c r="AK230" s="65"/>
    </row>
    <row r="231" spans="3:37" ht="34.5" customHeight="1" x14ac:dyDescent="0.25">
      <c r="C231" s="359"/>
      <c r="AI231" s="65"/>
      <c r="AJ231" s="65"/>
      <c r="AK231" s="65"/>
    </row>
    <row r="232" spans="3:37" ht="34.5" customHeight="1" x14ac:dyDescent="0.25">
      <c r="C232" s="359"/>
      <c r="AI232" s="65"/>
      <c r="AJ232" s="65"/>
      <c r="AK232" s="65"/>
    </row>
    <row r="233" spans="3:37" ht="34.5" customHeight="1" x14ac:dyDescent="0.25">
      <c r="C233" s="359"/>
      <c r="AI233" s="65"/>
      <c r="AJ233" s="65"/>
      <c r="AK233" s="65"/>
    </row>
    <row r="234" spans="3:37" ht="34.5" customHeight="1" x14ac:dyDescent="0.25">
      <c r="C234" s="359"/>
      <c r="AI234" s="65"/>
      <c r="AJ234" s="65"/>
      <c r="AK234" s="65"/>
    </row>
    <row r="235" spans="3:37" ht="34.5" customHeight="1" x14ac:dyDescent="0.25">
      <c r="C235" s="359"/>
      <c r="AI235" s="65"/>
      <c r="AJ235" s="65"/>
      <c r="AK235" s="65"/>
    </row>
    <row r="236" spans="3:37" ht="34.5" customHeight="1" x14ac:dyDescent="0.25">
      <c r="C236" s="359"/>
      <c r="AI236" s="65"/>
      <c r="AJ236" s="65"/>
      <c r="AK236" s="65"/>
    </row>
    <row r="237" spans="3:37" ht="34.5" customHeight="1" x14ac:dyDescent="0.25">
      <c r="C237" s="359"/>
      <c r="AI237" s="65"/>
      <c r="AJ237" s="65"/>
      <c r="AK237" s="65"/>
    </row>
    <row r="238" spans="3:37" ht="34.5" customHeight="1" x14ac:dyDescent="0.25">
      <c r="C238" s="359"/>
      <c r="AI238" s="65"/>
      <c r="AJ238" s="65"/>
      <c r="AK238" s="65"/>
    </row>
    <row r="239" spans="3:37" ht="34.5" customHeight="1" x14ac:dyDescent="0.25">
      <c r="C239" s="359"/>
      <c r="AI239" s="65"/>
      <c r="AJ239" s="65"/>
      <c r="AK239" s="65"/>
    </row>
    <row r="240" spans="3:37" ht="34.5" customHeight="1" x14ac:dyDescent="0.25">
      <c r="C240" s="359"/>
      <c r="AI240" s="65"/>
      <c r="AJ240" s="65"/>
      <c r="AK240" s="65"/>
    </row>
    <row r="241" spans="3:37" ht="34.5" customHeight="1" x14ac:dyDescent="0.25">
      <c r="C241" s="359"/>
      <c r="AI241" s="65"/>
      <c r="AJ241" s="65"/>
      <c r="AK241" s="65"/>
    </row>
    <row r="242" spans="3:37" ht="34.5" customHeight="1" x14ac:dyDescent="0.25">
      <c r="C242" s="359"/>
      <c r="AI242" s="65"/>
      <c r="AJ242" s="65"/>
      <c r="AK242" s="65"/>
    </row>
    <row r="243" spans="3:37" ht="34.5" customHeight="1" x14ac:dyDescent="0.25">
      <c r="C243" s="359"/>
      <c r="AI243" s="65"/>
      <c r="AJ243" s="65"/>
      <c r="AK243" s="65"/>
    </row>
    <row r="244" spans="3:37" ht="34.5" customHeight="1" x14ac:dyDescent="0.25">
      <c r="C244" s="359"/>
      <c r="AI244" s="65"/>
      <c r="AJ244" s="65"/>
      <c r="AK244" s="65"/>
    </row>
    <row r="245" spans="3:37" ht="34.5" customHeight="1" x14ac:dyDescent="0.25">
      <c r="C245" s="359"/>
      <c r="AI245" s="65"/>
      <c r="AJ245" s="65"/>
      <c r="AK245" s="65"/>
    </row>
    <row r="246" spans="3:37" ht="34.5" customHeight="1" x14ac:dyDescent="0.25">
      <c r="C246" s="359"/>
      <c r="AI246" s="65"/>
      <c r="AJ246" s="65"/>
      <c r="AK246" s="65"/>
    </row>
    <row r="247" spans="3:37" ht="34.5" customHeight="1" x14ac:dyDescent="0.25">
      <c r="C247" s="359"/>
      <c r="AI247" s="65"/>
      <c r="AJ247" s="65"/>
      <c r="AK247" s="65"/>
    </row>
    <row r="248" spans="3:37" ht="34.5" customHeight="1" x14ac:dyDescent="0.25">
      <c r="C248" s="359"/>
      <c r="AI248" s="65"/>
      <c r="AJ248" s="65"/>
      <c r="AK248" s="65"/>
    </row>
    <row r="249" spans="3:37" ht="34.5" customHeight="1" x14ac:dyDescent="0.25">
      <c r="C249" s="359"/>
      <c r="AI249" s="65"/>
      <c r="AJ249" s="65"/>
      <c r="AK249" s="65"/>
    </row>
    <row r="250" spans="3:37" ht="34.5" customHeight="1" x14ac:dyDescent="0.25">
      <c r="C250" s="359"/>
      <c r="AI250" s="65"/>
      <c r="AJ250" s="65"/>
      <c r="AK250" s="65"/>
    </row>
    <row r="251" spans="3:37" ht="34.5" customHeight="1" x14ac:dyDescent="0.25">
      <c r="C251" s="359"/>
      <c r="AI251" s="65"/>
      <c r="AJ251" s="65"/>
      <c r="AK251" s="65"/>
    </row>
    <row r="252" spans="3:37" ht="34.5" customHeight="1" x14ac:dyDescent="0.25">
      <c r="C252" s="359"/>
      <c r="AI252" s="65"/>
      <c r="AJ252" s="65"/>
      <c r="AK252" s="65"/>
    </row>
    <row r="253" spans="3:37" ht="34.5" customHeight="1" x14ac:dyDescent="0.25">
      <c r="C253" s="359"/>
      <c r="AI253" s="65"/>
      <c r="AJ253" s="65"/>
      <c r="AK253" s="65"/>
    </row>
    <row r="254" spans="3:37" ht="34.5" customHeight="1" x14ac:dyDescent="0.25">
      <c r="C254" s="359"/>
      <c r="AI254" s="65"/>
      <c r="AJ254" s="65"/>
      <c r="AK254" s="65"/>
    </row>
    <row r="255" spans="3:37" ht="34.5" customHeight="1" x14ac:dyDescent="0.25">
      <c r="C255" s="359"/>
      <c r="AI255" s="65"/>
      <c r="AJ255" s="65"/>
      <c r="AK255" s="65"/>
    </row>
    <row r="256" spans="3:37" ht="34.5" customHeight="1" x14ac:dyDescent="0.25">
      <c r="C256" s="359"/>
      <c r="AI256" s="65"/>
      <c r="AJ256" s="65"/>
      <c r="AK256" s="65"/>
    </row>
    <row r="257" spans="3:37" ht="34.5" customHeight="1" x14ac:dyDescent="0.25">
      <c r="C257" s="359"/>
      <c r="AI257" s="65"/>
      <c r="AJ257" s="65"/>
      <c r="AK257" s="65"/>
    </row>
    <row r="258" spans="3:37" ht="34.5" customHeight="1" x14ac:dyDescent="0.25">
      <c r="C258" s="359"/>
      <c r="AI258" s="65"/>
      <c r="AJ258" s="65"/>
      <c r="AK258" s="65"/>
    </row>
    <row r="259" spans="3:37" ht="34.5" customHeight="1" x14ac:dyDescent="0.25">
      <c r="C259" s="359"/>
      <c r="AI259" s="65"/>
      <c r="AJ259" s="65"/>
      <c r="AK259" s="65"/>
    </row>
    <row r="260" spans="3:37" ht="34.5" customHeight="1" x14ac:dyDescent="0.25">
      <c r="C260" s="359"/>
      <c r="AI260" s="65"/>
      <c r="AJ260" s="65"/>
      <c r="AK260" s="65"/>
    </row>
    <row r="261" spans="3:37" ht="34.5" customHeight="1" x14ac:dyDescent="0.25">
      <c r="C261" s="359"/>
      <c r="AI261" s="65"/>
      <c r="AJ261" s="65"/>
      <c r="AK261" s="65"/>
    </row>
    <row r="262" spans="3:37" ht="34.5" customHeight="1" x14ac:dyDescent="0.25">
      <c r="C262" s="359"/>
      <c r="AI262" s="65"/>
      <c r="AJ262" s="65"/>
      <c r="AK262" s="65"/>
    </row>
    <row r="263" spans="3:37" ht="34.5" customHeight="1" x14ac:dyDescent="0.25">
      <c r="C263" s="359"/>
      <c r="AI263" s="65"/>
      <c r="AJ263" s="65"/>
      <c r="AK263" s="65"/>
    </row>
    <row r="264" spans="3:37" ht="34.5" customHeight="1" x14ac:dyDescent="0.25">
      <c r="C264" s="359"/>
      <c r="AI264" s="65"/>
      <c r="AJ264" s="65"/>
      <c r="AK264" s="65"/>
    </row>
    <row r="265" spans="3:37" ht="34.5" customHeight="1" x14ac:dyDescent="0.25">
      <c r="C265" s="359"/>
      <c r="AI265" s="65"/>
      <c r="AJ265" s="65"/>
      <c r="AK265" s="65"/>
    </row>
    <row r="266" spans="3:37" ht="34.5" customHeight="1" x14ac:dyDescent="0.25">
      <c r="C266" s="359"/>
      <c r="AI266" s="65"/>
      <c r="AJ266" s="65"/>
      <c r="AK266" s="65"/>
    </row>
    <row r="267" spans="3:37" ht="34.5" customHeight="1" x14ac:dyDescent="0.25">
      <c r="C267" s="359"/>
      <c r="AI267" s="65"/>
      <c r="AJ267" s="65"/>
      <c r="AK267" s="65"/>
    </row>
    <row r="268" spans="3:37" ht="34.5" customHeight="1" x14ac:dyDescent="0.25">
      <c r="C268" s="359"/>
      <c r="AI268" s="65"/>
      <c r="AJ268" s="65"/>
      <c r="AK268" s="65"/>
    </row>
    <row r="269" spans="3:37" ht="34.5" customHeight="1" x14ac:dyDescent="0.25">
      <c r="C269" s="359"/>
      <c r="AI269" s="65"/>
      <c r="AJ269" s="65"/>
      <c r="AK269" s="65"/>
    </row>
    <row r="270" spans="3:37" ht="34.5" customHeight="1" x14ac:dyDescent="0.25">
      <c r="C270" s="359"/>
      <c r="AI270" s="65"/>
      <c r="AJ270" s="65"/>
      <c r="AK270" s="65"/>
    </row>
    <row r="271" spans="3:37" ht="34.5" customHeight="1" x14ac:dyDescent="0.25">
      <c r="C271" s="359"/>
      <c r="AI271" s="65"/>
      <c r="AJ271" s="65"/>
      <c r="AK271" s="65"/>
    </row>
    <row r="272" spans="3:37" ht="34.5" customHeight="1" x14ac:dyDescent="0.25">
      <c r="C272" s="359"/>
      <c r="AI272" s="65"/>
      <c r="AJ272" s="65"/>
      <c r="AK272" s="65"/>
    </row>
    <row r="273" spans="3:37" ht="34.5" customHeight="1" x14ac:dyDescent="0.25">
      <c r="C273" s="359"/>
      <c r="AI273" s="65"/>
      <c r="AJ273" s="65"/>
      <c r="AK273" s="65"/>
    </row>
    <row r="274" spans="3:37" ht="34.5" customHeight="1" x14ac:dyDescent="0.25">
      <c r="C274" s="359"/>
      <c r="AI274" s="65"/>
      <c r="AJ274" s="65"/>
      <c r="AK274" s="65"/>
    </row>
    <row r="275" spans="3:37" ht="34.5" customHeight="1" x14ac:dyDescent="0.25">
      <c r="C275" s="359"/>
      <c r="AI275" s="65"/>
      <c r="AJ275" s="65"/>
      <c r="AK275" s="65"/>
    </row>
    <row r="276" spans="3:37" ht="34.5" customHeight="1" x14ac:dyDescent="0.25">
      <c r="C276" s="359"/>
      <c r="AI276" s="65"/>
      <c r="AJ276" s="65"/>
      <c r="AK276" s="65"/>
    </row>
    <row r="277" spans="3:37" ht="34.5" customHeight="1" x14ac:dyDescent="0.25">
      <c r="C277" s="359"/>
      <c r="AI277" s="65"/>
      <c r="AJ277" s="65"/>
      <c r="AK277" s="65"/>
    </row>
    <row r="278" spans="3:37" ht="34.5" customHeight="1" x14ac:dyDescent="0.25">
      <c r="C278" s="359"/>
      <c r="AI278" s="65"/>
      <c r="AJ278" s="65"/>
      <c r="AK278" s="65"/>
    </row>
    <row r="279" spans="3:37" ht="34.5" customHeight="1" x14ac:dyDescent="0.25">
      <c r="C279" s="359"/>
      <c r="AI279" s="65"/>
      <c r="AJ279" s="65"/>
      <c r="AK279" s="65"/>
    </row>
    <row r="280" spans="3:37" ht="34.5" customHeight="1" x14ac:dyDescent="0.25">
      <c r="C280" s="359"/>
      <c r="AI280" s="65"/>
      <c r="AJ280" s="65"/>
      <c r="AK280" s="65"/>
    </row>
    <row r="281" spans="3:37" ht="34.5" customHeight="1" x14ac:dyDescent="0.25">
      <c r="C281" s="359"/>
      <c r="AI281" s="65"/>
      <c r="AJ281" s="65"/>
      <c r="AK281" s="65"/>
    </row>
    <row r="282" spans="3:37" ht="34.5" customHeight="1" x14ac:dyDescent="0.25">
      <c r="C282" s="359"/>
      <c r="AI282" s="65"/>
      <c r="AJ282" s="65"/>
      <c r="AK282" s="65"/>
    </row>
    <row r="283" spans="3:37" ht="34.5" customHeight="1" x14ac:dyDescent="0.25">
      <c r="C283" s="359"/>
      <c r="AI283" s="65"/>
      <c r="AJ283" s="65"/>
      <c r="AK283" s="65"/>
    </row>
    <row r="284" spans="3:37" ht="34.5" customHeight="1" x14ac:dyDescent="0.25">
      <c r="C284" s="359"/>
      <c r="AI284" s="65"/>
      <c r="AJ284" s="65"/>
      <c r="AK284" s="65"/>
    </row>
    <row r="285" spans="3:37" ht="34.5" customHeight="1" x14ac:dyDescent="0.25">
      <c r="C285" s="359"/>
      <c r="AI285" s="65"/>
      <c r="AJ285" s="65"/>
      <c r="AK285" s="65"/>
    </row>
    <row r="286" spans="3:37" ht="34.5" customHeight="1" x14ac:dyDescent="0.25">
      <c r="C286" s="359"/>
      <c r="AI286" s="65"/>
      <c r="AJ286" s="65"/>
      <c r="AK286" s="65"/>
    </row>
    <row r="287" spans="3:37" ht="34.5" customHeight="1" x14ac:dyDescent="0.25">
      <c r="C287" s="359"/>
      <c r="AI287" s="65"/>
      <c r="AJ287" s="65"/>
      <c r="AK287" s="65"/>
    </row>
    <row r="288" spans="3:37" ht="34.5" customHeight="1" x14ac:dyDescent="0.25">
      <c r="C288" s="359"/>
      <c r="AI288" s="65"/>
      <c r="AJ288" s="65"/>
      <c r="AK288" s="65"/>
    </row>
    <row r="289" spans="3:37" ht="34.5" customHeight="1" x14ac:dyDescent="0.25">
      <c r="C289" s="359"/>
      <c r="AI289" s="65"/>
      <c r="AJ289" s="65"/>
      <c r="AK289" s="65"/>
    </row>
    <row r="290" spans="3:37" ht="34.5" customHeight="1" x14ac:dyDescent="0.25">
      <c r="C290" s="359"/>
      <c r="AI290" s="65"/>
      <c r="AJ290" s="65"/>
      <c r="AK290" s="65"/>
    </row>
    <row r="291" spans="3:37" ht="34.5" customHeight="1" x14ac:dyDescent="0.25">
      <c r="C291" s="359"/>
      <c r="AI291" s="65"/>
      <c r="AJ291" s="65"/>
      <c r="AK291" s="65"/>
    </row>
    <row r="292" spans="3:37" ht="34.5" customHeight="1" x14ac:dyDescent="0.25">
      <c r="C292" s="359"/>
      <c r="AI292" s="65"/>
      <c r="AJ292" s="65"/>
      <c r="AK292" s="65"/>
    </row>
    <row r="293" spans="3:37" ht="34.5" customHeight="1" x14ac:dyDescent="0.25">
      <c r="C293" s="359"/>
      <c r="AI293" s="65"/>
      <c r="AJ293" s="65"/>
      <c r="AK293" s="65"/>
    </row>
    <row r="294" spans="3:37" ht="34.5" customHeight="1" x14ac:dyDescent="0.25">
      <c r="C294" s="359"/>
      <c r="AI294" s="65"/>
      <c r="AJ294" s="65"/>
      <c r="AK294" s="65"/>
    </row>
    <row r="295" spans="3:37" ht="34.5" customHeight="1" x14ac:dyDescent="0.25">
      <c r="C295" s="359"/>
      <c r="AI295" s="65"/>
      <c r="AJ295" s="65"/>
      <c r="AK295" s="65"/>
    </row>
    <row r="296" spans="3:37" ht="34.5" customHeight="1" x14ac:dyDescent="0.25">
      <c r="C296" s="359"/>
      <c r="AI296" s="65"/>
      <c r="AJ296" s="65"/>
      <c r="AK296" s="65"/>
    </row>
    <row r="297" spans="3:37" ht="34.5" customHeight="1" x14ac:dyDescent="0.25">
      <c r="C297" s="359"/>
      <c r="AI297" s="65"/>
      <c r="AJ297" s="65"/>
      <c r="AK297" s="65"/>
    </row>
    <row r="298" spans="3:37" ht="34.5" customHeight="1" x14ac:dyDescent="0.25">
      <c r="C298" s="359"/>
      <c r="AI298" s="65"/>
      <c r="AJ298" s="65"/>
      <c r="AK298" s="65"/>
    </row>
    <row r="299" spans="3:37" ht="34.5" customHeight="1" x14ac:dyDescent="0.25">
      <c r="C299" s="359"/>
      <c r="AI299" s="65"/>
      <c r="AJ299" s="65"/>
      <c r="AK299" s="65"/>
    </row>
    <row r="300" spans="3:37" ht="34.5" customHeight="1" x14ac:dyDescent="0.25">
      <c r="C300" s="359"/>
      <c r="AI300" s="65"/>
      <c r="AJ300" s="65"/>
      <c r="AK300" s="65"/>
    </row>
    <row r="301" spans="3:37" ht="34.5" customHeight="1" x14ac:dyDescent="0.25">
      <c r="C301" s="359"/>
      <c r="AI301" s="65"/>
      <c r="AJ301" s="65"/>
      <c r="AK301" s="65"/>
    </row>
    <row r="302" spans="3:37" ht="34.5" customHeight="1" x14ac:dyDescent="0.25">
      <c r="C302" s="359"/>
      <c r="AI302" s="65"/>
      <c r="AJ302" s="65"/>
      <c r="AK302" s="65"/>
    </row>
    <row r="303" spans="3:37" ht="34.5" customHeight="1" x14ac:dyDescent="0.25">
      <c r="C303" s="359"/>
      <c r="AI303" s="65"/>
      <c r="AJ303" s="65"/>
      <c r="AK303" s="65"/>
    </row>
    <row r="304" spans="3:37" ht="34.5" customHeight="1" x14ac:dyDescent="0.25">
      <c r="C304" s="359"/>
      <c r="AI304" s="65"/>
      <c r="AJ304" s="65"/>
      <c r="AK304" s="65"/>
    </row>
    <row r="305" spans="3:37" ht="34.5" customHeight="1" x14ac:dyDescent="0.25">
      <c r="C305" s="359"/>
      <c r="AI305" s="65"/>
      <c r="AJ305" s="65"/>
      <c r="AK305" s="65"/>
    </row>
    <row r="306" spans="3:37" ht="34.5" customHeight="1" x14ac:dyDescent="0.25">
      <c r="C306" s="359"/>
      <c r="AI306" s="65"/>
      <c r="AJ306" s="65"/>
      <c r="AK306" s="65"/>
    </row>
    <row r="307" spans="3:37" ht="34.5" customHeight="1" x14ac:dyDescent="0.25">
      <c r="C307" s="359"/>
      <c r="AI307" s="65"/>
      <c r="AJ307" s="65"/>
      <c r="AK307" s="65"/>
    </row>
    <row r="308" spans="3:37" ht="34.5" customHeight="1" x14ac:dyDescent="0.25">
      <c r="C308" s="359"/>
      <c r="AI308" s="65"/>
      <c r="AJ308" s="65"/>
      <c r="AK308" s="65"/>
    </row>
    <row r="309" spans="3:37" ht="34.5" customHeight="1" x14ac:dyDescent="0.25">
      <c r="C309" s="359"/>
      <c r="AI309" s="65"/>
      <c r="AJ309" s="65"/>
      <c r="AK309" s="65"/>
    </row>
    <row r="310" spans="3:37" ht="34.5" customHeight="1" x14ac:dyDescent="0.25">
      <c r="C310" s="359"/>
      <c r="AI310" s="65"/>
      <c r="AJ310" s="65"/>
      <c r="AK310" s="65"/>
    </row>
    <row r="311" spans="3:37" ht="34.5" customHeight="1" x14ac:dyDescent="0.25">
      <c r="C311" s="359"/>
      <c r="AI311" s="65"/>
      <c r="AJ311" s="65"/>
      <c r="AK311" s="65"/>
    </row>
    <row r="312" spans="3:37" ht="34.5" customHeight="1" x14ac:dyDescent="0.25">
      <c r="C312" s="359"/>
      <c r="AI312" s="65"/>
      <c r="AJ312" s="65"/>
      <c r="AK312" s="65"/>
    </row>
    <row r="313" spans="3:37" ht="34.5" customHeight="1" x14ac:dyDescent="0.25">
      <c r="C313" s="359"/>
      <c r="AI313" s="65"/>
      <c r="AJ313" s="65"/>
      <c r="AK313" s="65"/>
    </row>
    <row r="314" spans="3:37" ht="34.5" customHeight="1" x14ac:dyDescent="0.25">
      <c r="C314" s="359"/>
      <c r="AI314" s="65"/>
      <c r="AJ314" s="65"/>
      <c r="AK314" s="65"/>
    </row>
    <row r="315" spans="3:37" ht="34.5" customHeight="1" x14ac:dyDescent="0.25">
      <c r="C315" s="359"/>
      <c r="AI315" s="65"/>
      <c r="AJ315" s="65"/>
      <c r="AK315" s="65"/>
    </row>
    <row r="316" spans="3:37" ht="34.5" customHeight="1" x14ac:dyDescent="0.25">
      <c r="C316" s="359"/>
      <c r="AI316" s="65"/>
      <c r="AJ316" s="65"/>
      <c r="AK316" s="65"/>
    </row>
    <row r="317" spans="3:37" ht="34.5" customHeight="1" x14ac:dyDescent="0.25">
      <c r="C317" s="359"/>
      <c r="AI317" s="65"/>
      <c r="AJ317" s="65"/>
      <c r="AK317" s="65"/>
    </row>
    <row r="318" spans="3:37" ht="34.5" customHeight="1" x14ac:dyDescent="0.25">
      <c r="C318" s="359"/>
      <c r="AI318" s="65"/>
      <c r="AJ318" s="65"/>
      <c r="AK318" s="65"/>
    </row>
    <row r="319" spans="3:37" ht="34.5" customHeight="1" x14ac:dyDescent="0.25">
      <c r="C319" s="359"/>
      <c r="AI319" s="65"/>
      <c r="AJ319" s="65"/>
      <c r="AK319" s="65"/>
    </row>
    <row r="320" spans="3:37" ht="34.5" customHeight="1" x14ac:dyDescent="0.25">
      <c r="C320" s="359"/>
      <c r="AI320" s="65"/>
      <c r="AJ320" s="65"/>
      <c r="AK320" s="65"/>
    </row>
    <row r="321" spans="3:37" ht="34.5" customHeight="1" x14ac:dyDescent="0.25">
      <c r="C321" s="359"/>
      <c r="AI321" s="65"/>
      <c r="AJ321" s="65"/>
      <c r="AK321" s="65"/>
    </row>
    <row r="322" spans="3:37" ht="34.5" customHeight="1" x14ac:dyDescent="0.25">
      <c r="C322" s="359"/>
      <c r="AI322" s="65"/>
      <c r="AJ322" s="65"/>
      <c r="AK322" s="65"/>
    </row>
    <row r="323" spans="3:37" ht="34.5" customHeight="1" x14ac:dyDescent="0.25">
      <c r="C323" s="359"/>
      <c r="AI323" s="65"/>
      <c r="AJ323" s="65"/>
      <c r="AK323" s="65"/>
    </row>
    <row r="324" spans="3:37" ht="34.5" customHeight="1" x14ac:dyDescent="0.25">
      <c r="C324" s="359"/>
      <c r="AI324" s="65"/>
      <c r="AJ324" s="65"/>
      <c r="AK324" s="65"/>
    </row>
    <row r="325" spans="3:37" ht="34.5" customHeight="1" x14ac:dyDescent="0.25">
      <c r="C325" s="359"/>
      <c r="AI325" s="65"/>
      <c r="AJ325" s="65"/>
      <c r="AK325" s="65"/>
    </row>
    <row r="326" spans="3:37" ht="34.5" customHeight="1" x14ac:dyDescent="0.25">
      <c r="C326" s="359"/>
      <c r="AI326" s="65"/>
      <c r="AJ326" s="65"/>
      <c r="AK326" s="65"/>
    </row>
    <row r="327" spans="3:37" ht="34.5" customHeight="1" x14ac:dyDescent="0.25">
      <c r="C327" s="359"/>
      <c r="AI327" s="65"/>
      <c r="AJ327" s="65"/>
      <c r="AK327" s="65"/>
    </row>
    <row r="328" spans="3:37" ht="34.5" customHeight="1" x14ac:dyDescent="0.25">
      <c r="C328" s="359"/>
      <c r="AI328" s="65"/>
      <c r="AJ328" s="65"/>
      <c r="AK328" s="65"/>
    </row>
    <row r="329" spans="3:37" ht="34.5" customHeight="1" x14ac:dyDescent="0.25">
      <c r="C329" s="359"/>
      <c r="AI329" s="65"/>
      <c r="AJ329" s="65"/>
      <c r="AK329" s="65"/>
    </row>
    <row r="330" spans="3:37" ht="34.5" customHeight="1" x14ac:dyDescent="0.25">
      <c r="C330" s="359"/>
      <c r="AI330" s="65"/>
      <c r="AJ330" s="65"/>
      <c r="AK330" s="65"/>
    </row>
    <row r="331" spans="3:37" ht="34.5" customHeight="1" x14ac:dyDescent="0.25">
      <c r="C331" s="359"/>
      <c r="AI331" s="65"/>
      <c r="AJ331" s="65"/>
      <c r="AK331" s="65"/>
    </row>
    <row r="332" spans="3:37" ht="34.5" customHeight="1" x14ac:dyDescent="0.25">
      <c r="C332" s="359"/>
      <c r="AI332" s="65"/>
      <c r="AJ332" s="65"/>
      <c r="AK332" s="65"/>
    </row>
    <row r="333" spans="3:37" ht="34.5" customHeight="1" x14ac:dyDescent="0.25">
      <c r="C333" s="359"/>
      <c r="AI333" s="65"/>
      <c r="AJ333" s="65"/>
      <c r="AK333" s="65"/>
    </row>
    <row r="334" spans="3:37" ht="34.5" customHeight="1" x14ac:dyDescent="0.25">
      <c r="C334" s="359"/>
      <c r="AI334" s="65"/>
      <c r="AJ334" s="65"/>
      <c r="AK334" s="65"/>
    </row>
    <row r="335" spans="3:37" ht="34.5" customHeight="1" x14ac:dyDescent="0.25">
      <c r="C335" s="359"/>
      <c r="AI335" s="65"/>
      <c r="AJ335" s="65"/>
      <c r="AK335" s="65"/>
    </row>
    <row r="336" spans="3:37" ht="34.5" customHeight="1" x14ac:dyDescent="0.25">
      <c r="C336" s="359"/>
      <c r="AI336" s="65"/>
      <c r="AJ336" s="65"/>
      <c r="AK336" s="65"/>
    </row>
    <row r="337" spans="3:37" ht="34.5" customHeight="1" x14ac:dyDescent="0.25">
      <c r="C337" s="359"/>
      <c r="AI337" s="65"/>
      <c r="AJ337" s="65"/>
      <c r="AK337" s="65"/>
    </row>
    <row r="338" spans="3:37" ht="34.5" customHeight="1" x14ac:dyDescent="0.25">
      <c r="C338" s="359"/>
      <c r="AI338" s="65"/>
      <c r="AJ338" s="65"/>
      <c r="AK338" s="65"/>
    </row>
    <row r="339" spans="3:37" ht="34.5" customHeight="1" x14ac:dyDescent="0.25">
      <c r="C339" s="359"/>
      <c r="AI339" s="65"/>
      <c r="AJ339" s="65"/>
      <c r="AK339" s="65"/>
    </row>
    <row r="340" spans="3:37" ht="34.5" customHeight="1" x14ac:dyDescent="0.25">
      <c r="C340" s="359"/>
      <c r="AI340" s="65"/>
      <c r="AJ340" s="65"/>
      <c r="AK340" s="65"/>
    </row>
    <row r="341" spans="3:37" ht="34.5" customHeight="1" x14ac:dyDescent="0.25">
      <c r="C341" s="359"/>
      <c r="AI341" s="65"/>
      <c r="AJ341" s="65"/>
      <c r="AK341" s="65"/>
    </row>
    <row r="342" spans="3:37" ht="34.5" customHeight="1" x14ac:dyDescent="0.25">
      <c r="C342" s="359"/>
      <c r="AI342" s="65"/>
      <c r="AJ342" s="65"/>
      <c r="AK342" s="65"/>
    </row>
    <row r="343" spans="3:37" ht="34.5" customHeight="1" x14ac:dyDescent="0.25">
      <c r="C343" s="359"/>
      <c r="AI343" s="65"/>
      <c r="AJ343" s="65"/>
      <c r="AK343" s="65"/>
    </row>
    <row r="344" spans="3:37" ht="34.5" customHeight="1" x14ac:dyDescent="0.25">
      <c r="C344" s="359"/>
      <c r="AI344" s="65"/>
      <c r="AJ344" s="65"/>
      <c r="AK344" s="65"/>
    </row>
    <row r="345" spans="3:37" ht="34.5" customHeight="1" x14ac:dyDescent="0.25">
      <c r="C345" s="359"/>
      <c r="AI345" s="65"/>
      <c r="AJ345" s="65"/>
      <c r="AK345" s="65"/>
    </row>
    <row r="346" spans="3:37" ht="34.5" customHeight="1" x14ac:dyDescent="0.25">
      <c r="C346" s="359"/>
      <c r="AI346" s="65"/>
      <c r="AJ346" s="65"/>
      <c r="AK346" s="65"/>
    </row>
    <row r="347" spans="3:37" ht="34.5" customHeight="1" x14ac:dyDescent="0.25">
      <c r="C347" s="359"/>
      <c r="AI347" s="65"/>
      <c r="AJ347" s="65"/>
      <c r="AK347" s="65"/>
    </row>
    <row r="348" spans="3:37" ht="34.5" customHeight="1" x14ac:dyDescent="0.25">
      <c r="C348" s="359"/>
      <c r="AI348" s="65"/>
      <c r="AJ348" s="65"/>
      <c r="AK348" s="65"/>
    </row>
    <row r="349" spans="3:37" ht="34.5" customHeight="1" x14ac:dyDescent="0.25">
      <c r="C349" s="359"/>
      <c r="AI349" s="65"/>
      <c r="AJ349" s="65"/>
      <c r="AK349" s="65"/>
    </row>
    <row r="350" spans="3:37" ht="34.5" customHeight="1" x14ac:dyDescent="0.25">
      <c r="C350" s="359"/>
      <c r="AI350" s="65"/>
      <c r="AJ350" s="65"/>
      <c r="AK350" s="65"/>
    </row>
    <row r="351" spans="3:37" ht="34.5" customHeight="1" x14ac:dyDescent="0.25">
      <c r="C351" s="359"/>
      <c r="AI351" s="65"/>
      <c r="AJ351" s="65"/>
      <c r="AK351" s="65"/>
    </row>
    <row r="352" spans="3:37" ht="34.5" customHeight="1" x14ac:dyDescent="0.25">
      <c r="C352" s="359"/>
      <c r="AI352" s="65"/>
      <c r="AJ352" s="65"/>
      <c r="AK352" s="65"/>
    </row>
    <row r="353" spans="3:37" ht="34.5" customHeight="1" x14ac:dyDescent="0.25">
      <c r="C353" s="359"/>
      <c r="AI353" s="65"/>
      <c r="AJ353" s="65"/>
      <c r="AK353" s="65"/>
    </row>
    <row r="354" spans="3:37" ht="34.5" customHeight="1" x14ac:dyDescent="0.25">
      <c r="C354" s="359"/>
      <c r="AI354" s="65"/>
      <c r="AJ354" s="65"/>
      <c r="AK354" s="65"/>
    </row>
    <row r="355" spans="3:37" ht="34.5" customHeight="1" x14ac:dyDescent="0.25">
      <c r="C355" s="359"/>
      <c r="AI355" s="65"/>
      <c r="AJ355" s="65"/>
      <c r="AK355" s="65"/>
    </row>
    <row r="356" spans="3:37" ht="34.5" customHeight="1" x14ac:dyDescent="0.25">
      <c r="C356" s="359"/>
      <c r="AI356" s="65"/>
      <c r="AJ356" s="65"/>
      <c r="AK356" s="65"/>
    </row>
    <row r="357" spans="3:37" ht="34.5" customHeight="1" x14ac:dyDescent="0.25">
      <c r="C357" s="359"/>
      <c r="AI357" s="65"/>
      <c r="AJ357" s="65"/>
      <c r="AK357" s="65"/>
    </row>
    <row r="358" spans="3:37" ht="34.5" customHeight="1" x14ac:dyDescent="0.25">
      <c r="C358" s="359"/>
      <c r="AI358" s="65"/>
      <c r="AJ358" s="65"/>
      <c r="AK358" s="65"/>
    </row>
    <row r="359" spans="3:37" ht="34.5" customHeight="1" x14ac:dyDescent="0.25">
      <c r="C359" s="359"/>
      <c r="AI359" s="65"/>
      <c r="AJ359" s="65"/>
      <c r="AK359" s="65"/>
    </row>
    <row r="360" spans="3:37" ht="34.5" customHeight="1" x14ac:dyDescent="0.25">
      <c r="C360" s="359"/>
      <c r="AI360" s="65"/>
      <c r="AJ360" s="65"/>
      <c r="AK360" s="65"/>
    </row>
    <row r="361" spans="3:37" ht="34.5" customHeight="1" x14ac:dyDescent="0.25">
      <c r="C361" s="359"/>
      <c r="AI361" s="65"/>
      <c r="AJ361" s="65"/>
      <c r="AK361" s="65"/>
    </row>
    <row r="362" spans="3:37" ht="34.5" customHeight="1" x14ac:dyDescent="0.25">
      <c r="C362" s="359"/>
      <c r="AI362" s="65"/>
      <c r="AJ362" s="65"/>
      <c r="AK362" s="65"/>
    </row>
    <row r="363" spans="3:37" ht="34.5" customHeight="1" x14ac:dyDescent="0.25">
      <c r="C363" s="359"/>
      <c r="AI363" s="65"/>
      <c r="AJ363" s="65"/>
      <c r="AK363" s="65"/>
    </row>
    <row r="364" spans="3:37" ht="34.5" customHeight="1" x14ac:dyDescent="0.25">
      <c r="C364" s="359"/>
      <c r="AI364" s="65"/>
      <c r="AJ364" s="65"/>
      <c r="AK364" s="65"/>
    </row>
    <row r="365" spans="3:37" ht="34.5" customHeight="1" x14ac:dyDescent="0.25">
      <c r="C365" s="359"/>
      <c r="AI365" s="65"/>
      <c r="AJ365" s="65"/>
      <c r="AK365" s="65"/>
    </row>
    <row r="366" spans="3:37" ht="34.5" customHeight="1" x14ac:dyDescent="0.25">
      <c r="C366" s="359"/>
      <c r="AI366" s="65"/>
      <c r="AJ366" s="65"/>
      <c r="AK366" s="65"/>
    </row>
    <row r="367" spans="3:37" ht="34.5" customHeight="1" x14ac:dyDescent="0.25">
      <c r="C367" s="359"/>
      <c r="AI367" s="65"/>
      <c r="AJ367" s="65"/>
      <c r="AK367" s="65"/>
    </row>
    <row r="368" spans="3:37" ht="34.5" customHeight="1" x14ac:dyDescent="0.25">
      <c r="C368" s="359"/>
      <c r="AI368" s="65"/>
      <c r="AJ368" s="65"/>
      <c r="AK368" s="65"/>
    </row>
    <row r="369" spans="3:37" ht="34.5" customHeight="1" x14ac:dyDescent="0.25">
      <c r="C369" s="359"/>
      <c r="AI369" s="65"/>
      <c r="AJ369" s="65"/>
      <c r="AK369" s="65"/>
    </row>
    <row r="370" spans="3:37" ht="34.5" customHeight="1" x14ac:dyDescent="0.25">
      <c r="C370" s="359"/>
      <c r="AI370" s="65"/>
      <c r="AJ370" s="65"/>
      <c r="AK370" s="65"/>
    </row>
    <row r="371" spans="3:37" ht="34.5" customHeight="1" x14ac:dyDescent="0.25">
      <c r="C371" s="359"/>
      <c r="AI371" s="65"/>
      <c r="AJ371" s="65"/>
      <c r="AK371" s="65"/>
    </row>
    <row r="372" spans="3:37" ht="34.5" customHeight="1" x14ac:dyDescent="0.25">
      <c r="C372" s="359"/>
      <c r="AI372" s="65"/>
      <c r="AJ372" s="65"/>
      <c r="AK372" s="65"/>
    </row>
    <row r="373" spans="3:37" ht="34.5" customHeight="1" x14ac:dyDescent="0.25">
      <c r="C373" s="359"/>
      <c r="AI373" s="65"/>
      <c r="AJ373" s="65"/>
      <c r="AK373" s="65"/>
    </row>
    <row r="374" spans="3:37" ht="34.5" customHeight="1" x14ac:dyDescent="0.25">
      <c r="C374" s="359"/>
      <c r="AI374" s="65"/>
      <c r="AJ374" s="65"/>
      <c r="AK374" s="65"/>
    </row>
    <row r="375" spans="3:37" ht="34.5" customHeight="1" x14ac:dyDescent="0.25">
      <c r="C375" s="359"/>
      <c r="AI375" s="65"/>
      <c r="AJ375" s="65"/>
      <c r="AK375" s="65"/>
    </row>
    <row r="376" spans="3:37" ht="34.5" customHeight="1" x14ac:dyDescent="0.25">
      <c r="C376" s="359"/>
      <c r="AI376" s="65"/>
      <c r="AJ376" s="65"/>
      <c r="AK376" s="65"/>
    </row>
    <row r="377" spans="3:37" ht="34.5" customHeight="1" x14ac:dyDescent="0.25">
      <c r="C377" s="359"/>
      <c r="AI377" s="65"/>
      <c r="AJ377" s="65"/>
      <c r="AK377" s="65"/>
    </row>
    <row r="378" spans="3:37" ht="34.5" customHeight="1" x14ac:dyDescent="0.25">
      <c r="C378" s="359"/>
      <c r="AI378" s="65"/>
      <c r="AJ378" s="65"/>
      <c r="AK378" s="65"/>
    </row>
    <row r="379" spans="3:37" ht="34.5" customHeight="1" x14ac:dyDescent="0.25">
      <c r="C379" s="359"/>
      <c r="AI379" s="65"/>
      <c r="AJ379" s="65"/>
      <c r="AK379" s="65"/>
    </row>
    <row r="380" spans="3:37" ht="34.5" customHeight="1" x14ac:dyDescent="0.25">
      <c r="C380" s="359"/>
      <c r="AI380" s="65"/>
      <c r="AJ380" s="65"/>
      <c r="AK380" s="65"/>
    </row>
    <row r="381" spans="3:37" ht="34.5" customHeight="1" x14ac:dyDescent="0.25">
      <c r="C381" s="359"/>
      <c r="AI381" s="65"/>
      <c r="AJ381" s="65"/>
      <c r="AK381" s="65"/>
    </row>
    <row r="382" spans="3:37" ht="34.5" customHeight="1" x14ac:dyDescent="0.25">
      <c r="C382" s="359"/>
      <c r="AI382" s="65"/>
      <c r="AJ382" s="65"/>
      <c r="AK382" s="65"/>
    </row>
    <row r="383" spans="3:37" ht="34.5" customHeight="1" x14ac:dyDescent="0.25">
      <c r="C383" s="359"/>
      <c r="AI383" s="65"/>
      <c r="AJ383" s="65"/>
      <c r="AK383" s="65"/>
    </row>
    <row r="384" spans="3:37" ht="34.5" customHeight="1" x14ac:dyDescent="0.25">
      <c r="C384" s="359"/>
      <c r="AI384" s="65"/>
      <c r="AJ384" s="65"/>
      <c r="AK384" s="65"/>
    </row>
    <row r="385" spans="3:37" ht="34.5" customHeight="1" x14ac:dyDescent="0.25">
      <c r="C385" s="359"/>
      <c r="AI385" s="65"/>
      <c r="AJ385" s="65"/>
      <c r="AK385" s="65"/>
    </row>
    <row r="386" spans="3:37" ht="34.5" customHeight="1" x14ac:dyDescent="0.25">
      <c r="C386" s="359"/>
      <c r="AI386" s="65"/>
      <c r="AJ386" s="65"/>
      <c r="AK386" s="65"/>
    </row>
    <row r="387" spans="3:37" ht="34.5" customHeight="1" x14ac:dyDescent="0.25">
      <c r="C387" s="359"/>
      <c r="AI387" s="65"/>
      <c r="AJ387" s="65"/>
      <c r="AK387" s="65"/>
    </row>
    <row r="388" spans="3:37" ht="34.5" customHeight="1" x14ac:dyDescent="0.25">
      <c r="C388" s="359"/>
      <c r="AI388" s="65"/>
      <c r="AJ388" s="65"/>
      <c r="AK388" s="65"/>
    </row>
    <row r="389" spans="3:37" ht="34.5" customHeight="1" x14ac:dyDescent="0.25">
      <c r="C389" s="359"/>
      <c r="AI389" s="65"/>
      <c r="AJ389" s="65"/>
      <c r="AK389" s="65"/>
    </row>
    <row r="390" spans="3:37" ht="34.5" customHeight="1" x14ac:dyDescent="0.25">
      <c r="C390" s="359"/>
      <c r="AI390" s="65"/>
      <c r="AJ390" s="65"/>
      <c r="AK390" s="65"/>
    </row>
    <row r="391" spans="3:37" ht="34.5" customHeight="1" x14ac:dyDescent="0.25">
      <c r="C391" s="359"/>
      <c r="AI391" s="65"/>
      <c r="AJ391" s="65"/>
      <c r="AK391" s="65"/>
    </row>
    <row r="392" spans="3:37" ht="34.5" customHeight="1" x14ac:dyDescent="0.25">
      <c r="C392" s="359"/>
      <c r="AI392" s="65"/>
      <c r="AJ392" s="65"/>
      <c r="AK392" s="65"/>
    </row>
    <row r="393" spans="3:37" ht="34.5" customHeight="1" x14ac:dyDescent="0.25">
      <c r="C393" s="359"/>
      <c r="AI393" s="65"/>
      <c r="AJ393" s="65"/>
      <c r="AK393" s="65"/>
    </row>
    <row r="394" spans="3:37" ht="34.5" customHeight="1" x14ac:dyDescent="0.25">
      <c r="C394" s="359"/>
      <c r="AI394" s="65"/>
      <c r="AJ394" s="65"/>
      <c r="AK394" s="65"/>
    </row>
    <row r="395" spans="3:37" ht="34.5" customHeight="1" x14ac:dyDescent="0.25">
      <c r="C395" s="359"/>
      <c r="AI395" s="65"/>
      <c r="AJ395" s="65"/>
      <c r="AK395" s="65"/>
    </row>
    <row r="396" spans="3:37" ht="34.5" customHeight="1" x14ac:dyDescent="0.25">
      <c r="C396" s="359"/>
      <c r="AI396" s="65"/>
      <c r="AJ396" s="65"/>
      <c r="AK396" s="65"/>
    </row>
    <row r="397" spans="3:37" ht="34.5" customHeight="1" x14ac:dyDescent="0.25">
      <c r="C397" s="359"/>
      <c r="AI397" s="65"/>
      <c r="AJ397" s="65"/>
      <c r="AK397" s="65"/>
    </row>
    <row r="398" spans="3:37" ht="34.5" customHeight="1" x14ac:dyDescent="0.25">
      <c r="C398" s="359"/>
      <c r="AI398" s="65"/>
      <c r="AJ398" s="65"/>
      <c r="AK398" s="65"/>
    </row>
    <row r="399" spans="3:37" ht="34.5" customHeight="1" x14ac:dyDescent="0.25">
      <c r="C399" s="359"/>
      <c r="AI399" s="65"/>
      <c r="AJ399" s="65"/>
      <c r="AK399" s="65"/>
    </row>
    <row r="400" spans="3:37" ht="34.5" customHeight="1" x14ac:dyDescent="0.25">
      <c r="C400" s="359"/>
      <c r="AI400" s="65"/>
      <c r="AJ400" s="65"/>
      <c r="AK400" s="65"/>
    </row>
    <row r="401" spans="3:37" ht="34.5" customHeight="1" x14ac:dyDescent="0.25">
      <c r="C401" s="359"/>
      <c r="AI401" s="65"/>
      <c r="AJ401" s="65"/>
      <c r="AK401" s="65"/>
    </row>
    <row r="402" spans="3:37" ht="34.5" customHeight="1" x14ac:dyDescent="0.25">
      <c r="C402" s="359"/>
      <c r="AI402" s="65"/>
      <c r="AJ402" s="65"/>
      <c r="AK402" s="65"/>
    </row>
    <row r="403" spans="3:37" ht="34.5" customHeight="1" x14ac:dyDescent="0.25">
      <c r="C403" s="359"/>
      <c r="AI403" s="65"/>
      <c r="AJ403" s="65"/>
      <c r="AK403" s="65"/>
    </row>
    <row r="404" spans="3:37" ht="34.5" customHeight="1" x14ac:dyDescent="0.25">
      <c r="C404" s="359"/>
      <c r="AI404" s="65"/>
      <c r="AJ404" s="65"/>
      <c r="AK404" s="65"/>
    </row>
    <row r="405" spans="3:37" ht="34.5" customHeight="1" x14ac:dyDescent="0.25">
      <c r="C405" s="359"/>
      <c r="AI405" s="65"/>
      <c r="AJ405" s="65"/>
      <c r="AK405" s="65"/>
    </row>
    <row r="406" spans="3:37" ht="34.5" customHeight="1" x14ac:dyDescent="0.25">
      <c r="C406" s="359"/>
      <c r="AI406" s="65"/>
      <c r="AJ406" s="65"/>
      <c r="AK406" s="65"/>
    </row>
    <row r="407" spans="3:37" ht="34.5" customHeight="1" x14ac:dyDescent="0.25">
      <c r="C407" s="359"/>
      <c r="AI407" s="65"/>
      <c r="AJ407" s="65"/>
      <c r="AK407" s="65"/>
    </row>
    <row r="408" spans="3:37" ht="34.5" customHeight="1" x14ac:dyDescent="0.25">
      <c r="C408" s="359"/>
      <c r="AI408" s="65"/>
      <c r="AJ408" s="65"/>
      <c r="AK408" s="65"/>
    </row>
    <row r="409" spans="3:37" ht="34.5" customHeight="1" x14ac:dyDescent="0.25">
      <c r="C409" s="359"/>
      <c r="AI409" s="65"/>
      <c r="AJ409" s="65"/>
      <c r="AK409" s="65"/>
    </row>
    <row r="410" spans="3:37" ht="34.5" customHeight="1" x14ac:dyDescent="0.25">
      <c r="C410" s="359"/>
      <c r="AI410" s="65"/>
      <c r="AJ410" s="65"/>
      <c r="AK410" s="65"/>
    </row>
    <row r="411" spans="3:37" ht="34.5" customHeight="1" x14ac:dyDescent="0.25">
      <c r="C411" s="359"/>
      <c r="AI411" s="65"/>
      <c r="AJ411" s="65"/>
      <c r="AK411" s="65"/>
    </row>
    <row r="412" spans="3:37" ht="34.5" customHeight="1" x14ac:dyDescent="0.25">
      <c r="C412" s="359"/>
      <c r="AI412" s="65"/>
      <c r="AJ412" s="65"/>
      <c r="AK412" s="65"/>
    </row>
    <row r="413" spans="3:37" ht="34.5" customHeight="1" x14ac:dyDescent="0.25">
      <c r="C413" s="359"/>
      <c r="AI413" s="65"/>
      <c r="AJ413" s="65"/>
      <c r="AK413" s="65"/>
    </row>
    <row r="414" spans="3:37" ht="34.5" customHeight="1" x14ac:dyDescent="0.25">
      <c r="C414" s="359"/>
      <c r="AI414" s="65"/>
      <c r="AJ414" s="65"/>
      <c r="AK414" s="65"/>
    </row>
    <row r="415" spans="3:37" ht="34.5" customHeight="1" x14ac:dyDescent="0.25">
      <c r="C415" s="359"/>
      <c r="AI415" s="65"/>
      <c r="AJ415" s="65"/>
      <c r="AK415" s="65"/>
    </row>
    <row r="416" spans="3:37" ht="34.5" customHeight="1" x14ac:dyDescent="0.25">
      <c r="C416" s="359"/>
      <c r="AI416" s="65"/>
      <c r="AJ416" s="65"/>
      <c r="AK416" s="65"/>
    </row>
    <row r="417" spans="3:37" ht="34.5" customHeight="1" x14ac:dyDescent="0.25">
      <c r="C417" s="359"/>
      <c r="AI417" s="65"/>
      <c r="AJ417" s="65"/>
      <c r="AK417" s="65"/>
    </row>
    <row r="418" spans="3:37" ht="34.5" customHeight="1" x14ac:dyDescent="0.25">
      <c r="C418" s="359"/>
      <c r="AI418" s="65"/>
      <c r="AJ418" s="65"/>
      <c r="AK418" s="65"/>
    </row>
    <row r="419" spans="3:37" ht="34.5" customHeight="1" x14ac:dyDescent="0.25">
      <c r="C419" s="359"/>
      <c r="AI419" s="65"/>
      <c r="AJ419" s="65"/>
      <c r="AK419" s="65"/>
    </row>
    <row r="420" spans="3:37" ht="34.5" customHeight="1" x14ac:dyDescent="0.25">
      <c r="C420" s="359"/>
      <c r="AI420" s="65"/>
      <c r="AJ420" s="65"/>
      <c r="AK420" s="65"/>
    </row>
    <row r="421" spans="3:37" ht="34.5" customHeight="1" x14ac:dyDescent="0.25">
      <c r="C421" s="359"/>
      <c r="AI421" s="65"/>
      <c r="AJ421" s="65"/>
      <c r="AK421" s="65"/>
    </row>
    <row r="422" spans="3:37" ht="34.5" customHeight="1" x14ac:dyDescent="0.25">
      <c r="C422" s="359"/>
      <c r="AI422" s="65"/>
      <c r="AJ422" s="65"/>
      <c r="AK422" s="65"/>
    </row>
    <row r="423" spans="3:37" ht="34.5" customHeight="1" x14ac:dyDescent="0.25">
      <c r="C423" s="359"/>
      <c r="AI423" s="65"/>
      <c r="AJ423" s="65"/>
      <c r="AK423" s="65"/>
    </row>
    <row r="424" spans="3:37" ht="34.5" customHeight="1" x14ac:dyDescent="0.25">
      <c r="C424" s="359"/>
      <c r="AI424" s="65"/>
      <c r="AJ424" s="65"/>
      <c r="AK424" s="65"/>
    </row>
    <row r="425" spans="3:37" ht="34.5" customHeight="1" x14ac:dyDescent="0.25">
      <c r="C425" s="359"/>
      <c r="AI425" s="65"/>
      <c r="AJ425" s="65"/>
      <c r="AK425" s="65"/>
    </row>
    <row r="426" spans="3:37" ht="34.5" customHeight="1" x14ac:dyDescent="0.25">
      <c r="C426" s="359"/>
      <c r="AI426" s="65"/>
      <c r="AJ426" s="65"/>
      <c r="AK426" s="65"/>
    </row>
    <row r="427" spans="3:37" ht="34.5" customHeight="1" x14ac:dyDescent="0.25">
      <c r="C427" s="359"/>
      <c r="AI427" s="65"/>
      <c r="AJ427" s="65"/>
      <c r="AK427" s="65"/>
    </row>
    <row r="428" spans="3:37" ht="34.5" customHeight="1" x14ac:dyDescent="0.25">
      <c r="C428" s="359"/>
      <c r="AI428" s="65"/>
      <c r="AJ428" s="65"/>
      <c r="AK428" s="65"/>
    </row>
    <row r="429" spans="3:37" ht="34.5" customHeight="1" x14ac:dyDescent="0.25">
      <c r="C429" s="359"/>
      <c r="AI429" s="65"/>
      <c r="AJ429" s="65"/>
      <c r="AK429" s="65"/>
    </row>
    <row r="430" spans="3:37" ht="34.5" customHeight="1" x14ac:dyDescent="0.25">
      <c r="C430" s="359"/>
      <c r="AI430" s="65"/>
      <c r="AJ430" s="65"/>
      <c r="AK430" s="65"/>
    </row>
    <row r="431" spans="3:37" ht="34.5" customHeight="1" x14ac:dyDescent="0.25">
      <c r="C431" s="359"/>
      <c r="AI431" s="65"/>
      <c r="AJ431" s="65"/>
      <c r="AK431" s="65"/>
    </row>
    <row r="432" spans="3:37" ht="34.5" customHeight="1" x14ac:dyDescent="0.25">
      <c r="C432" s="359"/>
      <c r="AI432" s="65"/>
      <c r="AJ432" s="65"/>
      <c r="AK432" s="65"/>
    </row>
    <row r="433" spans="3:37" ht="34.5" customHeight="1" x14ac:dyDescent="0.25">
      <c r="C433" s="359"/>
      <c r="AI433" s="65"/>
      <c r="AJ433" s="65"/>
      <c r="AK433" s="65"/>
    </row>
    <row r="434" spans="3:37" ht="34.5" customHeight="1" x14ac:dyDescent="0.25">
      <c r="C434" s="359"/>
      <c r="AI434" s="65"/>
      <c r="AJ434" s="65"/>
      <c r="AK434" s="65"/>
    </row>
    <row r="435" spans="3:37" ht="34.5" customHeight="1" x14ac:dyDescent="0.25">
      <c r="C435" s="359"/>
      <c r="AI435" s="65"/>
      <c r="AJ435" s="65"/>
      <c r="AK435" s="65"/>
    </row>
    <row r="436" spans="3:37" ht="34.5" customHeight="1" x14ac:dyDescent="0.25">
      <c r="C436" s="359"/>
      <c r="AI436" s="65"/>
      <c r="AJ436" s="65"/>
      <c r="AK436" s="65"/>
    </row>
    <row r="437" spans="3:37" ht="34.5" customHeight="1" x14ac:dyDescent="0.25">
      <c r="C437" s="359"/>
      <c r="AI437" s="65"/>
      <c r="AJ437" s="65"/>
      <c r="AK437" s="65"/>
    </row>
    <row r="438" spans="3:37" ht="34.5" customHeight="1" x14ac:dyDescent="0.25">
      <c r="C438" s="359"/>
      <c r="AI438" s="65"/>
      <c r="AJ438" s="65"/>
      <c r="AK438" s="65"/>
    </row>
    <row r="439" spans="3:37" ht="34.5" customHeight="1" x14ac:dyDescent="0.25">
      <c r="C439" s="359"/>
      <c r="AI439" s="65"/>
      <c r="AJ439" s="65"/>
      <c r="AK439" s="65"/>
    </row>
    <row r="440" spans="3:37" ht="34.5" customHeight="1" x14ac:dyDescent="0.25">
      <c r="C440" s="359"/>
      <c r="AI440" s="65"/>
      <c r="AJ440" s="65"/>
      <c r="AK440" s="65"/>
    </row>
    <row r="441" spans="3:37" ht="34.5" customHeight="1" x14ac:dyDescent="0.25">
      <c r="C441" s="359"/>
      <c r="AI441" s="65"/>
      <c r="AJ441" s="65"/>
      <c r="AK441" s="65"/>
    </row>
    <row r="442" spans="3:37" ht="34.5" customHeight="1" x14ac:dyDescent="0.25">
      <c r="C442" s="359"/>
      <c r="AI442" s="65"/>
      <c r="AJ442" s="65"/>
      <c r="AK442" s="65"/>
    </row>
    <row r="443" spans="3:37" ht="34.5" customHeight="1" x14ac:dyDescent="0.25">
      <c r="C443" s="359"/>
      <c r="AI443" s="65"/>
      <c r="AJ443" s="65"/>
      <c r="AK443" s="65"/>
    </row>
    <row r="444" spans="3:37" ht="34.5" customHeight="1" x14ac:dyDescent="0.25">
      <c r="C444" s="359"/>
      <c r="AI444" s="65"/>
      <c r="AJ444" s="65"/>
      <c r="AK444" s="65"/>
    </row>
    <row r="445" spans="3:37" ht="34.5" customHeight="1" x14ac:dyDescent="0.25">
      <c r="C445" s="359"/>
      <c r="AI445" s="65"/>
      <c r="AJ445" s="65"/>
      <c r="AK445" s="65"/>
    </row>
    <row r="446" spans="3:37" ht="34.5" customHeight="1" x14ac:dyDescent="0.25">
      <c r="C446" s="359"/>
      <c r="AI446" s="65"/>
      <c r="AJ446" s="65"/>
      <c r="AK446" s="65"/>
    </row>
    <row r="447" spans="3:37" ht="34.5" customHeight="1" x14ac:dyDescent="0.25">
      <c r="C447" s="359"/>
      <c r="AI447" s="65"/>
      <c r="AJ447" s="65"/>
      <c r="AK447" s="65"/>
    </row>
    <row r="448" spans="3:37" ht="34.5" customHeight="1" x14ac:dyDescent="0.25">
      <c r="C448" s="359"/>
      <c r="AI448" s="65"/>
      <c r="AJ448" s="65"/>
      <c r="AK448" s="65"/>
    </row>
    <row r="449" spans="3:37" ht="34.5" customHeight="1" x14ac:dyDescent="0.25">
      <c r="C449" s="359"/>
      <c r="AI449" s="65"/>
      <c r="AJ449" s="65"/>
      <c r="AK449" s="65"/>
    </row>
    <row r="450" spans="3:37" ht="34.5" customHeight="1" x14ac:dyDescent="0.25">
      <c r="C450" s="359"/>
      <c r="AI450" s="65"/>
      <c r="AJ450" s="65"/>
      <c r="AK450" s="65"/>
    </row>
    <row r="451" spans="3:37" ht="34.5" customHeight="1" x14ac:dyDescent="0.25">
      <c r="C451" s="359"/>
      <c r="AI451" s="65"/>
      <c r="AJ451" s="65"/>
      <c r="AK451" s="65"/>
    </row>
    <row r="452" spans="3:37" ht="34.5" customHeight="1" x14ac:dyDescent="0.25">
      <c r="C452" s="359"/>
      <c r="AI452" s="65"/>
      <c r="AJ452" s="65"/>
      <c r="AK452" s="65"/>
    </row>
    <row r="453" spans="3:37" ht="34.5" customHeight="1" x14ac:dyDescent="0.25">
      <c r="C453" s="359"/>
      <c r="AI453" s="65"/>
      <c r="AJ453" s="65"/>
      <c r="AK453" s="65"/>
    </row>
    <row r="454" spans="3:37" ht="34.5" customHeight="1" x14ac:dyDescent="0.25">
      <c r="C454" s="359"/>
      <c r="AI454" s="65"/>
      <c r="AJ454" s="65"/>
      <c r="AK454" s="65"/>
    </row>
    <row r="455" spans="3:37" ht="34.5" customHeight="1" x14ac:dyDescent="0.25">
      <c r="C455" s="359"/>
      <c r="AI455" s="65"/>
      <c r="AJ455" s="65"/>
      <c r="AK455" s="65"/>
    </row>
    <row r="456" spans="3:37" ht="34.5" customHeight="1" x14ac:dyDescent="0.25">
      <c r="C456" s="359"/>
      <c r="AI456" s="65"/>
      <c r="AJ456" s="65"/>
      <c r="AK456" s="65"/>
    </row>
    <row r="457" spans="3:37" ht="34.5" customHeight="1" x14ac:dyDescent="0.25">
      <c r="C457" s="359"/>
      <c r="AI457" s="65"/>
      <c r="AJ457" s="65"/>
      <c r="AK457" s="65"/>
    </row>
    <row r="458" spans="3:37" ht="34.5" customHeight="1" x14ac:dyDescent="0.25">
      <c r="C458" s="359"/>
      <c r="AI458" s="65"/>
      <c r="AJ458" s="65"/>
      <c r="AK458" s="65"/>
    </row>
    <row r="459" spans="3:37" ht="34.5" customHeight="1" x14ac:dyDescent="0.25">
      <c r="C459" s="359"/>
      <c r="AI459" s="65"/>
      <c r="AJ459" s="65"/>
      <c r="AK459" s="65"/>
    </row>
    <row r="460" spans="3:37" ht="34.5" customHeight="1" x14ac:dyDescent="0.25">
      <c r="C460" s="359"/>
      <c r="AI460" s="65"/>
      <c r="AJ460" s="65"/>
      <c r="AK460" s="65"/>
    </row>
    <row r="461" spans="3:37" ht="34.5" customHeight="1" x14ac:dyDescent="0.25">
      <c r="C461" s="359"/>
      <c r="AI461" s="65"/>
      <c r="AJ461" s="65"/>
      <c r="AK461" s="65"/>
    </row>
    <row r="462" spans="3:37" ht="34.5" customHeight="1" x14ac:dyDescent="0.25">
      <c r="C462" s="359"/>
      <c r="AI462" s="65"/>
      <c r="AJ462" s="65"/>
      <c r="AK462" s="65"/>
    </row>
    <row r="463" spans="3:37" ht="34.5" customHeight="1" x14ac:dyDescent="0.25">
      <c r="C463" s="359"/>
      <c r="AI463" s="65"/>
      <c r="AJ463" s="65"/>
      <c r="AK463" s="65"/>
    </row>
    <row r="464" spans="3:37" ht="34.5" customHeight="1" x14ac:dyDescent="0.25">
      <c r="C464" s="359"/>
      <c r="AI464" s="65"/>
      <c r="AJ464" s="65"/>
      <c r="AK464" s="65"/>
    </row>
    <row r="465" spans="3:37" ht="34.5" customHeight="1" x14ac:dyDescent="0.25">
      <c r="C465" s="359"/>
      <c r="AI465" s="65"/>
      <c r="AJ465" s="65"/>
      <c r="AK465" s="65"/>
    </row>
    <row r="466" spans="3:37" ht="34.5" customHeight="1" x14ac:dyDescent="0.25">
      <c r="C466" s="359"/>
      <c r="AI466" s="65"/>
      <c r="AJ466" s="65"/>
      <c r="AK466" s="65"/>
    </row>
    <row r="467" spans="3:37" ht="34.5" customHeight="1" x14ac:dyDescent="0.25">
      <c r="C467" s="359"/>
      <c r="AI467" s="65"/>
      <c r="AJ467" s="65"/>
      <c r="AK467" s="65"/>
    </row>
    <row r="468" spans="3:37" ht="34.5" customHeight="1" x14ac:dyDescent="0.25">
      <c r="C468" s="359"/>
      <c r="AI468" s="65"/>
      <c r="AJ468" s="65"/>
      <c r="AK468" s="65"/>
    </row>
    <row r="469" spans="3:37" ht="34.5" customHeight="1" x14ac:dyDescent="0.25">
      <c r="C469" s="359"/>
      <c r="AI469" s="65"/>
      <c r="AJ469" s="65"/>
      <c r="AK469" s="65"/>
    </row>
    <row r="470" spans="3:37" ht="34.5" customHeight="1" x14ac:dyDescent="0.25">
      <c r="C470" s="359"/>
      <c r="AI470" s="65"/>
      <c r="AJ470" s="65"/>
      <c r="AK470" s="65"/>
    </row>
    <row r="471" spans="3:37" ht="34.5" customHeight="1" x14ac:dyDescent="0.25">
      <c r="C471" s="359"/>
      <c r="AI471" s="65"/>
      <c r="AJ471" s="65"/>
      <c r="AK471" s="65"/>
    </row>
    <row r="472" spans="3:37" ht="34.5" customHeight="1" x14ac:dyDescent="0.25">
      <c r="C472" s="359"/>
      <c r="AI472" s="65"/>
      <c r="AJ472" s="65"/>
      <c r="AK472" s="65"/>
    </row>
    <row r="473" spans="3:37" ht="34.5" customHeight="1" x14ac:dyDescent="0.25">
      <c r="C473" s="359"/>
      <c r="AI473" s="65"/>
      <c r="AJ473" s="65"/>
      <c r="AK473" s="65"/>
    </row>
    <row r="474" spans="3:37" ht="34.5" customHeight="1" x14ac:dyDescent="0.25">
      <c r="C474" s="359"/>
      <c r="AI474" s="65"/>
      <c r="AJ474" s="65"/>
      <c r="AK474" s="65"/>
    </row>
    <row r="475" spans="3:37" ht="34.5" customHeight="1" x14ac:dyDescent="0.25">
      <c r="C475" s="359"/>
      <c r="AI475" s="65"/>
      <c r="AJ475" s="65"/>
      <c r="AK475" s="65"/>
    </row>
    <row r="476" spans="3:37" ht="34.5" customHeight="1" x14ac:dyDescent="0.25">
      <c r="C476" s="359"/>
      <c r="AI476" s="65"/>
      <c r="AJ476" s="65"/>
      <c r="AK476" s="65"/>
    </row>
    <row r="477" spans="3:37" ht="34.5" customHeight="1" x14ac:dyDescent="0.25">
      <c r="C477" s="359"/>
      <c r="AI477" s="65"/>
      <c r="AJ477" s="65"/>
      <c r="AK477" s="65"/>
    </row>
    <row r="478" spans="3:37" ht="34.5" customHeight="1" x14ac:dyDescent="0.25">
      <c r="C478" s="359"/>
      <c r="AI478" s="65"/>
      <c r="AJ478" s="65"/>
      <c r="AK478" s="65"/>
    </row>
    <row r="479" spans="3:37" ht="34.5" customHeight="1" x14ac:dyDescent="0.25">
      <c r="C479" s="359"/>
      <c r="AI479" s="65"/>
      <c r="AJ479" s="65"/>
      <c r="AK479" s="65"/>
    </row>
    <row r="480" spans="3:37" ht="34.5" customHeight="1" x14ac:dyDescent="0.25">
      <c r="C480" s="359"/>
      <c r="AI480" s="65"/>
      <c r="AJ480" s="65"/>
      <c r="AK480" s="65"/>
    </row>
    <row r="481" spans="3:37" ht="34.5" customHeight="1" x14ac:dyDescent="0.25">
      <c r="C481" s="359"/>
      <c r="AI481" s="65"/>
      <c r="AJ481" s="65"/>
      <c r="AK481" s="65"/>
    </row>
    <row r="482" spans="3:37" ht="34.5" customHeight="1" x14ac:dyDescent="0.25">
      <c r="C482" s="359"/>
      <c r="AI482" s="65"/>
      <c r="AJ482" s="65"/>
      <c r="AK482" s="65"/>
    </row>
    <row r="483" spans="3:37" ht="34.5" customHeight="1" x14ac:dyDescent="0.25">
      <c r="C483" s="359"/>
      <c r="AI483" s="65"/>
      <c r="AJ483" s="65"/>
      <c r="AK483" s="65"/>
    </row>
    <row r="484" spans="3:37" ht="34.5" customHeight="1" x14ac:dyDescent="0.25">
      <c r="C484" s="359"/>
      <c r="AI484" s="65"/>
      <c r="AJ484" s="65"/>
      <c r="AK484" s="65"/>
    </row>
    <row r="485" spans="3:37" ht="34.5" customHeight="1" x14ac:dyDescent="0.25">
      <c r="C485" s="359"/>
      <c r="AI485" s="65"/>
      <c r="AJ485" s="65"/>
      <c r="AK485" s="65"/>
    </row>
    <row r="486" spans="3:37" ht="34.5" customHeight="1" x14ac:dyDescent="0.25">
      <c r="C486" s="359"/>
      <c r="AI486" s="65"/>
      <c r="AJ486" s="65"/>
      <c r="AK486" s="65"/>
    </row>
    <row r="487" spans="3:37" ht="34.5" customHeight="1" x14ac:dyDescent="0.25">
      <c r="C487" s="359"/>
      <c r="AI487" s="65"/>
      <c r="AJ487" s="65"/>
      <c r="AK487" s="65"/>
    </row>
    <row r="488" spans="3:37" ht="34.5" customHeight="1" x14ac:dyDescent="0.25">
      <c r="C488" s="359"/>
      <c r="AI488" s="65"/>
      <c r="AJ488" s="65"/>
      <c r="AK488" s="65"/>
    </row>
    <row r="489" spans="3:37" ht="34.5" customHeight="1" x14ac:dyDescent="0.25">
      <c r="C489" s="359"/>
      <c r="AI489" s="65"/>
      <c r="AJ489" s="65"/>
      <c r="AK489" s="65"/>
    </row>
    <row r="490" spans="3:37" ht="34.5" customHeight="1" x14ac:dyDescent="0.25">
      <c r="C490" s="359"/>
      <c r="AI490" s="65"/>
      <c r="AJ490" s="65"/>
      <c r="AK490" s="65"/>
    </row>
    <row r="491" spans="3:37" ht="34.5" customHeight="1" x14ac:dyDescent="0.25">
      <c r="C491" s="359"/>
      <c r="AI491" s="65"/>
      <c r="AJ491" s="65"/>
      <c r="AK491" s="65"/>
    </row>
    <row r="492" spans="3:37" ht="34.5" customHeight="1" x14ac:dyDescent="0.25">
      <c r="C492" s="359"/>
      <c r="AI492" s="65"/>
      <c r="AJ492" s="65"/>
      <c r="AK492" s="65"/>
    </row>
    <row r="493" spans="3:37" ht="34.5" customHeight="1" x14ac:dyDescent="0.25">
      <c r="C493" s="359"/>
      <c r="AI493" s="65"/>
      <c r="AJ493" s="65"/>
      <c r="AK493" s="65"/>
    </row>
    <row r="494" spans="3:37" ht="34.5" customHeight="1" x14ac:dyDescent="0.25">
      <c r="C494" s="359"/>
      <c r="AI494" s="65"/>
      <c r="AJ494" s="65"/>
      <c r="AK494" s="65"/>
    </row>
    <row r="495" spans="3:37" ht="34.5" customHeight="1" x14ac:dyDescent="0.25">
      <c r="C495" s="359"/>
      <c r="AI495" s="65"/>
      <c r="AJ495" s="65"/>
      <c r="AK495" s="65"/>
    </row>
    <row r="496" spans="3:37" ht="34.5" customHeight="1" x14ac:dyDescent="0.25">
      <c r="C496" s="359"/>
      <c r="AI496" s="65"/>
      <c r="AJ496" s="65"/>
      <c r="AK496" s="65"/>
    </row>
    <row r="497" spans="3:37" ht="34.5" customHeight="1" x14ac:dyDescent="0.25">
      <c r="C497" s="359"/>
      <c r="AI497" s="65"/>
      <c r="AJ497" s="65"/>
      <c r="AK497" s="65"/>
    </row>
    <row r="498" spans="3:37" ht="34.5" customHeight="1" x14ac:dyDescent="0.25">
      <c r="C498" s="359"/>
      <c r="AI498" s="65"/>
      <c r="AJ498" s="65"/>
      <c r="AK498" s="65"/>
    </row>
    <row r="499" spans="3:37" ht="34.5" customHeight="1" x14ac:dyDescent="0.25">
      <c r="C499" s="359"/>
      <c r="AI499" s="65"/>
      <c r="AJ499" s="65"/>
      <c r="AK499" s="65"/>
    </row>
    <row r="500" spans="3:37" ht="34.5" customHeight="1" x14ac:dyDescent="0.25">
      <c r="C500" s="359"/>
      <c r="AI500" s="65"/>
      <c r="AJ500" s="65"/>
      <c r="AK500" s="65"/>
    </row>
    <row r="501" spans="3:37" ht="34.5" customHeight="1" x14ac:dyDescent="0.25">
      <c r="C501" s="359"/>
      <c r="AI501" s="65"/>
      <c r="AJ501" s="65"/>
      <c r="AK501" s="65"/>
    </row>
    <row r="502" spans="3:37" ht="34.5" customHeight="1" x14ac:dyDescent="0.25">
      <c r="C502" s="359"/>
      <c r="AI502" s="65"/>
      <c r="AJ502" s="65"/>
      <c r="AK502" s="65"/>
    </row>
    <row r="503" spans="3:37" ht="34.5" customHeight="1" x14ac:dyDescent="0.25">
      <c r="C503" s="359"/>
      <c r="AI503" s="65"/>
      <c r="AJ503" s="65"/>
      <c r="AK503" s="65"/>
    </row>
    <row r="504" spans="3:37" ht="34.5" customHeight="1" x14ac:dyDescent="0.25">
      <c r="C504" s="359"/>
      <c r="AI504" s="65"/>
      <c r="AJ504" s="65"/>
      <c r="AK504" s="65"/>
    </row>
    <row r="505" spans="3:37" ht="34.5" customHeight="1" x14ac:dyDescent="0.25">
      <c r="C505" s="359"/>
      <c r="AI505" s="65"/>
      <c r="AJ505" s="65"/>
      <c r="AK505" s="65"/>
    </row>
    <row r="506" spans="3:37" ht="34.5" customHeight="1" x14ac:dyDescent="0.25">
      <c r="C506" s="359"/>
      <c r="AI506" s="65"/>
      <c r="AJ506" s="65"/>
      <c r="AK506" s="65"/>
    </row>
    <row r="507" spans="3:37" ht="34.5" customHeight="1" x14ac:dyDescent="0.25">
      <c r="C507" s="359"/>
      <c r="AI507" s="65"/>
      <c r="AJ507" s="65"/>
      <c r="AK507" s="65"/>
    </row>
    <row r="508" spans="3:37" ht="34.5" customHeight="1" x14ac:dyDescent="0.25">
      <c r="C508" s="359"/>
      <c r="AI508" s="65"/>
      <c r="AJ508" s="65"/>
      <c r="AK508" s="65"/>
    </row>
    <row r="509" spans="3:37" ht="34.5" customHeight="1" x14ac:dyDescent="0.25">
      <c r="C509" s="359"/>
      <c r="AI509" s="65"/>
      <c r="AJ509" s="65"/>
      <c r="AK509" s="65"/>
    </row>
    <row r="510" spans="3:37" ht="34.5" customHeight="1" x14ac:dyDescent="0.25">
      <c r="C510" s="359"/>
      <c r="AI510" s="65"/>
      <c r="AJ510" s="65"/>
      <c r="AK510" s="65"/>
    </row>
    <row r="511" spans="3:37" ht="34.5" customHeight="1" x14ac:dyDescent="0.25">
      <c r="C511" s="359"/>
      <c r="AI511" s="65"/>
      <c r="AJ511" s="65"/>
      <c r="AK511" s="65"/>
    </row>
    <row r="512" spans="3:37" ht="34.5" customHeight="1" x14ac:dyDescent="0.25">
      <c r="C512" s="359"/>
      <c r="AI512" s="65"/>
      <c r="AJ512" s="65"/>
      <c r="AK512" s="65"/>
    </row>
    <row r="513" spans="3:37" ht="34.5" customHeight="1" x14ac:dyDescent="0.25">
      <c r="C513" s="359"/>
      <c r="AI513" s="65"/>
      <c r="AJ513" s="65"/>
      <c r="AK513" s="65"/>
    </row>
    <row r="514" spans="3:37" ht="34.5" customHeight="1" x14ac:dyDescent="0.25">
      <c r="C514" s="359"/>
      <c r="AI514" s="65"/>
      <c r="AJ514" s="65"/>
      <c r="AK514" s="65"/>
    </row>
    <row r="515" spans="3:37" ht="34.5" customHeight="1" x14ac:dyDescent="0.25">
      <c r="C515" s="359"/>
      <c r="AI515" s="65"/>
      <c r="AJ515" s="65"/>
      <c r="AK515" s="65"/>
    </row>
    <row r="516" spans="3:37" ht="34.5" customHeight="1" x14ac:dyDescent="0.25">
      <c r="C516" s="359"/>
      <c r="AI516" s="65"/>
      <c r="AJ516" s="65"/>
      <c r="AK516" s="65"/>
    </row>
    <row r="517" spans="3:37" ht="34.5" customHeight="1" x14ac:dyDescent="0.25">
      <c r="C517" s="359"/>
      <c r="AI517" s="65"/>
      <c r="AJ517" s="65"/>
      <c r="AK517" s="65"/>
    </row>
    <row r="518" spans="3:37" ht="34.5" customHeight="1" x14ac:dyDescent="0.25">
      <c r="C518" s="359"/>
      <c r="AI518" s="65"/>
      <c r="AJ518" s="65"/>
      <c r="AK518" s="65"/>
    </row>
    <row r="519" spans="3:37" ht="34.5" customHeight="1" x14ac:dyDescent="0.25">
      <c r="C519" s="359"/>
      <c r="AI519" s="65"/>
      <c r="AJ519" s="65"/>
      <c r="AK519" s="65"/>
    </row>
    <row r="520" spans="3:37" ht="34.5" customHeight="1" x14ac:dyDescent="0.25">
      <c r="C520" s="359"/>
      <c r="AI520" s="65"/>
      <c r="AJ520" s="65"/>
      <c r="AK520" s="65"/>
    </row>
    <row r="521" spans="3:37" ht="34.5" customHeight="1" x14ac:dyDescent="0.25">
      <c r="C521" s="359"/>
      <c r="AI521" s="65"/>
      <c r="AJ521" s="65"/>
      <c r="AK521" s="65"/>
    </row>
    <row r="522" spans="3:37" ht="34.5" customHeight="1" x14ac:dyDescent="0.25">
      <c r="C522" s="359"/>
      <c r="AI522" s="65"/>
      <c r="AJ522" s="65"/>
      <c r="AK522" s="65"/>
    </row>
    <row r="523" spans="3:37" ht="34.5" customHeight="1" x14ac:dyDescent="0.25">
      <c r="C523" s="359"/>
      <c r="AI523" s="65"/>
      <c r="AJ523" s="65"/>
      <c r="AK523" s="65"/>
    </row>
    <row r="524" spans="3:37" ht="34.5" customHeight="1" x14ac:dyDescent="0.25">
      <c r="C524" s="359"/>
      <c r="AI524" s="65"/>
      <c r="AJ524" s="65"/>
      <c r="AK524" s="65"/>
    </row>
    <row r="525" spans="3:37" ht="34.5" customHeight="1" x14ac:dyDescent="0.25">
      <c r="C525" s="359"/>
      <c r="AI525" s="65"/>
      <c r="AJ525" s="65"/>
      <c r="AK525" s="65"/>
    </row>
    <row r="526" spans="3:37" ht="34.5" customHeight="1" x14ac:dyDescent="0.25">
      <c r="C526" s="359"/>
      <c r="AI526" s="65"/>
      <c r="AJ526" s="65"/>
      <c r="AK526" s="65"/>
    </row>
    <row r="527" spans="3:37" ht="34.5" customHeight="1" x14ac:dyDescent="0.25">
      <c r="C527" s="359"/>
      <c r="AI527" s="65"/>
      <c r="AJ527" s="65"/>
      <c r="AK527" s="65"/>
    </row>
    <row r="528" spans="3:37" ht="34.5" customHeight="1" x14ac:dyDescent="0.25">
      <c r="C528" s="359"/>
      <c r="AI528" s="65"/>
      <c r="AJ528" s="65"/>
      <c r="AK528" s="65"/>
    </row>
    <row r="529" spans="3:37" ht="34.5" customHeight="1" x14ac:dyDescent="0.25">
      <c r="C529" s="359"/>
      <c r="AI529" s="65"/>
      <c r="AJ529" s="65"/>
      <c r="AK529" s="65"/>
    </row>
    <row r="530" spans="3:37" ht="34.5" customHeight="1" x14ac:dyDescent="0.25">
      <c r="C530" s="359"/>
      <c r="AI530" s="65"/>
      <c r="AJ530" s="65"/>
      <c r="AK530" s="65"/>
    </row>
    <row r="531" spans="3:37" ht="34.5" customHeight="1" x14ac:dyDescent="0.25">
      <c r="C531" s="359"/>
      <c r="AI531" s="65"/>
      <c r="AJ531" s="65"/>
      <c r="AK531" s="65"/>
    </row>
    <row r="532" spans="3:37" ht="34.5" customHeight="1" x14ac:dyDescent="0.25">
      <c r="C532" s="359"/>
      <c r="AI532" s="65"/>
      <c r="AJ532" s="65"/>
      <c r="AK532" s="65"/>
    </row>
    <row r="533" spans="3:37" ht="34.5" customHeight="1" x14ac:dyDescent="0.25">
      <c r="C533" s="359"/>
      <c r="AI533" s="65"/>
      <c r="AJ533" s="65"/>
      <c r="AK533" s="65"/>
    </row>
    <row r="534" spans="3:37" ht="34.5" customHeight="1" x14ac:dyDescent="0.25">
      <c r="C534" s="359"/>
      <c r="AI534" s="65"/>
      <c r="AJ534" s="65"/>
      <c r="AK534" s="65"/>
    </row>
    <row r="535" spans="3:37" ht="34.5" customHeight="1" x14ac:dyDescent="0.25">
      <c r="C535" s="359"/>
      <c r="AI535" s="65"/>
      <c r="AJ535" s="65"/>
      <c r="AK535" s="65"/>
    </row>
    <row r="536" spans="3:37" ht="34.5" customHeight="1" x14ac:dyDescent="0.25">
      <c r="C536" s="359"/>
      <c r="AI536" s="65"/>
      <c r="AJ536" s="65"/>
      <c r="AK536" s="65"/>
    </row>
    <row r="537" spans="3:37" ht="34.5" customHeight="1" x14ac:dyDescent="0.25">
      <c r="C537" s="359"/>
      <c r="AI537" s="65"/>
      <c r="AJ537" s="65"/>
      <c r="AK537" s="65"/>
    </row>
    <row r="538" spans="3:37" ht="34.5" customHeight="1" x14ac:dyDescent="0.25">
      <c r="C538" s="359"/>
      <c r="AI538" s="65"/>
      <c r="AJ538" s="65"/>
      <c r="AK538" s="65"/>
    </row>
    <row r="539" spans="3:37" ht="34.5" customHeight="1" x14ac:dyDescent="0.25">
      <c r="C539" s="359"/>
      <c r="AI539" s="65"/>
      <c r="AJ539" s="65"/>
      <c r="AK539" s="65"/>
    </row>
    <row r="540" spans="3:37" ht="34.5" customHeight="1" x14ac:dyDescent="0.25">
      <c r="C540" s="359"/>
      <c r="AI540" s="65"/>
      <c r="AJ540" s="65"/>
      <c r="AK540" s="65"/>
    </row>
    <row r="541" spans="3:37" ht="34.5" customHeight="1" x14ac:dyDescent="0.25">
      <c r="C541" s="359"/>
      <c r="AI541" s="65"/>
      <c r="AJ541" s="65"/>
      <c r="AK541" s="65"/>
    </row>
    <row r="542" spans="3:37" ht="34.5" customHeight="1" x14ac:dyDescent="0.25">
      <c r="C542" s="359"/>
      <c r="AI542" s="65"/>
      <c r="AJ542" s="65"/>
      <c r="AK542" s="65"/>
    </row>
    <row r="543" spans="3:37" ht="34.5" customHeight="1" x14ac:dyDescent="0.25">
      <c r="C543" s="359"/>
      <c r="AI543" s="65"/>
      <c r="AJ543" s="65"/>
      <c r="AK543" s="65"/>
    </row>
    <row r="544" spans="3:37" ht="34.5" customHeight="1" x14ac:dyDescent="0.25">
      <c r="C544" s="359"/>
      <c r="AI544" s="65"/>
      <c r="AJ544" s="65"/>
      <c r="AK544" s="65"/>
    </row>
    <row r="545" spans="3:37" ht="34.5" customHeight="1" x14ac:dyDescent="0.25">
      <c r="C545" s="359"/>
      <c r="AI545" s="65"/>
      <c r="AJ545" s="65"/>
      <c r="AK545" s="65"/>
    </row>
    <row r="546" spans="3:37" ht="34.5" customHeight="1" x14ac:dyDescent="0.25">
      <c r="C546" s="359"/>
      <c r="AI546" s="65"/>
      <c r="AJ546" s="65"/>
      <c r="AK546" s="65"/>
    </row>
    <row r="547" spans="3:37" ht="34.5" customHeight="1" x14ac:dyDescent="0.25">
      <c r="C547" s="359"/>
      <c r="AI547" s="65"/>
      <c r="AJ547" s="65"/>
      <c r="AK547" s="65"/>
    </row>
    <row r="548" spans="3:37" ht="34.5" customHeight="1" x14ac:dyDescent="0.25">
      <c r="C548" s="359"/>
      <c r="AI548" s="65"/>
      <c r="AJ548" s="65"/>
      <c r="AK548" s="65"/>
    </row>
    <row r="549" spans="3:37" ht="34.5" customHeight="1" x14ac:dyDescent="0.25">
      <c r="C549" s="359"/>
      <c r="AI549" s="65"/>
      <c r="AJ549" s="65"/>
      <c r="AK549" s="65"/>
    </row>
    <row r="550" spans="3:37" ht="34.5" customHeight="1" x14ac:dyDescent="0.25">
      <c r="C550" s="359"/>
      <c r="AI550" s="65"/>
      <c r="AJ550" s="65"/>
      <c r="AK550" s="65"/>
    </row>
    <row r="551" spans="3:37" ht="34.5" customHeight="1" x14ac:dyDescent="0.25">
      <c r="C551" s="359"/>
      <c r="AI551" s="65"/>
      <c r="AJ551" s="65"/>
      <c r="AK551" s="65"/>
    </row>
    <row r="552" spans="3:37" ht="34.5" customHeight="1" x14ac:dyDescent="0.25">
      <c r="C552" s="359"/>
      <c r="AI552" s="65"/>
      <c r="AJ552" s="65"/>
      <c r="AK552" s="65"/>
    </row>
    <row r="553" spans="3:37" ht="34.5" customHeight="1" x14ac:dyDescent="0.25">
      <c r="C553" s="359"/>
      <c r="AI553" s="65"/>
      <c r="AJ553" s="65"/>
      <c r="AK553" s="65"/>
    </row>
    <row r="554" spans="3:37" ht="34.5" customHeight="1" x14ac:dyDescent="0.25">
      <c r="C554" s="359"/>
      <c r="AI554" s="65"/>
      <c r="AJ554" s="65"/>
      <c r="AK554" s="65"/>
    </row>
    <row r="555" spans="3:37" ht="34.5" customHeight="1" x14ac:dyDescent="0.25">
      <c r="C555" s="359"/>
      <c r="AI555" s="65"/>
      <c r="AJ555" s="65"/>
      <c r="AK555" s="65"/>
    </row>
    <row r="556" spans="3:37" ht="34.5" customHeight="1" x14ac:dyDescent="0.25">
      <c r="C556" s="359"/>
      <c r="AI556" s="65"/>
      <c r="AJ556" s="65"/>
      <c r="AK556" s="65"/>
    </row>
    <row r="557" spans="3:37" ht="34.5" customHeight="1" x14ac:dyDescent="0.25">
      <c r="C557" s="359"/>
      <c r="AI557" s="65"/>
      <c r="AJ557" s="65"/>
      <c r="AK557" s="65"/>
    </row>
    <row r="558" spans="3:37" ht="34.5" customHeight="1" x14ac:dyDescent="0.25">
      <c r="C558" s="359"/>
      <c r="AI558" s="65"/>
      <c r="AJ558" s="65"/>
      <c r="AK558" s="65"/>
    </row>
    <row r="559" spans="3:37" ht="34.5" customHeight="1" x14ac:dyDescent="0.25">
      <c r="C559" s="359"/>
      <c r="AI559" s="65"/>
      <c r="AJ559" s="65"/>
      <c r="AK559" s="65"/>
    </row>
    <row r="560" spans="3:37" ht="34.5" customHeight="1" x14ac:dyDescent="0.25">
      <c r="C560" s="359"/>
      <c r="AI560" s="65"/>
      <c r="AJ560" s="65"/>
      <c r="AK560" s="65"/>
    </row>
    <row r="561" spans="3:37" ht="34.5" customHeight="1" x14ac:dyDescent="0.25">
      <c r="C561" s="359"/>
      <c r="AI561" s="65"/>
      <c r="AJ561" s="65"/>
      <c r="AK561" s="65"/>
    </row>
    <row r="562" spans="3:37" ht="34.5" customHeight="1" x14ac:dyDescent="0.25">
      <c r="C562" s="359"/>
      <c r="AI562" s="65"/>
      <c r="AJ562" s="65"/>
      <c r="AK562" s="65"/>
    </row>
    <row r="563" spans="3:37" ht="34.5" customHeight="1" x14ac:dyDescent="0.25">
      <c r="C563" s="359"/>
      <c r="AI563" s="65"/>
      <c r="AJ563" s="65"/>
      <c r="AK563" s="65"/>
    </row>
    <row r="564" spans="3:37" ht="34.5" customHeight="1" x14ac:dyDescent="0.25">
      <c r="C564" s="359"/>
      <c r="AI564" s="65"/>
      <c r="AJ564" s="65"/>
      <c r="AK564" s="65"/>
    </row>
    <row r="565" spans="3:37" ht="34.5" customHeight="1" x14ac:dyDescent="0.25">
      <c r="C565" s="359"/>
      <c r="AI565" s="65"/>
      <c r="AJ565" s="65"/>
      <c r="AK565" s="65"/>
    </row>
    <row r="566" spans="3:37" ht="34.5" customHeight="1" x14ac:dyDescent="0.25">
      <c r="C566" s="359"/>
      <c r="AI566" s="65"/>
      <c r="AJ566" s="65"/>
      <c r="AK566" s="65"/>
    </row>
    <row r="567" spans="3:37" ht="34.5" customHeight="1" x14ac:dyDescent="0.25">
      <c r="C567" s="359"/>
      <c r="AI567" s="65"/>
      <c r="AJ567" s="65"/>
      <c r="AK567" s="65"/>
    </row>
    <row r="568" spans="3:37" ht="34.5" customHeight="1" x14ac:dyDescent="0.25">
      <c r="C568" s="359"/>
      <c r="AI568" s="65"/>
      <c r="AJ568" s="65"/>
      <c r="AK568" s="65"/>
    </row>
    <row r="569" spans="3:37" ht="34.5" customHeight="1" x14ac:dyDescent="0.25">
      <c r="C569" s="359"/>
      <c r="AI569" s="65"/>
      <c r="AJ569" s="65"/>
      <c r="AK569" s="65"/>
    </row>
    <row r="570" spans="3:37" ht="34.5" customHeight="1" x14ac:dyDescent="0.25">
      <c r="C570" s="359"/>
      <c r="AI570" s="65"/>
      <c r="AJ570" s="65"/>
      <c r="AK570" s="65"/>
    </row>
    <row r="571" spans="3:37" ht="34.5" customHeight="1" x14ac:dyDescent="0.25">
      <c r="C571" s="359"/>
      <c r="AI571" s="65"/>
      <c r="AJ571" s="65"/>
      <c r="AK571" s="65"/>
    </row>
    <row r="572" spans="3:37" ht="34.5" customHeight="1" x14ac:dyDescent="0.25">
      <c r="C572" s="359"/>
      <c r="AI572" s="65"/>
      <c r="AJ572" s="65"/>
      <c r="AK572" s="65"/>
    </row>
    <row r="573" spans="3:37" ht="34.5" customHeight="1" x14ac:dyDescent="0.25">
      <c r="C573" s="359"/>
      <c r="AI573" s="65"/>
      <c r="AJ573" s="65"/>
      <c r="AK573" s="65"/>
    </row>
    <row r="574" spans="3:37" ht="34.5" customHeight="1" x14ac:dyDescent="0.25">
      <c r="C574" s="359"/>
      <c r="AI574" s="65"/>
      <c r="AJ574" s="65"/>
      <c r="AK574" s="65"/>
    </row>
    <row r="575" spans="3:37" ht="34.5" customHeight="1" x14ac:dyDescent="0.25">
      <c r="C575" s="359"/>
      <c r="AI575" s="65"/>
      <c r="AJ575" s="65"/>
      <c r="AK575" s="65"/>
    </row>
    <row r="576" spans="3:37" ht="34.5" customHeight="1" x14ac:dyDescent="0.25">
      <c r="C576" s="359"/>
      <c r="AI576" s="65"/>
      <c r="AJ576" s="65"/>
      <c r="AK576" s="65"/>
    </row>
    <row r="577" spans="3:37" ht="34.5" customHeight="1" x14ac:dyDescent="0.25">
      <c r="C577" s="359"/>
      <c r="AI577" s="65"/>
      <c r="AJ577" s="65"/>
      <c r="AK577" s="65"/>
    </row>
    <row r="578" spans="3:37" ht="34.5" customHeight="1" x14ac:dyDescent="0.25">
      <c r="C578" s="359"/>
      <c r="AI578" s="65"/>
      <c r="AJ578" s="65"/>
      <c r="AK578" s="65"/>
    </row>
    <row r="579" spans="3:37" ht="34.5" customHeight="1" x14ac:dyDescent="0.25">
      <c r="C579" s="359"/>
      <c r="AI579" s="65"/>
      <c r="AJ579" s="65"/>
      <c r="AK579" s="65"/>
    </row>
    <row r="580" spans="3:37" ht="34.5" customHeight="1" x14ac:dyDescent="0.25">
      <c r="C580" s="359"/>
      <c r="AI580" s="65"/>
      <c r="AJ580" s="65"/>
      <c r="AK580" s="65"/>
    </row>
    <row r="581" spans="3:37" ht="34.5" customHeight="1" x14ac:dyDescent="0.25">
      <c r="C581" s="359"/>
      <c r="AI581" s="65"/>
      <c r="AJ581" s="65"/>
      <c r="AK581" s="65"/>
    </row>
    <row r="582" spans="3:37" ht="34.5" customHeight="1" x14ac:dyDescent="0.25">
      <c r="C582" s="359"/>
      <c r="AI582" s="65"/>
      <c r="AJ582" s="65"/>
      <c r="AK582" s="65"/>
    </row>
    <row r="583" spans="3:37" ht="34.5" customHeight="1" x14ac:dyDescent="0.25">
      <c r="C583" s="359"/>
      <c r="AI583" s="65"/>
      <c r="AJ583" s="65"/>
      <c r="AK583" s="65"/>
    </row>
    <row r="584" spans="3:37" ht="34.5" customHeight="1" x14ac:dyDescent="0.25">
      <c r="C584" s="359"/>
      <c r="AI584" s="65"/>
      <c r="AJ584" s="65"/>
      <c r="AK584" s="65"/>
    </row>
    <row r="585" spans="3:37" ht="34.5" customHeight="1" x14ac:dyDescent="0.25">
      <c r="C585" s="359"/>
      <c r="AI585" s="65"/>
      <c r="AJ585" s="65"/>
      <c r="AK585" s="65"/>
    </row>
    <row r="586" spans="3:37" ht="34.5" customHeight="1" x14ac:dyDescent="0.25">
      <c r="C586" s="359"/>
      <c r="AI586" s="65"/>
      <c r="AJ586" s="65"/>
      <c r="AK586" s="65"/>
    </row>
    <row r="587" spans="3:37" ht="34.5" customHeight="1" x14ac:dyDescent="0.25">
      <c r="C587" s="359"/>
      <c r="AI587" s="65"/>
      <c r="AJ587" s="65"/>
      <c r="AK587" s="65"/>
    </row>
    <row r="588" spans="3:37" ht="34.5" customHeight="1" x14ac:dyDescent="0.25">
      <c r="C588" s="359"/>
      <c r="AI588" s="65"/>
      <c r="AJ588" s="65"/>
      <c r="AK588" s="65"/>
    </row>
    <row r="589" spans="3:37" ht="34.5" customHeight="1" x14ac:dyDescent="0.25">
      <c r="C589" s="359"/>
      <c r="AI589" s="65"/>
      <c r="AJ589" s="65"/>
      <c r="AK589" s="65"/>
    </row>
    <row r="590" spans="3:37" ht="34.5" customHeight="1" x14ac:dyDescent="0.25">
      <c r="C590" s="359"/>
      <c r="AI590" s="65"/>
      <c r="AJ590" s="65"/>
      <c r="AK590" s="65"/>
    </row>
    <row r="591" spans="3:37" ht="34.5" customHeight="1" x14ac:dyDescent="0.25">
      <c r="C591" s="359"/>
      <c r="AI591" s="65"/>
      <c r="AJ591" s="65"/>
      <c r="AK591" s="65"/>
    </row>
    <row r="592" spans="3:37" ht="34.5" customHeight="1" x14ac:dyDescent="0.25">
      <c r="C592" s="359"/>
      <c r="AI592" s="65"/>
      <c r="AJ592" s="65"/>
      <c r="AK592" s="65"/>
    </row>
    <row r="593" spans="3:37" ht="34.5" customHeight="1" x14ac:dyDescent="0.25">
      <c r="C593" s="359"/>
      <c r="AI593" s="65"/>
      <c r="AJ593" s="65"/>
      <c r="AK593" s="65"/>
    </row>
    <row r="594" spans="3:37" ht="34.5" customHeight="1" x14ac:dyDescent="0.25">
      <c r="C594" s="359"/>
      <c r="AI594" s="65"/>
      <c r="AJ594" s="65"/>
      <c r="AK594" s="65"/>
    </row>
    <row r="595" spans="3:37" ht="34.5" customHeight="1" x14ac:dyDescent="0.25">
      <c r="C595" s="359"/>
      <c r="AI595" s="65"/>
      <c r="AJ595" s="65"/>
      <c r="AK595" s="65"/>
    </row>
    <row r="596" spans="3:37" ht="34.5" customHeight="1" x14ac:dyDescent="0.25">
      <c r="C596" s="359"/>
      <c r="AI596" s="65"/>
      <c r="AJ596" s="65"/>
      <c r="AK596" s="65"/>
    </row>
    <row r="597" spans="3:37" ht="34.5" customHeight="1" x14ac:dyDescent="0.25">
      <c r="C597" s="359"/>
      <c r="AI597" s="65"/>
      <c r="AJ597" s="65"/>
      <c r="AK597" s="65"/>
    </row>
    <row r="598" spans="3:37" ht="34.5" customHeight="1" x14ac:dyDescent="0.25">
      <c r="C598" s="359"/>
      <c r="AI598" s="65"/>
      <c r="AJ598" s="65"/>
      <c r="AK598" s="65"/>
    </row>
    <row r="599" spans="3:37" ht="34.5" customHeight="1" x14ac:dyDescent="0.25">
      <c r="C599" s="359"/>
      <c r="AI599" s="65"/>
      <c r="AJ599" s="65"/>
      <c r="AK599" s="65"/>
    </row>
    <row r="600" spans="3:37" ht="34.5" customHeight="1" x14ac:dyDescent="0.25">
      <c r="C600" s="359"/>
      <c r="AI600" s="65"/>
      <c r="AJ600" s="65"/>
      <c r="AK600" s="65"/>
    </row>
    <row r="601" spans="3:37" ht="34.5" customHeight="1" x14ac:dyDescent="0.25">
      <c r="C601" s="359"/>
      <c r="AI601" s="65"/>
      <c r="AJ601" s="65"/>
      <c r="AK601" s="65"/>
    </row>
    <row r="602" spans="3:37" ht="34.5" customHeight="1" x14ac:dyDescent="0.25">
      <c r="C602" s="359"/>
      <c r="AI602" s="65"/>
      <c r="AJ602" s="65"/>
      <c r="AK602" s="65"/>
    </row>
    <row r="603" spans="3:37" ht="34.5" customHeight="1" x14ac:dyDescent="0.25">
      <c r="C603" s="359"/>
      <c r="AI603" s="65"/>
      <c r="AJ603" s="65"/>
      <c r="AK603" s="65"/>
    </row>
    <row r="604" spans="3:37" ht="34.5" customHeight="1" x14ac:dyDescent="0.25">
      <c r="C604" s="359"/>
      <c r="AI604" s="65"/>
      <c r="AJ604" s="65"/>
      <c r="AK604" s="65"/>
    </row>
    <row r="605" spans="3:37" ht="34.5" customHeight="1" x14ac:dyDescent="0.25">
      <c r="C605" s="359"/>
      <c r="AI605" s="65"/>
      <c r="AJ605" s="65"/>
      <c r="AK605" s="65"/>
    </row>
    <row r="606" spans="3:37" ht="34.5" customHeight="1" x14ac:dyDescent="0.25">
      <c r="C606" s="359"/>
      <c r="AI606" s="65"/>
      <c r="AJ606" s="65"/>
      <c r="AK606" s="65"/>
    </row>
    <row r="607" spans="3:37" ht="34.5" customHeight="1" x14ac:dyDescent="0.25">
      <c r="C607" s="359"/>
      <c r="AI607" s="65"/>
      <c r="AJ607" s="65"/>
      <c r="AK607" s="65"/>
    </row>
    <row r="608" spans="3:37" ht="34.5" customHeight="1" x14ac:dyDescent="0.25">
      <c r="C608" s="359"/>
      <c r="AI608" s="65"/>
      <c r="AJ608" s="65"/>
      <c r="AK608" s="65"/>
    </row>
    <row r="609" spans="3:37" ht="34.5" customHeight="1" x14ac:dyDescent="0.25">
      <c r="C609" s="359"/>
      <c r="AI609" s="65"/>
      <c r="AJ609" s="65"/>
      <c r="AK609" s="65"/>
    </row>
    <row r="610" spans="3:37" ht="34.5" customHeight="1" x14ac:dyDescent="0.25">
      <c r="C610" s="359"/>
      <c r="AI610" s="65"/>
      <c r="AJ610" s="65"/>
      <c r="AK610" s="65"/>
    </row>
    <row r="611" spans="3:37" ht="34.5" customHeight="1" x14ac:dyDescent="0.25">
      <c r="C611" s="359"/>
      <c r="AI611" s="65"/>
      <c r="AJ611" s="65"/>
      <c r="AK611" s="65"/>
    </row>
    <row r="612" spans="3:37" ht="34.5" customHeight="1" x14ac:dyDescent="0.25">
      <c r="C612" s="359"/>
      <c r="AI612" s="65"/>
      <c r="AJ612" s="65"/>
      <c r="AK612" s="65"/>
    </row>
    <row r="613" spans="3:37" ht="34.5" customHeight="1" x14ac:dyDescent="0.25">
      <c r="C613" s="359"/>
      <c r="AI613" s="65"/>
      <c r="AJ613" s="65"/>
      <c r="AK613" s="65"/>
    </row>
    <row r="614" spans="3:37" ht="34.5" customHeight="1" x14ac:dyDescent="0.25">
      <c r="C614" s="359"/>
      <c r="AI614" s="65"/>
      <c r="AJ614" s="65"/>
      <c r="AK614" s="65"/>
    </row>
    <row r="615" spans="3:37" ht="34.5" customHeight="1" x14ac:dyDescent="0.25">
      <c r="C615" s="359"/>
      <c r="AI615" s="65"/>
      <c r="AJ615" s="65"/>
      <c r="AK615" s="65"/>
    </row>
    <row r="616" spans="3:37" ht="34.5" customHeight="1" x14ac:dyDescent="0.25">
      <c r="C616" s="359"/>
      <c r="AI616" s="65"/>
      <c r="AJ616" s="65"/>
      <c r="AK616" s="65"/>
    </row>
    <row r="617" spans="3:37" ht="34.5" customHeight="1" x14ac:dyDescent="0.25">
      <c r="C617" s="359"/>
      <c r="AI617" s="65"/>
      <c r="AJ617" s="65"/>
      <c r="AK617" s="65"/>
    </row>
    <row r="618" spans="3:37" ht="34.5" customHeight="1" x14ac:dyDescent="0.25">
      <c r="C618" s="359"/>
      <c r="AI618" s="65"/>
      <c r="AJ618" s="65"/>
      <c r="AK618" s="65"/>
    </row>
    <row r="619" spans="3:37" ht="34.5" customHeight="1" x14ac:dyDescent="0.25">
      <c r="C619" s="359"/>
      <c r="AI619" s="65"/>
      <c r="AJ619" s="65"/>
      <c r="AK619" s="65"/>
    </row>
    <row r="620" spans="3:37" ht="34.5" customHeight="1" x14ac:dyDescent="0.25">
      <c r="C620" s="359"/>
      <c r="AI620" s="65"/>
      <c r="AJ620" s="65"/>
      <c r="AK620" s="65"/>
    </row>
    <row r="621" spans="3:37" ht="34.5" customHeight="1" x14ac:dyDescent="0.25">
      <c r="C621" s="359"/>
      <c r="AI621" s="65"/>
      <c r="AJ621" s="65"/>
      <c r="AK621" s="65"/>
    </row>
    <row r="622" spans="3:37" ht="34.5" customHeight="1" x14ac:dyDescent="0.25">
      <c r="C622" s="359"/>
      <c r="AI622" s="65"/>
      <c r="AJ622" s="65"/>
      <c r="AK622" s="65"/>
    </row>
    <row r="623" spans="3:37" ht="34.5" customHeight="1" x14ac:dyDescent="0.25">
      <c r="C623" s="359"/>
      <c r="AI623" s="65"/>
      <c r="AJ623" s="65"/>
      <c r="AK623" s="65"/>
    </row>
    <row r="624" spans="3:37" ht="34.5" customHeight="1" x14ac:dyDescent="0.25">
      <c r="C624" s="359"/>
      <c r="AI624" s="65"/>
      <c r="AJ624" s="65"/>
      <c r="AK624" s="65"/>
    </row>
    <row r="625" spans="3:37" ht="34.5" customHeight="1" x14ac:dyDescent="0.25">
      <c r="C625" s="359"/>
      <c r="AI625" s="65"/>
      <c r="AJ625" s="65"/>
      <c r="AK625" s="65"/>
    </row>
    <row r="626" spans="3:37" ht="34.5" customHeight="1" x14ac:dyDescent="0.25">
      <c r="C626" s="359"/>
      <c r="AI626" s="65"/>
      <c r="AJ626" s="65"/>
      <c r="AK626" s="65"/>
    </row>
    <row r="627" spans="3:37" ht="34.5" customHeight="1" x14ac:dyDescent="0.25">
      <c r="C627" s="359"/>
      <c r="AI627" s="65"/>
      <c r="AJ627" s="65"/>
      <c r="AK627" s="65"/>
    </row>
    <row r="628" spans="3:37" ht="34.5" customHeight="1" x14ac:dyDescent="0.25">
      <c r="C628" s="359"/>
      <c r="AI628" s="65"/>
      <c r="AJ628" s="65"/>
      <c r="AK628" s="65"/>
    </row>
    <row r="629" spans="3:37" ht="34.5" customHeight="1" x14ac:dyDescent="0.25">
      <c r="C629" s="359"/>
      <c r="AI629" s="65"/>
      <c r="AJ629" s="65"/>
      <c r="AK629" s="65"/>
    </row>
    <row r="630" spans="3:37" ht="34.5" customHeight="1" x14ac:dyDescent="0.25">
      <c r="C630" s="359"/>
      <c r="AI630" s="65"/>
      <c r="AJ630" s="65"/>
      <c r="AK630" s="65"/>
    </row>
    <row r="631" spans="3:37" ht="34.5" customHeight="1" x14ac:dyDescent="0.25">
      <c r="C631" s="359"/>
      <c r="AI631" s="65"/>
      <c r="AJ631" s="65"/>
      <c r="AK631" s="65"/>
    </row>
    <row r="632" spans="3:37" ht="34.5" customHeight="1" x14ac:dyDescent="0.25">
      <c r="C632" s="359"/>
      <c r="AI632" s="65"/>
      <c r="AJ632" s="65"/>
      <c r="AK632" s="65"/>
    </row>
    <row r="633" spans="3:37" ht="34.5" customHeight="1" x14ac:dyDescent="0.25">
      <c r="C633" s="359"/>
      <c r="AI633" s="65"/>
      <c r="AJ633" s="65"/>
      <c r="AK633" s="65"/>
    </row>
    <row r="634" spans="3:37" ht="34.5" customHeight="1" x14ac:dyDescent="0.25">
      <c r="C634" s="359"/>
      <c r="AI634" s="65"/>
      <c r="AJ634" s="65"/>
      <c r="AK634" s="65"/>
    </row>
    <row r="635" spans="3:37" ht="34.5" customHeight="1" x14ac:dyDescent="0.25">
      <c r="C635" s="359"/>
      <c r="AI635" s="65"/>
      <c r="AJ635" s="65"/>
      <c r="AK635" s="65"/>
    </row>
    <row r="636" spans="3:37" ht="34.5" customHeight="1" x14ac:dyDescent="0.25">
      <c r="C636" s="359"/>
      <c r="AI636" s="65"/>
      <c r="AJ636" s="65"/>
      <c r="AK636" s="65"/>
    </row>
    <row r="637" spans="3:37" ht="34.5" customHeight="1" x14ac:dyDescent="0.25">
      <c r="C637" s="359"/>
      <c r="AI637" s="65"/>
      <c r="AJ637" s="65"/>
      <c r="AK637" s="65"/>
    </row>
    <row r="638" spans="3:37" ht="34.5" customHeight="1" x14ac:dyDescent="0.25">
      <c r="C638" s="359"/>
      <c r="AI638" s="65"/>
      <c r="AJ638" s="65"/>
      <c r="AK638" s="65"/>
    </row>
    <row r="639" spans="3:37" ht="34.5" customHeight="1" x14ac:dyDescent="0.25">
      <c r="C639" s="359"/>
      <c r="AI639" s="65"/>
      <c r="AJ639" s="65"/>
      <c r="AK639" s="65"/>
    </row>
    <row r="640" spans="3:37" ht="34.5" customHeight="1" x14ac:dyDescent="0.25">
      <c r="C640" s="359"/>
      <c r="AI640" s="65"/>
      <c r="AJ640" s="65"/>
      <c r="AK640" s="65"/>
    </row>
    <row r="641" spans="3:37" ht="34.5" customHeight="1" x14ac:dyDescent="0.25">
      <c r="C641" s="359"/>
      <c r="AI641" s="65"/>
      <c r="AJ641" s="65"/>
      <c r="AK641" s="65"/>
    </row>
    <row r="642" spans="3:37" ht="34.5" customHeight="1" x14ac:dyDescent="0.25">
      <c r="C642" s="359"/>
      <c r="AI642" s="65"/>
      <c r="AJ642" s="65"/>
      <c r="AK642" s="65"/>
    </row>
    <row r="643" spans="3:37" ht="34.5" customHeight="1" x14ac:dyDescent="0.25">
      <c r="C643" s="359"/>
      <c r="AI643" s="65"/>
      <c r="AJ643" s="65"/>
      <c r="AK643" s="65"/>
    </row>
    <row r="644" spans="3:37" ht="34.5" customHeight="1" x14ac:dyDescent="0.25">
      <c r="C644" s="359"/>
      <c r="AI644" s="65"/>
      <c r="AJ644" s="65"/>
      <c r="AK644" s="65"/>
    </row>
    <row r="645" spans="3:37" ht="34.5" customHeight="1" x14ac:dyDescent="0.25">
      <c r="C645" s="359"/>
      <c r="AI645" s="65"/>
      <c r="AJ645" s="65"/>
      <c r="AK645" s="65"/>
    </row>
    <row r="646" spans="3:37" ht="34.5" customHeight="1" x14ac:dyDescent="0.25">
      <c r="C646" s="359"/>
      <c r="AI646" s="65"/>
      <c r="AJ646" s="65"/>
      <c r="AK646" s="65"/>
    </row>
    <row r="647" spans="3:37" ht="34.5" customHeight="1" x14ac:dyDescent="0.25">
      <c r="C647" s="359"/>
      <c r="AI647" s="65"/>
      <c r="AJ647" s="65"/>
      <c r="AK647" s="65"/>
    </row>
    <row r="648" spans="3:37" ht="34.5" customHeight="1" x14ac:dyDescent="0.25">
      <c r="C648" s="359"/>
      <c r="AI648" s="65"/>
      <c r="AJ648" s="65"/>
      <c r="AK648" s="65"/>
    </row>
    <row r="649" spans="3:37" ht="34.5" customHeight="1" x14ac:dyDescent="0.25">
      <c r="C649" s="359"/>
      <c r="AI649" s="65"/>
      <c r="AJ649" s="65"/>
      <c r="AK649" s="65"/>
    </row>
    <row r="650" spans="3:37" ht="34.5" customHeight="1" x14ac:dyDescent="0.25">
      <c r="C650" s="359"/>
      <c r="AI650" s="65"/>
      <c r="AJ650" s="65"/>
      <c r="AK650" s="65"/>
    </row>
    <row r="651" spans="3:37" ht="34.5" customHeight="1" x14ac:dyDescent="0.25">
      <c r="C651" s="359"/>
      <c r="AI651" s="65"/>
      <c r="AJ651" s="65"/>
      <c r="AK651" s="65"/>
    </row>
    <row r="652" spans="3:37" ht="34.5" customHeight="1" x14ac:dyDescent="0.25">
      <c r="C652" s="359"/>
      <c r="AI652" s="65"/>
      <c r="AJ652" s="65"/>
      <c r="AK652" s="65"/>
    </row>
    <row r="653" spans="3:37" ht="34.5" customHeight="1" x14ac:dyDescent="0.25">
      <c r="C653" s="359"/>
      <c r="AI653" s="65"/>
      <c r="AJ653" s="65"/>
      <c r="AK653" s="65"/>
    </row>
    <row r="654" spans="3:37" ht="34.5" customHeight="1" x14ac:dyDescent="0.25">
      <c r="C654" s="359"/>
      <c r="AI654" s="65"/>
      <c r="AJ654" s="65"/>
      <c r="AK654" s="65"/>
    </row>
    <row r="655" spans="3:37" ht="34.5" customHeight="1" x14ac:dyDescent="0.25">
      <c r="C655" s="359"/>
      <c r="AI655" s="65"/>
      <c r="AJ655" s="65"/>
      <c r="AK655" s="65"/>
    </row>
    <row r="656" spans="3:37" ht="34.5" customHeight="1" x14ac:dyDescent="0.25">
      <c r="C656" s="359"/>
      <c r="AI656" s="65"/>
      <c r="AJ656" s="65"/>
      <c r="AK656" s="65"/>
    </row>
    <row r="657" spans="3:37" ht="34.5" customHeight="1" x14ac:dyDescent="0.25">
      <c r="C657" s="359"/>
      <c r="AI657" s="65"/>
      <c r="AJ657" s="65"/>
      <c r="AK657" s="65"/>
    </row>
    <row r="658" spans="3:37" ht="34.5" customHeight="1" x14ac:dyDescent="0.25">
      <c r="C658" s="359"/>
      <c r="AI658" s="65"/>
      <c r="AJ658" s="65"/>
      <c r="AK658" s="65"/>
    </row>
    <row r="659" spans="3:37" ht="34.5" customHeight="1" x14ac:dyDescent="0.25">
      <c r="C659" s="359"/>
      <c r="AI659" s="65"/>
      <c r="AJ659" s="65"/>
      <c r="AK659" s="65"/>
    </row>
    <row r="660" spans="3:37" ht="34.5" customHeight="1" x14ac:dyDescent="0.25">
      <c r="C660" s="359"/>
      <c r="AI660" s="65"/>
      <c r="AJ660" s="65"/>
      <c r="AK660" s="65"/>
    </row>
    <row r="661" spans="3:37" ht="34.5" customHeight="1" x14ac:dyDescent="0.25">
      <c r="C661" s="359"/>
      <c r="AI661" s="65"/>
      <c r="AJ661" s="65"/>
      <c r="AK661" s="65"/>
    </row>
    <row r="662" spans="3:37" ht="34.5" customHeight="1" x14ac:dyDescent="0.25">
      <c r="C662" s="359"/>
      <c r="AI662" s="65"/>
      <c r="AJ662" s="65"/>
      <c r="AK662" s="65"/>
    </row>
    <row r="663" spans="3:37" ht="34.5" customHeight="1" x14ac:dyDescent="0.25">
      <c r="C663" s="359"/>
      <c r="AI663" s="65"/>
      <c r="AJ663" s="65"/>
      <c r="AK663" s="65"/>
    </row>
    <row r="664" spans="3:37" ht="34.5" customHeight="1" x14ac:dyDescent="0.25">
      <c r="C664" s="359"/>
      <c r="AI664" s="65"/>
      <c r="AJ664" s="65"/>
      <c r="AK664" s="65"/>
    </row>
    <row r="665" spans="3:37" ht="34.5" customHeight="1" x14ac:dyDescent="0.25">
      <c r="C665" s="359"/>
      <c r="AI665" s="65"/>
      <c r="AJ665" s="65"/>
      <c r="AK665" s="65"/>
    </row>
    <row r="666" spans="3:37" ht="34.5" customHeight="1" x14ac:dyDescent="0.25">
      <c r="C666" s="359"/>
      <c r="AI666" s="65"/>
      <c r="AJ666" s="65"/>
      <c r="AK666" s="65"/>
    </row>
    <row r="667" spans="3:37" ht="34.5" customHeight="1" x14ac:dyDescent="0.25">
      <c r="C667" s="359"/>
      <c r="AI667" s="65"/>
      <c r="AJ667" s="65"/>
      <c r="AK667" s="65"/>
    </row>
    <row r="668" spans="3:37" ht="34.5" customHeight="1" x14ac:dyDescent="0.25">
      <c r="C668" s="359"/>
      <c r="AI668" s="65"/>
      <c r="AJ668" s="65"/>
      <c r="AK668" s="65"/>
    </row>
    <row r="669" spans="3:37" ht="34.5" customHeight="1" x14ac:dyDescent="0.25">
      <c r="C669" s="359"/>
      <c r="AI669" s="65"/>
      <c r="AJ669" s="65"/>
      <c r="AK669" s="65"/>
    </row>
    <row r="670" spans="3:37" ht="34.5" customHeight="1" x14ac:dyDescent="0.25">
      <c r="C670" s="359"/>
      <c r="AI670" s="65"/>
      <c r="AJ670" s="65"/>
      <c r="AK670" s="65"/>
    </row>
    <row r="671" spans="3:37" ht="34.5" customHeight="1" x14ac:dyDescent="0.25">
      <c r="C671" s="359"/>
      <c r="AI671" s="65"/>
      <c r="AJ671" s="65"/>
      <c r="AK671" s="65"/>
    </row>
    <row r="672" spans="3:37" ht="34.5" customHeight="1" x14ac:dyDescent="0.25">
      <c r="C672" s="359"/>
      <c r="AI672" s="65"/>
      <c r="AJ672" s="65"/>
      <c r="AK672" s="65"/>
    </row>
  </sheetData>
  <autoFilter ref="A1:AK115" xr:uid="{00000000-0009-0000-0000-000005000000}"/>
  <conditionalFormatting sqref="A2:AK12 AF13:AK13 A13:AD13 A103:AK385 A14:AK101">
    <cfRule type="expression" dxfId="23" priority="9">
      <formula>$Z2="FACTURACION"</formula>
    </cfRule>
    <cfRule type="expression" dxfId="22" priority="10">
      <formula>$Z2="CARPETAS FACTURACION"</formula>
    </cfRule>
    <cfRule type="expression" dxfId="21" priority="11">
      <formula>$Z2="PEDIDO DIA"</formula>
    </cfRule>
    <cfRule type="expression" dxfId="20" priority="12">
      <formula>$Z2="ARCHIVADO"</formula>
    </cfRule>
  </conditionalFormatting>
  <conditionalFormatting sqref="A103:AK117 A2:AK101">
    <cfRule type="expression" dxfId="19" priority="8">
      <formula>$Z2="PROGRAMACION BRYAM"</formula>
    </cfRule>
  </conditionalFormatting>
  <conditionalFormatting sqref="A103:AK111 A2:AK101">
    <cfRule type="expression" dxfId="18" priority="7">
      <formula>$Z2="ASESOR"</formula>
    </cfRule>
  </conditionalFormatting>
  <conditionalFormatting sqref="A102:AK102">
    <cfRule type="expression" dxfId="17" priority="3">
      <formula>$Z102="FACTURACION"</formula>
    </cfRule>
    <cfRule type="expression" dxfId="16" priority="4">
      <formula>$Z102="CARPETAS FACTURACION"</formula>
    </cfRule>
    <cfRule type="expression" dxfId="15" priority="5">
      <formula>$Z102="PEDIDO DIA"</formula>
    </cfRule>
    <cfRule type="expression" dxfId="14" priority="6">
      <formula>$Z102="ARCHIVADO"</formula>
    </cfRule>
  </conditionalFormatting>
  <conditionalFormatting sqref="A102:AK102">
    <cfRule type="expression" dxfId="13" priority="2">
      <formula>$Z102="PROGRAMACION BRYAM"</formula>
    </cfRule>
  </conditionalFormatting>
  <conditionalFormatting sqref="A102:AK102">
    <cfRule type="expression" dxfId="12" priority="1">
      <formula>$Z102="ASESOR"</formula>
    </cfRule>
  </conditionalFormatting>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0000000}">
          <x14:formula1>
            <xm:f>LiSTAS!$B$2:$B$7</xm:f>
          </x14:formula1>
          <xm:sqref>K116:K1048576 K3 K5:K104</xm:sqref>
        </x14:dataValidation>
        <x14:dataValidation type="list" allowBlank="1" showInputMessage="1" showErrorMessage="1" xr:uid="{00000000-0002-0000-0500-000001000000}">
          <x14:formula1>
            <xm:f>LiSTAS!$A$2:$A$14</xm:f>
          </x14:formula1>
          <xm:sqref>V3 V5:V115</xm:sqref>
        </x14:dataValidation>
        <x14:dataValidation type="list" allowBlank="1" showInputMessage="1" showErrorMessage="1" xr:uid="{00000000-0002-0000-0500-000002000000}">
          <x14:formula1>
            <xm:f>LiSTAS!$C$2:$C$11</xm:f>
          </x14:formula1>
          <xm:sqref>Z2:Z115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3"/>
  <dimension ref="A1:HO374"/>
  <sheetViews>
    <sheetView zoomScaleNormal="100" workbookViewId="0">
      <pane xSplit="3" ySplit="1" topLeftCell="Z102" activePane="bottomRight" state="frozen"/>
      <selection pane="topRight" activeCell="D1" sqref="D1"/>
      <selection pane="bottomLeft" activeCell="A2" sqref="A2"/>
      <selection pane="bottomRight" activeCell="AJ109" sqref="AJ109"/>
    </sheetView>
  </sheetViews>
  <sheetFormatPr baseColWidth="10" defaultColWidth="8.85546875" defaultRowHeight="34.5" customHeight="1" x14ac:dyDescent="0.25"/>
  <cols>
    <col min="1" max="1" width="7" style="359" customWidth="1"/>
    <col min="2" max="2" width="4.5703125" style="359" customWidth="1"/>
    <col min="3" max="3" width="7.28515625" style="353" customWidth="1"/>
    <col min="4" max="4" width="13.140625" style="239" customWidth="1"/>
    <col min="5" max="5" width="30" style="193" customWidth="1"/>
    <col min="6" max="6" width="26.7109375" style="193" customWidth="1"/>
    <col min="7" max="7" width="18.85546875" style="65" customWidth="1"/>
    <col min="8" max="8" width="15.140625" style="65" customWidth="1"/>
    <col min="9" max="9" width="13.42578125" style="65" customWidth="1"/>
    <col min="10" max="10" width="10.7109375" style="65" bestFit="1" customWidth="1"/>
    <col min="11" max="11" width="16" style="65" customWidth="1"/>
    <col min="12" max="12" width="52.42578125" style="45" customWidth="1"/>
    <col min="13" max="13" width="5.140625" style="65" customWidth="1"/>
    <col min="14" max="14" width="5.5703125" style="65" customWidth="1"/>
    <col min="15" max="15" width="5.7109375" style="65" customWidth="1"/>
    <col min="16" max="16" width="6.28515625" style="65" customWidth="1"/>
    <col min="17" max="17" width="5.7109375" style="65" customWidth="1"/>
    <col min="18" max="18" width="3.7109375" style="65" customWidth="1"/>
    <col min="19" max="19" width="4.42578125" style="65" customWidth="1"/>
    <col min="20" max="20" width="3.7109375" style="65" customWidth="1"/>
    <col min="21" max="21" width="3.42578125" style="65" customWidth="1"/>
    <col min="22" max="22" width="13.7109375" style="65" customWidth="1"/>
    <col min="23" max="23" width="11.5703125" style="65" bestFit="1" customWidth="1"/>
    <col min="24" max="24" width="11.42578125" style="65" bestFit="1" customWidth="1"/>
    <col min="25" max="25" width="15.42578125" style="65" hidden="1" customWidth="1"/>
    <col min="26" max="26" width="16.28515625" style="193" customWidth="1"/>
    <col min="27" max="27" width="13.7109375" style="372" customWidth="1"/>
    <col min="28" max="28" width="5.85546875" style="65" customWidth="1"/>
    <col min="29" max="29" width="16" style="65" customWidth="1"/>
    <col min="30" max="30" width="12.42578125" style="65" customWidth="1"/>
    <col min="31" max="31" width="13.7109375" style="65" bestFit="1" customWidth="1"/>
    <col min="32" max="32" width="13.5703125" style="65" hidden="1" customWidth="1"/>
    <col min="33" max="33" width="42.28515625" style="236" customWidth="1"/>
    <col min="34" max="34" width="15.28515625" style="65" customWidth="1"/>
    <col min="35" max="35" width="13.7109375" style="78" bestFit="1" customWidth="1"/>
    <col min="36" max="36" width="8.28515625" style="78" customWidth="1"/>
    <col min="37" max="37" width="9.85546875" style="78" bestFit="1" customWidth="1"/>
    <col min="38" max="16384" width="8.85546875" style="65"/>
  </cols>
  <sheetData>
    <row r="1" spans="1:223" customFormat="1" ht="34.5" customHeight="1" x14ac:dyDescent="0.25">
      <c r="A1" s="1" t="s">
        <v>0</v>
      </c>
      <c r="B1" s="269" t="s">
        <v>1</v>
      </c>
      <c r="C1" s="1" t="s">
        <v>2</v>
      </c>
      <c r="D1" s="272" t="s">
        <v>3</v>
      </c>
      <c r="E1" s="1" t="s">
        <v>4</v>
      </c>
      <c r="F1" s="3" t="s">
        <v>5</v>
      </c>
      <c r="G1" s="3" t="s">
        <v>6</v>
      </c>
      <c r="H1" s="3" t="s">
        <v>7</v>
      </c>
      <c r="I1" s="1" t="s">
        <v>8</v>
      </c>
      <c r="J1" s="2" t="s">
        <v>9</v>
      </c>
      <c r="K1" s="4" t="s">
        <v>115</v>
      </c>
      <c r="L1" s="159" t="s">
        <v>11</v>
      </c>
      <c r="M1" s="6" t="s">
        <v>655</v>
      </c>
      <c r="N1" s="7" t="s">
        <v>13</v>
      </c>
      <c r="O1" s="8" t="s">
        <v>14</v>
      </c>
      <c r="P1" s="8" t="s">
        <v>15</v>
      </c>
      <c r="Q1" s="8" t="s">
        <v>16</v>
      </c>
      <c r="R1" s="9" t="s">
        <v>116</v>
      </c>
      <c r="S1" s="9" t="s">
        <v>330</v>
      </c>
      <c r="T1" s="9" t="s">
        <v>19</v>
      </c>
      <c r="U1" s="9" t="s">
        <v>20</v>
      </c>
      <c r="V1" s="4" t="s">
        <v>21</v>
      </c>
      <c r="W1" s="11" t="s">
        <v>22</v>
      </c>
      <c r="X1" s="2" t="s">
        <v>23</v>
      </c>
      <c r="Y1" s="12" t="s">
        <v>24</v>
      </c>
      <c r="Z1" s="13" t="s">
        <v>25</v>
      </c>
      <c r="AA1" s="367" t="s">
        <v>26</v>
      </c>
      <c r="AB1" s="6" t="s">
        <v>27</v>
      </c>
      <c r="AC1" s="15" t="s">
        <v>28</v>
      </c>
      <c r="AD1" s="15" t="s">
        <v>29</v>
      </c>
      <c r="AE1" s="15" t="s">
        <v>30</v>
      </c>
      <c r="AF1" s="16" t="s">
        <v>31</v>
      </c>
      <c r="AG1" s="86" t="s">
        <v>32</v>
      </c>
      <c r="AH1" s="240" t="s">
        <v>398</v>
      </c>
      <c r="AI1" s="87" t="s">
        <v>33</v>
      </c>
      <c r="AJ1" s="87" t="s">
        <v>34</v>
      </c>
      <c r="AK1" s="88" t="s">
        <v>126</v>
      </c>
    </row>
    <row r="2" spans="1:223" s="78" customFormat="1" ht="34.5" customHeight="1" x14ac:dyDescent="0.25">
      <c r="A2" s="353">
        <v>2025</v>
      </c>
      <c r="B2" s="354">
        <v>6</v>
      </c>
      <c r="C2" s="355">
        <v>22716</v>
      </c>
      <c r="D2" s="279">
        <v>45811</v>
      </c>
      <c r="E2" s="81" t="s">
        <v>1737</v>
      </c>
      <c r="F2" s="81" t="s">
        <v>1738</v>
      </c>
      <c r="G2" s="78" t="s">
        <v>148</v>
      </c>
      <c r="H2" s="78">
        <v>3105722235</v>
      </c>
      <c r="I2" s="78">
        <v>3105722235</v>
      </c>
      <c r="J2" s="66">
        <v>45834</v>
      </c>
      <c r="K2" s="306" t="s">
        <v>88</v>
      </c>
      <c r="L2" s="79" t="s">
        <v>2145</v>
      </c>
      <c r="M2" s="78" t="s">
        <v>136</v>
      </c>
      <c r="N2" s="78">
        <v>6034</v>
      </c>
      <c r="O2" s="78">
        <v>6853</v>
      </c>
      <c r="P2" s="78">
        <v>9172</v>
      </c>
      <c r="Q2" s="78">
        <v>5579</v>
      </c>
      <c r="R2" s="78" t="s">
        <v>136</v>
      </c>
      <c r="S2" s="78" t="s">
        <v>134</v>
      </c>
      <c r="T2" s="78" t="s">
        <v>134</v>
      </c>
      <c r="U2" s="78" t="s">
        <v>136</v>
      </c>
      <c r="V2" s="305" t="s">
        <v>119</v>
      </c>
      <c r="W2" s="66">
        <v>45834</v>
      </c>
      <c r="X2" s="66">
        <v>45834</v>
      </c>
      <c r="Z2" s="80" t="s">
        <v>85</v>
      </c>
      <c r="AA2" s="371">
        <v>0</v>
      </c>
      <c r="AB2" s="78">
        <v>6000</v>
      </c>
      <c r="AC2" s="228">
        <v>783770</v>
      </c>
      <c r="AD2" s="228">
        <f t="shared" ref="AD2:AD31" si="0">AC2*1.19</f>
        <v>932686.29999999993</v>
      </c>
      <c r="AE2" s="303">
        <v>470000</v>
      </c>
      <c r="AG2" s="210" t="s">
        <v>2097</v>
      </c>
      <c r="AH2" s="403">
        <v>45834</v>
      </c>
      <c r="AI2" s="66">
        <v>45834</v>
      </c>
      <c r="AJ2" s="78" t="s">
        <v>1705</v>
      </c>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c r="DN2" s="65"/>
      <c r="DO2" s="65"/>
      <c r="DP2" s="65"/>
      <c r="DQ2" s="65"/>
      <c r="DR2" s="65"/>
      <c r="DS2" s="65"/>
      <c r="DT2" s="65"/>
      <c r="DU2" s="65"/>
      <c r="DV2" s="65"/>
      <c r="DW2" s="65"/>
      <c r="DX2" s="65"/>
      <c r="DY2" s="65"/>
      <c r="DZ2" s="65"/>
      <c r="EA2" s="65"/>
      <c r="EB2" s="65"/>
      <c r="EC2" s="65"/>
      <c r="ED2" s="65"/>
      <c r="EE2" s="65"/>
      <c r="EF2" s="65"/>
      <c r="EG2" s="65"/>
      <c r="EH2" s="65"/>
      <c r="EI2" s="65"/>
      <c r="EJ2" s="65"/>
      <c r="EK2" s="65"/>
      <c r="EL2" s="65"/>
      <c r="EM2" s="65"/>
      <c r="EN2" s="65"/>
      <c r="EO2" s="65"/>
      <c r="EP2" s="65"/>
      <c r="EQ2" s="65"/>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c r="FZ2" s="65"/>
      <c r="GA2" s="65"/>
      <c r="GB2" s="65"/>
      <c r="GC2" s="65"/>
      <c r="GD2" s="65"/>
      <c r="GE2" s="65"/>
      <c r="GF2" s="65"/>
      <c r="GG2" s="65"/>
      <c r="GH2" s="65"/>
      <c r="GI2" s="65"/>
      <c r="GJ2" s="65"/>
      <c r="GK2" s="65"/>
      <c r="GL2" s="65"/>
      <c r="GM2" s="65"/>
      <c r="GN2" s="65"/>
      <c r="GO2" s="65"/>
      <c r="GP2" s="65"/>
      <c r="GQ2" s="65"/>
      <c r="GR2" s="65"/>
      <c r="GS2" s="65"/>
      <c r="GT2" s="65"/>
      <c r="GU2" s="65"/>
      <c r="GV2" s="65"/>
      <c r="GW2" s="65"/>
      <c r="GX2" s="65"/>
      <c r="GY2" s="65"/>
      <c r="GZ2" s="65"/>
      <c r="HA2" s="65"/>
      <c r="HB2" s="65"/>
      <c r="HC2" s="65"/>
      <c r="HD2" s="65"/>
      <c r="HE2" s="65"/>
      <c r="HF2" s="65"/>
      <c r="HG2" s="65"/>
      <c r="HH2" s="65"/>
      <c r="HI2" s="65"/>
      <c r="HJ2" s="65"/>
      <c r="HK2" s="65"/>
      <c r="HL2" s="65"/>
      <c r="HM2" s="65"/>
      <c r="HN2" s="65"/>
      <c r="HO2" s="65"/>
    </row>
    <row r="3" spans="1:223" s="78" customFormat="1" ht="30" x14ac:dyDescent="0.25">
      <c r="A3" s="353">
        <v>2025</v>
      </c>
      <c r="B3" s="354">
        <v>6</v>
      </c>
      <c r="C3" s="353">
        <v>22717</v>
      </c>
      <c r="D3" s="279">
        <v>45813</v>
      </c>
      <c r="E3" s="81" t="s">
        <v>1925</v>
      </c>
      <c r="F3" s="81" t="s">
        <v>1925</v>
      </c>
      <c r="G3" s="78" t="s">
        <v>143</v>
      </c>
      <c r="H3" s="78">
        <v>3054666551</v>
      </c>
      <c r="I3" s="78">
        <v>3054666551</v>
      </c>
      <c r="J3" s="66">
        <v>45818</v>
      </c>
      <c r="K3" s="306" t="s">
        <v>84</v>
      </c>
      <c r="L3" s="79" t="s">
        <v>1926</v>
      </c>
      <c r="M3" s="78" t="s">
        <v>136</v>
      </c>
      <c r="N3" s="78" t="s">
        <v>136</v>
      </c>
      <c r="O3" s="78" t="s">
        <v>136</v>
      </c>
      <c r="P3" s="78" t="s">
        <v>136</v>
      </c>
      <c r="Q3" s="78" t="s">
        <v>136</v>
      </c>
      <c r="R3" s="78" t="s">
        <v>136</v>
      </c>
      <c r="S3" s="78" t="s">
        <v>134</v>
      </c>
      <c r="T3" s="78" t="s">
        <v>134</v>
      </c>
      <c r="U3" s="78" t="s">
        <v>136</v>
      </c>
      <c r="V3" s="305" t="s">
        <v>119</v>
      </c>
      <c r="W3" s="66">
        <v>45822</v>
      </c>
      <c r="X3" s="66">
        <v>45824</v>
      </c>
      <c r="Z3" s="80" t="s">
        <v>85</v>
      </c>
      <c r="AA3" s="371">
        <v>95000</v>
      </c>
      <c r="AB3" s="78">
        <v>5959</v>
      </c>
      <c r="AC3" s="228">
        <v>79832</v>
      </c>
      <c r="AD3" s="228">
        <f t="shared" si="0"/>
        <v>95000.08</v>
      </c>
      <c r="AE3" s="303">
        <v>0</v>
      </c>
      <c r="AG3" s="210" t="s">
        <v>1993</v>
      </c>
      <c r="AH3" s="403">
        <v>45811</v>
      </c>
      <c r="AI3" s="66">
        <v>45826</v>
      </c>
      <c r="AJ3" s="78" t="s">
        <v>1705</v>
      </c>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row>
    <row r="4" spans="1:223" s="78" customFormat="1" ht="30" x14ac:dyDescent="0.25">
      <c r="A4" s="353">
        <v>2025</v>
      </c>
      <c r="B4" s="354">
        <v>6</v>
      </c>
      <c r="C4" s="353">
        <v>22718</v>
      </c>
      <c r="D4" s="279">
        <v>45811</v>
      </c>
      <c r="E4" s="81" t="s">
        <v>1923</v>
      </c>
      <c r="F4" s="81" t="s">
        <v>1923</v>
      </c>
      <c r="G4" s="78" t="s">
        <v>143</v>
      </c>
      <c r="H4" s="78">
        <v>3206343393</v>
      </c>
      <c r="I4" s="78">
        <v>3206343393</v>
      </c>
      <c r="J4" s="66">
        <v>45814</v>
      </c>
      <c r="K4" s="306" t="s">
        <v>84</v>
      </c>
      <c r="L4" s="79" t="s">
        <v>1924</v>
      </c>
      <c r="M4" s="78" t="s">
        <v>136</v>
      </c>
      <c r="N4" s="78" t="s">
        <v>136</v>
      </c>
      <c r="O4" s="78">
        <v>6819</v>
      </c>
      <c r="P4" s="78" t="s">
        <v>136</v>
      </c>
      <c r="Q4" s="78" t="s">
        <v>136</v>
      </c>
      <c r="R4" s="78" t="s">
        <v>136</v>
      </c>
      <c r="S4" s="78" t="s">
        <v>136</v>
      </c>
      <c r="T4" s="78" t="s">
        <v>134</v>
      </c>
      <c r="U4" s="78" t="s">
        <v>136</v>
      </c>
      <c r="V4" s="305" t="s">
        <v>590</v>
      </c>
      <c r="W4" s="66">
        <v>45817</v>
      </c>
      <c r="X4" s="66">
        <v>45819</v>
      </c>
      <c r="Z4" s="80" t="s">
        <v>85</v>
      </c>
      <c r="AA4" s="371">
        <v>178500</v>
      </c>
      <c r="AB4" s="78">
        <v>5952</v>
      </c>
      <c r="AC4" s="228">
        <v>150000</v>
      </c>
      <c r="AD4" s="228">
        <f t="shared" si="0"/>
        <v>178500</v>
      </c>
      <c r="AE4" s="303">
        <v>0</v>
      </c>
      <c r="AG4" s="210" t="s">
        <v>2104</v>
      </c>
      <c r="AH4" s="403">
        <v>45810</v>
      </c>
      <c r="AI4" s="66">
        <v>45821</v>
      </c>
      <c r="AJ4" s="78" t="s">
        <v>1705</v>
      </c>
      <c r="AL4" s="65"/>
      <c r="AM4" s="65"/>
      <c r="AN4" s="65"/>
      <c r="AO4" s="65"/>
      <c r="AP4" s="65"/>
      <c r="AQ4" s="65"/>
      <c r="AR4" s="65"/>
      <c r="AS4" s="65"/>
      <c r="AT4" s="65"/>
      <c r="AU4" s="65"/>
      <c r="AV4" s="65"/>
      <c r="AW4" s="65"/>
      <c r="AX4" s="65"/>
      <c r="AY4" s="65"/>
      <c r="AZ4" s="65"/>
      <c r="BA4" s="65"/>
      <c r="BB4" s="65"/>
      <c r="BC4" s="65"/>
      <c r="BD4" s="65"/>
      <c r="BE4" s="65"/>
      <c r="BF4" s="65"/>
      <c r="BG4" s="65"/>
      <c r="BH4" s="65"/>
      <c r="BI4" s="65"/>
      <c r="BJ4" s="65"/>
      <c r="BK4" s="65"/>
      <c r="BL4" s="65"/>
      <c r="BM4" s="65"/>
      <c r="BN4" s="65"/>
      <c r="BO4" s="65"/>
      <c r="BP4" s="65"/>
      <c r="BQ4" s="65"/>
      <c r="BR4" s="65"/>
      <c r="BS4" s="65"/>
      <c r="BT4" s="65"/>
      <c r="BU4" s="65"/>
      <c r="BV4" s="65"/>
      <c r="BW4" s="65"/>
      <c r="BX4" s="65"/>
      <c r="BY4" s="65"/>
      <c r="BZ4" s="65"/>
      <c r="CA4" s="65"/>
      <c r="CB4" s="65"/>
      <c r="CC4" s="65"/>
      <c r="CD4" s="65"/>
      <c r="CE4" s="65"/>
      <c r="CF4" s="65"/>
      <c r="CG4" s="65"/>
      <c r="CH4" s="65"/>
      <c r="CI4" s="65"/>
      <c r="CJ4" s="65"/>
      <c r="CK4" s="65"/>
      <c r="CL4" s="65"/>
      <c r="CM4" s="65"/>
      <c r="CN4" s="65"/>
      <c r="CO4" s="65"/>
      <c r="CP4" s="65"/>
      <c r="CQ4" s="65"/>
      <c r="CR4" s="65"/>
      <c r="CS4" s="65"/>
      <c r="CT4" s="65"/>
      <c r="CU4" s="65"/>
      <c r="CV4" s="65"/>
      <c r="CW4" s="65"/>
      <c r="CX4" s="65"/>
      <c r="CY4" s="65"/>
      <c r="CZ4" s="65"/>
      <c r="DA4" s="65"/>
      <c r="DB4" s="65"/>
      <c r="DC4" s="65"/>
      <c r="DD4" s="65"/>
      <c r="DE4" s="65"/>
      <c r="DF4" s="65"/>
      <c r="DG4" s="65"/>
      <c r="DH4" s="65"/>
      <c r="DI4" s="65"/>
      <c r="DJ4" s="65"/>
      <c r="DK4" s="65"/>
      <c r="DL4" s="65"/>
      <c r="DM4" s="65"/>
      <c r="DN4" s="65"/>
      <c r="DO4" s="65"/>
      <c r="DP4" s="65"/>
      <c r="DQ4" s="65"/>
      <c r="DR4" s="65"/>
      <c r="DS4" s="65"/>
      <c r="DT4" s="65"/>
      <c r="DU4" s="65"/>
      <c r="DV4" s="65"/>
      <c r="DW4" s="65"/>
      <c r="DX4" s="65"/>
      <c r="DY4" s="65"/>
      <c r="DZ4" s="65"/>
      <c r="EA4" s="65"/>
      <c r="EB4" s="65"/>
      <c r="EC4" s="65"/>
      <c r="ED4" s="65"/>
      <c r="EE4" s="65"/>
      <c r="EF4" s="65"/>
      <c r="EG4" s="65"/>
      <c r="EH4" s="65"/>
      <c r="EI4" s="65"/>
      <c r="EJ4" s="65"/>
      <c r="EK4" s="65"/>
      <c r="EL4" s="65"/>
      <c r="EM4" s="65"/>
      <c r="EN4" s="65"/>
      <c r="EO4" s="65"/>
      <c r="EP4" s="65"/>
      <c r="EQ4" s="65"/>
      <c r="ER4" s="65"/>
      <c r="ES4" s="65"/>
      <c r="ET4" s="65"/>
      <c r="EU4" s="65"/>
      <c r="EV4" s="65"/>
      <c r="EW4" s="65"/>
      <c r="EX4" s="65"/>
      <c r="EY4" s="65"/>
      <c r="EZ4" s="65"/>
      <c r="FA4" s="65"/>
      <c r="FB4" s="65"/>
      <c r="FC4" s="65"/>
      <c r="FD4" s="65"/>
      <c r="FE4" s="65"/>
      <c r="FF4" s="65"/>
      <c r="FG4" s="65"/>
      <c r="FH4" s="65"/>
      <c r="FI4" s="65"/>
      <c r="FJ4" s="65"/>
      <c r="FK4" s="65"/>
      <c r="FL4" s="65"/>
      <c r="FM4" s="65"/>
      <c r="FN4" s="65"/>
      <c r="FO4" s="65"/>
      <c r="FP4" s="65"/>
      <c r="FQ4" s="65"/>
      <c r="FR4" s="65"/>
      <c r="FS4" s="65"/>
      <c r="FT4" s="65"/>
      <c r="FU4" s="65"/>
      <c r="FV4" s="65"/>
      <c r="FW4" s="65"/>
      <c r="FX4" s="65"/>
      <c r="FY4" s="65"/>
      <c r="FZ4" s="65"/>
      <c r="GA4" s="65"/>
      <c r="GB4" s="65"/>
      <c r="GC4" s="65"/>
      <c r="GD4" s="65"/>
      <c r="GE4" s="65"/>
      <c r="GF4" s="65"/>
      <c r="GG4" s="65"/>
      <c r="GH4" s="65"/>
      <c r="GI4" s="65"/>
      <c r="GJ4" s="65"/>
      <c r="GK4" s="65"/>
      <c r="GL4" s="65"/>
      <c r="GM4" s="65"/>
      <c r="GN4" s="65"/>
      <c r="GO4" s="65"/>
      <c r="GP4" s="65"/>
      <c r="GQ4" s="65"/>
      <c r="GR4" s="65"/>
      <c r="GS4" s="65"/>
      <c r="GT4" s="65"/>
      <c r="GU4" s="65"/>
      <c r="GV4" s="65"/>
      <c r="GW4" s="65"/>
      <c r="GX4" s="65"/>
      <c r="GY4" s="65"/>
      <c r="GZ4" s="65"/>
      <c r="HA4" s="65"/>
      <c r="HB4" s="65"/>
      <c r="HC4" s="65"/>
      <c r="HD4" s="65"/>
      <c r="HE4" s="65"/>
      <c r="HF4" s="65"/>
      <c r="HG4" s="65"/>
      <c r="HH4" s="65"/>
      <c r="HI4" s="65"/>
      <c r="HJ4" s="65"/>
      <c r="HK4" s="65"/>
      <c r="HL4" s="65"/>
      <c r="HM4" s="65"/>
      <c r="HN4" s="65"/>
      <c r="HO4" s="65"/>
    </row>
    <row r="5" spans="1:223" s="78" customFormat="1" ht="34.5" customHeight="1" x14ac:dyDescent="0.25">
      <c r="A5" s="353">
        <v>2025</v>
      </c>
      <c r="B5" s="354">
        <v>6</v>
      </c>
      <c r="C5" s="355">
        <v>22719</v>
      </c>
      <c r="D5" s="279">
        <v>45811</v>
      </c>
      <c r="E5" s="81" t="s">
        <v>358</v>
      </c>
      <c r="F5" s="81" t="s">
        <v>2043</v>
      </c>
      <c r="G5" s="78" t="s">
        <v>98</v>
      </c>
      <c r="H5" s="78">
        <v>3216425669</v>
      </c>
      <c r="I5" s="78">
        <v>4487170</v>
      </c>
      <c r="J5" s="66">
        <v>45824</v>
      </c>
      <c r="K5" s="306" t="s">
        <v>86</v>
      </c>
      <c r="L5" s="79" t="s">
        <v>1904</v>
      </c>
      <c r="M5" s="78" t="s">
        <v>363</v>
      </c>
      <c r="N5" s="78" t="s">
        <v>136</v>
      </c>
      <c r="O5" s="78" t="s">
        <v>136</v>
      </c>
      <c r="P5" s="78" t="s">
        <v>136</v>
      </c>
      <c r="Q5" s="78" t="s">
        <v>136</v>
      </c>
      <c r="R5" s="78" t="s">
        <v>136</v>
      </c>
      <c r="S5" s="78" t="s">
        <v>136</v>
      </c>
      <c r="T5" s="78" t="s">
        <v>136</v>
      </c>
      <c r="U5" s="78" t="s">
        <v>136</v>
      </c>
      <c r="V5" s="305" t="s">
        <v>87</v>
      </c>
      <c r="W5" s="66">
        <v>45820</v>
      </c>
      <c r="X5" s="66"/>
      <c r="Z5" s="80" t="s">
        <v>97</v>
      </c>
      <c r="AA5" s="371">
        <v>0</v>
      </c>
      <c r="AB5" s="78">
        <v>5946</v>
      </c>
      <c r="AC5" s="228">
        <v>189124</v>
      </c>
      <c r="AD5" s="228">
        <f t="shared" si="0"/>
        <v>225057.56</v>
      </c>
      <c r="AE5" s="303">
        <v>0</v>
      </c>
      <c r="AG5" s="210" t="s">
        <v>2044</v>
      </c>
      <c r="AH5" s="241"/>
      <c r="AI5" s="66">
        <v>45820</v>
      </c>
      <c r="AJ5" s="78" t="s">
        <v>1705</v>
      </c>
      <c r="AL5" s="65"/>
      <c r="AM5" s="65"/>
      <c r="AN5" s="65"/>
      <c r="AO5" s="65"/>
      <c r="AP5" s="65"/>
      <c r="AQ5" s="65"/>
      <c r="AR5" s="65"/>
      <c r="AS5" s="65"/>
      <c r="AT5" s="65"/>
      <c r="AU5" s="65"/>
      <c r="AV5" s="65"/>
      <c r="AW5" s="65"/>
      <c r="AX5" s="65"/>
      <c r="AY5" s="65"/>
      <c r="AZ5" s="65"/>
      <c r="BA5" s="65"/>
      <c r="BB5" s="65"/>
      <c r="BC5" s="65"/>
      <c r="BD5" s="65"/>
      <c r="BE5" s="65"/>
      <c r="BF5" s="65"/>
      <c r="BG5" s="65"/>
      <c r="BH5" s="65"/>
      <c r="BI5" s="65"/>
      <c r="BJ5" s="65"/>
      <c r="BK5" s="65"/>
      <c r="BL5" s="65"/>
      <c r="BM5" s="65"/>
      <c r="BN5" s="65"/>
      <c r="BO5" s="65"/>
      <c r="BP5" s="65"/>
      <c r="BQ5" s="65"/>
      <c r="BR5" s="65"/>
      <c r="BS5" s="65"/>
      <c r="BT5" s="65"/>
      <c r="BU5" s="65"/>
      <c r="BV5" s="65"/>
      <c r="BW5" s="65"/>
      <c r="BX5" s="65"/>
      <c r="BY5" s="65"/>
      <c r="BZ5" s="65"/>
      <c r="CA5" s="65"/>
      <c r="CB5" s="65"/>
      <c r="CC5" s="65"/>
      <c r="CD5" s="65"/>
      <c r="CE5" s="65"/>
      <c r="CF5" s="65"/>
      <c r="CG5" s="65"/>
      <c r="CH5" s="65"/>
      <c r="CI5" s="65"/>
      <c r="CJ5" s="65"/>
      <c r="CK5" s="65"/>
      <c r="CL5" s="65"/>
      <c r="CM5" s="65"/>
      <c r="CN5" s="65"/>
      <c r="CO5" s="65"/>
      <c r="CP5" s="65"/>
      <c r="CQ5" s="65"/>
      <c r="CR5" s="65"/>
      <c r="CS5" s="65"/>
      <c r="CT5" s="65"/>
      <c r="CU5" s="65"/>
      <c r="CV5" s="65"/>
      <c r="CW5" s="65"/>
      <c r="CX5" s="65"/>
      <c r="CY5" s="65"/>
      <c r="CZ5" s="65"/>
      <c r="DA5" s="65"/>
      <c r="DB5" s="65"/>
      <c r="DC5" s="65"/>
      <c r="DD5" s="65"/>
      <c r="DE5" s="65"/>
      <c r="DF5" s="65"/>
      <c r="DG5" s="65"/>
      <c r="DH5" s="65"/>
      <c r="DI5" s="65"/>
      <c r="DJ5" s="65"/>
      <c r="DK5" s="65"/>
      <c r="DL5" s="65"/>
      <c r="DM5" s="65"/>
      <c r="DN5" s="65"/>
      <c r="DO5" s="65"/>
      <c r="DP5" s="65"/>
      <c r="DQ5" s="65"/>
      <c r="DR5" s="65"/>
      <c r="DS5" s="65"/>
      <c r="DT5" s="65"/>
      <c r="DU5" s="65"/>
      <c r="DV5" s="65"/>
      <c r="DW5" s="65"/>
      <c r="DX5" s="65"/>
      <c r="DY5" s="65"/>
      <c r="DZ5" s="65"/>
      <c r="EA5" s="65"/>
      <c r="EB5" s="65"/>
      <c r="EC5" s="65"/>
      <c r="ED5" s="65"/>
      <c r="EE5" s="65"/>
      <c r="EF5" s="65"/>
      <c r="EG5" s="65"/>
      <c r="EH5" s="65"/>
      <c r="EI5" s="65"/>
      <c r="EJ5" s="65"/>
      <c r="EK5" s="65"/>
      <c r="EL5" s="65"/>
      <c r="EM5" s="65"/>
      <c r="EN5" s="65"/>
      <c r="EO5" s="65"/>
      <c r="EP5" s="65"/>
      <c r="EQ5" s="65"/>
      <c r="ER5" s="65"/>
      <c r="ES5" s="65"/>
      <c r="ET5" s="65"/>
      <c r="EU5" s="65"/>
      <c r="EV5" s="65"/>
      <c r="EW5" s="65"/>
      <c r="EX5" s="65"/>
      <c r="EY5" s="65"/>
      <c r="EZ5" s="65"/>
      <c r="FA5" s="65"/>
      <c r="FB5" s="65"/>
      <c r="FC5" s="65"/>
      <c r="FD5" s="65"/>
      <c r="FE5" s="65"/>
      <c r="FF5" s="65"/>
      <c r="FG5" s="65"/>
      <c r="FH5" s="65"/>
      <c r="FI5" s="65"/>
      <c r="FJ5" s="65"/>
      <c r="FK5" s="65"/>
      <c r="FL5" s="65"/>
      <c r="FM5" s="65"/>
      <c r="FN5" s="65"/>
      <c r="FO5" s="65"/>
      <c r="FP5" s="65"/>
      <c r="FQ5" s="65"/>
      <c r="FR5" s="65"/>
      <c r="FS5" s="65"/>
      <c r="FT5" s="65"/>
      <c r="FU5" s="65"/>
      <c r="FV5" s="65"/>
      <c r="FW5" s="65"/>
      <c r="FX5" s="65"/>
      <c r="FY5" s="65"/>
      <c r="FZ5" s="65"/>
      <c r="GA5" s="65"/>
      <c r="GB5" s="65"/>
      <c r="GC5" s="65"/>
      <c r="GD5" s="65"/>
      <c r="GE5" s="65"/>
      <c r="GF5" s="65"/>
      <c r="GG5" s="65"/>
      <c r="GH5" s="65"/>
      <c r="GI5" s="65"/>
      <c r="GJ5" s="65"/>
      <c r="GK5" s="65"/>
      <c r="GL5" s="65"/>
      <c r="GM5" s="65"/>
      <c r="GN5" s="65"/>
      <c r="GO5" s="65"/>
      <c r="GP5" s="65"/>
      <c r="GQ5" s="65"/>
      <c r="GR5" s="65"/>
      <c r="GS5" s="65"/>
      <c r="GT5" s="65"/>
      <c r="GU5" s="65"/>
      <c r="GV5" s="65"/>
      <c r="GW5" s="65"/>
      <c r="GX5" s="65"/>
      <c r="GY5" s="65"/>
      <c r="GZ5" s="65"/>
      <c r="HA5" s="65"/>
      <c r="HB5" s="65"/>
      <c r="HC5" s="65"/>
      <c r="HD5" s="65"/>
      <c r="HE5" s="65"/>
      <c r="HF5" s="65"/>
      <c r="HG5" s="65"/>
      <c r="HH5" s="65"/>
      <c r="HI5" s="65"/>
      <c r="HJ5" s="65"/>
      <c r="HK5" s="65"/>
      <c r="HL5" s="65"/>
      <c r="HM5" s="65"/>
      <c r="HN5" s="65"/>
      <c r="HO5" s="65"/>
    </row>
    <row r="6" spans="1:223" s="78" customFormat="1" ht="66" customHeight="1" x14ac:dyDescent="0.25">
      <c r="A6" s="353">
        <v>2025</v>
      </c>
      <c r="B6" s="354">
        <v>6</v>
      </c>
      <c r="C6" s="353">
        <v>22720</v>
      </c>
      <c r="D6" s="279">
        <v>45812</v>
      </c>
      <c r="E6" s="81" t="s">
        <v>1934</v>
      </c>
      <c r="F6" s="81" t="s">
        <v>1935</v>
      </c>
      <c r="G6" s="78" t="s">
        <v>98</v>
      </c>
      <c r="H6" s="78">
        <v>3136509128</v>
      </c>
      <c r="I6" s="78">
        <v>3153588601</v>
      </c>
      <c r="J6" s="66">
        <v>45824</v>
      </c>
      <c r="K6" s="306" t="s">
        <v>86</v>
      </c>
      <c r="L6" s="79" t="s">
        <v>1936</v>
      </c>
      <c r="M6" s="78" t="s">
        <v>136</v>
      </c>
      <c r="N6" s="78">
        <v>5986</v>
      </c>
      <c r="O6" s="78" t="s">
        <v>136</v>
      </c>
      <c r="P6" s="78">
        <v>9088</v>
      </c>
      <c r="Q6" s="78" t="s">
        <v>136</v>
      </c>
      <c r="R6" s="78" t="s">
        <v>136</v>
      </c>
      <c r="S6" s="78" t="s">
        <v>134</v>
      </c>
      <c r="T6" s="78" t="s">
        <v>136</v>
      </c>
      <c r="U6" s="78" t="s">
        <v>136</v>
      </c>
      <c r="V6" s="305" t="s">
        <v>87</v>
      </c>
      <c r="W6" s="66">
        <v>45820</v>
      </c>
      <c r="X6" s="66">
        <v>45826</v>
      </c>
      <c r="Z6" s="80" t="s">
        <v>85</v>
      </c>
      <c r="AA6" s="371">
        <v>0</v>
      </c>
      <c r="AB6" s="78">
        <v>5951</v>
      </c>
      <c r="AC6" s="228">
        <v>2189335</v>
      </c>
      <c r="AD6" s="228">
        <f t="shared" si="0"/>
        <v>2605308.65</v>
      </c>
      <c r="AE6" s="303">
        <v>1302655</v>
      </c>
      <c r="AG6" s="210" t="s">
        <v>2130</v>
      </c>
      <c r="AH6" s="403">
        <v>45825</v>
      </c>
      <c r="AI6" s="66">
        <v>45826</v>
      </c>
      <c r="AJ6" s="78" t="s">
        <v>2227</v>
      </c>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5"/>
      <c r="CA6" s="65"/>
      <c r="CB6" s="65"/>
      <c r="CC6" s="65"/>
      <c r="CD6" s="65"/>
      <c r="CE6" s="65"/>
      <c r="CF6" s="65"/>
      <c r="CG6" s="65"/>
      <c r="CH6" s="65"/>
      <c r="CI6" s="65"/>
      <c r="CJ6" s="65"/>
      <c r="CK6" s="65"/>
      <c r="CL6" s="65"/>
      <c r="CM6" s="65"/>
      <c r="CN6" s="65"/>
      <c r="CO6" s="65"/>
      <c r="CP6" s="65"/>
      <c r="CQ6" s="65"/>
      <c r="CR6" s="65"/>
      <c r="CS6" s="65"/>
      <c r="CT6" s="65"/>
      <c r="CU6" s="65"/>
      <c r="CV6" s="65"/>
      <c r="CW6" s="65"/>
      <c r="CX6" s="65"/>
      <c r="CY6" s="65"/>
      <c r="CZ6" s="65"/>
      <c r="DA6" s="65"/>
      <c r="DB6" s="65"/>
      <c r="DC6" s="65"/>
      <c r="DD6" s="65"/>
      <c r="DE6" s="65"/>
      <c r="DF6" s="65"/>
      <c r="DG6" s="65"/>
      <c r="DH6" s="65"/>
      <c r="DI6" s="65"/>
      <c r="DJ6" s="65"/>
      <c r="DK6" s="65"/>
      <c r="DL6" s="65"/>
      <c r="DM6" s="65"/>
      <c r="DN6" s="65"/>
      <c r="DO6" s="65"/>
      <c r="DP6" s="65"/>
      <c r="DQ6" s="65"/>
      <c r="DR6" s="65"/>
      <c r="DS6" s="65"/>
      <c r="DT6" s="65"/>
      <c r="DU6" s="65"/>
      <c r="DV6" s="65"/>
      <c r="DW6" s="65"/>
      <c r="DX6" s="65"/>
      <c r="DY6" s="65"/>
      <c r="DZ6" s="65"/>
      <c r="EA6" s="65"/>
      <c r="EB6" s="65"/>
      <c r="EC6" s="65"/>
      <c r="ED6" s="65"/>
      <c r="EE6" s="65"/>
      <c r="EF6" s="65"/>
      <c r="EG6" s="65"/>
      <c r="EH6" s="65"/>
      <c r="EI6" s="65"/>
      <c r="EJ6" s="65"/>
      <c r="EK6" s="65"/>
      <c r="EL6" s="65"/>
      <c r="EM6" s="65"/>
      <c r="EN6" s="65"/>
      <c r="EO6" s="65"/>
      <c r="EP6" s="65"/>
      <c r="EQ6" s="65"/>
      <c r="ER6" s="65"/>
      <c r="ES6" s="65"/>
      <c r="ET6" s="65"/>
      <c r="EU6" s="65"/>
      <c r="EV6" s="65"/>
      <c r="EW6" s="65"/>
      <c r="EX6" s="65"/>
      <c r="EY6" s="65"/>
      <c r="EZ6" s="65"/>
      <c r="FA6" s="65"/>
      <c r="FB6" s="65"/>
      <c r="FC6" s="65"/>
      <c r="FD6" s="65"/>
      <c r="FE6" s="65"/>
      <c r="FF6" s="65"/>
      <c r="FG6" s="65"/>
      <c r="FH6" s="65"/>
      <c r="FI6" s="65"/>
      <c r="FJ6" s="65"/>
      <c r="FK6" s="65"/>
      <c r="FL6" s="65"/>
      <c r="FM6" s="65"/>
      <c r="FN6" s="65"/>
      <c r="FO6" s="65"/>
      <c r="FP6" s="65"/>
      <c r="FQ6" s="65"/>
      <c r="FR6" s="65"/>
      <c r="FS6" s="65"/>
      <c r="FT6" s="65"/>
      <c r="FU6" s="65"/>
      <c r="FV6" s="65"/>
      <c r="FW6" s="65"/>
      <c r="FX6" s="65"/>
      <c r="FY6" s="65"/>
      <c r="FZ6" s="65"/>
      <c r="GA6" s="65"/>
      <c r="GB6" s="65"/>
      <c r="GC6" s="65"/>
      <c r="GD6" s="65"/>
      <c r="GE6" s="65"/>
      <c r="GF6" s="65"/>
      <c r="GG6" s="65"/>
      <c r="GH6" s="65"/>
      <c r="GI6" s="65"/>
      <c r="GJ6" s="65"/>
      <c r="GK6" s="65"/>
      <c r="GL6" s="65"/>
      <c r="GM6" s="65"/>
      <c r="GN6" s="65"/>
      <c r="GO6" s="65"/>
      <c r="GP6" s="65"/>
      <c r="GQ6" s="65"/>
      <c r="GR6" s="65"/>
      <c r="GS6" s="65"/>
      <c r="GT6" s="65"/>
      <c r="GU6" s="65"/>
      <c r="GV6" s="65"/>
      <c r="GW6" s="65"/>
      <c r="GX6" s="65"/>
      <c r="GY6" s="65"/>
      <c r="GZ6" s="65"/>
      <c r="HA6" s="65"/>
      <c r="HB6" s="65"/>
      <c r="HC6" s="65"/>
      <c r="HD6" s="65"/>
      <c r="HE6" s="65"/>
      <c r="HF6" s="65"/>
      <c r="HG6" s="65"/>
      <c r="HH6" s="65"/>
      <c r="HI6" s="65"/>
      <c r="HJ6" s="65"/>
      <c r="HK6" s="65"/>
      <c r="HL6" s="65"/>
      <c r="HM6" s="65"/>
      <c r="HN6" s="65"/>
      <c r="HO6" s="65"/>
    </row>
    <row r="7" spans="1:223" s="78" customFormat="1" ht="36" customHeight="1" x14ac:dyDescent="0.25">
      <c r="A7" s="353">
        <v>2025</v>
      </c>
      <c r="B7" s="354">
        <v>6</v>
      </c>
      <c r="C7" s="353">
        <v>22721</v>
      </c>
      <c r="D7" s="279">
        <v>45811</v>
      </c>
      <c r="E7" s="81" t="s">
        <v>1947</v>
      </c>
      <c r="F7" s="81" t="s">
        <v>1948</v>
      </c>
      <c r="H7" s="78">
        <v>3502186171</v>
      </c>
      <c r="I7" s="78">
        <v>3184345568</v>
      </c>
      <c r="J7" s="66">
        <v>45821</v>
      </c>
      <c r="K7" s="306" t="s">
        <v>84</v>
      </c>
      <c r="L7" s="79" t="s">
        <v>1949</v>
      </c>
      <c r="M7" s="78" t="s">
        <v>136</v>
      </c>
      <c r="N7" s="78">
        <v>5994</v>
      </c>
      <c r="O7" s="78">
        <v>6829</v>
      </c>
      <c r="P7" s="78" t="s">
        <v>136</v>
      </c>
      <c r="Q7" s="78">
        <v>5590</v>
      </c>
      <c r="R7" s="78" t="s">
        <v>136</v>
      </c>
      <c r="S7" s="78" t="s">
        <v>134</v>
      </c>
      <c r="T7" s="78" t="s">
        <v>134</v>
      </c>
      <c r="U7" s="78" t="s">
        <v>136</v>
      </c>
      <c r="V7" s="305" t="s">
        <v>590</v>
      </c>
      <c r="W7" s="66">
        <v>45820</v>
      </c>
      <c r="X7" s="66">
        <v>45824</v>
      </c>
      <c r="Z7" s="80" t="s">
        <v>85</v>
      </c>
      <c r="AA7" s="371">
        <v>0</v>
      </c>
      <c r="AB7" s="78">
        <v>5947</v>
      </c>
      <c r="AC7" s="228">
        <v>531011</v>
      </c>
      <c r="AD7" s="228">
        <f t="shared" si="0"/>
        <v>631903.09</v>
      </c>
      <c r="AE7" s="303">
        <v>316000</v>
      </c>
      <c r="AG7" s="210" t="s">
        <v>2128</v>
      </c>
      <c r="AH7" s="403">
        <v>45821</v>
      </c>
      <c r="AI7" s="66">
        <v>45826</v>
      </c>
      <c r="AJ7" s="78" t="s">
        <v>1705</v>
      </c>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c r="GN7" s="65"/>
      <c r="GO7" s="65"/>
      <c r="GP7" s="65"/>
      <c r="GQ7" s="65"/>
      <c r="GR7" s="65"/>
      <c r="GS7" s="65"/>
      <c r="GT7" s="65"/>
      <c r="GU7" s="65"/>
      <c r="GV7" s="65"/>
      <c r="GW7" s="65"/>
      <c r="GX7" s="65"/>
      <c r="GY7" s="65"/>
      <c r="GZ7" s="65"/>
      <c r="HA7" s="65"/>
      <c r="HB7" s="65"/>
      <c r="HC7" s="65"/>
      <c r="HD7" s="65"/>
      <c r="HE7" s="65"/>
      <c r="HF7" s="65"/>
      <c r="HG7" s="65"/>
      <c r="HH7" s="65"/>
      <c r="HI7" s="65"/>
      <c r="HJ7" s="65"/>
      <c r="HK7" s="65"/>
      <c r="HL7" s="65"/>
      <c r="HM7" s="65"/>
      <c r="HN7" s="65"/>
      <c r="HO7" s="65"/>
    </row>
    <row r="8" spans="1:223" s="78" customFormat="1" ht="34.5" customHeight="1" x14ac:dyDescent="0.25">
      <c r="A8" s="353">
        <v>2025</v>
      </c>
      <c r="B8" s="354">
        <v>6</v>
      </c>
      <c r="C8" s="355">
        <v>22722</v>
      </c>
      <c r="D8" s="279">
        <v>45811</v>
      </c>
      <c r="E8" s="81" t="s">
        <v>1086</v>
      </c>
      <c r="F8" s="81" t="s">
        <v>1086</v>
      </c>
      <c r="G8" s="78" t="s">
        <v>143</v>
      </c>
      <c r="H8" s="78">
        <v>3145853742</v>
      </c>
      <c r="I8" s="78">
        <v>3145853742</v>
      </c>
      <c r="J8" s="66">
        <v>45821</v>
      </c>
      <c r="K8" s="306" t="s">
        <v>94</v>
      </c>
      <c r="L8" s="79" t="s">
        <v>1966</v>
      </c>
      <c r="M8" s="78" t="s">
        <v>282</v>
      </c>
      <c r="N8" s="78" t="s">
        <v>136</v>
      </c>
      <c r="O8" s="78">
        <v>6820</v>
      </c>
      <c r="P8" s="78">
        <v>9186</v>
      </c>
      <c r="Q8" s="78" t="s">
        <v>136</v>
      </c>
      <c r="R8" s="78" t="s">
        <v>136</v>
      </c>
      <c r="S8" s="78" t="s">
        <v>134</v>
      </c>
      <c r="T8" s="78" t="s">
        <v>136</v>
      </c>
      <c r="U8" s="78" t="s">
        <v>136</v>
      </c>
      <c r="V8" s="305" t="s">
        <v>590</v>
      </c>
      <c r="W8" s="66">
        <v>45822</v>
      </c>
      <c r="X8" s="66">
        <v>45833</v>
      </c>
      <c r="Z8" s="80" t="s">
        <v>85</v>
      </c>
      <c r="AA8" s="371">
        <v>0</v>
      </c>
      <c r="AB8" s="78">
        <v>5958</v>
      </c>
      <c r="AC8" s="228">
        <v>811263</v>
      </c>
      <c r="AD8" s="228">
        <f t="shared" si="0"/>
        <v>965402.97</v>
      </c>
      <c r="AE8" s="303">
        <v>482700</v>
      </c>
      <c r="AG8" s="210" t="s">
        <v>2212</v>
      </c>
      <c r="AH8" s="438">
        <v>45834</v>
      </c>
      <c r="AI8" s="66">
        <v>45836</v>
      </c>
      <c r="AJ8" s="78" t="s">
        <v>1705</v>
      </c>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c r="DU8" s="65"/>
      <c r="DV8" s="65"/>
      <c r="DW8" s="65"/>
      <c r="DX8" s="65"/>
      <c r="DY8" s="65"/>
      <c r="DZ8" s="65"/>
      <c r="EA8" s="65"/>
      <c r="EB8" s="65"/>
      <c r="EC8" s="65"/>
      <c r="ED8" s="65"/>
      <c r="EE8" s="65"/>
      <c r="EF8" s="65"/>
      <c r="EG8" s="65"/>
      <c r="EH8" s="65"/>
      <c r="EI8" s="65"/>
      <c r="EJ8" s="65"/>
      <c r="EK8" s="65"/>
      <c r="EL8" s="65"/>
      <c r="EM8" s="65"/>
      <c r="EN8" s="65"/>
      <c r="EO8" s="65"/>
      <c r="EP8" s="65"/>
      <c r="EQ8" s="65"/>
      <c r="ER8" s="65"/>
      <c r="ES8" s="65"/>
      <c r="ET8" s="65"/>
      <c r="EU8" s="65"/>
      <c r="EV8" s="65"/>
      <c r="EW8" s="65"/>
      <c r="EX8" s="65"/>
      <c r="EY8" s="65"/>
      <c r="EZ8" s="65"/>
      <c r="FA8" s="65"/>
      <c r="FB8" s="65"/>
      <c r="FC8" s="65"/>
      <c r="FD8" s="65"/>
      <c r="FE8" s="65"/>
      <c r="FF8" s="65"/>
      <c r="FG8" s="65"/>
      <c r="FH8" s="65"/>
      <c r="FI8" s="65"/>
      <c r="FJ8" s="65"/>
      <c r="FK8" s="65"/>
      <c r="FL8" s="65"/>
      <c r="FM8" s="65"/>
      <c r="FN8" s="65"/>
      <c r="FO8" s="65"/>
      <c r="FP8" s="65"/>
      <c r="FQ8" s="65"/>
      <c r="FR8" s="65"/>
      <c r="FS8" s="65"/>
      <c r="FT8" s="65"/>
      <c r="FU8" s="65"/>
      <c r="FV8" s="65"/>
      <c r="FW8" s="65"/>
      <c r="FX8" s="65"/>
      <c r="FY8" s="65"/>
      <c r="FZ8" s="65"/>
      <c r="GA8" s="65"/>
      <c r="GB8" s="65"/>
      <c r="GC8" s="65"/>
      <c r="GD8" s="65"/>
      <c r="GE8" s="65"/>
      <c r="GF8" s="65"/>
      <c r="GG8" s="65"/>
      <c r="GH8" s="65"/>
      <c r="GI8" s="65"/>
      <c r="GJ8" s="65"/>
      <c r="GK8" s="65"/>
      <c r="GL8" s="65"/>
      <c r="GM8" s="65"/>
      <c r="GN8" s="65"/>
      <c r="GO8" s="65"/>
      <c r="GP8" s="65"/>
      <c r="GQ8" s="65"/>
      <c r="GR8" s="65"/>
      <c r="GS8" s="65"/>
      <c r="GT8" s="65"/>
      <c r="GU8" s="65"/>
      <c r="GV8" s="65"/>
      <c r="GW8" s="65"/>
      <c r="GX8" s="65"/>
      <c r="GY8" s="65"/>
      <c r="GZ8" s="65"/>
      <c r="HA8" s="65"/>
      <c r="HB8" s="65"/>
      <c r="HC8" s="65"/>
      <c r="HD8" s="65"/>
      <c r="HE8" s="65"/>
      <c r="HF8" s="65"/>
      <c r="HG8" s="65"/>
      <c r="HH8" s="65"/>
      <c r="HI8" s="65"/>
      <c r="HJ8" s="65"/>
      <c r="HK8" s="65"/>
      <c r="HL8" s="65"/>
      <c r="HM8" s="65"/>
      <c r="HN8" s="65"/>
      <c r="HO8" s="65"/>
    </row>
    <row r="9" spans="1:223" s="78" customFormat="1" ht="34.5" customHeight="1" x14ac:dyDescent="0.25">
      <c r="A9" s="353">
        <v>2025</v>
      </c>
      <c r="B9" s="354">
        <v>6</v>
      </c>
      <c r="C9" s="353">
        <v>22723</v>
      </c>
      <c r="D9" s="279">
        <v>45814</v>
      </c>
      <c r="E9" s="81" t="s">
        <v>1840</v>
      </c>
      <c r="F9" s="81" t="s">
        <v>1840</v>
      </c>
      <c r="G9" s="78" t="s">
        <v>143</v>
      </c>
      <c r="H9" s="78">
        <v>3117538683</v>
      </c>
      <c r="I9" s="78">
        <v>3117538683</v>
      </c>
      <c r="J9" s="66">
        <v>45817</v>
      </c>
      <c r="K9" s="78" t="s">
        <v>94</v>
      </c>
      <c r="L9" s="79" t="s">
        <v>1927</v>
      </c>
      <c r="M9" s="78" t="s">
        <v>136</v>
      </c>
      <c r="N9" s="78" t="s">
        <v>136</v>
      </c>
      <c r="O9" s="78" t="s">
        <v>136</v>
      </c>
      <c r="P9" s="78" t="s">
        <v>136</v>
      </c>
      <c r="Q9" s="78" t="s">
        <v>136</v>
      </c>
      <c r="R9" s="78" t="s">
        <v>134</v>
      </c>
      <c r="S9" s="78" t="s">
        <v>136</v>
      </c>
      <c r="T9" s="78" t="s">
        <v>136</v>
      </c>
      <c r="U9" s="78" t="s">
        <v>136</v>
      </c>
      <c r="V9" s="305" t="s">
        <v>119</v>
      </c>
      <c r="W9" s="66">
        <v>45817</v>
      </c>
      <c r="X9" s="66">
        <v>45821</v>
      </c>
      <c r="Z9" s="80" t="s">
        <v>85</v>
      </c>
      <c r="AA9" s="371">
        <v>250000</v>
      </c>
      <c r="AB9" s="78">
        <v>5932</v>
      </c>
      <c r="AC9" s="228">
        <v>210084</v>
      </c>
      <c r="AD9" s="228">
        <f t="shared" si="0"/>
        <v>249999.96</v>
      </c>
      <c r="AE9" s="303">
        <v>0</v>
      </c>
      <c r="AG9" s="210" t="s">
        <v>2139</v>
      </c>
      <c r="AH9" s="403">
        <v>45807</v>
      </c>
      <c r="AI9" s="66">
        <v>45826</v>
      </c>
      <c r="AJ9" s="78" t="s">
        <v>1705</v>
      </c>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c r="DQ9" s="65"/>
      <c r="DR9" s="65"/>
      <c r="DS9" s="65"/>
      <c r="DT9" s="65"/>
      <c r="DU9" s="65"/>
      <c r="DV9" s="65"/>
      <c r="DW9" s="65"/>
      <c r="DX9" s="65"/>
      <c r="DY9" s="65"/>
      <c r="DZ9" s="65"/>
      <c r="EA9" s="65"/>
      <c r="EB9" s="65"/>
      <c r="EC9" s="65"/>
      <c r="ED9" s="65"/>
      <c r="EE9" s="65"/>
      <c r="EF9" s="65"/>
      <c r="EG9" s="65"/>
      <c r="EH9" s="65"/>
      <c r="EI9" s="65"/>
      <c r="EJ9" s="65"/>
      <c r="EK9" s="65"/>
      <c r="EL9" s="65"/>
      <c r="EM9" s="65"/>
      <c r="EN9" s="65"/>
      <c r="EO9" s="65"/>
      <c r="EP9" s="65"/>
      <c r="EQ9" s="65"/>
      <c r="ER9" s="65"/>
      <c r="ES9" s="65"/>
      <c r="ET9" s="65"/>
      <c r="EU9" s="65"/>
      <c r="EV9" s="65"/>
      <c r="EW9" s="65"/>
      <c r="EX9" s="65"/>
      <c r="EY9" s="65"/>
      <c r="EZ9" s="65"/>
      <c r="FA9" s="65"/>
      <c r="FB9" s="65"/>
      <c r="FC9" s="65"/>
      <c r="FD9" s="65"/>
      <c r="FE9" s="65"/>
      <c r="FF9" s="65"/>
      <c r="FG9" s="65"/>
      <c r="FH9" s="65"/>
      <c r="FI9" s="65"/>
      <c r="FJ9" s="65"/>
      <c r="FK9" s="65"/>
      <c r="FL9" s="65"/>
      <c r="FM9" s="65"/>
      <c r="FN9" s="65"/>
      <c r="FO9" s="65"/>
      <c r="FP9" s="65"/>
      <c r="FQ9" s="65"/>
      <c r="FR9" s="65"/>
      <c r="FS9" s="65"/>
      <c r="FT9" s="65"/>
      <c r="FU9" s="65"/>
      <c r="FV9" s="65"/>
      <c r="FW9" s="65"/>
      <c r="FX9" s="65"/>
      <c r="FY9" s="65"/>
      <c r="FZ9" s="65"/>
      <c r="GA9" s="65"/>
      <c r="GB9" s="65"/>
      <c r="GC9" s="65"/>
      <c r="GD9" s="65"/>
      <c r="GE9" s="65"/>
      <c r="GF9" s="65"/>
      <c r="GG9" s="65"/>
      <c r="GH9" s="65"/>
      <c r="GI9" s="65"/>
      <c r="GJ9" s="65"/>
      <c r="GK9" s="65"/>
      <c r="GL9" s="65"/>
      <c r="GM9" s="65"/>
      <c r="GN9" s="65"/>
      <c r="GO9" s="65"/>
      <c r="GP9" s="65"/>
      <c r="GQ9" s="65"/>
      <c r="GR9" s="65"/>
      <c r="GS9" s="65"/>
      <c r="GT9" s="65"/>
      <c r="GU9" s="65"/>
      <c r="GV9" s="65"/>
      <c r="GW9" s="65"/>
      <c r="GX9" s="65"/>
      <c r="GY9" s="65"/>
      <c r="GZ9" s="65"/>
      <c r="HA9" s="65"/>
      <c r="HB9" s="65"/>
      <c r="HC9" s="65"/>
      <c r="HD9" s="65"/>
      <c r="HE9" s="65"/>
      <c r="HF9" s="65"/>
      <c r="HG9" s="65"/>
      <c r="HH9" s="65"/>
      <c r="HI9" s="65"/>
      <c r="HJ9" s="65"/>
      <c r="HK9" s="65"/>
      <c r="HL9" s="65"/>
      <c r="HM9" s="65"/>
      <c r="HN9" s="65"/>
      <c r="HO9" s="65"/>
    </row>
    <row r="10" spans="1:223" s="78" customFormat="1" ht="34.5" customHeight="1" x14ac:dyDescent="0.25">
      <c r="A10" s="353">
        <v>2025</v>
      </c>
      <c r="B10" s="354">
        <v>6</v>
      </c>
      <c r="C10" s="353">
        <v>22724</v>
      </c>
      <c r="D10" s="279">
        <v>45818</v>
      </c>
      <c r="E10" s="81" t="s">
        <v>2177</v>
      </c>
      <c r="F10" s="81" t="s">
        <v>2177</v>
      </c>
      <c r="G10" s="78" t="s">
        <v>143</v>
      </c>
      <c r="H10" s="78">
        <v>3006005374</v>
      </c>
      <c r="I10" s="78">
        <v>3006005374</v>
      </c>
      <c r="J10" s="66">
        <v>45840</v>
      </c>
      <c r="K10" s="306" t="s">
        <v>84</v>
      </c>
      <c r="L10" s="79" t="s">
        <v>2182</v>
      </c>
      <c r="M10" s="78" t="s">
        <v>136</v>
      </c>
      <c r="N10" s="78">
        <v>6047</v>
      </c>
      <c r="O10" s="78">
        <v>6854</v>
      </c>
      <c r="P10" s="78">
        <v>9179</v>
      </c>
      <c r="Q10" s="78">
        <v>5585</v>
      </c>
      <c r="R10" s="78" t="s">
        <v>136</v>
      </c>
      <c r="S10" s="78" t="s">
        <v>134</v>
      </c>
      <c r="T10" s="78" t="s">
        <v>134</v>
      </c>
      <c r="U10" s="78" t="s">
        <v>136</v>
      </c>
      <c r="V10" s="305" t="s">
        <v>119</v>
      </c>
      <c r="W10" s="66">
        <v>45841</v>
      </c>
      <c r="X10" s="66">
        <v>45850</v>
      </c>
      <c r="Z10" s="80" t="s">
        <v>85</v>
      </c>
      <c r="AA10" s="371">
        <v>0</v>
      </c>
      <c r="AB10" s="78">
        <v>6027</v>
      </c>
      <c r="AC10" s="228">
        <v>1414611</v>
      </c>
      <c r="AD10" s="228">
        <f t="shared" si="0"/>
        <v>1683387.0899999999</v>
      </c>
      <c r="AE10" s="303">
        <v>841694</v>
      </c>
      <c r="AG10" s="210" t="s">
        <v>1987</v>
      </c>
      <c r="AH10" s="403">
        <v>45842</v>
      </c>
      <c r="AI10" s="66">
        <v>45859</v>
      </c>
      <c r="AJ10" s="78" t="s">
        <v>1705</v>
      </c>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row>
    <row r="11" spans="1:223" s="78" customFormat="1" ht="51.75" customHeight="1" x14ac:dyDescent="0.25">
      <c r="A11" s="353">
        <v>2025</v>
      </c>
      <c r="B11" s="354">
        <v>6</v>
      </c>
      <c r="C11" s="355">
        <v>22725</v>
      </c>
      <c r="D11" s="279">
        <v>45814</v>
      </c>
      <c r="E11" s="81" t="s">
        <v>1964</v>
      </c>
      <c r="F11" s="81" t="s">
        <v>1964</v>
      </c>
      <c r="G11" s="78" t="s">
        <v>143</v>
      </c>
      <c r="H11" s="78">
        <v>3174148439</v>
      </c>
      <c r="I11" s="78">
        <v>3174148439</v>
      </c>
      <c r="J11" s="66">
        <v>45825</v>
      </c>
      <c r="K11" s="306" t="s">
        <v>84</v>
      </c>
      <c r="L11" s="79" t="s">
        <v>1965</v>
      </c>
      <c r="M11" s="78" t="s">
        <v>136</v>
      </c>
      <c r="N11" s="78">
        <v>6003</v>
      </c>
      <c r="O11" s="78">
        <v>6833</v>
      </c>
      <c r="P11" s="78" t="s">
        <v>136</v>
      </c>
      <c r="Q11" s="78">
        <v>5584</v>
      </c>
      <c r="R11" s="78" t="s">
        <v>136</v>
      </c>
      <c r="S11" s="78" t="s">
        <v>134</v>
      </c>
      <c r="T11" s="78" t="s">
        <v>134</v>
      </c>
      <c r="U11" s="78" t="s">
        <v>136</v>
      </c>
      <c r="V11" s="305" t="s">
        <v>89</v>
      </c>
      <c r="W11" s="66">
        <v>45822</v>
      </c>
      <c r="X11" s="66">
        <v>45827</v>
      </c>
      <c r="Z11" s="80" t="s">
        <v>85</v>
      </c>
      <c r="AA11" s="371">
        <v>0</v>
      </c>
      <c r="AB11" s="78">
        <v>5960</v>
      </c>
      <c r="AC11" s="228">
        <v>1426890</v>
      </c>
      <c r="AD11" s="228">
        <f t="shared" si="0"/>
        <v>1697999.0999999999</v>
      </c>
      <c r="AE11" s="303">
        <v>830000</v>
      </c>
      <c r="AG11" s="210" t="s">
        <v>2213</v>
      </c>
      <c r="AH11" s="438">
        <v>45825</v>
      </c>
      <c r="AI11" s="66">
        <v>45825</v>
      </c>
      <c r="AJ11" s="78" t="s">
        <v>1705</v>
      </c>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c r="CE11" s="65"/>
      <c r="CF11" s="65"/>
      <c r="CG11" s="65"/>
      <c r="CH11" s="65"/>
      <c r="CI11" s="65"/>
      <c r="CJ11" s="65"/>
      <c r="CK11" s="65"/>
      <c r="CL11" s="65"/>
      <c r="CM11" s="65"/>
      <c r="CN11" s="65"/>
      <c r="CO11" s="65"/>
      <c r="CP11" s="65"/>
      <c r="CQ11" s="65"/>
      <c r="CR11" s="65"/>
      <c r="CS11" s="65"/>
      <c r="CT11" s="65"/>
      <c r="CU11" s="65"/>
      <c r="CV11" s="65"/>
      <c r="CW11" s="65"/>
      <c r="CX11" s="65"/>
      <c r="CY11" s="65"/>
      <c r="CZ11" s="65"/>
      <c r="DA11" s="65"/>
      <c r="DB11" s="65"/>
      <c r="DC11" s="65"/>
      <c r="DD11" s="65"/>
      <c r="DE11" s="65"/>
      <c r="DF11" s="65"/>
      <c r="DG11" s="65"/>
      <c r="DH11" s="65"/>
      <c r="DI11" s="65"/>
      <c r="DJ11" s="65"/>
      <c r="DK11" s="65"/>
      <c r="DL11" s="65"/>
      <c r="DM11" s="65"/>
      <c r="DN11" s="65"/>
      <c r="DO11" s="65"/>
      <c r="DP11" s="65"/>
      <c r="DQ11" s="65"/>
      <c r="DR11" s="65"/>
      <c r="DS11" s="65"/>
      <c r="DT11" s="65"/>
      <c r="DU11" s="65"/>
      <c r="DV11" s="65"/>
      <c r="DW11" s="65"/>
      <c r="DX11" s="65"/>
      <c r="DY11" s="65"/>
      <c r="DZ11" s="65"/>
      <c r="EA11" s="65"/>
      <c r="EB11" s="65"/>
      <c r="EC11" s="65"/>
      <c r="ED11" s="65"/>
      <c r="EE11" s="65"/>
      <c r="EF11" s="65"/>
      <c r="EG11" s="65"/>
      <c r="EH11" s="65"/>
      <c r="EI11" s="65"/>
      <c r="EJ11" s="65"/>
      <c r="EK11" s="65"/>
      <c r="EL11" s="65"/>
      <c r="EM11" s="65"/>
      <c r="EN11" s="65"/>
      <c r="EO11" s="65"/>
      <c r="EP11" s="65"/>
      <c r="EQ11" s="65"/>
      <c r="ER11" s="65"/>
      <c r="ES11" s="65"/>
      <c r="ET11" s="65"/>
      <c r="EU11" s="65"/>
      <c r="EV11" s="65"/>
      <c r="EW11" s="65"/>
      <c r="EX11" s="65"/>
      <c r="EY11" s="65"/>
      <c r="EZ11" s="65"/>
      <c r="FA11" s="65"/>
      <c r="FB11" s="65"/>
      <c r="FC11" s="65"/>
      <c r="FD11" s="65"/>
      <c r="FE11" s="65"/>
      <c r="FF11" s="65"/>
      <c r="FG11" s="65"/>
      <c r="FH11" s="65"/>
      <c r="FI11" s="65"/>
      <c r="FJ11" s="65"/>
      <c r="FK11" s="65"/>
      <c r="FL11" s="65"/>
      <c r="FM11" s="65"/>
      <c r="FN11" s="65"/>
      <c r="FO11" s="65"/>
      <c r="FP11" s="65"/>
      <c r="FQ11" s="65"/>
      <c r="FR11" s="65"/>
      <c r="FS11" s="65"/>
      <c r="FT11" s="65"/>
      <c r="FU11" s="65"/>
      <c r="FV11" s="65"/>
      <c r="FW11" s="65"/>
      <c r="FX11" s="65"/>
      <c r="FY11" s="65"/>
      <c r="FZ11" s="65"/>
      <c r="GA11" s="65"/>
      <c r="GB11" s="65"/>
      <c r="GC11" s="65"/>
      <c r="GD11" s="65"/>
      <c r="GE11" s="65"/>
      <c r="GF11" s="65"/>
      <c r="GG11" s="65"/>
      <c r="GH11" s="65"/>
      <c r="GI11" s="65"/>
      <c r="GJ11" s="65"/>
      <c r="GK11" s="65"/>
      <c r="GL11" s="65"/>
      <c r="GM11" s="65"/>
      <c r="GN11" s="65"/>
      <c r="GO11" s="65"/>
      <c r="GP11" s="65"/>
      <c r="GQ11" s="65"/>
      <c r="GR11" s="65"/>
      <c r="GS11" s="65"/>
      <c r="GT11" s="65"/>
      <c r="GU11" s="65"/>
      <c r="GV11" s="65"/>
      <c r="GW11" s="65"/>
      <c r="GX11" s="65"/>
      <c r="GY11" s="65"/>
      <c r="GZ11" s="65"/>
      <c r="HA11" s="65"/>
      <c r="HB11" s="65"/>
      <c r="HC11" s="65"/>
      <c r="HD11" s="65"/>
      <c r="HE11" s="65"/>
      <c r="HF11" s="65"/>
      <c r="HG11" s="65"/>
      <c r="HH11" s="65"/>
      <c r="HI11" s="65"/>
      <c r="HJ11" s="65"/>
      <c r="HK11" s="65"/>
      <c r="HL11" s="65"/>
      <c r="HM11" s="65"/>
      <c r="HN11" s="65"/>
      <c r="HO11" s="65"/>
    </row>
    <row r="12" spans="1:223" s="78" customFormat="1" ht="47.25" customHeight="1" x14ac:dyDescent="0.25">
      <c r="A12" s="353">
        <v>2025</v>
      </c>
      <c r="B12" s="354">
        <v>6</v>
      </c>
      <c r="C12" s="353">
        <v>22726</v>
      </c>
      <c r="D12" s="279">
        <v>45812</v>
      </c>
      <c r="E12" s="81" t="s">
        <v>1945</v>
      </c>
      <c r="F12" s="81" t="s">
        <v>196</v>
      </c>
      <c r="G12" s="78" t="s">
        <v>143</v>
      </c>
      <c r="H12" s="78">
        <v>3137372413</v>
      </c>
      <c r="I12" s="78">
        <v>6045604050</v>
      </c>
      <c r="J12" s="66">
        <v>45824</v>
      </c>
      <c r="K12" s="306" t="s">
        <v>88</v>
      </c>
      <c r="L12" s="79" t="s">
        <v>1946</v>
      </c>
      <c r="M12" s="78" t="s">
        <v>136</v>
      </c>
      <c r="N12" s="78">
        <v>5990</v>
      </c>
      <c r="O12" s="78">
        <v>6822</v>
      </c>
      <c r="P12" s="78">
        <v>9162</v>
      </c>
      <c r="Q12" s="78">
        <v>5574</v>
      </c>
      <c r="R12" s="78" t="s">
        <v>134</v>
      </c>
      <c r="S12" s="78" t="s">
        <v>134</v>
      </c>
      <c r="T12" s="78" t="s">
        <v>134</v>
      </c>
      <c r="U12" s="78" t="s">
        <v>136</v>
      </c>
      <c r="V12" s="305" t="s">
        <v>89</v>
      </c>
      <c r="W12" s="66">
        <v>45820</v>
      </c>
      <c r="X12" s="66"/>
      <c r="Z12" s="80" t="s">
        <v>97</v>
      </c>
      <c r="AA12" s="371">
        <v>0</v>
      </c>
      <c r="AB12" s="78">
        <v>5990</v>
      </c>
      <c r="AC12" s="228">
        <v>1949580</v>
      </c>
      <c r="AD12" s="228">
        <f t="shared" si="0"/>
        <v>2320000.1999999997</v>
      </c>
      <c r="AE12" s="303">
        <v>0</v>
      </c>
      <c r="AG12" s="210"/>
      <c r="AH12" s="241"/>
      <c r="AI12" s="66">
        <v>45820</v>
      </c>
      <c r="AJ12" s="78" t="s">
        <v>1705</v>
      </c>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c r="CE12" s="65"/>
      <c r="CF12" s="65"/>
      <c r="CG12" s="65"/>
      <c r="CH12" s="65"/>
      <c r="CI12" s="65"/>
      <c r="CJ12" s="65"/>
      <c r="CK12" s="65"/>
      <c r="CL12" s="65"/>
      <c r="CM12" s="65"/>
      <c r="CN12" s="65"/>
      <c r="CO12" s="65"/>
      <c r="CP12" s="65"/>
      <c r="CQ12" s="65"/>
      <c r="CR12" s="65"/>
      <c r="CS12" s="65"/>
      <c r="CT12" s="65"/>
      <c r="CU12" s="65"/>
      <c r="CV12" s="65"/>
      <c r="CW12" s="65"/>
      <c r="CX12" s="65"/>
      <c r="CY12" s="65"/>
      <c r="CZ12" s="65"/>
      <c r="DA12" s="65"/>
      <c r="DB12" s="65"/>
      <c r="DC12" s="65"/>
      <c r="DD12" s="65"/>
      <c r="DE12" s="65"/>
      <c r="DF12" s="65"/>
      <c r="DG12" s="65"/>
      <c r="DH12" s="65"/>
      <c r="DI12" s="65"/>
      <c r="DJ12" s="65"/>
      <c r="DK12" s="65"/>
      <c r="DL12" s="65"/>
      <c r="DM12" s="65"/>
      <c r="DN12" s="65"/>
      <c r="DO12" s="65"/>
      <c r="DP12" s="65"/>
      <c r="DQ12" s="65"/>
      <c r="DR12" s="65"/>
      <c r="DS12" s="65"/>
      <c r="DT12" s="65"/>
      <c r="DU12" s="65"/>
      <c r="DV12" s="65"/>
      <c r="DW12" s="65"/>
      <c r="DX12" s="65"/>
      <c r="DY12" s="65"/>
      <c r="DZ12" s="65"/>
      <c r="EA12" s="65"/>
      <c r="EB12" s="65"/>
      <c r="EC12" s="65"/>
      <c r="ED12" s="65"/>
      <c r="EE12" s="65"/>
      <c r="EF12" s="65"/>
      <c r="EG12" s="65"/>
      <c r="EH12" s="65"/>
      <c r="EI12" s="65"/>
      <c r="EJ12" s="65"/>
      <c r="EK12" s="65"/>
      <c r="EL12" s="65"/>
      <c r="EM12" s="65"/>
      <c r="EN12" s="65"/>
      <c r="EO12" s="65"/>
      <c r="EP12" s="65"/>
      <c r="EQ12" s="65"/>
      <c r="ER12" s="65"/>
      <c r="ES12" s="65"/>
      <c r="ET12" s="65"/>
      <c r="EU12" s="65"/>
      <c r="EV12" s="65"/>
      <c r="EW12" s="65"/>
      <c r="EX12" s="65"/>
      <c r="EY12" s="65"/>
      <c r="EZ12" s="65"/>
      <c r="FA12" s="65"/>
      <c r="FB12" s="65"/>
      <c r="FC12" s="65"/>
      <c r="FD12" s="65"/>
      <c r="FE12" s="65"/>
      <c r="FF12" s="65"/>
      <c r="FG12" s="65"/>
      <c r="FH12" s="65"/>
      <c r="FI12" s="65"/>
      <c r="FJ12" s="65"/>
      <c r="FK12" s="65"/>
      <c r="FL12" s="65"/>
      <c r="FM12" s="65"/>
      <c r="FN12" s="65"/>
      <c r="FO12" s="65"/>
      <c r="FP12" s="65"/>
      <c r="FQ12" s="65"/>
      <c r="FR12" s="65"/>
      <c r="FS12" s="65"/>
      <c r="FT12" s="65"/>
      <c r="FU12" s="65"/>
      <c r="FV12" s="65"/>
      <c r="FW12" s="65"/>
      <c r="FX12" s="65"/>
      <c r="FY12" s="65"/>
      <c r="FZ12" s="65"/>
      <c r="GA12" s="65"/>
      <c r="GB12" s="65"/>
      <c r="GC12" s="65"/>
      <c r="GD12" s="65"/>
      <c r="GE12" s="65"/>
      <c r="GF12" s="65"/>
      <c r="GG12" s="65"/>
      <c r="GH12" s="65"/>
      <c r="GI12" s="65"/>
      <c r="GJ12" s="65"/>
      <c r="GK12" s="65"/>
      <c r="GL12" s="65"/>
      <c r="GM12" s="65"/>
      <c r="GN12" s="65"/>
      <c r="GO12" s="65"/>
      <c r="GP12" s="65"/>
      <c r="GQ12" s="65"/>
      <c r="GR12" s="65"/>
      <c r="GS12" s="65"/>
      <c r="GT12" s="65"/>
      <c r="GU12" s="65"/>
      <c r="GV12" s="65"/>
      <c r="GW12" s="65"/>
      <c r="GX12" s="65"/>
      <c r="GY12" s="65"/>
      <c r="GZ12" s="65"/>
      <c r="HA12" s="65"/>
      <c r="HB12" s="65"/>
      <c r="HC12" s="65"/>
      <c r="HD12" s="65"/>
      <c r="HE12" s="65"/>
      <c r="HF12" s="65"/>
      <c r="HG12" s="65"/>
      <c r="HH12" s="65"/>
      <c r="HI12" s="65"/>
      <c r="HJ12" s="65"/>
      <c r="HK12" s="65"/>
      <c r="HL12" s="65"/>
      <c r="HM12" s="65"/>
      <c r="HN12" s="65"/>
      <c r="HO12" s="65"/>
    </row>
    <row r="13" spans="1:223" s="78" customFormat="1" ht="38.25" customHeight="1" x14ac:dyDescent="0.25">
      <c r="A13" s="353">
        <v>2025</v>
      </c>
      <c r="B13" s="354">
        <v>6</v>
      </c>
      <c r="C13" s="353">
        <v>22727</v>
      </c>
      <c r="D13" s="279">
        <v>45813</v>
      </c>
      <c r="E13" s="81" t="s">
        <v>1967</v>
      </c>
      <c r="F13" s="81" t="s">
        <v>1967</v>
      </c>
      <c r="H13" s="78">
        <v>3016756303</v>
      </c>
      <c r="I13" s="78">
        <v>3016756303</v>
      </c>
      <c r="J13" s="66">
        <v>45825</v>
      </c>
      <c r="K13" s="306" t="s">
        <v>94</v>
      </c>
      <c r="L13" s="79" t="s">
        <v>1968</v>
      </c>
      <c r="M13" s="78" t="s">
        <v>136</v>
      </c>
      <c r="N13" s="78">
        <v>5992</v>
      </c>
      <c r="O13" s="78" t="s">
        <v>136</v>
      </c>
      <c r="P13" s="78" t="s">
        <v>136</v>
      </c>
      <c r="Q13" s="78" t="s">
        <v>136</v>
      </c>
      <c r="R13" s="78" t="s">
        <v>136</v>
      </c>
      <c r="S13" s="78" t="s">
        <v>134</v>
      </c>
      <c r="T13" s="78" t="s">
        <v>1969</v>
      </c>
      <c r="U13" s="78" t="s">
        <v>136</v>
      </c>
      <c r="V13" s="305" t="s">
        <v>87</v>
      </c>
      <c r="W13" s="66">
        <v>45825</v>
      </c>
      <c r="X13" s="66">
        <v>45825</v>
      </c>
      <c r="Z13" s="80" t="s">
        <v>85</v>
      </c>
      <c r="AA13" s="371">
        <v>0</v>
      </c>
      <c r="AB13" s="78">
        <v>5967</v>
      </c>
      <c r="AC13" s="228">
        <v>3252100</v>
      </c>
      <c r="AD13" s="228">
        <f t="shared" si="0"/>
        <v>3869999</v>
      </c>
      <c r="AE13" s="303">
        <v>2500000</v>
      </c>
      <c r="AG13" s="210" t="s">
        <v>2134</v>
      </c>
      <c r="AH13" s="403">
        <v>45825</v>
      </c>
      <c r="AI13" s="66">
        <v>45826</v>
      </c>
      <c r="AJ13" s="78" t="s">
        <v>1705</v>
      </c>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c r="DQ13" s="65"/>
      <c r="DR13" s="65"/>
      <c r="DS13" s="65"/>
      <c r="DT13" s="65"/>
      <c r="DU13" s="65"/>
      <c r="DV13" s="65"/>
      <c r="DW13" s="65"/>
      <c r="DX13" s="65"/>
      <c r="DY13" s="65"/>
      <c r="DZ13" s="65"/>
      <c r="EA13" s="65"/>
      <c r="EB13" s="65"/>
      <c r="EC13" s="65"/>
      <c r="ED13" s="65"/>
      <c r="EE13" s="65"/>
      <c r="EF13" s="65"/>
      <c r="EG13" s="65"/>
      <c r="EH13" s="65"/>
      <c r="EI13" s="65"/>
      <c r="EJ13" s="65"/>
      <c r="EK13" s="65"/>
      <c r="EL13" s="65"/>
      <c r="EM13" s="65"/>
      <c r="EN13" s="65"/>
      <c r="EO13" s="65"/>
      <c r="EP13" s="65"/>
      <c r="EQ13" s="65"/>
      <c r="ER13" s="65"/>
      <c r="ES13" s="65"/>
      <c r="ET13" s="65"/>
      <c r="EU13" s="65"/>
      <c r="EV13" s="65"/>
      <c r="EW13" s="65"/>
      <c r="EX13" s="65"/>
      <c r="EY13" s="65"/>
      <c r="EZ13" s="65"/>
      <c r="FA13" s="65"/>
      <c r="FB13" s="65"/>
      <c r="FC13" s="65"/>
      <c r="FD13" s="65"/>
      <c r="FE13" s="65"/>
      <c r="FF13" s="65"/>
      <c r="FG13" s="65"/>
      <c r="FH13" s="65"/>
      <c r="FI13" s="65"/>
      <c r="FJ13" s="65"/>
      <c r="FK13" s="65"/>
      <c r="FL13" s="65"/>
      <c r="FM13" s="65"/>
      <c r="FN13" s="65"/>
      <c r="FO13" s="65"/>
      <c r="FP13" s="65"/>
      <c r="FQ13" s="65"/>
      <c r="FR13" s="65"/>
      <c r="FS13" s="65"/>
      <c r="FT13" s="65"/>
      <c r="FU13" s="65"/>
      <c r="FV13" s="65"/>
      <c r="FW13" s="65"/>
      <c r="FX13" s="65"/>
      <c r="FY13" s="65"/>
      <c r="FZ13" s="65"/>
      <c r="GA13" s="65"/>
      <c r="GB13" s="65"/>
      <c r="GC13" s="65"/>
      <c r="GD13" s="65"/>
      <c r="GE13" s="65"/>
      <c r="GF13" s="65"/>
      <c r="GG13" s="65"/>
      <c r="GH13" s="65"/>
      <c r="GI13" s="65"/>
      <c r="GJ13" s="65"/>
      <c r="GK13" s="65"/>
      <c r="GL13" s="65"/>
      <c r="GM13" s="65"/>
      <c r="GN13" s="65"/>
      <c r="GO13" s="65"/>
      <c r="GP13" s="65"/>
      <c r="GQ13" s="65"/>
      <c r="GR13" s="65"/>
      <c r="GS13" s="65"/>
      <c r="GT13" s="65"/>
      <c r="GU13" s="65"/>
      <c r="GV13" s="65"/>
      <c r="GW13" s="65"/>
      <c r="GX13" s="65"/>
      <c r="GY13" s="65"/>
      <c r="GZ13" s="65"/>
      <c r="HA13" s="65"/>
      <c r="HB13" s="65"/>
      <c r="HC13" s="65"/>
      <c r="HD13" s="65"/>
      <c r="HE13" s="65"/>
      <c r="HF13" s="65"/>
      <c r="HG13" s="65"/>
      <c r="HH13" s="65"/>
      <c r="HI13" s="65"/>
      <c r="HJ13" s="65"/>
      <c r="HK13" s="65"/>
      <c r="HL13" s="65"/>
      <c r="HM13" s="65"/>
      <c r="HN13" s="65"/>
      <c r="HO13" s="65"/>
    </row>
    <row r="14" spans="1:223" s="78" customFormat="1" ht="34.5" customHeight="1" x14ac:dyDescent="0.25">
      <c r="A14" s="353">
        <v>2025</v>
      </c>
      <c r="B14" s="354">
        <v>6</v>
      </c>
      <c r="C14" s="355">
        <v>22728</v>
      </c>
      <c r="D14" s="279">
        <v>45813</v>
      </c>
      <c r="E14" s="81" t="s">
        <v>1103</v>
      </c>
      <c r="F14" s="81" t="s">
        <v>227</v>
      </c>
      <c r="G14" s="81" t="s">
        <v>2008</v>
      </c>
      <c r="H14" s="78">
        <v>3045306051</v>
      </c>
      <c r="I14" s="78">
        <v>3045306051</v>
      </c>
      <c r="J14" s="66">
        <v>45826</v>
      </c>
      <c r="K14" s="306" t="s">
        <v>99</v>
      </c>
      <c r="L14" s="79" t="s">
        <v>2007</v>
      </c>
      <c r="M14" s="78" t="s">
        <v>136</v>
      </c>
      <c r="N14" s="78">
        <v>6007</v>
      </c>
      <c r="O14" s="78">
        <v>6825</v>
      </c>
      <c r="P14" s="78">
        <v>9185</v>
      </c>
      <c r="Q14" s="78">
        <v>5581</v>
      </c>
      <c r="R14" s="78" t="s">
        <v>134</v>
      </c>
      <c r="S14" s="78" t="s">
        <v>134</v>
      </c>
      <c r="T14" s="78" t="s">
        <v>134</v>
      </c>
      <c r="U14" s="78" t="s">
        <v>136</v>
      </c>
      <c r="V14" s="305" t="s">
        <v>89</v>
      </c>
      <c r="W14" s="66">
        <v>45825</v>
      </c>
      <c r="X14" s="66">
        <v>45825</v>
      </c>
      <c r="Z14" s="80" t="s">
        <v>85</v>
      </c>
      <c r="AA14" s="371">
        <v>256238</v>
      </c>
      <c r="AB14" s="78">
        <v>5919</v>
      </c>
      <c r="AC14" s="228">
        <v>222816</v>
      </c>
      <c r="AD14" s="228">
        <f t="shared" si="0"/>
        <v>265151.03999999998</v>
      </c>
      <c r="AE14" s="303">
        <v>0</v>
      </c>
      <c r="AG14" s="210" t="s">
        <v>1987</v>
      </c>
      <c r="AH14" s="403">
        <v>45814</v>
      </c>
      <c r="AI14" s="66">
        <v>45826</v>
      </c>
      <c r="AJ14" s="78" t="s">
        <v>1705</v>
      </c>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row>
    <row r="15" spans="1:223" s="78" customFormat="1" ht="34.5" customHeight="1" x14ac:dyDescent="0.25">
      <c r="A15" s="353">
        <v>2025</v>
      </c>
      <c r="B15" s="354">
        <v>6</v>
      </c>
      <c r="C15" s="353">
        <v>22729</v>
      </c>
      <c r="D15" s="279">
        <v>45813</v>
      </c>
      <c r="E15" s="81" t="s">
        <v>1970</v>
      </c>
      <c r="F15" s="81" t="s">
        <v>881</v>
      </c>
      <c r="G15" s="78" t="s">
        <v>150</v>
      </c>
      <c r="H15" s="78">
        <v>3043468842</v>
      </c>
      <c r="I15" s="78">
        <v>6044483937</v>
      </c>
      <c r="J15" s="66">
        <v>45824</v>
      </c>
      <c r="K15" s="306" t="s">
        <v>88</v>
      </c>
      <c r="L15" s="79" t="s">
        <v>1971</v>
      </c>
      <c r="M15" s="78" t="s">
        <v>136</v>
      </c>
      <c r="N15" s="78">
        <v>5991</v>
      </c>
      <c r="O15" s="78" t="s">
        <v>136</v>
      </c>
      <c r="P15" s="78">
        <v>9160</v>
      </c>
      <c r="Q15" s="78" t="s">
        <v>136</v>
      </c>
      <c r="R15" s="78" t="s">
        <v>136</v>
      </c>
      <c r="S15" s="78" t="s">
        <v>134</v>
      </c>
      <c r="T15" s="78" t="s">
        <v>136</v>
      </c>
      <c r="U15" s="78" t="s">
        <v>136</v>
      </c>
      <c r="V15" s="305" t="s">
        <v>87</v>
      </c>
      <c r="W15" s="66">
        <v>45820</v>
      </c>
      <c r="X15" s="66">
        <v>45821</v>
      </c>
      <c r="Z15" s="80" t="s">
        <v>85</v>
      </c>
      <c r="AA15" s="371">
        <v>150834</v>
      </c>
      <c r="AB15" s="78">
        <v>5949</v>
      </c>
      <c r="AC15" s="228">
        <v>126751</v>
      </c>
      <c r="AD15" s="228">
        <f t="shared" si="0"/>
        <v>150833.69</v>
      </c>
      <c r="AE15" s="303">
        <v>0</v>
      </c>
      <c r="AG15" s="210" t="s">
        <v>2099</v>
      </c>
      <c r="AH15" s="403">
        <v>45809</v>
      </c>
      <c r="AI15" s="66">
        <v>45821</v>
      </c>
      <c r="AJ15" s="78" t="s">
        <v>1705</v>
      </c>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row>
    <row r="16" spans="1:223" s="78" customFormat="1" ht="45" x14ac:dyDescent="0.25">
      <c r="A16" s="353">
        <v>2025</v>
      </c>
      <c r="B16" s="354">
        <v>6</v>
      </c>
      <c r="C16" s="355">
        <v>22730</v>
      </c>
      <c r="D16" s="273">
        <v>45814</v>
      </c>
      <c r="E16" s="81" t="s">
        <v>1103</v>
      </c>
      <c r="F16" s="81" t="s">
        <v>227</v>
      </c>
      <c r="I16" s="78">
        <v>3045306051</v>
      </c>
      <c r="J16" s="66">
        <v>45828</v>
      </c>
      <c r="K16" s="78" t="s">
        <v>99</v>
      </c>
      <c r="L16" s="79" t="s">
        <v>2057</v>
      </c>
      <c r="M16" s="78" t="s">
        <v>136</v>
      </c>
      <c r="N16" s="78">
        <v>6014</v>
      </c>
      <c r="O16" s="78">
        <v>6848</v>
      </c>
      <c r="P16" s="78">
        <v>8807</v>
      </c>
      <c r="Q16" s="78" t="s">
        <v>136</v>
      </c>
      <c r="R16" s="78" t="s">
        <v>134</v>
      </c>
      <c r="S16" s="78" t="s">
        <v>134</v>
      </c>
      <c r="T16" s="78" t="s">
        <v>134</v>
      </c>
      <c r="U16" s="78" t="s">
        <v>136</v>
      </c>
      <c r="V16" s="81" t="s">
        <v>89</v>
      </c>
      <c r="W16" s="66">
        <v>45833</v>
      </c>
      <c r="X16" s="435">
        <v>45834</v>
      </c>
      <c r="Z16" s="80" t="s">
        <v>85</v>
      </c>
      <c r="AA16" s="371">
        <v>773547</v>
      </c>
      <c r="AB16" s="78">
        <v>5922</v>
      </c>
      <c r="AC16" s="228">
        <v>672650</v>
      </c>
      <c r="AD16" s="228">
        <f t="shared" si="0"/>
        <v>800453.5</v>
      </c>
      <c r="AE16" s="303">
        <v>773547</v>
      </c>
      <c r="AG16" s="210" t="s">
        <v>2236</v>
      </c>
      <c r="AH16" s="403">
        <v>45814</v>
      </c>
      <c r="AI16" s="66">
        <v>45836</v>
      </c>
      <c r="AJ16" s="78" t="s">
        <v>1705</v>
      </c>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5"/>
      <c r="CA16" s="65"/>
      <c r="CB16" s="65"/>
      <c r="CC16" s="65"/>
      <c r="CD16" s="65"/>
      <c r="CE16" s="65"/>
      <c r="CF16" s="65"/>
      <c r="CG16" s="65"/>
      <c r="CH16" s="65"/>
      <c r="CI16" s="65"/>
      <c r="CJ16" s="65"/>
      <c r="CK16" s="65"/>
      <c r="CL16" s="65"/>
      <c r="CM16" s="65"/>
      <c r="CN16" s="65"/>
      <c r="CO16" s="65"/>
      <c r="CP16" s="65"/>
      <c r="CQ16" s="65"/>
      <c r="CR16" s="65"/>
      <c r="CS16" s="65"/>
      <c r="CT16" s="65"/>
      <c r="CU16" s="65"/>
      <c r="CV16" s="65"/>
      <c r="CW16" s="65"/>
      <c r="CX16" s="65"/>
      <c r="CY16" s="65"/>
      <c r="CZ16" s="65"/>
      <c r="DA16" s="65"/>
      <c r="DB16" s="65"/>
      <c r="DC16" s="65"/>
      <c r="DD16" s="65"/>
      <c r="DE16" s="65"/>
      <c r="DF16" s="65"/>
      <c r="DG16" s="65"/>
      <c r="DH16" s="65"/>
      <c r="DI16" s="65"/>
      <c r="DJ16" s="65"/>
      <c r="DK16" s="65"/>
      <c r="DL16" s="65"/>
      <c r="DM16" s="65"/>
      <c r="DN16" s="65"/>
      <c r="DO16" s="65"/>
      <c r="DP16" s="65"/>
      <c r="DQ16" s="65"/>
      <c r="DR16" s="65"/>
      <c r="DS16" s="65"/>
      <c r="DT16" s="65"/>
      <c r="DU16" s="65"/>
      <c r="DV16" s="65"/>
      <c r="DW16" s="65"/>
      <c r="DX16" s="65"/>
      <c r="DY16" s="65"/>
      <c r="DZ16" s="65"/>
      <c r="EA16" s="65"/>
      <c r="EB16" s="65"/>
      <c r="EC16" s="65"/>
      <c r="ED16" s="65"/>
      <c r="EE16" s="65"/>
      <c r="EF16" s="65"/>
      <c r="EG16" s="65"/>
      <c r="EH16" s="65"/>
      <c r="EI16" s="65"/>
      <c r="EJ16" s="65"/>
      <c r="EK16" s="65"/>
      <c r="EL16" s="65"/>
      <c r="EM16" s="65"/>
      <c r="EN16" s="65"/>
      <c r="EO16" s="65"/>
      <c r="EP16" s="65"/>
      <c r="EQ16" s="65"/>
      <c r="ER16" s="65"/>
      <c r="ES16" s="65"/>
      <c r="ET16" s="65"/>
      <c r="EU16" s="65"/>
      <c r="EV16" s="65"/>
      <c r="EW16" s="65"/>
      <c r="EX16" s="65"/>
      <c r="EY16" s="65"/>
      <c r="EZ16" s="65"/>
      <c r="FA16" s="65"/>
      <c r="FB16" s="65"/>
      <c r="FC16" s="65"/>
      <c r="FD16" s="65"/>
      <c r="FE16" s="65"/>
      <c r="FF16" s="65"/>
      <c r="FG16" s="65"/>
      <c r="FH16" s="65"/>
      <c r="FI16" s="65"/>
      <c r="FJ16" s="65"/>
      <c r="FK16" s="65"/>
      <c r="FL16" s="65"/>
      <c r="FM16" s="65"/>
      <c r="FN16" s="65"/>
      <c r="FO16" s="65"/>
      <c r="FP16" s="65"/>
      <c r="FQ16" s="65"/>
      <c r="FR16" s="65"/>
      <c r="FS16" s="65"/>
      <c r="FT16" s="65"/>
      <c r="FU16" s="65"/>
      <c r="FV16" s="65"/>
      <c r="FW16" s="65"/>
      <c r="FX16" s="65"/>
      <c r="FY16" s="65"/>
      <c r="FZ16" s="65"/>
      <c r="GA16" s="65"/>
      <c r="GB16" s="65"/>
      <c r="GC16" s="65"/>
      <c r="GD16" s="65"/>
      <c r="GE16" s="65"/>
      <c r="GF16" s="65"/>
      <c r="GG16" s="65"/>
      <c r="GH16" s="65"/>
      <c r="GI16" s="65"/>
      <c r="GJ16" s="65"/>
      <c r="GK16" s="65"/>
      <c r="GL16" s="65"/>
      <c r="GM16" s="65"/>
      <c r="GN16" s="65"/>
      <c r="GO16" s="65"/>
      <c r="GP16" s="65"/>
      <c r="GQ16" s="65"/>
      <c r="GR16" s="65"/>
      <c r="GS16" s="65"/>
      <c r="GT16" s="65"/>
      <c r="GU16" s="65"/>
      <c r="GV16" s="65"/>
      <c r="GW16" s="65"/>
      <c r="GX16" s="65"/>
      <c r="GY16" s="65"/>
      <c r="GZ16" s="65"/>
      <c r="HA16" s="65"/>
      <c r="HB16" s="65"/>
      <c r="HC16" s="65"/>
      <c r="HD16" s="65"/>
      <c r="HE16" s="65"/>
      <c r="HF16" s="65"/>
      <c r="HG16" s="65"/>
      <c r="HH16" s="65"/>
      <c r="HI16" s="65"/>
      <c r="HJ16" s="65"/>
      <c r="HK16" s="65"/>
      <c r="HL16" s="65"/>
      <c r="HM16" s="65"/>
      <c r="HN16" s="65"/>
      <c r="HO16" s="65"/>
    </row>
    <row r="17" spans="1:223" s="78" customFormat="1" ht="34.5" customHeight="1" x14ac:dyDescent="0.25">
      <c r="A17" s="353">
        <v>2025</v>
      </c>
      <c r="B17" s="354">
        <v>6</v>
      </c>
      <c r="C17" s="353">
        <v>22731</v>
      </c>
      <c r="D17" s="279">
        <v>45814</v>
      </c>
      <c r="E17" s="81" t="s">
        <v>1972</v>
      </c>
      <c r="F17" s="81" t="s">
        <v>1973</v>
      </c>
      <c r="H17" s="78">
        <v>3132035083</v>
      </c>
      <c r="I17" s="78">
        <v>3183457361</v>
      </c>
      <c r="J17" s="66">
        <v>45826</v>
      </c>
      <c r="K17" s="78" t="s">
        <v>88</v>
      </c>
      <c r="L17" s="79" t="s">
        <v>1974</v>
      </c>
      <c r="M17" s="78" t="s">
        <v>136</v>
      </c>
      <c r="N17" s="78">
        <v>6002</v>
      </c>
      <c r="O17" s="78">
        <v>6834</v>
      </c>
      <c r="P17" s="78">
        <v>9133</v>
      </c>
      <c r="Q17" s="78">
        <v>5572</v>
      </c>
      <c r="R17" s="78" t="s">
        <v>136</v>
      </c>
      <c r="S17" s="78" t="s">
        <v>134</v>
      </c>
      <c r="T17" s="78" t="s">
        <v>136</v>
      </c>
      <c r="U17" s="78" t="s">
        <v>136</v>
      </c>
      <c r="V17" s="81" t="s">
        <v>119</v>
      </c>
      <c r="W17" s="66">
        <v>45822</v>
      </c>
      <c r="X17" s="435">
        <v>45824</v>
      </c>
      <c r="Z17" s="80" t="s">
        <v>85</v>
      </c>
      <c r="AA17" s="371">
        <v>0</v>
      </c>
      <c r="AB17" s="78">
        <v>5955</v>
      </c>
      <c r="AC17" s="228">
        <v>516723</v>
      </c>
      <c r="AD17" s="228">
        <f t="shared" si="0"/>
        <v>614900.37</v>
      </c>
      <c r="AE17" s="303">
        <v>307000</v>
      </c>
      <c r="AG17" s="210" t="s">
        <v>2129</v>
      </c>
      <c r="AH17" s="403">
        <v>45821</v>
      </c>
      <c r="AI17" s="66">
        <v>45826</v>
      </c>
      <c r="AJ17" s="78" t="s">
        <v>1705</v>
      </c>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c r="CE17" s="65"/>
      <c r="CF17" s="65"/>
      <c r="CG17" s="65"/>
      <c r="CH17" s="65"/>
      <c r="CI17" s="65"/>
      <c r="CJ17" s="65"/>
      <c r="CK17" s="65"/>
      <c r="CL17" s="65"/>
      <c r="CM17" s="65"/>
      <c r="CN17" s="65"/>
      <c r="CO17" s="65"/>
      <c r="CP17" s="65"/>
      <c r="CQ17" s="65"/>
      <c r="CR17" s="65"/>
      <c r="CS17" s="65"/>
      <c r="CT17" s="65"/>
      <c r="CU17" s="65"/>
      <c r="CV17" s="65"/>
      <c r="CW17" s="65"/>
      <c r="CX17" s="65"/>
      <c r="CY17" s="65"/>
      <c r="CZ17" s="65"/>
      <c r="DA17" s="65"/>
      <c r="DB17" s="65"/>
      <c r="DC17" s="65"/>
      <c r="DD17" s="65"/>
      <c r="DE17" s="65"/>
      <c r="DF17" s="65"/>
      <c r="DG17" s="65"/>
      <c r="DH17" s="65"/>
      <c r="DI17" s="65"/>
      <c r="DJ17" s="65"/>
      <c r="DK17" s="65"/>
      <c r="DL17" s="65"/>
      <c r="DM17" s="65"/>
      <c r="DN17" s="65"/>
      <c r="DO17" s="65"/>
      <c r="DP17" s="65"/>
      <c r="DQ17" s="65"/>
      <c r="DR17" s="65"/>
      <c r="DS17" s="65"/>
      <c r="DT17" s="65"/>
      <c r="DU17" s="65"/>
      <c r="DV17" s="65"/>
      <c r="DW17" s="65"/>
      <c r="DX17" s="65"/>
      <c r="DY17" s="65"/>
      <c r="DZ17" s="65"/>
      <c r="EA17" s="65"/>
      <c r="EB17" s="65"/>
      <c r="EC17" s="65"/>
      <c r="ED17" s="65"/>
      <c r="EE17" s="65"/>
      <c r="EF17" s="65"/>
      <c r="EG17" s="65"/>
      <c r="EH17" s="65"/>
      <c r="EI17" s="65"/>
      <c r="EJ17" s="65"/>
      <c r="EK17" s="65"/>
      <c r="EL17" s="65"/>
      <c r="EM17" s="65"/>
      <c r="EN17" s="65"/>
      <c r="EO17" s="65"/>
      <c r="EP17" s="65"/>
      <c r="EQ17" s="65"/>
      <c r="ER17" s="65"/>
      <c r="ES17" s="65"/>
      <c r="ET17" s="65"/>
      <c r="EU17" s="65"/>
      <c r="EV17" s="65"/>
      <c r="EW17" s="65"/>
      <c r="EX17" s="65"/>
      <c r="EY17" s="65"/>
      <c r="EZ17" s="65"/>
      <c r="FA17" s="65"/>
      <c r="FB17" s="65"/>
      <c r="FC17" s="65"/>
      <c r="FD17" s="65"/>
      <c r="FE17" s="65"/>
      <c r="FF17" s="65"/>
      <c r="FG17" s="65"/>
      <c r="FH17" s="65"/>
      <c r="FI17" s="65"/>
      <c r="FJ17" s="65"/>
      <c r="FK17" s="65"/>
      <c r="FL17" s="65"/>
      <c r="FM17" s="65"/>
      <c r="FN17" s="65"/>
      <c r="FO17" s="65"/>
      <c r="FP17" s="65"/>
      <c r="FQ17" s="65"/>
      <c r="FR17" s="65"/>
      <c r="FS17" s="65"/>
      <c r="FT17" s="65"/>
      <c r="FU17" s="65"/>
      <c r="FV17" s="65"/>
      <c r="FW17" s="65"/>
      <c r="FX17" s="65"/>
      <c r="FY17" s="65"/>
      <c r="FZ17" s="65"/>
      <c r="GA17" s="65"/>
      <c r="GB17" s="65"/>
      <c r="GC17" s="65"/>
      <c r="GD17" s="65"/>
      <c r="GE17" s="65"/>
      <c r="GF17" s="65"/>
      <c r="GG17" s="65"/>
      <c r="GH17" s="65"/>
      <c r="GI17" s="65"/>
      <c r="GJ17" s="65"/>
      <c r="GK17" s="65"/>
      <c r="GL17" s="65"/>
      <c r="GM17" s="65"/>
      <c r="GN17" s="65"/>
      <c r="GO17" s="65"/>
      <c r="GP17" s="65"/>
      <c r="GQ17" s="65"/>
      <c r="GR17" s="65"/>
      <c r="GS17" s="65"/>
      <c r="GT17" s="65"/>
      <c r="GU17" s="65"/>
      <c r="GV17" s="65"/>
      <c r="GW17" s="65"/>
      <c r="GX17" s="65"/>
      <c r="GY17" s="65"/>
      <c r="GZ17" s="65"/>
      <c r="HA17" s="65"/>
      <c r="HB17" s="65"/>
      <c r="HC17" s="65"/>
      <c r="HD17" s="65"/>
      <c r="HE17" s="65"/>
      <c r="HF17" s="65"/>
      <c r="HG17" s="65"/>
      <c r="HH17" s="65"/>
      <c r="HI17" s="65"/>
      <c r="HJ17" s="65"/>
      <c r="HK17" s="65"/>
      <c r="HL17" s="65"/>
      <c r="HM17" s="65"/>
      <c r="HN17" s="65"/>
      <c r="HO17" s="65"/>
    </row>
    <row r="18" spans="1:223" s="78" customFormat="1" ht="50.25" customHeight="1" x14ac:dyDescent="0.25">
      <c r="A18" s="353">
        <v>2025</v>
      </c>
      <c r="B18" s="354">
        <v>6</v>
      </c>
      <c r="C18" s="353">
        <v>22732</v>
      </c>
      <c r="D18" s="279">
        <v>45814</v>
      </c>
      <c r="E18" s="81" t="s">
        <v>1958</v>
      </c>
      <c r="F18" s="81" t="s">
        <v>1959</v>
      </c>
      <c r="H18" s="78">
        <v>3147867866</v>
      </c>
      <c r="I18" s="78">
        <v>3147867866</v>
      </c>
      <c r="J18" s="66">
        <v>45826</v>
      </c>
      <c r="K18" s="78" t="s">
        <v>88</v>
      </c>
      <c r="L18" s="79" t="s">
        <v>1960</v>
      </c>
      <c r="M18" s="78" t="s">
        <v>136</v>
      </c>
      <c r="N18" s="78">
        <v>6001</v>
      </c>
      <c r="O18" s="78">
        <v>6831</v>
      </c>
      <c r="P18" s="78">
        <v>9181</v>
      </c>
      <c r="Q18" s="78">
        <v>5592</v>
      </c>
      <c r="R18" s="78" t="s">
        <v>134</v>
      </c>
      <c r="S18" s="78" t="s">
        <v>134</v>
      </c>
      <c r="T18" s="78" t="s">
        <v>134</v>
      </c>
      <c r="U18" s="78" t="s">
        <v>136</v>
      </c>
      <c r="V18" s="81" t="s">
        <v>119</v>
      </c>
      <c r="W18" s="66">
        <v>45833</v>
      </c>
      <c r="X18" s="435">
        <v>45835</v>
      </c>
      <c r="Z18" s="80" t="s">
        <v>85</v>
      </c>
      <c r="AA18" s="371">
        <v>0</v>
      </c>
      <c r="AB18" s="78">
        <v>5961</v>
      </c>
      <c r="AC18" s="228">
        <v>743322</v>
      </c>
      <c r="AD18" s="228">
        <f t="shared" si="0"/>
        <v>884553.17999999993</v>
      </c>
      <c r="AE18" s="303">
        <v>423023</v>
      </c>
      <c r="AG18" s="210" t="s">
        <v>2237</v>
      </c>
      <c r="AH18" s="403">
        <v>45834</v>
      </c>
      <c r="AI18" s="66">
        <v>45836</v>
      </c>
      <c r="AJ18" s="78" t="s">
        <v>1705</v>
      </c>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c r="CE18" s="65"/>
      <c r="CF18" s="65"/>
      <c r="CG18" s="65"/>
      <c r="CH18" s="65"/>
      <c r="CI18" s="65"/>
      <c r="CJ18" s="65"/>
      <c r="CK18" s="65"/>
      <c r="CL18" s="65"/>
      <c r="CM18" s="65"/>
      <c r="CN18" s="65"/>
      <c r="CO18" s="65"/>
      <c r="CP18" s="65"/>
      <c r="CQ18" s="65"/>
      <c r="CR18" s="65"/>
      <c r="CS18" s="65"/>
      <c r="CT18" s="65"/>
      <c r="CU18" s="65"/>
      <c r="CV18" s="65"/>
      <c r="CW18" s="65"/>
      <c r="CX18" s="65"/>
      <c r="CY18" s="65"/>
      <c r="CZ18" s="65"/>
      <c r="DA18" s="65"/>
      <c r="DB18" s="65"/>
      <c r="DC18" s="65"/>
      <c r="DD18" s="65"/>
      <c r="DE18" s="65"/>
      <c r="DF18" s="65"/>
      <c r="DG18" s="65"/>
      <c r="DH18" s="65"/>
      <c r="DI18" s="65"/>
      <c r="DJ18" s="65"/>
      <c r="DK18" s="65"/>
      <c r="DL18" s="65"/>
      <c r="DM18" s="65"/>
      <c r="DN18" s="65"/>
      <c r="DO18" s="65"/>
      <c r="DP18" s="65"/>
      <c r="DQ18" s="65"/>
      <c r="DR18" s="65"/>
      <c r="DS18" s="65"/>
      <c r="DT18" s="65"/>
      <c r="DU18" s="65"/>
      <c r="DV18" s="65"/>
      <c r="DW18" s="65"/>
      <c r="DX18" s="65"/>
      <c r="DY18" s="65"/>
      <c r="DZ18" s="65"/>
      <c r="EA18" s="65"/>
      <c r="EB18" s="65"/>
      <c r="EC18" s="65"/>
      <c r="ED18" s="65"/>
      <c r="EE18" s="65"/>
      <c r="EF18" s="65"/>
      <c r="EG18" s="65"/>
      <c r="EH18" s="65"/>
      <c r="EI18" s="65"/>
      <c r="EJ18" s="65"/>
      <c r="EK18" s="65"/>
      <c r="EL18" s="65"/>
      <c r="EM18" s="65"/>
      <c r="EN18" s="65"/>
      <c r="EO18" s="65"/>
      <c r="EP18" s="65"/>
      <c r="EQ18" s="65"/>
      <c r="ER18" s="65"/>
      <c r="ES18" s="65"/>
      <c r="ET18" s="65"/>
      <c r="EU18" s="65"/>
      <c r="EV18" s="65"/>
      <c r="EW18" s="65"/>
      <c r="EX18" s="65"/>
      <c r="EY18" s="65"/>
      <c r="EZ18" s="65"/>
      <c r="FA18" s="65"/>
      <c r="FB18" s="65"/>
      <c r="FC18" s="65"/>
      <c r="FD18" s="65"/>
      <c r="FE18" s="65"/>
      <c r="FF18" s="65"/>
      <c r="FG18" s="65"/>
      <c r="FH18" s="65"/>
      <c r="FI18" s="65"/>
      <c r="FJ18" s="65"/>
      <c r="FK18" s="65"/>
      <c r="FL18" s="65"/>
      <c r="FM18" s="65"/>
      <c r="FN18" s="65"/>
      <c r="FO18" s="65"/>
      <c r="FP18" s="65"/>
      <c r="FQ18" s="65"/>
      <c r="FR18" s="65"/>
      <c r="FS18" s="65"/>
      <c r="FT18" s="65"/>
      <c r="FU18" s="65"/>
      <c r="FV18" s="65"/>
      <c r="FW18" s="65"/>
      <c r="FX18" s="65"/>
      <c r="FY18" s="65"/>
      <c r="FZ18" s="65"/>
      <c r="GA18" s="65"/>
      <c r="GB18" s="65"/>
      <c r="GC18" s="65"/>
      <c r="GD18" s="65"/>
      <c r="GE18" s="65"/>
      <c r="GF18" s="65"/>
      <c r="GG18" s="65"/>
      <c r="GH18" s="65"/>
      <c r="GI18" s="65"/>
      <c r="GJ18" s="65"/>
      <c r="GK18" s="65"/>
      <c r="GL18" s="65"/>
      <c r="GM18" s="65"/>
      <c r="GN18" s="65"/>
      <c r="GO18" s="65"/>
      <c r="GP18" s="65"/>
      <c r="GQ18" s="65"/>
      <c r="GR18" s="65"/>
      <c r="GS18" s="65"/>
      <c r="GT18" s="65"/>
      <c r="GU18" s="65"/>
      <c r="GV18" s="65"/>
      <c r="GW18" s="65"/>
      <c r="GX18" s="65"/>
      <c r="GY18" s="65"/>
      <c r="GZ18" s="65"/>
      <c r="HA18" s="65"/>
      <c r="HB18" s="65"/>
      <c r="HC18" s="65"/>
      <c r="HD18" s="65"/>
      <c r="HE18" s="65"/>
      <c r="HF18" s="65"/>
      <c r="HG18" s="65"/>
      <c r="HH18" s="65"/>
      <c r="HI18" s="65"/>
      <c r="HJ18" s="65"/>
      <c r="HK18" s="65"/>
      <c r="HL18" s="65"/>
      <c r="HM18" s="65"/>
      <c r="HN18" s="65"/>
      <c r="HO18" s="65"/>
    </row>
    <row r="19" spans="1:223" s="78" customFormat="1" ht="42.75" customHeight="1" x14ac:dyDescent="0.25">
      <c r="A19" s="353">
        <v>2025</v>
      </c>
      <c r="B19" s="354">
        <v>6</v>
      </c>
      <c r="C19" s="355">
        <v>22733</v>
      </c>
      <c r="D19" s="279">
        <v>45814</v>
      </c>
      <c r="E19" s="81" t="s">
        <v>1975</v>
      </c>
      <c r="F19" s="81" t="s">
        <v>1975</v>
      </c>
      <c r="G19" s="78" t="s">
        <v>143</v>
      </c>
      <c r="H19" s="78">
        <v>3054065568</v>
      </c>
      <c r="I19" s="78">
        <v>3054065568</v>
      </c>
      <c r="J19" s="66">
        <v>45826</v>
      </c>
      <c r="K19" s="78" t="s">
        <v>84</v>
      </c>
      <c r="L19" s="79" t="s">
        <v>1976</v>
      </c>
      <c r="M19" s="78" t="s">
        <v>136</v>
      </c>
      <c r="N19" s="78">
        <v>6000</v>
      </c>
      <c r="O19" s="78">
        <v>6835</v>
      </c>
      <c r="P19" s="78">
        <v>9091</v>
      </c>
      <c r="Q19" s="78" t="s">
        <v>136</v>
      </c>
      <c r="R19" s="78" t="s">
        <v>134</v>
      </c>
      <c r="S19" s="78" t="s">
        <v>134</v>
      </c>
      <c r="T19" s="78" t="s">
        <v>134</v>
      </c>
      <c r="U19" s="78" t="s">
        <v>136</v>
      </c>
      <c r="V19" s="81" t="s">
        <v>119</v>
      </c>
      <c r="W19" s="66">
        <v>45824</v>
      </c>
      <c r="X19" s="435">
        <v>45826</v>
      </c>
      <c r="Z19" s="80" t="s">
        <v>85</v>
      </c>
      <c r="AA19" s="371">
        <v>0</v>
      </c>
      <c r="AB19" s="78">
        <v>5966</v>
      </c>
      <c r="AC19" s="228">
        <v>315597</v>
      </c>
      <c r="AD19" s="228">
        <f t="shared" si="0"/>
        <v>375560.43</v>
      </c>
      <c r="AE19" s="303">
        <v>188000</v>
      </c>
      <c r="AG19" s="210" t="s">
        <v>2137</v>
      </c>
      <c r="AH19" s="403">
        <v>45824</v>
      </c>
      <c r="AI19" s="66">
        <v>45826</v>
      </c>
      <c r="AJ19" s="78" t="s">
        <v>1705</v>
      </c>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c r="CE19" s="65"/>
      <c r="CF19" s="65"/>
      <c r="CG19" s="65"/>
      <c r="CH19" s="65"/>
      <c r="CI19" s="65"/>
      <c r="CJ19" s="65"/>
      <c r="CK19" s="65"/>
      <c r="CL19" s="65"/>
      <c r="CM19" s="65"/>
      <c r="CN19" s="65"/>
      <c r="CO19" s="65"/>
      <c r="CP19" s="65"/>
      <c r="CQ19" s="65"/>
      <c r="CR19" s="65"/>
      <c r="CS19" s="65"/>
      <c r="CT19" s="65"/>
      <c r="CU19" s="65"/>
      <c r="CV19" s="65"/>
      <c r="CW19" s="65"/>
      <c r="CX19" s="65"/>
      <c r="CY19" s="65"/>
      <c r="CZ19" s="65"/>
      <c r="DA19" s="65"/>
      <c r="DB19" s="65"/>
      <c r="DC19" s="65"/>
      <c r="DD19" s="65"/>
      <c r="DE19" s="65"/>
      <c r="DF19" s="65"/>
      <c r="DG19" s="65"/>
      <c r="DH19" s="65"/>
      <c r="DI19" s="65"/>
      <c r="DJ19" s="65"/>
      <c r="DK19" s="65"/>
      <c r="DL19" s="65"/>
      <c r="DM19" s="65"/>
      <c r="DN19" s="65"/>
      <c r="DO19" s="65"/>
      <c r="DP19" s="65"/>
      <c r="DQ19" s="65"/>
      <c r="DR19" s="65"/>
      <c r="DS19" s="65"/>
      <c r="DT19" s="65"/>
      <c r="DU19" s="65"/>
      <c r="DV19" s="65"/>
      <c r="DW19" s="65"/>
      <c r="DX19" s="65"/>
      <c r="DY19" s="65"/>
      <c r="DZ19" s="65"/>
      <c r="EA19" s="65"/>
      <c r="EB19" s="65"/>
      <c r="EC19" s="65"/>
      <c r="ED19" s="65"/>
      <c r="EE19" s="65"/>
      <c r="EF19" s="65"/>
      <c r="EG19" s="65"/>
      <c r="EH19" s="65"/>
      <c r="EI19" s="65"/>
      <c r="EJ19" s="65"/>
      <c r="EK19" s="65"/>
      <c r="EL19" s="65"/>
      <c r="EM19" s="65"/>
      <c r="EN19" s="65"/>
      <c r="EO19" s="65"/>
      <c r="EP19" s="65"/>
      <c r="EQ19" s="65"/>
      <c r="ER19" s="65"/>
      <c r="ES19" s="65"/>
      <c r="ET19" s="65"/>
      <c r="EU19" s="65"/>
      <c r="EV19" s="65"/>
      <c r="EW19" s="65"/>
      <c r="EX19" s="65"/>
      <c r="EY19" s="65"/>
      <c r="EZ19" s="65"/>
      <c r="FA19" s="65"/>
      <c r="FB19" s="65"/>
      <c r="FC19" s="65"/>
      <c r="FD19" s="65"/>
      <c r="FE19" s="65"/>
      <c r="FF19" s="65"/>
      <c r="FG19" s="65"/>
      <c r="FH19" s="65"/>
      <c r="FI19" s="65"/>
      <c r="FJ19" s="65"/>
      <c r="FK19" s="65"/>
      <c r="FL19" s="65"/>
      <c r="FM19" s="65"/>
      <c r="FN19" s="65"/>
      <c r="FO19" s="65"/>
      <c r="FP19" s="65"/>
      <c r="FQ19" s="65"/>
      <c r="FR19" s="65"/>
      <c r="FS19" s="65"/>
      <c r="FT19" s="65"/>
      <c r="FU19" s="65"/>
      <c r="FV19" s="65"/>
      <c r="FW19" s="65"/>
      <c r="FX19" s="65"/>
      <c r="FY19" s="65"/>
      <c r="FZ19" s="65"/>
      <c r="GA19" s="65"/>
      <c r="GB19" s="65"/>
      <c r="GC19" s="65"/>
      <c r="GD19" s="65"/>
      <c r="GE19" s="65"/>
      <c r="GF19" s="65"/>
      <c r="GG19" s="65"/>
      <c r="GH19" s="65"/>
      <c r="GI19" s="65"/>
      <c r="GJ19" s="65"/>
      <c r="GK19" s="65"/>
      <c r="GL19" s="65"/>
      <c r="GM19" s="65"/>
      <c r="GN19" s="65"/>
      <c r="GO19" s="65"/>
      <c r="GP19" s="65"/>
      <c r="GQ19" s="65"/>
      <c r="GR19" s="65"/>
      <c r="GS19" s="65"/>
      <c r="GT19" s="65"/>
      <c r="GU19" s="65"/>
      <c r="GV19" s="65"/>
      <c r="GW19" s="65"/>
      <c r="GX19" s="65"/>
      <c r="GY19" s="65"/>
      <c r="GZ19" s="65"/>
      <c r="HA19" s="65"/>
      <c r="HB19" s="65"/>
      <c r="HC19" s="65"/>
      <c r="HD19" s="65"/>
      <c r="HE19" s="65"/>
      <c r="HF19" s="65"/>
      <c r="HG19" s="65"/>
      <c r="HH19" s="65"/>
      <c r="HI19" s="65"/>
      <c r="HJ19" s="65"/>
      <c r="HK19" s="65"/>
      <c r="HL19" s="65"/>
      <c r="HM19" s="65"/>
      <c r="HN19" s="65"/>
      <c r="HO19" s="65"/>
    </row>
    <row r="20" spans="1:223" s="78" customFormat="1" ht="34.5" customHeight="1" x14ac:dyDescent="0.25">
      <c r="A20" s="353">
        <v>2025</v>
      </c>
      <c r="B20" s="354">
        <v>6</v>
      </c>
      <c r="C20" s="353">
        <v>22734</v>
      </c>
      <c r="D20" s="279">
        <v>45826</v>
      </c>
      <c r="E20" s="81" t="s">
        <v>2153</v>
      </c>
      <c r="F20" s="81" t="s">
        <v>2154</v>
      </c>
      <c r="G20" s="78" t="s">
        <v>98</v>
      </c>
      <c r="H20" s="78">
        <v>3143697673</v>
      </c>
      <c r="I20" s="78">
        <v>3152518767</v>
      </c>
      <c r="J20" s="66">
        <v>45838</v>
      </c>
      <c r="K20" s="78" t="s">
        <v>88</v>
      </c>
      <c r="L20" s="79" t="s">
        <v>2155</v>
      </c>
      <c r="M20" s="78" t="s">
        <v>136</v>
      </c>
      <c r="N20" s="78">
        <v>6037</v>
      </c>
      <c r="O20" s="78">
        <v>6837</v>
      </c>
      <c r="P20" s="78" t="s">
        <v>136</v>
      </c>
      <c r="Q20" s="78" t="s">
        <v>136</v>
      </c>
      <c r="R20" s="78" t="s">
        <v>134</v>
      </c>
      <c r="S20" s="78" t="s">
        <v>134</v>
      </c>
      <c r="T20" s="78" t="s">
        <v>134</v>
      </c>
      <c r="U20" s="78" t="s">
        <v>136</v>
      </c>
      <c r="V20" s="81" t="s">
        <v>119</v>
      </c>
      <c r="W20" s="66">
        <v>45839</v>
      </c>
      <c r="X20" s="435">
        <v>45840</v>
      </c>
      <c r="Z20" s="80" t="s">
        <v>85</v>
      </c>
      <c r="AA20" s="371">
        <v>625000</v>
      </c>
      <c r="AB20" s="78">
        <v>5924</v>
      </c>
      <c r="AC20" s="228">
        <v>525210</v>
      </c>
      <c r="AD20" s="228">
        <f t="shared" si="0"/>
        <v>624999.9</v>
      </c>
      <c r="AE20" s="303">
        <v>0</v>
      </c>
      <c r="AG20" s="210" t="s">
        <v>2339</v>
      </c>
      <c r="AH20" s="403">
        <v>45825</v>
      </c>
      <c r="AI20" s="66">
        <v>45847</v>
      </c>
      <c r="AJ20" s="78" t="s">
        <v>1705</v>
      </c>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5"/>
      <c r="CI20" s="65"/>
      <c r="CJ20" s="65"/>
      <c r="CK20" s="65"/>
      <c r="CL20" s="65"/>
      <c r="CM20" s="65"/>
      <c r="CN20" s="65"/>
      <c r="CO20" s="65"/>
      <c r="CP20" s="65"/>
      <c r="CQ20" s="65"/>
      <c r="CR20" s="65"/>
      <c r="CS20" s="65"/>
      <c r="CT20" s="65"/>
      <c r="CU20" s="65"/>
      <c r="CV20" s="65"/>
      <c r="CW20" s="65"/>
      <c r="CX20" s="65"/>
      <c r="CY20" s="65"/>
      <c r="CZ20" s="65"/>
      <c r="DA20" s="65"/>
      <c r="DB20" s="65"/>
      <c r="DC20" s="65"/>
      <c r="DD20" s="65"/>
      <c r="DE20" s="65"/>
      <c r="DF20" s="65"/>
      <c r="DG20" s="65"/>
      <c r="DH20" s="65"/>
      <c r="DI20" s="65"/>
      <c r="DJ20" s="65"/>
      <c r="DK20" s="65"/>
      <c r="DL20" s="65"/>
      <c r="DM20" s="65"/>
      <c r="DN20" s="65"/>
      <c r="DO20" s="65"/>
      <c r="DP20" s="65"/>
      <c r="DQ20" s="65"/>
      <c r="DR20" s="65"/>
      <c r="DS20" s="65"/>
      <c r="DT20" s="65"/>
      <c r="DU20" s="65"/>
      <c r="DV20" s="65"/>
      <c r="DW20" s="65"/>
      <c r="DX20" s="65"/>
      <c r="DY20" s="65"/>
      <c r="DZ20" s="65"/>
      <c r="EA20" s="65"/>
      <c r="EB20" s="65"/>
      <c r="EC20" s="65"/>
      <c r="ED20" s="65"/>
      <c r="EE20" s="65"/>
      <c r="EF20" s="65"/>
      <c r="EG20" s="65"/>
      <c r="EH20" s="65"/>
      <c r="EI20" s="65"/>
      <c r="EJ20" s="65"/>
      <c r="EK20" s="65"/>
      <c r="EL20" s="65"/>
      <c r="EM20" s="65"/>
      <c r="EN20" s="65"/>
      <c r="EO20" s="65"/>
      <c r="EP20" s="65"/>
      <c r="EQ20" s="65"/>
      <c r="ER20" s="65"/>
      <c r="ES20" s="65"/>
      <c r="ET20" s="65"/>
      <c r="EU20" s="65"/>
      <c r="EV20" s="65"/>
      <c r="EW20" s="65"/>
      <c r="EX20" s="65"/>
      <c r="EY20" s="65"/>
      <c r="EZ20" s="65"/>
      <c r="FA20" s="65"/>
      <c r="FB20" s="65"/>
      <c r="FC20" s="65"/>
      <c r="FD20" s="65"/>
      <c r="FE20" s="65"/>
      <c r="FF20" s="65"/>
      <c r="FG20" s="65"/>
      <c r="FH20" s="65"/>
      <c r="FI20" s="65"/>
      <c r="FJ20" s="65"/>
      <c r="FK20" s="65"/>
      <c r="FL20" s="65"/>
      <c r="FM20" s="65"/>
      <c r="FN20" s="65"/>
      <c r="FO20" s="65"/>
      <c r="FP20" s="65"/>
      <c r="FQ20" s="65"/>
      <c r="FR20" s="65"/>
      <c r="FS20" s="65"/>
      <c r="FT20" s="65"/>
      <c r="FU20" s="65"/>
      <c r="FV20" s="65"/>
      <c r="FW20" s="65"/>
      <c r="FX20" s="65"/>
      <c r="FY20" s="65"/>
      <c r="FZ20" s="65"/>
      <c r="GA20" s="65"/>
      <c r="GB20" s="65"/>
      <c r="GC20" s="65"/>
      <c r="GD20" s="65"/>
      <c r="GE20" s="65"/>
      <c r="GF20" s="65"/>
      <c r="GG20" s="65"/>
      <c r="GH20" s="65"/>
      <c r="GI20" s="65"/>
      <c r="GJ20" s="65"/>
      <c r="GK20" s="65"/>
      <c r="GL20" s="65"/>
      <c r="GM20" s="65"/>
      <c r="GN20" s="65"/>
      <c r="GO20" s="65"/>
      <c r="GP20" s="65"/>
      <c r="GQ20" s="65"/>
      <c r="GR20" s="65"/>
      <c r="GS20" s="65"/>
      <c r="GT20" s="65"/>
      <c r="GU20" s="65"/>
      <c r="GV20" s="65"/>
      <c r="GW20" s="65"/>
      <c r="GX20" s="65"/>
      <c r="GY20" s="65"/>
      <c r="GZ20" s="65"/>
      <c r="HA20" s="65"/>
      <c r="HB20" s="65"/>
      <c r="HC20" s="65"/>
      <c r="HD20" s="65"/>
      <c r="HE20" s="65"/>
      <c r="HF20" s="65"/>
      <c r="HG20" s="65"/>
      <c r="HH20" s="65"/>
      <c r="HI20" s="65"/>
      <c r="HJ20" s="65"/>
      <c r="HK20" s="65"/>
      <c r="HL20" s="65"/>
      <c r="HM20" s="65"/>
      <c r="HN20" s="65"/>
      <c r="HO20" s="65"/>
    </row>
    <row r="21" spans="1:223" s="78" customFormat="1" ht="34.5" customHeight="1" x14ac:dyDescent="0.25">
      <c r="A21" s="353">
        <v>2025</v>
      </c>
      <c r="B21" s="354">
        <v>6</v>
      </c>
      <c r="C21" s="353">
        <v>22735</v>
      </c>
      <c r="D21" s="279">
        <v>45813</v>
      </c>
      <c r="E21" s="81" t="s">
        <v>1977</v>
      </c>
      <c r="F21" s="81" t="s">
        <v>1977</v>
      </c>
      <c r="G21" s="78" t="s">
        <v>143</v>
      </c>
      <c r="H21" s="78">
        <v>3004750546</v>
      </c>
      <c r="I21" s="78">
        <v>3004750546</v>
      </c>
      <c r="J21" s="66">
        <v>45825</v>
      </c>
      <c r="K21" s="78" t="s">
        <v>84</v>
      </c>
      <c r="L21" s="79" t="s">
        <v>1978</v>
      </c>
      <c r="M21" s="78" t="s">
        <v>136</v>
      </c>
      <c r="N21" s="78">
        <v>5999</v>
      </c>
      <c r="O21" s="78">
        <v>6826</v>
      </c>
      <c r="P21" s="78" t="s">
        <v>136</v>
      </c>
      <c r="Q21" s="78" t="s">
        <v>136</v>
      </c>
      <c r="R21" s="78" t="s">
        <v>136</v>
      </c>
      <c r="S21" s="78" t="s">
        <v>134</v>
      </c>
      <c r="T21" s="78" t="s">
        <v>136</v>
      </c>
      <c r="U21" s="78" t="s">
        <v>136</v>
      </c>
      <c r="V21" s="81" t="s">
        <v>119</v>
      </c>
      <c r="W21" s="66">
        <v>45825</v>
      </c>
      <c r="X21" s="439">
        <v>45829</v>
      </c>
      <c r="Z21" s="80" t="s">
        <v>85</v>
      </c>
      <c r="AA21" s="371">
        <v>0</v>
      </c>
      <c r="AB21" s="78">
        <v>5980</v>
      </c>
      <c r="AC21" s="228">
        <v>1298319</v>
      </c>
      <c r="AD21" s="228">
        <f t="shared" si="0"/>
        <v>1544999.6099999999</v>
      </c>
      <c r="AE21" s="303">
        <v>772500</v>
      </c>
      <c r="AG21" s="210"/>
      <c r="AH21" s="438">
        <v>45828</v>
      </c>
      <c r="AI21" s="66">
        <v>45836</v>
      </c>
      <c r="AJ21" s="78" t="s">
        <v>1705</v>
      </c>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c r="CE21" s="65"/>
      <c r="CF21" s="65"/>
      <c r="CG21" s="65"/>
      <c r="CH21" s="65"/>
      <c r="CI21" s="65"/>
      <c r="CJ21" s="65"/>
      <c r="CK21" s="65"/>
      <c r="CL21" s="65"/>
      <c r="CM21" s="65"/>
      <c r="CN21" s="65"/>
      <c r="CO21" s="65"/>
      <c r="CP21" s="65"/>
      <c r="CQ21" s="65"/>
      <c r="CR21" s="65"/>
      <c r="CS21" s="65"/>
      <c r="CT21" s="65"/>
      <c r="CU21" s="65"/>
      <c r="CV21" s="65"/>
      <c r="CW21" s="65"/>
      <c r="CX21" s="65"/>
      <c r="CY21" s="65"/>
      <c r="CZ21" s="65"/>
      <c r="DA21" s="65"/>
      <c r="DB21" s="65"/>
      <c r="DC21" s="65"/>
      <c r="DD21" s="65"/>
      <c r="DE21" s="65"/>
      <c r="DF21" s="65"/>
      <c r="DG21" s="65"/>
      <c r="DH21" s="65"/>
      <c r="DI21" s="65"/>
      <c r="DJ21" s="65"/>
      <c r="DK21" s="65"/>
      <c r="DL21" s="65"/>
      <c r="DM21" s="65"/>
      <c r="DN21" s="65"/>
      <c r="DO21" s="65"/>
      <c r="DP21" s="65"/>
      <c r="DQ21" s="65"/>
      <c r="DR21" s="65"/>
      <c r="DS21" s="65"/>
      <c r="DT21" s="65"/>
      <c r="DU21" s="65"/>
      <c r="DV21" s="65"/>
      <c r="DW21" s="65"/>
      <c r="DX21" s="65"/>
      <c r="DY21" s="65"/>
      <c r="DZ21" s="65"/>
      <c r="EA21" s="65"/>
      <c r="EB21" s="65"/>
      <c r="EC21" s="65"/>
      <c r="ED21" s="65"/>
      <c r="EE21" s="65"/>
      <c r="EF21" s="65"/>
      <c r="EG21" s="65"/>
      <c r="EH21" s="65"/>
      <c r="EI21" s="65"/>
      <c r="EJ21" s="65"/>
      <c r="EK21" s="65"/>
      <c r="EL21" s="65"/>
      <c r="EM21" s="65"/>
      <c r="EN21" s="65"/>
      <c r="EO21" s="65"/>
      <c r="EP21" s="65"/>
      <c r="EQ21" s="65"/>
      <c r="ER21" s="65"/>
      <c r="ES21" s="65"/>
      <c r="ET21" s="65"/>
      <c r="EU21" s="65"/>
      <c r="EV21" s="65"/>
      <c r="EW21" s="65"/>
      <c r="EX21" s="65"/>
      <c r="EY21" s="65"/>
      <c r="EZ21" s="65"/>
      <c r="FA21" s="65"/>
      <c r="FB21" s="65"/>
      <c r="FC21" s="65"/>
      <c r="FD21" s="65"/>
      <c r="FE21" s="65"/>
      <c r="FF21" s="65"/>
      <c r="FG21" s="65"/>
      <c r="FH21" s="65"/>
      <c r="FI21" s="65"/>
      <c r="FJ21" s="65"/>
      <c r="FK21" s="65"/>
      <c r="FL21" s="65"/>
      <c r="FM21" s="65"/>
      <c r="FN21" s="65"/>
      <c r="FO21" s="65"/>
      <c r="FP21" s="65"/>
      <c r="FQ21" s="65"/>
      <c r="FR21" s="65"/>
      <c r="FS21" s="65"/>
      <c r="FT21" s="65"/>
      <c r="FU21" s="65"/>
      <c r="FV21" s="65"/>
      <c r="FW21" s="65"/>
      <c r="FX21" s="65"/>
      <c r="FY21" s="65"/>
      <c r="FZ21" s="65"/>
      <c r="GA21" s="65"/>
      <c r="GB21" s="65"/>
      <c r="GC21" s="65"/>
      <c r="GD21" s="65"/>
      <c r="GE21" s="65"/>
      <c r="GF21" s="65"/>
      <c r="GG21" s="65"/>
      <c r="GH21" s="65"/>
      <c r="GI21" s="65"/>
      <c r="GJ21" s="65"/>
      <c r="GK21" s="65"/>
      <c r="GL21" s="65"/>
      <c r="GM21" s="65"/>
      <c r="GN21" s="65"/>
      <c r="GO21" s="65"/>
      <c r="GP21" s="65"/>
      <c r="GQ21" s="65"/>
      <c r="GR21" s="65"/>
      <c r="GS21" s="65"/>
      <c r="GT21" s="65"/>
      <c r="GU21" s="65"/>
      <c r="GV21" s="65"/>
      <c r="GW21" s="65"/>
      <c r="GX21" s="65"/>
      <c r="GY21" s="65"/>
      <c r="GZ21" s="65"/>
      <c r="HA21" s="65"/>
      <c r="HB21" s="65"/>
      <c r="HC21" s="65"/>
      <c r="HD21" s="65"/>
      <c r="HE21" s="65"/>
      <c r="HF21" s="65"/>
      <c r="HG21" s="65"/>
      <c r="HH21" s="65"/>
      <c r="HI21" s="65"/>
      <c r="HJ21" s="65"/>
      <c r="HK21" s="65"/>
      <c r="HL21" s="65"/>
      <c r="HM21" s="65"/>
      <c r="HN21" s="65"/>
      <c r="HO21" s="65"/>
    </row>
    <row r="22" spans="1:223" s="78" customFormat="1" ht="34.5" customHeight="1" x14ac:dyDescent="0.25">
      <c r="A22" s="353">
        <v>2025</v>
      </c>
      <c r="B22" s="354">
        <v>6</v>
      </c>
      <c r="C22" s="355">
        <v>22736</v>
      </c>
      <c r="D22" s="279">
        <v>45814</v>
      </c>
      <c r="E22" s="81" t="s">
        <v>358</v>
      </c>
      <c r="F22" s="81" t="s">
        <v>527</v>
      </c>
      <c r="G22" s="78" t="s">
        <v>98</v>
      </c>
      <c r="H22" s="78">
        <v>3216425669</v>
      </c>
      <c r="I22" s="78">
        <v>4487170</v>
      </c>
      <c r="J22" s="66">
        <v>45828</v>
      </c>
      <c r="K22" s="78" t="s">
        <v>86</v>
      </c>
      <c r="L22" s="79" t="s">
        <v>1979</v>
      </c>
      <c r="M22" s="78" t="s">
        <v>136</v>
      </c>
      <c r="N22" s="78">
        <v>5996</v>
      </c>
      <c r="O22" s="78" t="s">
        <v>136</v>
      </c>
      <c r="P22" s="78" t="s">
        <v>136</v>
      </c>
      <c r="Q22" s="78" t="s">
        <v>136</v>
      </c>
      <c r="R22" s="78" t="s">
        <v>136</v>
      </c>
      <c r="S22" s="78" t="s">
        <v>136</v>
      </c>
      <c r="T22" s="78" t="s">
        <v>136</v>
      </c>
      <c r="U22" s="78" t="s">
        <v>136</v>
      </c>
      <c r="V22" s="81" t="s">
        <v>87</v>
      </c>
      <c r="W22" s="66">
        <v>45825</v>
      </c>
      <c r="Z22" s="80" t="s">
        <v>97</v>
      </c>
      <c r="AA22" s="371">
        <v>0</v>
      </c>
      <c r="AC22" s="228">
        <v>239048</v>
      </c>
      <c r="AD22" s="228">
        <f t="shared" si="0"/>
        <v>284467.12</v>
      </c>
      <c r="AE22" s="303">
        <v>0</v>
      </c>
      <c r="AG22" s="210"/>
      <c r="AH22" s="241"/>
      <c r="AI22" s="66">
        <v>45826</v>
      </c>
      <c r="AJ22" s="78" t="s">
        <v>1705</v>
      </c>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c r="CE22" s="65"/>
      <c r="CF22" s="65"/>
      <c r="CG22" s="65"/>
      <c r="CH22" s="65"/>
      <c r="CI22" s="65"/>
      <c r="CJ22" s="65"/>
      <c r="CK22" s="65"/>
      <c r="CL22" s="65"/>
      <c r="CM22" s="65"/>
      <c r="CN22" s="65"/>
      <c r="CO22" s="65"/>
      <c r="CP22" s="65"/>
      <c r="CQ22" s="65"/>
      <c r="CR22" s="65"/>
      <c r="CS22" s="65"/>
      <c r="CT22" s="65"/>
      <c r="CU22" s="65"/>
      <c r="CV22" s="65"/>
      <c r="CW22" s="65"/>
      <c r="CX22" s="65"/>
      <c r="CY22" s="65"/>
      <c r="CZ22" s="65"/>
      <c r="DA22" s="65"/>
      <c r="DB22" s="65"/>
      <c r="DC22" s="65"/>
      <c r="DD22" s="65"/>
      <c r="DE22" s="65"/>
      <c r="DF22" s="65"/>
      <c r="DG22" s="65"/>
      <c r="DH22" s="65"/>
      <c r="DI22" s="65"/>
      <c r="DJ22" s="65"/>
      <c r="DK22" s="65"/>
      <c r="DL22" s="65"/>
      <c r="DM22" s="65"/>
      <c r="DN22" s="65"/>
      <c r="DO22" s="65"/>
      <c r="DP22" s="65"/>
      <c r="DQ22" s="65"/>
      <c r="DR22" s="65"/>
      <c r="DS22" s="65"/>
      <c r="DT22" s="65"/>
      <c r="DU22" s="65"/>
      <c r="DV22" s="65"/>
      <c r="DW22" s="65"/>
      <c r="DX22" s="65"/>
      <c r="DY22" s="65"/>
      <c r="DZ22" s="65"/>
      <c r="EA22" s="65"/>
      <c r="EB22" s="65"/>
      <c r="EC22" s="65"/>
      <c r="ED22" s="65"/>
      <c r="EE22" s="65"/>
      <c r="EF22" s="65"/>
      <c r="EG22" s="65"/>
      <c r="EH22" s="65"/>
      <c r="EI22" s="65"/>
      <c r="EJ22" s="65"/>
      <c r="EK22" s="65"/>
      <c r="EL22" s="65"/>
      <c r="EM22" s="65"/>
      <c r="EN22" s="65"/>
      <c r="EO22" s="65"/>
      <c r="EP22" s="65"/>
      <c r="EQ22" s="65"/>
      <c r="ER22" s="65"/>
      <c r="ES22" s="65"/>
      <c r="ET22" s="65"/>
      <c r="EU22" s="65"/>
      <c r="EV22" s="65"/>
      <c r="EW22" s="65"/>
      <c r="EX22" s="65"/>
      <c r="EY22" s="65"/>
      <c r="EZ22" s="65"/>
      <c r="FA22" s="65"/>
      <c r="FB22" s="65"/>
      <c r="FC22" s="65"/>
      <c r="FD22" s="65"/>
      <c r="FE22" s="65"/>
      <c r="FF22" s="65"/>
      <c r="FG22" s="65"/>
      <c r="FH22" s="65"/>
      <c r="FI22" s="65"/>
      <c r="FJ22" s="65"/>
      <c r="FK22" s="65"/>
      <c r="FL22" s="65"/>
      <c r="FM22" s="65"/>
      <c r="FN22" s="65"/>
      <c r="FO22" s="65"/>
      <c r="FP22" s="65"/>
      <c r="FQ22" s="65"/>
      <c r="FR22" s="65"/>
      <c r="FS22" s="65"/>
      <c r="FT22" s="65"/>
      <c r="FU22" s="65"/>
      <c r="FV22" s="65"/>
      <c r="FW22" s="65"/>
      <c r="FX22" s="65"/>
      <c r="FY22" s="65"/>
      <c r="FZ22" s="65"/>
      <c r="GA22" s="65"/>
      <c r="GB22" s="65"/>
      <c r="GC22" s="65"/>
      <c r="GD22" s="65"/>
      <c r="GE22" s="65"/>
      <c r="GF22" s="65"/>
      <c r="GG22" s="65"/>
      <c r="GH22" s="65"/>
      <c r="GI22" s="65"/>
      <c r="GJ22" s="65"/>
      <c r="GK22" s="65"/>
      <c r="GL22" s="65"/>
      <c r="GM22" s="65"/>
      <c r="GN22" s="65"/>
      <c r="GO22" s="65"/>
      <c r="GP22" s="65"/>
      <c r="GQ22" s="65"/>
      <c r="GR22" s="65"/>
      <c r="GS22" s="65"/>
      <c r="GT22" s="65"/>
      <c r="GU22" s="65"/>
      <c r="GV22" s="65"/>
      <c r="GW22" s="65"/>
      <c r="GX22" s="65"/>
      <c r="GY22" s="65"/>
      <c r="GZ22" s="65"/>
      <c r="HA22" s="65"/>
      <c r="HB22" s="65"/>
      <c r="HC22" s="65"/>
      <c r="HD22" s="65"/>
      <c r="HE22" s="65"/>
      <c r="HF22" s="65"/>
      <c r="HG22" s="65"/>
      <c r="HH22" s="65"/>
      <c r="HI22" s="65"/>
      <c r="HJ22" s="65"/>
      <c r="HK22" s="65"/>
      <c r="HL22" s="65"/>
      <c r="HM22" s="65"/>
      <c r="HN22" s="65"/>
      <c r="HO22" s="65"/>
    </row>
    <row r="23" spans="1:223" s="78" customFormat="1" ht="34.5" customHeight="1" x14ac:dyDescent="0.25">
      <c r="A23" s="353">
        <v>2025</v>
      </c>
      <c r="B23" s="354">
        <v>6</v>
      </c>
      <c r="C23" s="353">
        <v>22737</v>
      </c>
      <c r="D23" s="279">
        <v>45814</v>
      </c>
      <c r="E23" s="81" t="s">
        <v>1951</v>
      </c>
      <c r="F23" s="81" t="s">
        <v>1980</v>
      </c>
      <c r="I23" s="78">
        <v>4483227</v>
      </c>
      <c r="J23" s="66">
        <v>45827</v>
      </c>
      <c r="K23" s="78" t="s">
        <v>88</v>
      </c>
      <c r="L23" s="79" t="s">
        <v>1981</v>
      </c>
      <c r="M23" s="78" t="s">
        <v>136</v>
      </c>
      <c r="N23" s="78">
        <v>5997</v>
      </c>
      <c r="O23" s="78" t="s">
        <v>136</v>
      </c>
      <c r="P23" s="78">
        <v>9166</v>
      </c>
      <c r="Q23" s="78">
        <v>5569</v>
      </c>
      <c r="R23" s="78" t="s">
        <v>136</v>
      </c>
      <c r="S23" s="78" t="s">
        <v>134</v>
      </c>
      <c r="T23" s="78" t="s">
        <v>134</v>
      </c>
      <c r="U23" s="78" t="s">
        <v>136</v>
      </c>
      <c r="V23" s="81" t="s">
        <v>89</v>
      </c>
      <c r="W23" s="66">
        <v>45839</v>
      </c>
      <c r="X23" s="435">
        <v>45840</v>
      </c>
      <c r="Z23" s="80" t="s">
        <v>97</v>
      </c>
      <c r="AA23" s="371">
        <v>0</v>
      </c>
      <c r="AB23" s="78">
        <v>6032</v>
      </c>
      <c r="AC23" s="228">
        <v>2017438</v>
      </c>
      <c r="AD23" s="228">
        <f t="shared" si="0"/>
        <v>2400751.2199999997</v>
      </c>
      <c r="AE23" s="303">
        <v>0</v>
      </c>
      <c r="AG23" s="210" t="s">
        <v>2246</v>
      </c>
      <c r="AH23" s="241"/>
      <c r="AI23" s="66">
        <v>45847</v>
      </c>
      <c r="AJ23" s="78" t="s">
        <v>1705</v>
      </c>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c r="CE23" s="65"/>
      <c r="CF23" s="65"/>
      <c r="CG23" s="65"/>
      <c r="CH23" s="65"/>
      <c r="CI23" s="65"/>
      <c r="CJ23" s="65"/>
      <c r="CK23" s="65"/>
      <c r="CL23" s="65"/>
      <c r="CM23" s="65"/>
      <c r="CN23" s="65"/>
      <c r="CO23" s="65"/>
      <c r="CP23" s="65"/>
      <c r="CQ23" s="65"/>
      <c r="CR23" s="65"/>
      <c r="CS23" s="65"/>
      <c r="CT23" s="65"/>
      <c r="CU23" s="65"/>
      <c r="CV23" s="65"/>
      <c r="CW23" s="65"/>
      <c r="CX23" s="65"/>
      <c r="CY23" s="65"/>
      <c r="CZ23" s="65"/>
      <c r="DA23" s="65"/>
      <c r="DB23" s="65"/>
      <c r="DC23" s="65"/>
      <c r="DD23" s="65"/>
      <c r="DE23" s="65"/>
      <c r="DF23" s="65"/>
      <c r="DG23" s="65"/>
      <c r="DH23" s="65"/>
      <c r="DI23" s="65"/>
      <c r="DJ23" s="65"/>
      <c r="DK23" s="65"/>
      <c r="DL23" s="65"/>
      <c r="DM23" s="65"/>
      <c r="DN23" s="65"/>
      <c r="DO23" s="65"/>
      <c r="DP23" s="65"/>
      <c r="DQ23" s="65"/>
      <c r="DR23" s="65"/>
      <c r="DS23" s="65"/>
      <c r="DT23" s="65"/>
      <c r="DU23" s="65"/>
      <c r="DV23" s="65"/>
      <c r="DW23" s="65"/>
      <c r="DX23" s="65"/>
      <c r="DY23" s="65"/>
      <c r="DZ23" s="65"/>
      <c r="EA23" s="65"/>
      <c r="EB23" s="65"/>
      <c r="EC23" s="65"/>
      <c r="ED23" s="65"/>
      <c r="EE23" s="65"/>
      <c r="EF23" s="65"/>
      <c r="EG23" s="65"/>
      <c r="EH23" s="65"/>
      <c r="EI23" s="65"/>
      <c r="EJ23" s="65"/>
      <c r="EK23" s="65"/>
      <c r="EL23" s="65"/>
      <c r="EM23" s="65"/>
      <c r="EN23" s="65"/>
      <c r="EO23" s="65"/>
      <c r="EP23" s="65"/>
      <c r="EQ23" s="65"/>
      <c r="ER23" s="65"/>
      <c r="ES23" s="65"/>
      <c r="ET23" s="65"/>
      <c r="EU23" s="65"/>
      <c r="EV23" s="65"/>
      <c r="EW23" s="65"/>
      <c r="EX23" s="65"/>
      <c r="EY23" s="65"/>
      <c r="EZ23" s="65"/>
      <c r="FA23" s="65"/>
      <c r="FB23" s="65"/>
      <c r="FC23" s="65"/>
      <c r="FD23" s="65"/>
      <c r="FE23" s="65"/>
      <c r="FF23" s="65"/>
      <c r="FG23" s="65"/>
      <c r="FH23" s="65"/>
      <c r="FI23" s="65"/>
      <c r="FJ23" s="65"/>
      <c r="FK23" s="65"/>
      <c r="FL23" s="65"/>
      <c r="FM23" s="65"/>
      <c r="FN23" s="65"/>
      <c r="FO23" s="65"/>
      <c r="FP23" s="65"/>
      <c r="FQ23" s="65"/>
      <c r="FR23" s="65"/>
      <c r="FS23" s="65"/>
      <c r="FT23" s="65"/>
      <c r="FU23" s="65"/>
      <c r="FV23" s="65"/>
      <c r="FW23" s="65"/>
      <c r="FX23" s="65"/>
      <c r="FY23" s="65"/>
      <c r="FZ23" s="65"/>
      <c r="GA23" s="65"/>
      <c r="GB23" s="65"/>
      <c r="GC23" s="65"/>
      <c r="GD23" s="65"/>
      <c r="GE23" s="65"/>
      <c r="GF23" s="65"/>
      <c r="GG23" s="65"/>
      <c r="GH23" s="65"/>
      <c r="GI23" s="65"/>
      <c r="GJ23" s="65"/>
      <c r="GK23" s="65"/>
      <c r="GL23" s="65"/>
      <c r="GM23" s="65"/>
      <c r="GN23" s="65"/>
      <c r="GO23" s="65"/>
      <c r="GP23" s="65"/>
      <c r="GQ23" s="65"/>
      <c r="GR23" s="65"/>
      <c r="GS23" s="65"/>
      <c r="GT23" s="65"/>
      <c r="GU23" s="65"/>
      <c r="GV23" s="65"/>
      <c r="GW23" s="65"/>
      <c r="GX23" s="65"/>
      <c r="GY23" s="65"/>
      <c r="GZ23" s="65"/>
      <c r="HA23" s="65"/>
      <c r="HB23" s="65"/>
      <c r="HC23" s="65"/>
      <c r="HD23" s="65"/>
      <c r="HE23" s="65"/>
      <c r="HF23" s="65"/>
      <c r="HG23" s="65"/>
      <c r="HH23" s="65"/>
      <c r="HI23" s="65"/>
      <c r="HJ23" s="65"/>
      <c r="HK23" s="65"/>
      <c r="HL23" s="65"/>
      <c r="HM23" s="65"/>
      <c r="HN23" s="65"/>
      <c r="HO23" s="65"/>
    </row>
    <row r="24" spans="1:223" s="78" customFormat="1" ht="56.25" customHeight="1" x14ac:dyDescent="0.25">
      <c r="A24" s="353">
        <v>2025</v>
      </c>
      <c r="B24" s="354">
        <v>6</v>
      </c>
      <c r="C24" s="353">
        <v>22738</v>
      </c>
      <c r="D24" s="279">
        <v>45814</v>
      </c>
      <c r="E24" s="81" t="s">
        <v>1951</v>
      </c>
      <c r="F24" s="81" t="s">
        <v>1088</v>
      </c>
      <c r="G24" s="78" t="s">
        <v>150</v>
      </c>
      <c r="I24" s="78">
        <v>4483227</v>
      </c>
      <c r="J24" s="66">
        <v>45814</v>
      </c>
      <c r="K24" s="78" t="s">
        <v>88</v>
      </c>
      <c r="L24" s="79" t="s">
        <v>1952</v>
      </c>
      <c r="M24" s="78" t="s">
        <v>136</v>
      </c>
      <c r="N24" s="78" t="s">
        <v>136</v>
      </c>
      <c r="O24" s="78" t="s">
        <v>136</v>
      </c>
      <c r="P24" s="78">
        <v>9182</v>
      </c>
      <c r="Q24" s="78" t="s">
        <v>136</v>
      </c>
      <c r="R24" s="78" t="s">
        <v>136</v>
      </c>
      <c r="S24" s="78" t="s">
        <v>136</v>
      </c>
      <c r="T24" s="78" t="s">
        <v>136</v>
      </c>
      <c r="U24" s="78" t="s">
        <v>136</v>
      </c>
      <c r="V24" s="81" t="s">
        <v>89</v>
      </c>
      <c r="W24" s="66"/>
      <c r="X24" s="66">
        <v>45812</v>
      </c>
      <c r="Z24" s="80" t="s">
        <v>92</v>
      </c>
      <c r="AA24" s="371">
        <v>0</v>
      </c>
      <c r="AB24" s="78">
        <v>5927</v>
      </c>
      <c r="AC24" s="228">
        <v>550000</v>
      </c>
      <c r="AD24" s="228">
        <f t="shared" si="0"/>
        <v>654500</v>
      </c>
      <c r="AE24" s="303">
        <v>0</v>
      </c>
      <c r="AG24" s="210" t="s">
        <v>1953</v>
      </c>
      <c r="AH24" s="241"/>
      <c r="AI24" s="66">
        <v>45817</v>
      </c>
      <c r="AJ24" s="78" t="s">
        <v>1705</v>
      </c>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c r="CE24" s="65"/>
      <c r="CF24" s="65"/>
      <c r="CG24" s="65"/>
      <c r="CH24" s="65"/>
      <c r="CI24" s="65"/>
      <c r="CJ24" s="65"/>
      <c r="CK24" s="65"/>
      <c r="CL24" s="65"/>
      <c r="CM24" s="65"/>
      <c r="CN24" s="65"/>
      <c r="CO24" s="65"/>
      <c r="CP24" s="65"/>
      <c r="CQ24" s="65"/>
      <c r="CR24" s="65"/>
      <c r="CS24" s="65"/>
      <c r="CT24" s="65"/>
      <c r="CU24" s="65"/>
      <c r="CV24" s="65"/>
      <c r="CW24" s="65"/>
      <c r="CX24" s="65"/>
      <c r="CY24" s="65"/>
      <c r="CZ24" s="65"/>
      <c r="DA24" s="65"/>
      <c r="DB24" s="65"/>
      <c r="DC24" s="65"/>
      <c r="DD24" s="65"/>
      <c r="DE24" s="65"/>
      <c r="DF24" s="65"/>
      <c r="DG24" s="65"/>
      <c r="DH24" s="65"/>
      <c r="DI24" s="65"/>
      <c r="DJ24" s="65"/>
      <c r="DK24" s="65"/>
      <c r="DL24" s="65"/>
      <c r="DM24" s="65"/>
      <c r="DN24" s="65"/>
      <c r="DO24" s="65"/>
      <c r="DP24" s="65"/>
      <c r="DQ24" s="65"/>
      <c r="DR24" s="65"/>
      <c r="DS24" s="65"/>
      <c r="DT24" s="65"/>
      <c r="DU24" s="65"/>
      <c r="DV24" s="65"/>
      <c r="DW24" s="65"/>
      <c r="DX24" s="65"/>
      <c r="DY24" s="65"/>
      <c r="DZ24" s="65"/>
      <c r="EA24" s="65"/>
      <c r="EB24" s="65"/>
      <c r="EC24" s="65"/>
      <c r="ED24" s="65"/>
      <c r="EE24" s="65"/>
      <c r="EF24" s="65"/>
      <c r="EG24" s="65"/>
      <c r="EH24" s="65"/>
      <c r="EI24" s="65"/>
      <c r="EJ24" s="65"/>
      <c r="EK24" s="65"/>
      <c r="EL24" s="65"/>
      <c r="EM24" s="65"/>
      <c r="EN24" s="65"/>
      <c r="EO24" s="65"/>
      <c r="EP24" s="65"/>
      <c r="EQ24" s="65"/>
      <c r="ER24" s="65"/>
      <c r="ES24" s="65"/>
      <c r="ET24" s="65"/>
      <c r="EU24" s="65"/>
      <c r="EV24" s="65"/>
      <c r="EW24" s="65"/>
      <c r="EX24" s="65"/>
      <c r="EY24" s="65"/>
      <c r="EZ24" s="65"/>
      <c r="FA24" s="65"/>
      <c r="FB24" s="65"/>
      <c r="FC24" s="65"/>
      <c r="FD24" s="65"/>
      <c r="FE24" s="65"/>
      <c r="FF24" s="65"/>
      <c r="FG24" s="65"/>
      <c r="FH24" s="65"/>
      <c r="FI24" s="65"/>
      <c r="FJ24" s="65"/>
      <c r="FK24" s="65"/>
      <c r="FL24" s="65"/>
      <c r="FM24" s="65"/>
      <c r="FN24" s="65"/>
      <c r="FO24" s="65"/>
      <c r="FP24" s="65"/>
      <c r="FQ24" s="65"/>
      <c r="FR24" s="65"/>
      <c r="FS24" s="65"/>
      <c r="FT24" s="65"/>
      <c r="FU24" s="65"/>
      <c r="FV24" s="65"/>
      <c r="FW24" s="65"/>
      <c r="FX24" s="65"/>
      <c r="FY24" s="65"/>
      <c r="FZ24" s="65"/>
      <c r="GA24" s="65"/>
      <c r="GB24" s="65"/>
      <c r="GC24" s="65"/>
      <c r="GD24" s="65"/>
      <c r="GE24" s="65"/>
      <c r="GF24" s="65"/>
      <c r="GG24" s="65"/>
      <c r="GH24" s="65"/>
      <c r="GI24" s="65"/>
      <c r="GJ24" s="65"/>
      <c r="GK24" s="65"/>
      <c r="GL24" s="65"/>
      <c r="GM24" s="65"/>
      <c r="GN24" s="65"/>
      <c r="GO24" s="65"/>
      <c r="GP24" s="65"/>
      <c r="GQ24" s="65"/>
      <c r="GR24" s="65"/>
      <c r="GS24" s="65"/>
      <c r="GT24" s="65"/>
      <c r="GU24" s="65"/>
      <c r="GV24" s="65"/>
      <c r="GW24" s="65"/>
      <c r="GX24" s="65"/>
      <c r="GY24" s="65"/>
      <c r="GZ24" s="65"/>
      <c r="HA24" s="65"/>
      <c r="HB24" s="65"/>
      <c r="HC24" s="65"/>
      <c r="HD24" s="65"/>
      <c r="HE24" s="65"/>
      <c r="HF24" s="65"/>
      <c r="HG24" s="65"/>
      <c r="HH24" s="65"/>
      <c r="HI24" s="65"/>
      <c r="HJ24" s="65"/>
      <c r="HK24" s="65"/>
      <c r="HL24" s="65"/>
      <c r="HM24" s="65"/>
      <c r="HN24" s="65"/>
      <c r="HO24" s="65"/>
    </row>
    <row r="25" spans="1:223" s="78" customFormat="1" ht="94.5" customHeight="1" x14ac:dyDescent="0.25">
      <c r="A25" s="353">
        <v>2025</v>
      </c>
      <c r="B25" s="354">
        <v>6</v>
      </c>
      <c r="C25" s="355">
        <v>22739</v>
      </c>
      <c r="D25" s="279">
        <v>45814</v>
      </c>
      <c r="E25" s="81" t="s">
        <v>2009</v>
      </c>
      <c r="F25" s="81" t="s">
        <v>2010</v>
      </c>
      <c r="G25" s="78" t="s">
        <v>143</v>
      </c>
      <c r="H25" s="78">
        <v>3218521686</v>
      </c>
      <c r="I25" s="78">
        <v>3218521686</v>
      </c>
      <c r="J25" s="66">
        <v>45826</v>
      </c>
      <c r="K25" s="78" t="s">
        <v>84</v>
      </c>
      <c r="L25" s="79" t="s">
        <v>2011</v>
      </c>
      <c r="M25" s="78" t="s">
        <v>136</v>
      </c>
      <c r="N25" s="78">
        <v>6008</v>
      </c>
      <c r="O25" s="78">
        <v>6840</v>
      </c>
      <c r="P25" s="78">
        <v>9205</v>
      </c>
      <c r="Q25" s="78" t="s">
        <v>136</v>
      </c>
      <c r="R25" s="78" t="s">
        <v>136</v>
      </c>
      <c r="S25" s="78" t="s">
        <v>134</v>
      </c>
      <c r="T25" s="78" t="s">
        <v>134</v>
      </c>
      <c r="U25" s="78" t="s">
        <v>136</v>
      </c>
      <c r="V25" s="81" t="s">
        <v>590</v>
      </c>
      <c r="W25" s="66">
        <v>45825</v>
      </c>
      <c r="X25" s="66">
        <v>45827</v>
      </c>
      <c r="Z25" s="80" t="s">
        <v>85</v>
      </c>
      <c r="AA25" s="371">
        <v>0</v>
      </c>
      <c r="AB25" s="78">
        <v>5977</v>
      </c>
      <c r="AC25" s="228">
        <v>813834</v>
      </c>
      <c r="AD25" s="228">
        <f t="shared" si="0"/>
        <v>968462.46</v>
      </c>
      <c r="AE25" s="303">
        <v>484232</v>
      </c>
      <c r="AG25" s="210" t="s">
        <v>2147</v>
      </c>
      <c r="AH25" s="403">
        <v>45826</v>
      </c>
      <c r="AI25" s="66">
        <v>45836</v>
      </c>
      <c r="AJ25" s="78" t="s">
        <v>1705</v>
      </c>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c r="CE25" s="65"/>
      <c r="CF25" s="65"/>
      <c r="CG25" s="65"/>
      <c r="CH25" s="65"/>
      <c r="CI25" s="65"/>
      <c r="CJ25" s="65"/>
      <c r="CK25" s="65"/>
      <c r="CL25" s="65"/>
      <c r="CM25" s="65"/>
      <c r="CN25" s="65"/>
      <c r="CO25" s="65"/>
      <c r="CP25" s="65"/>
      <c r="CQ25" s="65"/>
      <c r="CR25" s="65"/>
      <c r="CS25" s="65"/>
      <c r="CT25" s="65"/>
      <c r="CU25" s="65"/>
      <c r="CV25" s="65"/>
      <c r="CW25" s="65"/>
      <c r="CX25" s="65"/>
      <c r="CY25" s="65"/>
      <c r="CZ25" s="65"/>
      <c r="DA25" s="65"/>
      <c r="DB25" s="65"/>
      <c r="DC25" s="65"/>
      <c r="DD25" s="65"/>
      <c r="DE25" s="65"/>
      <c r="DF25" s="65"/>
      <c r="DG25" s="65"/>
      <c r="DH25" s="65"/>
      <c r="DI25" s="65"/>
      <c r="DJ25" s="65"/>
      <c r="DK25" s="65"/>
      <c r="DL25" s="65"/>
      <c r="DM25" s="65"/>
      <c r="DN25" s="65"/>
      <c r="DO25" s="65"/>
      <c r="DP25" s="65"/>
      <c r="DQ25" s="65"/>
      <c r="DR25" s="65"/>
      <c r="DS25" s="65"/>
      <c r="DT25" s="65"/>
      <c r="DU25" s="65"/>
      <c r="DV25" s="65"/>
      <c r="DW25" s="65"/>
      <c r="DX25" s="65"/>
      <c r="DY25" s="65"/>
      <c r="DZ25" s="65"/>
      <c r="EA25" s="65"/>
      <c r="EB25" s="65"/>
      <c r="EC25" s="65"/>
      <c r="ED25" s="65"/>
      <c r="EE25" s="65"/>
      <c r="EF25" s="65"/>
      <c r="EG25" s="65"/>
      <c r="EH25" s="65"/>
      <c r="EI25" s="65"/>
      <c r="EJ25" s="65"/>
      <c r="EK25" s="65"/>
      <c r="EL25" s="65"/>
      <c r="EM25" s="65"/>
      <c r="EN25" s="65"/>
      <c r="EO25" s="65"/>
      <c r="EP25" s="65"/>
      <c r="EQ25" s="65"/>
      <c r="ER25" s="65"/>
      <c r="ES25" s="65"/>
      <c r="ET25" s="65"/>
      <c r="EU25" s="65"/>
      <c r="EV25" s="65"/>
      <c r="EW25" s="65"/>
      <c r="EX25" s="65"/>
      <c r="EY25" s="65"/>
      <c r="EZ25" s="65"/>
      <c r="FA25" s="65"/>
      <c r="FB25" s="65"/>
      <c r="FC25" s="65"/>
      <c r="FD25" s="65"/>
      <c r="FE25" s="65"/>
      <c r="FF25" s="65"/>
      <c r="FG25" s="65"/>
      <c r="FH25" s="65"/>
      <c r="FI25" s="65"/>
      <c r="FJ25" s="65"/>
      <c r="FK25" s="65"/>
      <c r="FL25" s="65"/>
      <c r="FM25" s="65"/>
      <c r="FN25" s="65"/>
      <c r="FO25" s="65"/>
      <c r="FP25" s="65"/>
      <c r="FQ25" s="65"/>
      <c r="FR25" s="65"/>
      <c r="FS25" s="65"/>
      <c r="FT25" s="65"/>
      <c r="FU25" s="65"/>
      <c r="FV25" s="65"/>
      <c r="FW25" s="65"/>
      <c r="FX25" s="65"/>
      <c r="FY25" s="65"/>
      <c r="FZ25" s="65"/>
      <c r="GA25" s="65"/>
      <c r="GB25" s="65"/>
      <c r="GC25" s="65"/>
      <c r="GD25" s="65"/>
      <c r="GE25" s="65"/>
      <c r="GF25" s="65"/>
      <c r="GG25" s="65"/>
      <c r="GH25" s="65"/>
      <c r="GI25" s="65"/>
      <c r="GJ25" s="65"/>
      <c r="GK25" s="65"/>
      <c r="GL25" s="65"/>
      <c r="GM25" s="65"/>
      <c r="GN25" s="65"/>
      <c r="GO25" s="65"/>
      <c r="GP25" s="65"/>
      <c r="GQ25" s="65"/>
      <c r="GR25" s="65"/>
      <c r="GS25" s="65"/>
      <c r="GT25" s="65"/>
      <c r="GU25" s="65"/>
      <c r="GV25" s="65"/>
      <c r="GW25" s="65"/>
      <c r="GX25" s="65"/>
      <c r="GY25" s="65"/>
      <c r="GZ25" s="65"/>
      <c r="HA25" s="65"/>
      <c r="HB25" s="65"/>
      <c r="HC25" s="65"/>
      <c r="HD25" s="65"/>
      <c r="HE25" s="65"/>
      <c r="HF25" s="65"/>
      <c r="HG25" s="65"/>
      <c r="HH25" s="65"/>
      <c r="HI25" s="65"/>
      <c r="HJ25" s="65"/>
      <c r="HK25" s="65"/>
      <c r="HL25" s="65"/>
      <c r="HM25" s="65"/>
      <c r="HN25" s="65"/>
      <c r="HO25" s="65"/>
    </row>
    <row r="26" spans="1:223" s="78" customFormat="1" ht="34.5" customHeight="1" x14ac:dyDescent="0.25">
      <c r="A26" s="353">
        <v>2025</v>
      </c>
      <c r="B26" s="354">
        <v>6</v>
      </c>
      <c r="C26" s="353">
        <v>22740</v>
      </c>
      <c r="D26" s="279">
        <v>45814</v>
      </c>
      <c r="E26" s="81" t="s">
        <v>1982</v>
      </c>
      <c r="F26" s="81" t="s">
        <v>1983</v>
      </c>
      <c r="H26" s="78">
        <v>3147322538</v>
      </c>
      <c r="I26" s="78">
        <v>3147322538</v>
      </c>
      <c r="J26" s="66">
        <v>45824</v>
      </c>
      <c r="K26" s="78" t="s">
        <v>84</v>
      </c>
      <c r="L26" s="79" t="s">
        <v>1984</v>
      </c>
      <c r="M26" s="78" t="s">
        <v>136</v>
      </c>
      <c r="N26" s="78">
        <v>5998</v>
      </c>
      <c r="O26" s="78" t="s">
        <v>136</v>
      </c>
      <c r="P26" s="78" t="s">
        <v>136</v>
      </c>
      <c r="Q26" s="78" t="s">
        <v>136</v>
      </c>
      <c r="R26" s="78" t="s">
        <v>136</v>
      </c>
      <c r="S26" s="78" t="s">
        <v>136</v>
      </c>
      <c r="T26" s="78" t="s">
        <v>136</v>
      </c>
      <c r="U26" s="78" t="s">
        <v>136</v>
      </c>
      <c r="V26" s="81" t="s">
        <v>119</v>
      </c>
      <c r="W26" s="66">
        <v>45822</v>
      </c>
      <c r="X26" s="66">
        <v>45825</v>
      </c>
      <c r="Z26" s="80" t="s">
        <v>85</v>
      </c>
      <c r="AA26" s="371">
        <v>0</v>
      </c>
      <c r="AB26" s="78">
        <v>5962</v>
      </c>
      <c r="AC26" s="228">
        <v>285714</v>
      </c>
      <c r="AD26" s="228">
        <f t="shared" si="0"/>
        <v>339999.66</v>
      </c>
      <c r="AE26" s="303">
        <v>200000</v>
      </c>
      <c r="AG26" s="210" t="s">
        <v>2139</v>
      </c>
      <c r="AH26" s="403">
        <v>45825</v>
      </c>
      <c r="AI26" s="66">
        <v>45826</v>
      </c>
      <c r="AJ26" s="78" t="s">
        <v>1705</v>
      </c>
      <c r="AL26" s="65"/>
      <c r="AM26" s="65"/>
      <c r="AN26" s="65"/>
      <c r="AO26" s="65"/>
      <c r="AP26" s="65"/>
      <c r="AQ26" s="65"/>
      <c r="AR26" s="65"/>
      <c r="AS26" s="65"/>
      <c r="AT26" s="65"/>
      <c r="AU26" s="65"/>
      <c r="AV26" s="65"/>
      <c r="AW26" s="65"/>
      <c r="AX26" s="65"/>
      <c r="AY26" s="65"/>
      <c r="AZ26" s="65"/>
      <c r="BA26" s="65"/>
      <c r="BB26" s="65"/>
      <c r="BC26" s="65"/>
      <c r="BD26" s="65"/>
      <c r="BE26" s="65"/>
      <c r="BF26" s="65"/>
      <c r="BG26" s="65"/>
      <c r="BH26" s="65"/>
      <c r="BI26" s="65"/>
      <c r="BJ26" s="65"/>
      <c r="BK26" s="65"/>
      <c r="BL26" s="65"/>
      <c r="BM26" s="65"/>
      <c r="BN26" s="65"/>
      <c r="BO26" s="65"/>
      <c r="BP26" s="65"/>
      <c r="BQ26" s="65"/>
      <c r="BR26" s="65"/>
      <c r="BS26" s="65"/>
      <c r="BT26" s="65"/>
      <c r="BU26" s="65"/>
      <c r="BV26" s="65"/>
      <c r="BW26" s="65"/>
      <c r="BX26" s="65"/>
      <c r="BY26" s="65"/>
      <c r="BZ26" s="65"/>
      <c r="CA26" s="65"/>
      <c r="CB26" s="65"/>
      <c r="CC26" s="65"/>
      <c r="CD26" s="65"/>
      <c r="CE26" s="65"/>
      <c r="CF26" s="65"/>
      <c r="CG26" s="65"/>
      <c r="CH26" s="65"/>
      <c r="CI26" s="65"/>
      <c r="CJ26" s="65"/>
      <c r="CK26" s="65"/>
      <c r="CL26" s="65"/>
      <c r="CM26" s="65"/>
      <c r="CN26" s="65"/>
      <c r="CO26" s="65"/>
      <c r="CP26" s="65"/>
      <c r="CQ26" s="65"/>
      <c r="CR26" s="65"/>
      <c r="CS26" s="65"/>
      <c r="CT26" s="65"/>
      <c r="CU26" s="65"/>
      <c r="CV26" s="65"/>
      <c r="CW26" s="65"/>
      <c r="CX26" s="65"/>
      <c r="CY26" s="65"/>
      <c r="CZ26" s="65"/>
      <c r="DA26" s="65"/>
      <c r="DB26" s="65"/>
      <c r="DC26" s="65"/>
      <c r="DD26" s="65"/>
      <c r="DE26" s="65"/>
      <c r="DF26" s="65"/>
      <c r="DG26" s="65"/>
      <c r="DH26" s="65"/>
      <c r="DI26" s="65"/>
      <c r="DJ26" s="65"/>
      <c r="DK26" s="65"/>
      <c r="DL26" s="65"/>
      <c r="DM26" s="65"/>
      <c r="DN26" s="65"/>
      <c r="DO26" s="65"/>
      <c r="DP26" s="65"/>
      <c r="DQ26" s="65"/>
      <c r="DR26" s="65"/>
      <c r="DS26" s="65"/>
      <c r="DT26" s="65"/>
      <c r="DU26" s="65"/>
      <c r="DV26" s="65"/>
      <c r="DW26" s="65"/>
      <c r="DX26" s="65"/>
      <c r="DY26" s="65"/>
      <c r="DZ26" s="65"/>
      <c r="EA26" s="65"/>
      <c r="EB26" s="65"/>
      <c r="EC26" s="65"/>
      <c r="ED26" s="65"/>
      <c r="EE26" s="65"/>
      <c r="EF26" s="65"/>
      <c r="EG26" s="65"/>
      <c r="EH26" s="65"/>
      <c r="EI26" s="65"/>
      <c r="EJ26" s="65"/>
      <c r="EK26" s="65"/>
      <c r="EL26" s="65"/>
      <c r="EM26" s="65"/>
      <c r="EN26" s="65"/>
      <c r="EO26" s="65"/>
      <c r="EP26" s="65"/>
      <c r="EQ26" s="65"/>
      <c r="ER26" s="65"/>
      <c r="ES26" s="65"/>
      <c r="ET26" s="65"/>
      <c r="EU26" s="65"/>
      <c r="EV26" s="65"/>
      <c r="EW26" s="65"/>
      <c r="EX26" s="65"/>
      <c r="EY26" s="65"/>
      <c r="EZ26" s="65"/>
      <c r="FA26" s="65"/>
      <c r="FB26" s="65"/>
      <c r="FC26" s="65"/>
      <c r="FD26" s="65"/>
      <c r="FE26" s="65"/>
      <c r="FF26" s="65"/>
      <c r="FG26" s="65"/>
      <c r="FH26" s="65"/>
      <c r="FI26" s="65"/>
      <c r="FJ26" s="65"/>
      <c r="FK26" s="65"/>
      <c r="FL26" s="65"/>
      <c r="FM26" s="65"/>
      <c r="FN26" s="65"/>
      <c r="FO26" s="65"/>
      <c r="FP26" s="65"/>
      <c r="FQ26" s="65"/>
      <c r="FR26" s="65"/>
      <c r="FS26" s="65"/>
      <c r="FT26" s="65"/>
      <c r="FU26" s="65"/>
      <c r="FV26" s="65"/>
      <c r="FW26" s="65"/>
      <c r="FX26" s="65"/>
      <c r="FY26" s="65"/>
      <c r="FZ26" s="65"/>
      <c r="GA26" s="65"/>
      <c r="GB26" s="65"/>
      <c r="GC26" s="65"/>
      <c r="GD26" s="65"/>
      <c r="GE26" s="65"/>
      <c r="GF26" s="65"/>
      <c r="GG26" s="65"/>
      <c r="GH26" s="65"/>
      <c r="GI26" s="65"/>
      <c r="GJ26" s="65"/>
      <c r="GK26" s="65"/>
      <c r="GL26" s="65"/>
      <c r="GM26" s="65"/>
      <c r="GN26" s="65"/>
      <c r="GO26" s="65"/>
      <c r="GP26" s="65"/>
      <c r="GQ26" s="65"/>
      <c r="GR26" s="65"/>
      <c r="GS26" s="65"/>
      <c r="GT26" s="65"/>
      <c r="GU26" s="65"/>
      <c r="GV26" s="65"/>
      <c r="GW26" s="65"/>
      <c r="GX26" s="65"/>
      <c r="GY26" s="65"/>
      <c r="GZ26" s="65"/>
      <c r="HA26" s="65"/>
      <c r="HB26" s="65"/>
      <c r="HC26" s="65"/>
      <c r="HD26" s="65"/>
      <c r="HE26" s="65"/>
      <c r="HF26" s="65"/>
      <c r="HG26" s="65"/>
      <c r="HH26" s="65"/>
      <c r="HI26" s="65"/>
      <c r="HJ26" s="65"/>
      <c r="HK26" s="65"/>
      <c r="HL26" s="65"/>
      <c r="HM26" s="65"/>
      <c r="HN26" s="65"/>
      <c r="HO26" s="65"/>
    </row>
    <row r="27" spans="1:223" s="78" customFormat="1" ht="102.75" customHeight="1" x14ac:dyDescent="0.25">
      <c r="A27" s="353">
        <v>2025</v>
      </c>
      <c r="B27" s="354">
        <v>6</v>
      </c>
      <c r="C27" s="353">
        <v>22741</v>
      </c>
      <c r="D27" s="279">
        <v>45814</v>
      </c>
      <c r="E27" s="81" t="s">
        <v>2012</v>
      </c>
      <c r="F27" s="81" t="s">
        <v>1014</v>
      </c>
      <c r="G27" s="78" t="s">
        <v>570</v>
      </c>
      <c r="H27" s="78">
        <v>3154529699</v>
      </c>
      <c r="I27" s="81" t="s">
        <v>2013</v>
      </c>
      <c r="J27" s="66">
        <v>45828</v>
      </c>
      <c r="K27" s="78" t="s">
        <v>88</v>
      </c>
      <c r="L27" s="79" t="s">
        <v>2014</v>
      </c>
      <c r="M27" s="78" t="s">
        <v>136</v>
      </c>
      <c r="N27" s="78">
        <v>6004</v>
      </c>
      <c r="O27" s="78">
        <v>6830</v>
      </c>
      <c r="P27" s="78">
        <v>8953</v>
      </c>
      <c r="Q27" s="78">
        <v>5594</v>
      </c>
      <c r="R27" s="78" t="s">
        <v>134</v>
      </c>
      <c r="S27" s="78" t="s">
        <v>134</v>
      </c>
      <c r="T27" s="78" t="s">
        <v>134</v>
      </c>
      <c r="U27" s="78" t="s">
        <v>136</v>
      </c>
      <c r="V27" s="81" t="s">
        <v>89</v>
      </c>
      <c r="W27" s="66">
        <v>45827</v>
      </c>
      <c r="X27" s="66">
        <v>45832</v>
      </c>
      <c r="Z27" s="80" t="s">
        <v>97</v>
      </c>
      <c r="AA27" s="371">
        <v>0</v>
      </c>
      <c r="AB27" s="78">
        <v>6005</v>
      </c>
      <c r="AC27" s="228">
        <v>10406366</v>
      </c>
      <c r="AD27" s="228">
        <f t="shared" si="0"/>
        <v>12383575.539999999</v>
      </c>
      <c r="AE27" s="303">
        <v>0</v>
      </c>
      <c r="AG27" s="210" t="s">
        <v>1987</v>
      </c>
      <c r="AH27" s="241"/>
      <c r="AI27" s="66">
        <v>45835</v>
      </c>
      <c r="AJ27" s="78" t="s">
        <v>1705</v>
      </c>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c r="CE27" s="65"/>
      <c r="CF27" s="65"/>
      <c r="CG27" s="65"/>
      <c r="CH27" s="65"/>
      <c r="CI27" s="65"/>
      <c r="CJ27" s="65"/>
      <c r="CK27" s="65"/>
      <c r="CL27" s="65"/>
      <c r="CM27" s="65"/>
      <c r="CN27" s="65"/>
      <c r="CO27" s="65"/>
      <c r="CP27" s="65"/>
      <c r="CQ27" s="65"/>
      <c r="CR27" s="65"/>
      <c r="CS27" s="65"/>
      <c r="CT27" s="65"/>
      <c r="CU27" s="65"/>
      <c r="CV27" s="65"/>
      <c r="CW27" s="65"/>
      <c r="CX27" s="65"/>
      <c r="CY27" s="65"/>
      <c r="CZ27" s="65"/>
      <c r="DA27" s="65"/>
      <c r="DB27" s="65"/>
      <c r="DC27" s="65"/>
      <c r="DD27" s="65"/>
      <c r="DE27" s="65"/>
      <c r="DF27" s="65"/>
      <c r="DG27" s="65"/>
      <c r="DH27" s="65"/>
      <c r="DI27" s="65"/>
      <c r="DJ27" s="65"/>
      <c r="DK27" s="65"/>
      <c r="DL27" s="65"/>
      <c r="DM27" s="65"/>
      <c r="DN27" s="65"/>
      <c r="DO27" s="65"/>
      <c r="DP27" s="65"/>
      <c r="DQ27" s="65"/>
      <c r="DR27" s="65"/>
      <c r="DS27" s="65"/>
      <c r="DT27" s="65"/>
      <c r="DU27" s="65"/>
      <c r="DV27" s="65"/>
      <c r="DW27" s="65"/>
      <c r="DX27" s="65"/>
      <c r="DY27" s="65"/>
      <c r="DZ27" s="65"/>
      <c r="EA27" s="65"/>
      <c r="EB27" s="65"/>
      <c r="EC27" s="65"/>
      <c r="ED27" s="65"/>
      <c r="EE27" s="65"/>
      <c r="EF27" s="65"/>
      <c r="EG27" s="65"/>
      <c r="EH27" s="65"/>
      <c r="EI27" s="65"/>
      <c r="EJ27" s="65"/>
      <c r="EK27" s="65"/>
      <c r="EL27" s="65"/>
      <c r="EM27" s="65"/>
      <c r="EN27" s="65"/>
      <c r="EO27" s="65"/>
      <c r="EP27" s="65"/>
      <c r="EQ27" s="65"/>
      <c r="ER27" s="65"/>
      <c r="ES27" s="65"/>
      <c r="ET27" s="65"/>
      <c r="EU27" s="65"/>
      <c r="EV27" s="65"/>
      <c r="EW27" s="65"/>
      <c r="EX27" s="65"/>
      <c r="EY27" s="65"/>
      <c r="EZ27" s="65"/>
      <c r="FA27" s="65"/>
      <c r="FB27" s="65"/>
      <c r="FC27" s="65"/>
      <c r="FD27" s="65"/>
      <c r="FE27" s="65"/>
      <c r="FF27" s="65"/>
      <c r="FG27" s="65"/>
      <c r="FH27" s="65"/>
      <c r="FI27" s="65"/>
      <c r="FJ27" s="65"/>
      <c r="FK27" s="65"/>
      <c r="FL27" s="65"/>
      <c r="FM27" s="65"/>
      <c r="FN27" s="65"/>
      <c r="FO27" s="65"/>
      <c r="FP27" s="65"/>
      <c r="FQ27" s="65"/>
      <c r="FR27" s="65"/>
      <c r="FS27" s="65"/>
      <c r="FT27" s="65"/>
      <c r="FU27" s="65"/>
      <c r="FV27" s="65"/>
      <c r="FW27" s="65"/>
      <c r="FX27" s="65"/>
      <c r="FY27" s="65"/>
      <c r="FZ27" s="65"/>
      <c r="GA27" s="65"/>
      <c r="GB27" s="65"/>
      <c r="GC27" s="65"/>
      <c r="GD27" s="65"/>
      <c r="GE27" s="65"/>
      <c r="GF27" s="65"/>
      <c r="GG27" s="65"/>
      <c r="GH27" s="65"/>
      <c r="GI27" s="65"/>
      <c r="GJ27" s="65"/>
      <c r="GK27" s="65"/>
      <c r="GL27" s="65"/>
      <c r="GM27" s="65"/>
      <c r="GN27" s="65"/>
      <c r="GO27" s="65"/>
      <c r="GP27" s="65"/>
      <c r="GQ27" s="65"/>
      <c r="GR27" s="65"/>
      <c r="GS27" s="65"/>
      <c r="GT27" s="65"/>
      <c r="GU27" s="65"/>
      <c r="GV27" s="65"/>
      <c r="GW27" s="65"/>
      <c r="GX27" s="65"/>
      <c r="GY27" s="65"/>
      <c r="GZ27" s="65"/>
      <c r="HA27" s="65"/>
      <c r="HB27" s="65"/>
      <c r="HC27" s="65"/>
      <c r="HD27" s="65"/>
      <c r="HE27" s="65"/>
      <c r="HF27" s="65"/>
      <c r="HG27" s="65"/>
      <c r="HH27" s="65"/>
      <c r="HI27" s="65"/>
      <c r="HJ27" s="65"/>
      <c r="HK27" s="65"/>
      <c r="HL27" s="65"/>
      <c r="HM27" s="65"/>
      <c r="HN27" s="65"/>
      <c r="HO27" s="65"/>
    </row>
    <row r="28" spans="1:223" s="78" customFormat="1" ht="57.75" customHeight="1" x14ac:dyDescent="0.25">
      <c r="A28" s="353">
        <v>2025</v>
      </c>
      <c r="B28" s="354">
        <v>6</v>
      </c>
      <c r="C28" s="355">
        <v>22742</v>
      </c>
      <c r="D28" s="279">
        <v>45824</v>
      </c>
      <c r="E28" s="81" t="s">
        <v>2015</v>
      </c>
      <c r="F28" s="81" t="s">
        <v>481</v>
      </c>
      <c r="G28" s="78" t="s">
        <v>143</v>
      </c>
      <c r="H28" s="78">
        <v>3232308729</v>
      </c>
      <c r="I28" s="78">
        <v>3232308729</v>
      </c>
      <c r="J28" s="66">
        <v>45825</v>
      </c>
      <c r="K28" s="78" t="s">
        <v>84</v>
      </c>
      <c r="L28" s="79" t="s">
        <v>2016</v>
      </c>
      <c r="M28" s="78" t="s">
        <v>136</v>
      </c>
      <c r="N28" s="78">
        <v>6006</v>
      </c>
      <c r="O28" s="78" t="s">
        <v>136</v>
      </c>
      <c r="P28" s="78" t="s">
        <v>136</v>
      </c>
      <c r="Q28" s="78" t="s">
        <v>136</v>
      </c>
      <c r="R28" s="78" t="s">
        <v>136</v>
      </c>
      <c r="S28" s="78" t="s">
        <v>136</v>
      </c>
      <c r="T28" s="78" t="s">
        <v>136</v>
      </c>
      <c r="U28" s="78" t="s">
        <v>136</v>
      </c>
      <c r="V28" s="81" t="s">
        <v>119</v>
      </c>
      <c r="W28" s="66">
        <v>45827</v>
      </c>
      <c r="X28" s="66">
        <v>45829</v>
      </c>
      <c r="Z28" s="80" t="s">
        <v>85</v>
      </c>
      <c r="AA28" s="371">
        <v>98824</v>
      </c>
      <c r="AB28" s="78">
        <v>5989</v>
      </c>
      <c r="AC28" s="228">
        <v>83045</v>
      </c>
      <c r="AD28" s="228">
        <f t="shared" si="0"/>
        <v>98823.549999999988</v>
      </c>
      <c r="AE28" s="303">
        <v>0</v>
      </c>
      <c r="AG28" s="210" t="s">
        <v>2139</v>
      </c>
      <c r="AH28" s="403">
        <v>45814</v>
      </c>
      <c r="AI28" s="66">
        <v>45833</v>
      </c>
      <c r="AJ28" s="78" t="s">
        <v>1705</v>
      </c>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5"/>
      <c r="CA28" s="65"/>
      <c r="CB28" s="65"/>
      <c r="CC28" s="65"/>
      <c r="CD28" s="65"/>
      <c r="CE28" s="65"/>
      <c r="CF28" s="65"/>
      <c r="CG28" s="65"/>
      <c r="CH28" s="65"/>
      <c r="CI28" s="65"/>
      <c r="CJ28" s="65"/>
      <c r="CK28" s="65"/>
      <c r="CL28" s="65"/>
      <c r="CM28" s="65"/>
      <c r="CN28" s="65"/>
      <c r="CO28" s="65"/>
      <c r="CP28" s="65"/>
      <c r="CQ28" s="65"/>
      <c r="CR28" s="65"/>
      <c r="CS28" s="65"/>
      <c r="CT28" s="65"/>
      <c r="CU28" s="65"/>
      <c r="CV28" s="65"/>
      <c r="CW28" s="65"/>
      <c r="CX28" s="65"/>
      <c r="CY28" s="65"/>
      <c r="CZ28" s="65"/>
      <c r="DA28" s="65"/>
      <c r="DB28" s="65"/>
      <c r="DC28" s="65"/>
      <c r="DD28" s="65"/>
      <c r="DE28" s="65"/>
      <c r="DF28" s="65"/>
      <c r="DG28" s="65"/>
      <c r="DH28" s="65"/>
      <c r="DI28" s="65"/>
      <c r="DJ28" s="65"/>
      <c r="DK28" s="65"/>
      <c r="DL28" s="65"/>
      <c r="DM28" s="65"/>
      <c r="DN28" s="65"/>
      <c r="DO28" s="65"/>
      <c r="DP28" s="65"/>
      <c r="DQ28" s="65"/>
      <c r="DR28" s="65"/>
      <c r="DS28" s="65"/>
      <c r="DT28" s="65"/>
      <c r="DU28" s="65"/>
      <c r="DV28" s="65"/>
      <c r="DW28" s="65"/>
      <c r="DX28" s="65"/>
      <c r="DY28" s="65"/>
      <c r="DZ28" s="65"/>
      <c r="EA28" s="65"/>
      <c r="EB28" s="65"/>
      <c r="EC28" s="65"/>
      <c r="ED28" s="65"/>
      <c r="EE28" s="65"/>
      <c r="EF28" s="65"/>
      <c r="EG28" s="65"/>
      <c r="EH28" s="65"/>
      <c r="EI28" s="65"/>
      <c r="EJ28" s="65"/>
      <c r="EK28" s="65"/>
      <c r="EL28" s="65"/>
      <c r="EM28" s="65"/>
      <c r="EN28" s="65"/>
      <c r="EO28" s="65"/>
      <c r="EP28" s="65"/>
      <c r="EQ28" s="65"/>
      <c r="ER28" s="65"/>
      <c r="ES28" s="65"/>
      <c r="ET28" s="65"/>
      <c r="EU28" s="65"/>
      <c r="EV28" s="65"/>
      <c r="EW28" s="65"/>
      <c r="EX28" s="65"/>
      <c r="EY28" s="65"/>
      <c r="EZ28" s="65"/>
      <c r="FA28" s="65"/>
      <c r="FB28" s="65"/>
      <c r="FC28" s="65"/>
      <c r="FD28" s="65"/>
      <c r="FE28" s="65"/>
      <c r="FF28" s="65"/>
      <c r="FG28" s="65"/>
      <c r="FH28" s="65"/>
      <c r="FI28" s="65"/>
      <c r="FJ28" s="65"/>
      <c r="FK28" s="65"/>
      <c r="FL28" s="65"/>
      <c r="FM28" s="65"/>
      <c r="FN28" s="65"/>
      <c r="FO28" s="65"/>
      <c r="FP28" s="65"/>
      <c r="FQ28" s="65"/>
      <c r="FR28" s="65"/>
      <c r="FS28" s="65"/>
      <c r="FT28" s="65"/>
      <c r="FU28" s="65"/>
      <c r="FV28" s="65"/>
      <c r="FW28" s="65"/>
      <c r="FX28" s="65"/>
      <c r="FY28" s="65"/>
      <c r="FZ28" s="65"/>
      <c r="GA28" s="65"/>
      <c r="GB28" s="65"/>
      <c r="GC28" s="65"/>
      <c r="GD28" s="65"/>
      <c r="GE28" s="65"/>
      <c r="GF28" s="65"/>
      <c r="GG28" s="65"/>
      <c r="GH28" s="65"/>
      <c r="GI28" s="65"/>
      <c r="GJ28" s="65"/>
      <c r="GK28" s="65"/>
      <c r="GL28" s="65"/>
      <c r="GM28" s="65"/>
      <c r="GN28" s="65"/>
      <c r="GO28" s="65"/>
      <c r="GP28" s="65"/>
      <c r="GQ28" s="65"/>
      <c r="GR28" s="65"/>
      <c r="GS28" s="65"/>
      <c r="GT28" s="65"/>
      <c r="GU28" s="65"/>
      <c r="GV28" s="65"/>
      <c r="GW28" s="65"/>
      <c r="GX28" s="65"/>
      <c r="GY28" s="65"/>
      <c r="GZ28" s="65"/>
      <c r="HA28" s="65"/>
      <c r="HB28" s="65"/>
      <c r="HC28" s="65"/>
      <c r="HD28" s="65"/>
      <c r="HE28" s="65"/>
      <c r="HF28" s="65"/>
      <c r="HG28" s="65"/>
      <c r="HH28" s="65"/>
      <c r="HI28" s="65"/>
      <c r="HJ28" s="65"/>
      <c r="HK28" s="65"/>
      <c r="HL28" s="65"/>
      <c r="HM28" s="65"/>
      <c r="HN28" s="65"/>
      <c r="HO28" s="65"/>
    </row>
    <row r="29" spans="1:223" s="78" customFormat="1" ht="34.5" customHeight="1" x14ac:dyDescent="0.25">
      <c r="A29" s="353">
        <v>2025</v>
      </c>
      <c r="B29" s="354">
        <v>6</v>
      </c>
      <c r="C29" s="353">
        <v>22743</v>
      </c>
      <c r="D29" s="279">
        <v>45814</v>
      </c>
      <c r="E29" s="81" t="s">
        <v>1961</v>
      </c>
      <c r="F29" s="81" t="s">
        <v>1962</v>
      </c>
      <c r="H29" s="78">
        <v>3015678095</v>
      </c>
      <c r="I29" s="78">
        <v>3002900115</v>
      </c>
      <c r="J29" s="66">
        <v>45821</v>
      </c>
      <c r="K29" s="78" t="s">
        <v>88</v>
      </c>
      <c r="L29" s="79" t="s">
        <v>1963</v>
      </c>
      <c r="M29" s="78" t="s">
        <v>136</v>
      </c>
      <c r="N29" s="78" t="s">
        <v>136</v>
      </c>
      <c r="O29" s="78">
        <v>6841</v>
      </c>
      <c r="P29" s="78">
        <v>9151</v>
      </c>
      <c r="Q29" s="78" t="s">
        <v>136</v>
      </c>
      <c r="R29" s="78" t="s">
        <v>136</v>
      </c>
      <c r="S29" s="78" t="s">
        <v>134</v>
      </c>
      <c r="T29" s="78" t="s">
        <v>134</v>
      </c>
      <c r="U29" s="78" t="s">
        <v>136</v>
      </c>
      <c r="V29" s="81" t="s">
        <v>119</v>
      </c>
      <c r="W29" s="66"/>
      <c r="X29" s="66">
        <v>45821</v>
      </c>
      <c r="Z29" s="80" t="s">
        <v>85</v>
      </c>
      <c r="AA29" s="371">
        <v>0</v>
      </c>
      <c r="AB29" s="78">
        <v>5934</v>
      </c>
      <c r="AC29" s="228">
        <v>200000</v>
      </c>
      <c r="AD29" s="228">
        <f t="shared" si="0"/>
        <v>238000</v>
      </c>
      <c r="AE29" s="303">
        <v>160000</v>
      </c>
      <c r="AG29" s="210" t="s">
        <v>2214</v>
      </c>
      <c r="AH29" s="241"/>
      <c r="AI29" s="66">
        <v>45817</v>
      </c>
      <c r="AJ29" s="78" t="s">
        <v>1705</v>
      </c>
      <c r="AL29" s="65"/>
      <c r="AM29" s="65"/>
      <c r="AN29" s="65"/>
      <c r="AO29" s="65"/>
      <c r="AP29" s="65"/>
      <c r="AQ29" s="65"/>
      <c r="AR29" s="65"/>
      <c r="AS29" s="65"/>
      <c r="AT29" s="65"/>
      <c r="AU29" s="65"/>
      <c r="AV29" s="65"/>
      <c r="AW29" s="65"/>
      <c r="AX29" s="65"/>
      <c r="AY29" s="65"/>
      <c r="AZ29" s="65"/>
      <c r="BA29" s="65"/>
      <c r="BB29" s="65"/>
      <c r="BC29" s="65"/>
      <c r="BD29" s="65"/>
      <c r="BE29" s="65"/>
      <c r="BF29" s="65"/>
      <c r="BG29" s="65"/>
      <c r="BH29" s="65"/>
      <c r="BI29" s="65"/>
      <c r="BJ29" s="65"/>
      <c r="BK29" s="65"/>
      <c r="BL29" s="65"/>
      <c r="BM29" s="65"/>
      <c r="BN29" s="65"/>
      <c r="BO29" s="65"/>
      <c r="BP29" s="65"/>
      <c r="BQ29" s="65"/>
      <c r="BR29" s="65"/>
      <c r="BS29" s="65"/>
      <c r="BT29" s="65"/>
      <c r="BU29" s="65"/>
      <c r="BV29" s="65"/>
      <c r="BW29" s="65"/>
      <c r="BX29" s="65"/>
      <c r="BY29" s="65"/>
      <c r="BZ29" s="65"/>
      <c r="CA29" s="65"/>
      <c r="CB29" s="65"/>
      <c r="CC29" s="65"/>
      <c r="CD29" s="65"/>
      <c r="CE29" s="65"/>
      <c r="CF29" s="65"/>
      <c r="CG29" s="65"/>
      <c r="CH29" s="65"/>
      <c r="CI29" s="65"/>
      <c r="CJ29" s="65"/>
      <c r="CK29" s="65"/>
      <c r="CL29" s="65"/>
      <c r="CM29" s="65"/>
      <c r="CN29" s="65"/>
      <c r="CO29" s="65"/>
      <c r="CP29" s="65"/>
      <c r="CQ29" s="65"/>
      <c r="CR29" s="65"/>
      <c r="CS29" s="65"/>
      <c r="CT29" s="65"/>
      <c r="CU29" s="65"/>
      <c r="CV29" s="65"/>
      <c r="CW29" s="65"/>
      <c r="CX29" s="65"/>
      <c r="CY29" s="65"/>
      <c r="CZ29" s="65"/>
      <c r="DA29" s="65"/>
      <c r="DB29" s="65"/>
      <c r="DC29" s="65"/>
      <c r="DD29" s="65"/>
      <c r="DE29" s="65"/>
      <c r="DF29" s="65"/>
      <c r="DG29" s="65"/>
      <c r="DH29" s="65"/>
      <c r="DI29" s="65"/>
      <c r="DJ29" s="65"/>
      <c r="DK29" s="65"/>
      <c r="DL29" s="65"/>
      <c r="DM29" s="65"/>
      <c r="DN29" s="65"/>
      <c r="DO29" s="65"/>
      <c r="DP29" s="65"/>
      <c r="DQ29" s="65"/>
      <c r="DR29" s="65"/>
      <c r="DS29" s="65"/>
      <c r="DT29" s="65"/>
      <c r="DU29" s="65"/>
      <c r="DV29" s="65"/>
      <c r="DW29" s="65"/>
      <c r="DX29" s="65"/>
      <c r="DY29" s="65"/>
      <c r="DZ29" s="65"/>
      <c r="EA29" s="65"/>
      <c r="EB29" s="65"/>
      <c r="EC29" s="65"/>
      <c r="ED29" s="65"/>
      <c r="EE29" s="65"/>
      <c r="EF29" s="65"/>
      <c r="EG29" s="65"/>
      <c r="EH29" s="65"/>
      <c r="EI29" s="65"/>
      <c r="EJ29" s="65"/>
      <c r="EK29" s="65"/>
      <c r="EL29" s="65"/>
      <c r="EM29" s="65"/>
      <c r="EN29" s="65"/>
      <c r="EO29" s="65"/>
      <c r="EP29" s="65"/>
      <c r="EQ29" s="65"/>
      <c r="ER29" s="65"/>
      <c r="ES29" s="65"/>
      <c r="ET29" s="65"/>
      <c r="EU29" s="65"/>
      <c r="EV29" s="65"/>
      <c r="EW29" s="65"/>
      <c r="EX29" s="65"/>
      <c r="EY29" s="65"/>
      <c r="EZ29" s="65"/>
      <c r="FA29" s="65"/>
      <c r="FB29" s="65"/>
      <c r="FC29" s="65"/>
      <c r="FD29" s="65"/>
      <c r="FE29" s="65"/>
      <c r="FF29" s="65"/>
      <c r="FG29" s="65"/>
      <c r="FH29" s="65"/>
      <c r="FI29" s="65"/>
      <c r="FJ29" s="65"/>
      <c r="FK29" s="65"/>
      <c r="FL29" s="65"/>
      <c r="FM29" s="65"/>
      <c r="FN29" s="65"/>
      <c r="FO29" s="65"/>
      <c r="FP29" s="65"/>
      <c r="FQ29" s="65"/>
      <c r="FR29" s="65"/>
      <c r="FS29" s="65"/>
      <c r="FT29" s="65"/>
      <c r="FU29" s="65"/>
      <c r="FV29" s="65"/>
      <c r="FW29" s="65"/>
      <c r="FX29" s="65"/>
      <c r="FY29" s="65"/>
      <c r="FZ29" s="65"/>
      <c r="GA29" s="65"/>
      <c r="GB29" s="65"/>
      <c r="GC29" s="65"/>
      <c r="GD29" s="65"/>
      <c r="GE29" s="65"/>
      <c r="GF29" s="65"/>
      <c r="GG29" s="65"/>
      <c r="GH29" s="65"/>
      <c r="GI29" s="65"/>
      <c r="GJ29" s="65"/>
      <c r="GK29" s="65"/>
      <c r="GL29" s="65"/>
      <c r="GM29" s="65"/>
      <c r="GN29" s="65"/>
      <c r="GO29" s="65"/>
      <c r="GP29" s="65"/>
      <c r="GQ29" s="65"/>
      <c r="GR29" s="65"/>
      <c r="GS29" s="65"/>
      <c r="GT29" s="65"/>
      <c r="GU29" s="65"/>
      <c r="GV29" s="65"/>
      <c r="GW29" s="65"/>
      <c r="GX29" s="65"/>
      <c r="GY29" s="65"/>
      <c r="GZ29" s="65"/>
      <c r="HA29" s="65"/>
      <c r="HB29" s="65"/>
      <c r="HC29" s="65"/>
      <c r="HD29" s="65"/>
      <c r="HE29" s="65"/>
      <c r="HF29" s="65"/>
      <c r="HG29" s="65"/>
      <c r="HH29" s="65"/>
      <c r="HI29" s="65"/>
      <c r="HJ29" s="65"/>
      <c r="HK29" s="65"/>
      <c r="HL29" s="65"/>
      <c r="HM29" s="65"/>
      <c r="HN29" s="65"/>
      <c r="HO29" s="65"/>
    </row>
    <row r="30" spans="1:223" s="78" customFormat="1" ht="34.5" customHeight="1" x14ac:dyDescent="0.25">
      <c r="A30" s="353">
        <v>2025</v>
      </c>
      <c r="B30" s="354">
        <v>6</v>
      </c>
      <c r="C30" s="353">
        <v>22744</v>
      </c>
      <c r="D30" s="279">
        <v>45815</v>
      </c>
      <c r="E30" s="81" t="s">
        <v>2123</v>
      </c>
      <c r="F30" s="81" t="s">
        <v>2124</v>
      </c>
      <c r="G30" s="78" t="s">
        <v>95</v>
      </c>
      <c r="H30" s="78">
        <v>3164496624</v>
      </c>
      <c r="I30" s="78">
        <v>3311515</v>
      </c>
      <c r="J30" s="66">
        <v>45833</v>
      </c>
      <c r="K30" s="78" t="s">
        <v>88</v>
      </c>
      <c r="L30" s="79" t="s">
        <v>2125</v>
      </c>
      <c r="M30" s="78" t="s">
        <v>136</v>
      </c>
      <c r="N30" s="78">
        <v>6029</v>
      </c>
      <c r="O30" s="78">
        <v>6859</v>
      </c>
      <c r="P30" s="78">
        <v>9110</v>
      </c>
      <c r="Q30" s="78" t="s">
        <v>136</v>
      </c>
      <c r="R30" s="78" t="s">
        <v>136</v>
      </c>
      <c r="S30" s="78" t="s">
        <v>134</v>
      </c>
      <c r="T30" s="78" t="s">
        <v>134</v>
      </c>
      <c r="U30" s="78" t="s">
        <v>136</v>
      </c>
      <c r="V30" s="81" t="s">
        <v>87</v>
      </c>
      <c r="W30" s="66"/>
      <c r="X30" s="66">
        <v>45834</v>
      </c>
      <c r="Z30" s="80" t="s">
        <v>92</v>
      </c>
      <c r="AA30" s="371">
        <v>0</v>
      </c>
      <c r="AB30" s="78" t="s">
        <v>2174</v>
      </c>
      <c r="AC30" s="228">
        <v>6066217</v>
      </c>
      <c r="AD30" s="228">
        <f t="shared" si="0"/>
        <v>7218798.2299999995</v>
      </c>
      <c r="AE30" s="303">
        <v>2008971</v>
      </c>
      <c r="AG30" s="210" t="s">
        <v>2176</v>
      </c>
      <c r="AH30" s="241"/>
      <c r="AI30" s="66">
        <v>45836</v>
      </c>
      <c r="AJ30" s="78" t="s">
        <v>1705</v>
      </c>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5"/>
      <c r="CA30" s="65"/>
      <c r="CB30" s="65"/>
      <c r="CC30" s="65"/>
      <c r="CD30" s="65"/>
      <c r="CE30" s="65"/>
      <c r="CF30" s="65"/>
      <c r="CG30" s="65"/>
      <c r="CH30" s="65"/>
      <c r="CI30" s="65"/>
      <c r="CJ30" s="65"/>
      <c r="CK30" s="65"/>
      <c r="CL30" s="65"/>
      <c r="CM30" s="65"/>
      <c r="CN30" s="65"/>
      <c r="CO30" s="65"/>
      <c r="CP30" s="65"/>
      <c r="CQ30" s="65"/>
      <c r="CR30" s="65"/>
      <c r="CS30" s="65"/>
      <c r="CT30" s="65"/>
      <c r="CU30" s="65"/>
      <c r="CV30" s="65"/>
      <c r="CW30" s="65"/>
      <c r="CX30" s="65"/>
      <c r="CY30" s="65"/>
      <c r="CZ30" s="65"/>
      <c r="DA30" s="65"/>
      <c r="DB30" s="65"/>
      <c r="DC30" s="65"/>
      <c r="DD30" s="65"/>
      <c r="DE30" s="65"/>
      <c r="DF30" s="65"/>
      <c r="DG30" s="65"/>
      <c r="DH30" s="65"/>
      <c r="DI30" s="65"/>
      <c r="DJ30" s="65"/>
      <c r="DK30" s="65"/>
      <c r="DL30" s="65"/>
      <c r="DM30" s="65"/>
      <c r="DN30" s="65"/>
      <c r="DO30" s="65"/>
      <c r="DP30" s="65"/>
      <c r="DQ30" s="65"/>
      <c r="DR30" s="65"/>
      <c r="DS30" s="65"/>
      <c r="DT30" s="65"/>
      <c r="DU30" s="65"/>
      <c r="DV30" s="65"/>
      <c r="DW30" s="65"/>
      <c r="DX30" s="65"/>
      <c r="DY30" s="65"/>
      <c r="DZ30" s="65"/>
      <c r="EA30" s="65"/>
      <c r="EB30" s="65"/>
      <c r="EC30" s="65"/>
      <c r="ED30" s="65"/>
      <c r="EE30" s="65"/>
      <c r="EF30" s="65"/>
      <c r="EG30" s="65"/>
      <c r="EH30" s="65"/>
      <c r="EI30" s="65"/>
      <c r="EJ30" s="65"/>
      <c r="EK30" s="65"/>
      <c r="EL30" s="65"/>
      <c r="EM30" s="65"/>
      <c r="EN30" s="65"/>
      <c r="EO30" s="65"/>
      <c r="EP30" s="65"/>
      <c r="EQ30" s="65"/>
      <c r="ER30" s="65"/>
      <c r="ES30" s="65"/>
      <c r="ET30" s="65"/>
      <c r="EU30" s="65"/>
      <c r="EV30" s="65"/>
      <c r="EW30" s="65"/>
      <c r="EX30" s="65"/>
      <c r="EY30" s="65"/>
      <c r="EZ30" s="65"/>
      <c r="FA30" s="65"/>
      <c r="FB30" s="65"/>
      <c r="FC30" s="65"/>
      <c r="FD30" s="65"/>
      <c r="FE30" s="65"/>
      <c r="FF30" s="65"/>
      <c r="FG30" s="65"/>
      <c r="FH30" s="65"/>
      <c r="FI30" s="65"/>
      <c r="FJ30" s="65"/>
      <c r="FK30" s="65"/>
      <c r="FL30" s="65"/>
      <c r="FM30" s="65"/>
      <c r="FN30" s="65"/>
      <c r="FO30" s="65"/>
      <c r="FP30" s="65"/>
      <c r="FQ30" s="65"/>
      <c r="FR30" s="65"/>
      <c r="FS30" s="65"/>
      <c r="FT30" s="65"/>
      <c r="FU30" s="65"/>
      <c r="FV30" s="65"/>
      <c r="FW30" s="65"/>
      <c r="FX30" s="65"/>
      <c r="FY30" s="65"/>
      <c r="FZ30" s="65"/>
      <c r="GA30" s="65"/>
      <c r="GB30" s="65"/>
      <c r="GC30" s="65"/>
      <c r="GD30" s="65"/>
      <c r="GE30" s="65"/>
      <c r="GF30" s="65"/>
      <c r="GG30" s="65"/>
      <c r="GH30" s="65"/>
      <c r="GI30" s="65"/>
      <c r="GJ30" s="65"/>
      <c r="GK30" s="65"/>
      <c r="GL30" s="65"/>
      <c r="GM30" s="65"/>
      <c r="GN30" s="65"/>
      <c r="GO30" s="65"/>
      <c r="GP30" s="65"/>
      <c r="GQ30" s="65"/>
      <c r="GR30" s="65"/>
      <c r="GS30" s="65"/>
      <c r="GT30" s="65"/>
      <c r="GU30" s="65"/>
      <c r="GV30" s="65"/>
      <c r="GW30" s="65"/>
      <c r="GX30" s="65"/>
      <c r="GY30" s="65"/>
      <c r="GZ30" s="65"/>
      <c r="HA30" s="65"/>
      <c r="HB30" s="65"/>
      <c r="HC30" s="65"/>
      <c r="HD30" s="65"/>
      <c r="HE30" s="65"/>
      <c r="HF30" s="65"/>
      <c r="HG30" s="65"/>
      <c r="HH30" s="65"/>
      <c r="HI30" s="65"/>
      <c r="HJ30" s="65"/>
      <c r="HK30" s="65"/>
      <c r="HL30" s="65"/>
      <c r="HM30" s="65"/>
      <c r="HN30" s="65"/>
      <c r="HO30" s="65"/>
    </row>
    <row r="31" spans="1:223" s="78" customFormat="1" ht="34.5" customHeight="1" x14ac:dyDescent="0.25">
      <c r="A31" s="353">
        <v>2025</v>
      </c>
      <c r="B31" s="354">
        <v>6</v>
      </c>
      <c r="C31" s="355">
        <v>22745</v>
      </c>
      <c r="D31" s="279">
        <v>45815</v>
      </c>
      <c r="E31" s="81" t="s">
        <v>2017</v>
      </c>
      <c r="F31" s="81" t="s">
        <v>527</v>
      </c>
      <c r="G31" s="78" t="s">
        <v>154</v>
      </c>
      <c r="H31" s="78">
        <v>3223805669</v>
      </c>
      <c r="I31" s="78">
        <v>3223805669</v>
      </c>
      <c r="J31" s="66">
        <v>45826</v>
      </c>
      <c r="K31" s="78" t="s">
        <v>84</v>
      </c>
      <c r="L31" s="79" t="s">
        <v>2018</v>
      </c>
      <c r="M31" s="78" t="s">
        <v>136</v>
      </c>
      <c r="N31" s="78">
        <v>6005</v>
      </c>
      <c r="O31" s="78" t="s">
        <v>136</v>
      </c>
      <c r="P31" s="78" t="s">
        <v>136</v>
      </c>
      <c r="Q31" s="78" t="s">
        <v>136</v>
      </c>
      <c r="R31" s="78" t="s">
        <v>136</v>
      </c>
      <c r="S31" s="78" t="s">
        <v>136</v>
      </c>
      <c r="T31" s="78" t="s">
        <v>136</v>
      </c>
      <c r="U31" s="78" t="s">
        <v>136</v>
      </c>
      <c r="V31" s="81" t="s">
        <v>119</v>
      </c>
      <c r="W31" s="66">
        <v>45825</v>
      </c>
      <c r="X31" s="66">
        <v>45826</v>
      </c>
      <c r="Z31" s="80" t="s">
        <v>85</v>
      </c>
      <c r="AA31" s="371">
        <v>16000</v>
      </c>
      <c r="AB31" s="78">
        <v>5972</v>
      </c>
      <c r="AC31" s="228">
        <v>134454</v>
      </c>
      <c r="AD31" s="228">
        <f t="shared" si="0"/>
        <v>160000.25999999998</v>
      </c>
      <c r="AE31" s="303">
        <v>0</v>
      </c>
      <c r="AG31" s="210" t="s">
        <v>2135</v>
      </c>
      <c r="AH31" s="403">
        <v>45815</v>
      </c>
      <c r="AI31" s="66">
        <v>45826</v>
      </c>
      <c r="AJ31" s="78" t="s">
        <v>1705</v>
      </c>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c r="CK31" s="65"/>
      <c r="CL31" s="65"/>
      <c r="CM31" s="65"/>
      <c r="CN31" s="65"/>
      <c r="CO31" s="65"/>
      <c r="CP31" s="65"/>
      <c r="CQ31" s="65"/>
      <c r="CR31" s="65"/>
      <c r="CS31" s="65"/>
      <c r="CT31" s="65"/>
      <c r="CU31" s="65"/>
      <c r="CV31" s="65"/>
      <c r="CW31" s="65"/>
      <c r="CX31" s="65"/>
      <c r="CY31" s="65"/>
      <c r="CZ31" s="65"/>
      <c r="DA31" s="65"/>
      <c r="DB31" s="65"/>
      <c r="DC31" s="65"/>
      <c r="DD31" s="65"/>
      <c r="DE31" s="65"/>
      <c r="DF31" s="65"/>
      <c r="DG31" s="65"/>
      <c r="DH31" s="65"/>
      <c r="DI31" s="65"/>
      <c r="DJ31" s="65"/>
      <c r="DK31" s="65"/>
      <c r="DL31" s="65"/>
      <c r="DM31" s="65"/>
      <c r="DN31" s="65"/>
      <c r="DO31" s="65"/>
      <c r="DP31" s="65"/>
      <c r="DQ31" s="65"/>
      <c r="DR31" s="65"/>
      <c r="DS31" s="65"/>
      <c r="DT31" s="65"/>
      <c r="DU31" s="65"/>
      <c r="DV31" s="65"/>
      <c r="DW31" s="65"/>
      <c r="DX31" s="65"/>
      <c r="DY31" s="65"/>
      <c r="DZ31" s="65"/>
      <c r="EA31" s="65"/>
      <c r="EB31" s="65"/>
      <c r="EC31" s="65"/>
      <c r="ED31" s="65"/>
      <c r="EE31" s="65"/>
      <c r="EF31" s="65"/>
      <c r="EG31" s="65"/>
      <c r="EH31" s="65"/>
      <c r="EI31" s="65"/>
      <c r="EJ31" s="65"/>
      <c r="EK31" s="65"/>
      <c r="EL31" s="65"/>
      <c r="EM31" s="65"/>
      <c r="EN31" s="65"/>
      <c r="EO31" s="65"/>
      <c r="EP31" s="65"/>
      <c r="EQ31" s="65"/>
      <c r="ER31" s="65"/>
      <c r="ES31" s="65"/>
      <c r="ET31" s="65"/>
      <c r="EU31" s="65"/>
      <c r="EV31" s="65"/>
      <c r="EW31" s="65"/>
      <c r="EX31" s="65"/>
      <c r="EY31" s="65"/>
      <c r="EZ31" s="65"/>
      <c r="FA31" s="65"/>
      <c r="FB31" s="65"/>
      <c r="FC31" s="65"/>
      <c r="FD31" s="65"/>
      <c r="FE31" s="65"/>
      <c r="FF31" s="65"/>
      <c r="FG31" s="65"/>
      <c r="FH31" s="65"/>
      <c r="FI31" s="65"/>
      <c r="FJ31" s="65"/>
      <c r="FK31" s="65"/>
      <c r="FL31" s="65"/>
      <c r="FM31" s="65"/>
      <c r="FN31" s="65"/>
      <c r="FO31" s="65"/>
      <c r="FP31" s="65"/>
      <c r="FQ31" s="65"/>
      <c r="FR31" s="65"/>
      <c r="FS31" s="65"/>
      <c r="FT31" s="65"/>
      <c r="FU31" s="65"/>
      <c r="FV31" s="65"/>
      <c r="FW31" s="65"/>
      <c r="FX31" s="65"/>
      <c r="FY31" s="65"/>
      <c r="FZ31" s="65"/>
      <c r="GA31" s="65"/>
      <c r="GB31" s="65"/>
      <c r="GC31" s="65"/>
      <c r="GD31" s="65"/>
      <c r="GE31" s="65"/>
      <c r="GF31" s="65"/>
      <c r="GG31" s="65"/>
      <c r="GH31" s="65"/>
      <c r="GI31" s="65"/>
      <c r="GJ31" s="65"/>
      <c r="GK31" s="65"/>
      <c r="GL31" s="65"/>
      <c r="GM31" s="65"/>
      <c r="GN31" s="65"/>
      <c r="GO31" s="65"/>
      <c r="GP31" s="65"/>
      <c r="GQ31" s="65"/>
      <c r="GR31" s="65"/>
      <c r="GS31" s="65"/>
      <c r="GT31" s="65"/>
      <c r="GU31" s="65"/>
      <c r="GV31" s="65"/>
      <c r="GW31" s="65"/>
      <c r="GX31" s="65"/>
      <c r="GY31" s="65"/>
      <c r="GZ31" s="65"/>
      <c r="HA31" s="65"/>
      <c r="HB31" s="65"/>
      <c r="HC31" s="65"/>
      <c r="HD31" s="65"/>
      <c r="HE31" s="65"/>
      <c r="HF31" s="65"/>
      <c r="HG31" s="65"/>
      <c r="HH31" s="65"/>
      <c r="HI31" s="65"/>
      <c r="HJ31" s="65"/>
      <c r="HK31" s="65"/>
      <c r="HL31" s="65"/>
      <c r="HM31" s="65"/>
      <c r="HN31" s="65"/>
      <c r="HO31" s="65"/>
    </row>
    <row r="32" spans="1:223" s="78" customFormat="1" ht="34.5" customHeight="1" x14ac:dyDescent="0.25">
      <c r="A32" s="353">
        <v>2025</v>
      </c>
      <c r="B32" s="354">
        <v>6</v>
      </c>
      <c r="C32" s="353">
        <v>22746</v>
      </c>
      <c r="D32" s="279">
        <v>45820</v>
      </c>
      <c r="E32" s="81" t="s">
        <v>2058</v>
      </c>
      <c r="F32" s="81"/>
      <c r="I32" s="78">
        <v>3045631934</v>
      </c>
      <c r="J32" s="66">
        <v>45833</v>
      </c>
      <c r="K32" s="78" t="s">
        <v>88</v>
      </c>
      <c r="L32" s="79" t="s">
        <v>2059</v>
      </c>
      <c r="M32" s="78" t="s">
        <v>136</v>
      </c>
      <c r="N32" s="78">
        <v>6020</v>
      </c>
      <c r="O32" s="78" t="s">
        <v>136</v>
      </c>
      <c r="P32" s="78">
        <v>9068</v>
      </c>
      <c r="Q32" s="78" t="s">
        <v>134</v>
      </c>
      <c r="R32" s="78" t="s">
        <v>134</v>
      </c>
      <c r="S32" s="78" t="s">
        <v>134</v>
      </c>
      <c r="T32" s="78" t="s">
        <v>134</v>
      </c>
      <c r="U32" s="78" t="s">
        <v>136</v>
      </c>
      <c r="V32" s="81" t="s">
        <v>119</v>
      </c>
      <c r="W32" s="66">
        <v>45827</v>
      </c>
      <c r="X32" s="66">
        <v>45835</v>
      </c>
      <c r="Z32" s="80" t="s">
        <v>85</v>
      </c>
      <c r="AA32" s="371">
        <v>1500000</v>
      </c>
      <c r="AB32" s="78">
        <v>5987</v>
      </c>
      <c r="AC32" s="228">
        <v>1260504</v>
      </c>
      <c r="AD32" s="228">
        <f t="shared" ref="AD32:AD95" si="1">AC32*1.19</f>
        <v>1499999.76</v>
      </c>
      <c r="AE32" s="303">
        <v>0</v>
      </c>
      <c r="AG32" s="210" t="s">
        <v>2141</v>
      </c>
      <c r="AH32" s="403">
        <v>45814</v>
      </c>
      <c r="AI32" s="66">
        <v>45835</v>
      </c>
      <c r="AJ32" s="78" t="s">
        <v>1705</v>
      </c>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c r="HI32" s="65"/>
      <c r="HJ32" s="65"/>
      <c r="HK32" s="65"/>
      <c r="HL32" s="65"/>
      <c r="HM32" s="65"/>
      <c r="HN32" s="65"/>
      <c r="HO32" s="65"/>
    </row>
    <row r="33" spans="1:223" s="78" customFormat="1" ht="58.5" customHeight="1" x14ac:dyDescent="0.25">
      <c r="A33" s="353">
        <v>2025</v>
      </c>
      <c r="B33" s="354">
        <v>6</v>
      </c>
      <c r="C33" s="353">
        <v>22747</v>
      </c>
      <c r="D33" s="279">
        <v>45815</v>
      </c>
      <c r="E33" s="81" t="s">
        <v>2019</v>
      </c>
      <c r="F33" s="81" t="s">
        <v>2020</v>
      </c>
      <c r="G33" s="78" t="s">
        <v>143</v>
      </c>
      <c r="H33" s="78">
        <v>3046162165</v>
      </c>
      <c r="I33" s="78">
        <v>3046162165</v>
      </c>
      <c r="J33" s="66">
        <v>45815</v>
      </c>
      <c r="K33" s="78" t="s">
        <v>84</v>
      </c>
      <c r="L33" s="79" t="s">
        <v>2021</v>
      </c>
      <c r="M33" s="78" t="s">
        <v>136</v>
      </c>
      <c r="N33" s="78">
        <v>6011</v>
      </c>
      <c r="O33" s="78">
        <v>6842</v>
      </c>
      <c r="P33" s="78">
        <v>9217</v>
      </c>
      <c r="Q33" s="78">
        <v>5599</v>
      </c>
      <c r="R33" s="78" t="s">
        <v>136</v>
      </c>
      <c r="S33" s="78" t="s">
        <v>134</v>
      </c>
      <c r="T33" s="78" t="s">
        <v>134</v>
      </c>
      <c r="U33" s="78" t="s">
        <v>136</v>
      </c>
      <c r="V33" s="81" t="s">
        <v>119</v>
      </c>
      <c r="W33" s="66">
        <v>45825</v>
      </c>
      <c r="X33" s="66">
        <v>45832</v>
      </c>
      <c r="Z33" s="80" t="s">
        <v>85</v>
      </c>
      <c r="AA33" s="371">
        <v>0</v>
      </c>
      <c r="AB33" s="78">
        <v>5978</v>
      </c>
      <c r="AC33" s="228">
        <v>299805</v>
      </c>
      <c r="AD33" s="228">
        <f t="shared" si="1"/>
        <v>356767.95</v>
      </c>
      <c r="AE33" s="303">
        <f>40000+178000</f>
        <v>218000</v>
      </c>
      <c r="AG33" s="210" t="s">
        <v>2215</v>
      </c>
      <c r="AH33" s="403">
        <v>45826</v>
      </c>
      <c r="AI33" s="66">
        <v>45836</v>
      </c>
      <c r="AJ33" s="78" t="s">
        <v>1705</v>
      </c>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c r="BT33" s="65"/>
      <c r="BU33" s="65"/>
      <c r="BV33" s="65"/>
      <c r="BW33" s="65"/>
      <c r="BX33" s="65"/>
      <c r="BY33" s="65"/>
      <c r="BZ33" s="65"/>
      <c r="CA33" s="65"/>
      <c r="CB33" s="65"/>
      <c r="CC33" s="65"/>
      <c r="CD33" s="65"/>
      <c r="CE33" s="65"/>
      <c r="CF33" s="65"/>
      <c r="CG33" s="65"/>
      <c r="CH33" s="65"/>
      <c r="CI33" s="65"/>
      <c r="CJ33" s="65"/>
      <c r="CK33" s="65"/>
      <c r="CL33" s="65"/>
      <c r="CM33" s="65"/>
      <c r="CN33" s="65"/>
      <c r="CO33" s="65"/>
      <c r="CP33" s="6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c r="DQ33" s="65"/>
      <c r="DR33" s="65"/>
      <c r="DS33" s="65"/>
      <c r="DT33" s="65"/>
      <c r="DU33" s="65"/>
      <c r="DV33" s="65"/>
      <c r="DW33" s="65"/>
      <c r="DX33" s="65"/>
      <c r="DY33" s="65"/>
      <c r="DZ33" s="65"/>
      <c r="EA33" s="65"/>
      <c r="EB33" s="65"/>
      <c r="EC33" s="65"/>
      <c r="ED33" s="65"/>
      <c r="EE33" s="65"/>
      <c r="EF33" s="65"/>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c r="GN33" s="65"/>
      <c r="GO33" s="65"/>
      <c r="GP33" s="65"/>
      <c r="GQ33" s="65"/>
      <c r="GR33" s="65"/>
      <c r="GS33" s="65"/>
      <c r="GT33" s="65"/>
      <c r="GU33" s="65"/>
      <c r="GV33" s="65"/>
      <c r="GW33" s="65"/>
      <c r="GX33" s="65"/>
      <c r="GY33" s="65"/>
      <c r="GZ33" s="65"/>
      <c r="HA33" s="65"/>
      <c r="HB33" s="65"/>
      <c r="HC33" s="65"/>
      <c r="HD33" s="65"/>
      <c r="HE33" s="65"/>
      <c r="HF33" s="65"/>
      <c r="HG33" s="65"/>
      <c r="HH33" s="65"/>
      <c r="HI33" s="65"/>
      <c r="HJ33" s="65"/>
      <c r="HK33" s="65"/>
      <c r="HL33" s="65"/>
      <c r="HM33" s="65"/>
      <c r="HN33" s="65"/>
      <c r="HO33" s="65"/>
    </row>
    <row r="34" spans="1:223" s="78" customFormat="1" ht="45" x14ac:dyDescent="0.25">
      <c r="A34" s="353">
        <v>2025</v>
      </c>
      <c r="B34" s="354">
        <v>6</v>
      </c>
      <c r="C34" s="355">
        <v>22748</v>
      </c>
      <c r="D34" s="279">
        <v>45819</v>
      </c>
      <c r="E34" s="81" t="s">
        <v>2060</v>
      </c>
      <c r="F34" s="81" t="s">
        <v>2061</v>
      </c>
      <c r="G34" s="78" t="s">
        <v>98</v>
      </c>
      <c r="H34" s="78">
        <v>3015287494</v>
      </c>
      <c r="I34" s="78">
        <v>3146731327</v>
      </c>
      <c r="J34" s="66">
        <v>45835</v>
      </c>
      <c r="K34" s="78" t="s">
        <v>88</v>
      </c>
      <c r="L34" s="79" t="s">
        <v>2062</v>
      </c>
      <c r="M34" s="78" t="s">
        <v>136</v>
      </c>
      <c r="N34" s="78">
        <v>6023</v>
      </c>
      <c r="O34" s="78">
        <v>6856</v>
      </c>
      <c r="P34" s="78">
        <v>9037</v>
      </c>
      <c r="Q34" s="78">
        <v>5582</v>
      </c>
      <c r="R34" s="78" t="s">
        <v>134</v>
      </c>
      <c r="S34" s="78" t="s">
        <v>134</v>
      </c>
      <c r="T34" s="78" t="s">
        <v>134</v>
      </c>
      <c r="U34" s="78" t="s">
        <v>136</v>
      </c>
      <c r="V34" s="81" t="s">
        <v>119</v>
      </c>
      <c r="W34" s="66">
        <v>45833</v>
      </c>
      <c r="X34" s="66">
        <v>45834</v>
      </c>
      <c r="Z34" s="80" t="s">
        <v>85</v>
      </c>
      <c r="AA34" s="371">
        <v>0</v>
      </c>
      <c r="AB34" s="78">
        <v>5986</v>
      </c>
      <c r="AC34" s="228">
        <v>3150076</v>
      </c>
      <c r="AD34" s="228">
        <f t="shared" si="1"/>
        <v>3748590.44</v>
      </c>
      <c r="AE34" s="303">
        <v>3669840</v>
      </c>
      <c r="AG34" s="210" t="s">
        <v>2216</v>
      </c>
      <c r="AH34" s="403">
        <v>45832</v>
      </c>
      <c r="AI34" s="66">
        <v>45833</v>
      </c>
      <c r="AJ34" s="78" t="s">
        <v>1705</v>
      </c>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row>
    <row r="35" spans="1:223" s="78" customFormat="1" ht="66" customHeight="1" x14ac:dyDescent="0.25">
      <c r="A35" s="353">
        <v>2025</v>
      </c>
      <c r="B35" s="354">
        <v>6</v>
      </c>
      <c r="C35" s="353">
        <v>22749</v>
      </c>
      <c r="D35" s="279">
        <v>45817</v>
      </c>
      <c r="E35" s="81" t="s">
        <v>2022</v>
      </c>
      <c r="F35" s="81" t="s">
        <v>2023</v>
      </c>
      <c r="G35" s="78" t="s">
        <v>98</v>
      </c>
      <c r="H35" s="78">
        <v>3174389321</v>
      </c>
      <c r="I35" s="78" t="s">
        <v>2024</v>
      </c>
      <c r="J35" s="66">
        <v>45827</v>
      </c>
      <c r="K35" s="78" t="s">
        <v>88</v>
      </c>
      <c r="L35" s="79" t="s">
        <v>2025</v>
      </c>
      <c r="M35" s="78" t="s">
        <v>136</v>
      </c>
      <c r="N35" s="78">
        <v>6009</v>
      </c>
      <c r="O35" s="78">
        <v>6845</v>
      </c>
      <c r="P35" s="78">
        <v>9201</v>
      </c>
      <c r="Q35" s="78" t="s">
        <v>136</v>
      </c>
      <c r="R35" s="78" t="s">
        <v>134</v>
      </c>
      <c r="S35" s="78" t="s">
        <v>134</v>
      </c>
      <c r="T35" s="78" t="s">
        <v>134</v>
      </c>
      <c r="U35" s="78" t="s">
        <v>136</v>
      </c>
      <c r="V35" s="81" t="s">
        <v>119</v>
      </c>
      <c r="W35" s="66">
        <v>45825</v>
      </c>
      <c r="X35" s="66">
        <v>45845</v>
      </c>
      <c r="Z35" s="80" t="s">
        <v>85</v>
      </c>
      <c r="AA35" s="371">
        <v>0</v>
      </c>
      <c r="AB35" s="78">
        <v>5979</v>
      </c>
      <c r="AC35" s="228">
        <v>2579406</v>
      </c>
      <c r="AD35" s="228">
        <f t="shared" si="1"/>
        <v>3069493.1399999997</v>
      </c>
      <c r="AE35" s="303">
        <v>1535000</v>
      </c>
      <c r="AG35" s="210" t="s">
        <v>2338</v>
      </c>
      <c r="AH35" s="403">
        <v>45835</v>
      </c>
      <c r="AI35" s="66">
        <v>45847</v>
      </c>
      <c r="AJ35" s="78" t="s">
        <v>1705</v>
      </c>
      <c r="AL35" s="65"/>
      <c r="AM35" s="65"/>
      <c r="AN35" s="65"/>
      <c r="AO35" s="65"/>
      <c r="AP35" s="65"/>
      <c r="AQ35" s="65"/>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c r="BT35" s="65"/>
      <c r="BU35" s="65"/>
      <c r="BV35" s="65"/>
      <c r="BW35" s="65"/>
      <c r="BX35" s="65"/>
      <c r="BY35" s="65"/>
      <c r="BZ35" s="65"/>
      <c r="CA35" s="65"/>
      <c r="CB35" s="65"/>
      <c r="CC35" s="65"/>
      <c r="CD35" s="65"/>
      <c r="CE35" s="65"/>
      <c r="CF35" s="65"/>
      <c r="CG35" s="65"/>
      <c r="CH35" s="65"/>
      <c r="CI35" s="65"/>
      <c r="CJ35" s="65"/>
      <c r="CK35" s="65"/>
      <c r="CL35" s="65"/>
      <c r="CM35" s="65"/>
      <c r="CN35" s="65"/>
      <c r="CO35" s="65"/>
      <c r="CP35" s="6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c r="DQ35" s="65"/>
      <c r="DR35" s="65"/>
      <c r="DS35" s="65"/>
      <c r="DT35" s="65"/>
      <c r="DU35" s="65"/>
      <c r="DV35" s="65"/>
      <c r="DW35" s="65"/>
      <c r="DX35" s="65"/>
      <c r="DY35" s="65"/>
      <c r="DZ35" s="65"/>
      <c r="EA35" s="65"/>
      <c r="EB35" s="65"/>
      <c r="EC35" s="65"/>
      <c r="ED35" s="65"/>
      <c r="EE35" s="65"/>
      <c r="EF35" s="65"/>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c r="GN35" s="65"/>
      <c r="GO35" s="65"/>
      <c r="GP35" s="65"/>
      <c r="GQ35" s="65"/>
      <c r="GR35" s="65"/>
      <c r="GS35" s="65"/>
      <c r="GT35" s="65"/>
      <c r="GU35" s="65"/>
      <c r="GV35" s="65"/>
      <c r="GW35" s="65"/>
      <c r="GX35" s="65"/>
      <c r="GY35" s="65"/>
      <c r="GZ35" s="65"/>
      <c r="HA35" s="65"/>
      <c r="HB35" s="65"/>
      <c r="HC35" s="65"/>
      <c r="HD35" s="65"/>
      <c r="HE35" s="65"/>
      <c r="HF35" s="65"/>
      <c r="HG35" s="65"/>
      <c r="HH35" s="65"/>
      <c r="HI35" s="65"/>
      <c r="HJ35" s="65"/>
      <c r="HK35" s="65"/>
      <c r="HL35" s="65"/>
      <c r="HM35" s="65"/>
      <c r="HN35" s="65"/>
      <c r="HO35" s="65"/>
    </row>
    <row r="36" spans="1:223" s="78" customFormat="1" ht="41.25" customHeight="1" x14ac:dyDescent="0.25">
      <c r="A36" s="353">
        <v>2025</v>
      </c>
      <c r="B36" s="354">
        <v>6</v>
      </c>
      <c r="C36" s="355">
        <v>22750</v>
      </c>
      <c r="D36" s="279">
        <v>45817</v>
      </c>
      <c r="E36" s="81" t="s">
        <v>1955</v>
      </c>
      <c r="F36" s="81" t="s">
        <v>1956</v>
      </c>
      <c r="H36" s="78">
        <v>3175926625</v>
      </c>
      <c r="I36" s="78">
        <v>3673785</v>
      </c>
      <c r="J36" s="66">
        <v>45824</v>
      </c>
      <c r="K36" s="78" t="s">
        <v>99</v>
      </c>
      <c r="L36" s="79" t="s">
        <v>1957</v>
      </c>
      <c r="M36" s="78" t="s">
        <v>281</v>
      </c>
      <c r="N36" s="78" t="s">
        <v>136</v>
      </c>
      <c r="O36" s="78">
        <v>6844</v>
      </c>
      <c r="P36" s="78">
        <v>9191</v>
      </c>
      <c r="Q36" s="78" t="s">
        <v>136</v>
      </c>
      <c r="R36" s="78" t="s">
        <v>134</v>
      </c>
      <c r="S36" s="78" t="s">
        <v>134</v>
      </c>
      <c r="T36" s="78" t="s">
        <v>134</v>
      </c>
      <c r="U36" s="78" t="s">
        <v>136</v>
      </c>
      <c r="V36" s="81" t="s">
        <v>87</v>
      </c>
      <c r="W36" s="66">
        <v>45822</v>
      </c>
      <c r="X36" s="66">
        <v>45824</v>
      </c>
      <c r="Z36" s="80" t="s">
        <v>85</v>
      </c>
      <c r="AA36" s="371">
        <v>0</v>
      </c>
      <c r="AB36" s="78">
        <v>5964</v>
      </c>
      <c r="AC36" s="228">
        <v>197987</v>
      </c>
      <c r="AD36" s="228">
        <f t="shared" si="1"/>
        <v>235604.53</v>
      </c>
      <c r="AE36" s="303">
        <v>117802</v>
      </c>
      <c r="AG36" s="210" t="s">
        <v>1993</v>
      </c>
      <c r="AH36" s="403">
        <v>45824</v>
      </c>
      <c r="AI36" s="66">
        <v>45825</v>
      </c>
      <c r="AJ36" s="78" t="s">
        <v>1705</v>
      </c>
      <c r="AL36" s="65"/>
      <c r="AM36" s="65"/>
      <c r="AN36" s="65"/>
      <c r="AO36" s="65"/>
      <c r="AP36" s="65"/>
      <c r="AQ36" s="65"/>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c r="BT36" s="65"/>
      <c r="BU36" s="65"/>
      <c r="BV36" s="65"/>
      <c r="BW36" s="65"/>
      <c r="BX36" s="65"/>
      <c r="BY36" s="65"/>
      <c r="BZ36" s="65"/>
      <c r="CA36" s="65"/>
      <c r="CB36" s="65"/>
      <c r="CC36" s="65"/>
      <c r="CD36" s="65"/>
      <c r="CE36" s="65"/>
      <c r="CF36" s="65"/>
      <c r="CG36" s="65"/>
      <c r="CH36" s="65"/>
      <c r="CI36" s="65"/>
      <c r="CJ36" s="65"/>
      <c r="CK36" s="65"/>
      <c r="CL36" s="65"/>
      <c r="CM36" s="65"/>
      <c r="CN36" s="65"/>
      <c r="CO36" s="65"/>
      <c r="CP36" s="6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c r="DQ36" s="65"/>
      <c r="DR36" s="65"/>
      <c r="DS36" s="65"/>
      <c r="DT36" s="65"/>
      <c r="DU36" s="65"/>
      <c r="DV36" s="65"/>
      <c r="DW36" s="65"/>
      <c r="DX36" s="65"/>
      <c r="DY36" s="65"/>
      <c r="DZ36" s="65"/>
      <c r="EA36" s="65"/>
      <c r="EB36" s="65"/>
      <c r="EC36" s="65"/>
      <c r="ED36" s="65"/>
      <c r="EE36" s="65"/>
      <c r="EF36" s="65"/>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c r="GN36" s="65"/>
      <c r="GO36" s="65"/>
      <c r="GP36" s="65"/>
      <c r="GQ36" s="65"/>
      <c r="GR36" s="65"/>
      <c r="GS36" s="65"/>
      <c r="GT36" s="65"/>
      <c r="GU36" s="65"/>
      <c r="GV36" s="65"/>
      <c r="GW36" s="65"/>
      <c r="GX36" s="65"/>
      <c r="GY36" s="65"/>
      <c r="GZ36" s="65"/>
      <c r="HA36" s="65"/>
      <c r="HB36" s="65"/>
      <c r="HC36" s="65"/>
      <c r="HD36" s="65"/>
      <c r="HE36" s="65"/>
      <c r="HF36" s="65"/>
      <c r="HG36" s="65"/>
      <c r="HH36" s="65"/>
      <c r="HI36" s="65"/>
      <c r="HJ36" s="65"/>
      <c r="HK36" s="65"/>
      <c r="HL36" s="65"/>
      <c r="HM36" s="65"/>
      <c r="HN36" s="65"/>
      <c r="HO36" s="65"/>
    </row>
    <row r="37" spans="1:223" s="78" customFormat="1" ht="34.5" customHeight="1" x14ac:dyDescent="0.25">
      <c r="A37" s="353">
        <v>2025</v>
      </c>
      <c r="B37" s="354">
        <v>6</v>
      </c>
      <c r="C37" s="353">
        <v>22751</v>
      </c>
      <c r="D37" s="279">
        <v>45817</v>
      </c>
      <c r="E37" s="81" t="s">
        <v>2063</v>
      </c>
      <c r="F37" s="81" t="s">
        <v>2063</v>
      </c>
      <c r="G37" s="78" t="s">
        <v>143</v>
      </c>
      <c r="H37" s="78">
        <v>3147802729</v>
      </c>
      <c r="I37" s="78">
        <v>3147802729</v>
      </c>
      <c r="J37" s="66">
        <v>45826</v>
      </c>
      <c r="K37" s="78" t="s">
        <v>94</v>
      </c>
      <c r="L37" s="79" t="s">
        <v>2064</v>
      </c>
      <c r="M37" s="78" t="s">
        <v>136</v>
      </c>
      <c r="N37" s="78">
        <v>6017</v>
      </c>
      <c r="O37" s="78" t="s">
        <v>136</v>
      </c>
      <c r="P37" s="78" t="s">
        <v>136</v>
      </c>
      <c r="Q37" s="78" t="s">
        <v>136</v>
      </c>
      <c r="R37" s="78" t="s">
        <v>136</v>
      </c>
      <c r="S37" s="78" t="s">
        <v>134</v>
      </c>
      <c r="T37" s="78" t="s">
        <v>136</v>
      </c>
      <c r="U37" s="78" t="s">
        <v>136</v>
      </c>
      <c r="V37" s="81" t="s">
        <v>119</v>
      </c>
      <c r="W37" s="66">
        <v>45827</v>
      </c>
      <c r="X37" s="66">
        <v>45829</v>
      </c>
      <c r="Z37" s="80" t="s">
        <v>85</v>
      </c>
      <c r="AA37" s="371">
        <v>660000</v>
      </c>
      <c r="AB37" s="78">
        <v>6003</v>
      </c>
      <c r="AC37" s="228">
        <v>554622</v>
      </c>
      <c r="AD37" s="228">
        <f t="shared" si="1"/>
        <v>660000.17999999993</v>
      </c>
      <c r="AE37" s="303">
        <v>0</v>
      </c>
      <c r="AG37" s="210" t="s">
        <v>2130</v>
      </c>
      <c r="AH37" s="403">
        <v>45817</v>
      </c>
      <c r="AI37" s="66">
        <v>45835</v>
      </c>
      <c r="AJ37" s="78" t="s">
        <v>1705</v>
      </c>
      <c r="AL37" s="65"/>
      <c r="AM37" s="65"/>
      <c r="AN37" s="65"/>
      <c r="AO37" s="65"/>
      <c r="AP37" s="65"/>
      <c r="AQ37" s="65"/>
      <c r="AR37" s="65"/>
      <c r="AS37" s="65"/>
      <c r="AT37" s="65"/>
      <c r="AU37" s="65"/>
      <c r="AV37" s="65"/>
      <c r="AW37" s="65"/>
      <c r="AX37" s="65"/>
      <c r="AY37" s="65"/>
      <c r="AZ37" s="65"/>
      <c r="BA37" s="65"/>
      <c r="BB37" s="65"/>
      <c r="BC37" s="65"/>
      <c r="BD37" s="65"/>
      <c r="BE37" s="65"/>
      <c r="BF37" s="65"/>
      <c r="BG37" s="65"/>
      <c r="BH37" s="65"/>
      <c r="BI37" s="65"/>
      <c r="BJ37" s="65"/>
      <c r="BK37" s="65"/>
      <c r="BL37" s="65"/>
      <c r="BM37" s="65"/>
      <c r="BN37" s="65"/>
      <c r="BO37" s="65"/>
      <c r="BP37" s="65"/>
      <c r="BQ37" s="65"/>
      <c r="BR37" s="65"/>
      <c r="BS37" s="65"/>
      <c r="BT37" s="65"/>
      <c r="BU37" s="65"/>
      <c r="BV37" s="65"/>
      <c r="BW37" s="65"/>
      <c r="BX37" s="65"/>
      <c r="BY37" s="65"/>
      <c r="BZ37" s="65"/>
      <c r="CA37" s="65"/>
      <c r="CB37" s="65"/>
      <c r="CC37" s="65"/>
      <c r="CD37" s="65"/>
      <c r="CE37" s="65"/>
      <c r="CF37" s="65"/>
      <c r="CG37" s="65"/>
      <c r="CH37" s="65"/>
      <c r="CI37" s="65"/>
      <c r="CJ37" s="65"/>
      <c r="CK37" s="65"/>
      <c r="CL37" s="65"/>
      <c r="CM37" s="65"/>
      <c r="CN37" s="65"/>
      <c r="CO37" s="65"/>
      <c r="CP37" s="6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c r="DQ37" s="65"/>
      <c r="DR37" s="65"/>
      <c r="DS37" s="65"/>
      <c r="DT37" s="65"/>
      <c r="DU37" s="65"/>
      <c r="DV37" s="65"/>
      <c r="DW37" s="65"/>
      <c r="DX37" s="65"/>
      <c r="DY37" s="65"/>
      <c r="DZ37" s="65"/>
      <c r="EA37" s="65"/>
      <c r="EB37" s="65"/>
      <c r="EC37" s="65"/>
      <c r="ED37" s="65"/>
      <c r="EE37" s="65"/>
      <c r="EF37" s="65"/>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c r="GN37" s="65"/>
      <c r="GO37" s="65"/>
      <c r="GP37" s="65"/>
      <c r="GQ37" s="65"/>
      <c r="GR37" s="65"/>
      <c r="GS37" s="65"/>
      <c r="GT37" s="65"/>
      <c r="GU37" s="65"/>
      <c r="GV37" s="65"/>
      <c r="GW37" s="65"/>
      <c r="GX37" s="65"/>
      <c r="GY37" s="65"/>
      <c r="GZ37" s="65"/>
      <c r="HA37" s="65"/>
      <c r="HB37" s="65"/>
      <c r="HC37" s="65"/>
      <c r="HD37" s="65"/>
      <c r="HE37" s="65"/>
      <c r="HF37" s="65"/>
      <c r="HG37" s="65"/>
      <c r="HH37" s="65"/>
      <c r="HI37" s="65"/>
      <c r="HJ37" s="65"/>
      <c r="HK37" s="65"/>
      <c r="HL37" s="65"/>
      <c r="HM37" s="65"/>
      <c r="HN37" s="65"/>
      <c r="HO37" s="65"/>
    </row>
    <row r="38" spans="1:223" s="78" customFormat="1" ht="34.5" customHeight="1" x14ac:dyDescent="0.25">
      <c r="A38" s="353">
        <v>2025</v>
      </c>
      <c r="B38" s="354">
        <v>6</v>
      </c>
      <c r="C38" s="353">
        <v>22752</v>
      </c>
      <c r="D38" s="279">
        <v>45817</v>
      </c>
      <c r="E38" s="81" t="s">
        <v>2063</v>
      </c>
      <c r="F38" s="81" t="s">
        <v>2063</v>
      </c>
      <c r="G38" s="78" t="s">
        <v>143</v>
      </c>
      <c r="H38" s="78">
        <v>3147802729</v>
      </c>
      <c r="I38" s="78">
        <v>3147802729</v>
      </c>
      <c r="J38" s="66">
        <v>45826</v>
      </c>
      <c r="K38" s="78" t="s">
        <v>94</v>
      </c>
      <c r="L38" s="79" t="s">
        <v>2066</v>
      </c>
      <c r="M38" s="78" t="s">
        <v>136</v>
      </c>
      <c r="N38" s="78">
        <v>6016</v>
      </c>
      <c r="O38" s="78">
        <v>6847</v>
      </c>
      <c r="P38" s="78" t="s">
        <v>136</v>
      </c>
      <c r="Q38" s="78" t="s">
        <v>136</v>
      </c>
      <c r="R38" s="78" t="s">
        <v>136</v>
      </c>
      <c r="S38" s="78" t="s">
        <v>134</v>
      </c>
      <c r="T38" s="78" t="s">
        <v>136</v>
      </c>
      <c r="U38" s="78" t="s">
        <v>136</v>
      </c>
      <c r="V38" s="81" t="s">
        <v>119</v>
      </c>
      <c r="W38" s="66">
        <v>45827</v>
      </c>
      <c r="X38" s="66">
        <v>45832</v>
      </c>
      <c r="Z38" s="80" t="s">
        <v>85</v>
      </c>
      <c r="AA38" s="371">
        <v>600000</v>
      </c>
      <c r="AB38" s="78">
        <v>5992</v>
      </c>
      <c r="AC38" s="228">
        <v>504202</v>
      </c>
      <c r="AD38" s="228">
        <f t="shared" si="1"/>
        <v>600000.38</v>
      </c>
      <c r="AE38" s="303">
        <v>0</v>
      </c>
      <c r="AG38" s="210" t="s">
        <v>2100</v>
      </c>
      <c r="AH38" s="403">
        <v>45829</v>
      </c>
      <c r="AI38" s="66">
        <v>45835</v>
      </c>
      <c r="AJ38" s="78" t="s">
        <v>1705</v>
      </c>
      <c r="AL38" s="65"/>
      <c r="AM38" s="65"/>
      <c r="AN38" s="65"/>
      <c r="AO38" s="65"/>
      <c r="AP38" s="65"/>
      <c r="AQ38" s="65"/>
      <c r="AR38" s="65"/>
      <c r="AS38" s="65"/>
      <c r="AT38" s="65"/>
      <c r="AU38" s="65"/>
      <c r="AV38" s="65"/>
      <c r="AW38" s="65"/>
      <c r="AX38" s="65"/>
      <c r="AY38" s="65"/>
      <c r="AZ38" s="65"/>
      <c r="BA38" s="65"/>
      <c r="BB38" s="65"/>
      <c r="BC38" s="65"/>
      <c r="BD38" s="65"/>
      <c r="BE38" s="65"/>
      <c r="BF38" s="65"/>
      <c r="BG38" s="65"/>
      <c r="BH38" s="65"/>
      <c r="BI38" s="65"/>
      <c r="BJ38" s="65"/>
      <c r="BK38" s="65"/>
      <c r="BL38" s="65"/>
      <c r="BM38" s="65"/>
      <c r="BN38" s="65"/>
      <c r="BO38" s="65"/>
      <c r="BP38" s="65"/>
      <c r="BQ38" s="65"/>
      <c r="BR38" s="65"/>
      <c r="BS38" s="65"/>
      <c r="BT38" s="65"/>
      <c r="BU38" s="65"/>
      <c r="BV38" s="65"/>
      <c r="BW38" s="65"/>
      <c r="BX38" s="65"/>
      <c r="BY38" s="65"/>
      <c r="BZ38" s="65"/>
      <c r="CA38" s="65"/>
      <c r="CB38" s="65"/>
      <c r="CC38" s="65"/>
      <c r="CD38" s="65"/>
      <c r="CE38" s="65"/>
      <c r="CF38" s="65"/>
      <c r="CG38" s="65"/>
      <c r="CH38" s="65"/>
      <c r="CI38" s="65"/>
      <c r="CJ38" s="65"/>
      <c r="CK38" s="65"/>
      <c r="CL38" s="65"/>
      <c r="CM38" s="65"/>
      <c r="CN38" s="65"/>
      <c r="CO38" s="65"/>
      <c r="CP38" s="6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c r="DQ38" s="65"/>
      <c r="DR38" s="65"/>
      <c r="DS38" s="65"/>
      <c r="DT38" s="65"/>
      <c r="DU38" s="65"/>
      <c r="DV38" s="65"/>
      <c r="DW38" s="65"/>
      <c r="DX38" s="65"/>
      <c r="DY38" s="65"/>
      <c r="DZ38" s="65"/>
      <c r="EA38" s="65"/>
      <c r="EB38" s="65"/>
      <c r="EC38" s="65"/>
      <c r="ED38" s="65"/>
      <c r="EE38" s="65"/>
      <c r="EF38" s="65"/>
      <c r="EG38" s="65"/>
      <c r="EH38" s="65"/>
      <c r="EI38" s="65"/>
      <c r="EJ38" s="65"/>
      <c r="EK38" s="65"/>
      <c r="EL38" s="65"/>
      <c r="EM38" s="65"/>
      <c r="EN38" s="65"/>
      <c r="EO38" s="65"/>
      <c r="EP38" s="65"/>
      <c r="EQ38" s="65"/>
      <c r="ER38" s="65"/>
      <c r="ES38" s="65"/>
      <c r="ET38" s="65"/>
      <c r="EU38" s="65"/>
      <c r="EV38" s="65"/>
      <c r="EW38" s="65"/>
      <c r="EX38" s="65"/>
      <c r="EY38" s="65"/>
      <c r="EZ38" s="65"/>
      <c r="FA38" s="65"/>
      <c r="FB38" s="65"/>
      <c r="FC38" s="65"/>
      <c r="FD38" s="65"/>
      <c r="FE38" s="65"/>
      <c r="FF38" s="65"/>
      <c r="FG38" s="65"/>
      <c r="FH38" s="65"/>
      <c r="FI38" s="65"/>
      <c r="FJ38" s="65"/>
      <c r="FK38" s="65"/>
      <c r="FL38" s="65"/>
      <c r="FM38" s="65"/>
      <c r="FN38" s="65"/>
      <c r="FO38" s="65"/>
      <c r="FP38" s="65"/>
      <c r="FQ38" s="65"/>
      <c r="FR38" s="65"/>
      <c r="FS38" s="65"/>
      <c r="FT38" s="65"/>
      <c r="FU38" s="65"/>
      <c r="FV38" s="65"/>
      <c r="FW38" s="65"/>
      <c r="FX38" s="65"/>
      <c r="FY38" s="65"/>
      <c r="FZ38" s="65"/>
      <c r="GA38" s="65"/>
      <c r="GB38" s="65"/>
      <c r="GC38" s="65"/>
      <c r="GD38" s="65"/>
      <c r="GE38" s="65"/>
      <c r="GF38" s="65"/>
      <c r="GG38" s="65"/>
      <c r="GH38" s="65"/>
      <c r="GI38" s="65"/>
      <c r="GJ38" s="65"/>
      <c r="GK38" s="65"/>
      <c r="GL38" s="65"/>
      <c r="GM38" s="65"/>
      <c r="GN38" s="65"/>
      <c r="GO38" s="65"/>
      <c r="GP38" s="65"/>
      <c r="GQ38" s="65"/>
      <c r="GR38" s="65"/>
      <c r="GS38" s="65"/>
      <c r="GT38" s="65"/>
      <c r="GU38" s="65"/>
      <c r="GV38" s="65"/>
      <c r="GW38" s="65"/>
      <c r="GX38" s="65"/>
      <c r="GY38" s="65"/>
      <c r="GZ38" s="65"/>
      <c r="HA38" s="65"/>
      <c r="HB38" s="65"/>
      <c r="HC38" s="65"/>
      <c r="HD38" s="65"/>
      <c r="HE38" s="65"/>
      <c r="HF38" s="65"/>
      <c r="HG38" s="65"/>
      <c r="HH38" s="65"/>
      <c r="HI38" s="65"/>
      <c r="HJ38" s="65"/>
      <c r="HK38" s="65"/>
      <c r="HL38" s="65"/>
      <c r="HM38" s="65"/>
      <c r="HN38" s="65"/>
      <c r="HO38" s="65"/>
    </row>
    <row r="39" spans="1:223" s="78" customFormat="1" ht="71.25" customHeight="1" x14ac:dyDescent="0.25">
      <c r="A39" s="353">
        <v>2025</v>
      </c>
      <c r="B39" s="354">
        <v>6</v>
      </c>
      <c r="C39" s="355">
        <v>22753</v>
      </c>
      <c r="D39" s="279">
        <v>45817</v>
      </c>
      <c r="E39" s="81" t="s">
        <v>2026</v>
      </c>
      <c r="F39" s="81" t="s">
        <v>2027</v>
      </c>
      <c r="G39" s="78" t="s">
        <v>592</v>
      </c>
      <c r="H39" s="78">
        <v>3054710113</v>
      </c>
      <c r="I39" s="78">
        <v>3054710113</v>
      </c>
      <c r="J39" s="66">
        <v>45826</v>
      </c>
      <c r="K39" s="78" t="s">
        <v>94</v>
      </c>
      <c r="L39" s="79" t="s">
        <v>2028</v>
      </c>
      <c r="M39" s="78" t="s">
        <v>136</v>
      </c>
      <c r="N39" s="78">
        <v>6012</v>
      </c>
      <c r="O39" s="78">
        <v>6846</v>
      </c>
      <c r="P39" s="78" t="s">
        <v>136</v>
      </c>
      <c r="Q39" s="78" t="s">
        <v>136</v>
      </c>
      <c r="R39" s="78" t="s">
        <v>136</v>
      </c>
      <c r="S39" s="78" t="s">
        <v>136</v>
      </c>
      <c r="T39" s="78" t="s">
        <v>136</v>
      </c>
      <c r="U39" s="78" t="s">
        <v>136</v>
      </c>
      <c r="V39" s="81" t="s">
        <v>119</v>
      </c>
      <c r="W39" s="66">
        <v>45825</v>
      </c>
      <c r="X39" s="66"/>
      <c r="Z39" s="80" t="s">
        <v>92</v>
      </c>
      <c r="AA39" s="371">
        <v>0</v>
      </c>
      <c r="AB39" s="78">
        <v>5970</v>
      </c>
      <c r="AC39" s="228">
        <v>571429</v>
      </c>
      <c r="AD39" s="228">
        <f t="shared" si="1"/>
        <v>680000.51</v>
      </c>
      <c r="AE39" s="303">
        <v>350000</v>
      </c>
      <c r="AG39" s="210"/>
      <c r="AH39" s="403">
        <v>45825</v>
      </c>
      <c r="AI39" s="66">
        <v>45826</v>
      </c>
      <c r="AJ39" s="78" t="s">
        <v>1705</v>
      </c>
      <c r="AL39" s="65"/>
      <c r="AM39" s="65"/>
      <c r="AN39" s="65"/>
      <c r="AO39" s="65"/>
      <c r="AP39" s="65"/>
      <c r="AQ39" s="65"/>
      <c r="AR39" s="65"/>
      <c r="AS39" s="65"/>
      <c r="AT39" s="65"/>
      <c r="AU39" s="65"/>
      <c r="AV39" s="65"/>
      <c r="AW39" s="65"/>
      <c r="AX39" s="65"/>
      <c r="AY39" s="65"/>
      <c r="AZ39" s="65"/>
      <c r="BA39" s="65"/>
      <c r="BB39" s="65"/>
      <c r="BC39" s="65"/>
      <c r="BD39" s="65"/>
      <c r="BE39" s="65"/>
      <c r="BF39" s="65"/>
      <c r="BG39" s="65"/>
      <c r="BH39" s="65"/>
      <c r="BI39" s="65"/>
      <c r="BJ39" s="65"/>
      <c r="BK39" s="65"/>
      <c r="BL39" s="65"/>
      <c r="BM39" s="65"/>
      <c r="BN39" s="65"/>
      <c r="BO39" s="65"/>
      <c r="BP39" s="65"/>
      <c r="BQ39" s="65"/>
      <c r="BR39" s="65"/>
      <c r="BS39" s="65"/>
      <c r="BT39" s="65"/>
      <c r="BU39" s="65"/>
      <c r="BV39" s="65"/>
      <c r="BW39" s="65"/>
      <c r="BX39" s="65"/>
      <c r="BY39" s="65"/>
      <c r="BZ39" s="65"/>
      <c r="CA39" s="65"/>
      <c r="CB39" s="65"/>
      <c r="CC39" s="65"/>
      <c r="CD39" s="65"/>
      <c r="CE39" s="65"/>
      <c r="CF39" s="65"/>
      <c r="CG39" s="65"/>
      <c r="CH39" s="65"/>
      <c r="CI39" s="65"/>
      <c r="CJ39" s="65"/>
      <c r="CK39" s="65"/>
      <c r="CL39" s="65"/>
      <c r="CM39" s="65"/>
      <c r="CN39" s="65"/>
      <c r="CO39" s="65"/>
      <c r="CP39" s="6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c r="DQ39" s="65"/>
      <c r="DR39" s="65"/>
      <c r="DS39" s="65"/>
      <c r="DT39" s="65"/>
      <c r="DU39" s="65"/>
      <c r="DV39" s="65"/>
      <c r="DW39" s="65"/>
      <c r="DX39" s="65"/>
      <c r="DY39" s="65"/>
      <c r="DZ39" s="65"/>
      <c r="EA39" s="65"/>
      <c r="EB39" s="65"/>
      <c r="EC39" s="65"/>
      <c r="ED39" s="65"/>
      <c r="EE39" s="65"/>
      <c r="EF39" s="65"/>
      <c r="EG39" s="65"/>
      <c r="EH39" s="65"/>
      <c r="EI39" s="65"/>
      <c r="EJ39" s="65"/>
      <c r="EK39" s="65"/>
      <c r="EL39" s="65"/>
      <c r="EM39" s="65"/>
      <c r="EN39" s="65"/>
      <c r="EO39" s="65"/>
      <c r="EP39" s="65"/>
      <c r="EQ39" s="65"/>
      <c r="ER39" s="65"/>
      <c r="ES39" s="65"/>
      <c r="ET39" s="65"/>
      <c r="EU39" s="65"/>
      <c r="EV39" s="65"/>
      <c r="EW39" s="65"/>
      <c r="EX39" s="65"/>
      <c r="EY39" s="65"/>
      <c r="EZ39" s="65"/>
      <c r="FA39" s="65"/>
      <c r="FB39" s="65"/>
      <c r="FC39" s="65"/>
      <c r="FD39" s="65"/>
      <c r="FE39" s="65"/>
      <c r="FF39" s="65"/>
      <c r="FG39" s="65"/>
      <c r="FH39" s="65"/>
      <c r="FI39" s="65"/>
      <c r="FJ39" s="65"/>
      <c r="FK39" s="65"/>
      <c r="FL39" s="65"/>
      <c r="FM39" s="65"/>
      <c r="FN39" s="65"/>
      <c r="FO39" s="65"/>
      <c r="FP39" s="65"/>
      <c r="FQ39" s="65"/>
      <c r="FR39" s="65"/>
      <c r="FS39" s="65"/>
      <c r="FT39" s="65"/>
      <c r="FU39" s="65"/>
      <c r="FV39" s="65"/>
      <c r="FW39" s="65"/>
      <c r="FX39" s="65"/>
      <c r="FY39" s="65"/>
      <c r="FZ39" s="65"/>
      <c r="GA39" s="65"/>
      <c r="GB39" s="65"/>
      <c r="GC39" s="65"/>
      <c r="GD39" s="65"/>
      <c r="GE39" s="65"/>
      <c r="GF39" s="65"/>
      <c r="GG39" s="65"/>
      <c r="GH39" s="65"/>
      <c r="GI39" s="65"/>
      <c r="GJ39" s="65"/>
      <c r="GK39" s="65"/>
      <c r="GL39" s="65"/>
      <c r="GM39" s="65"/>
      <c r="GN39" s="65"/>
      <c r="GO39" s="65"/>
      <c r="GP39" s="65"/>
      <c r="GQ39" s="65"/>
      <c r="GR39" s="65"/>
      <c r="GS39" s="65"/>
      <c r="GT39" s="65"/>
      <c r="GU39" s="65"/>
      <c r="GV39" s="65"/>
      <c r="GW39" s="65"/>
      <c r="GX39" s="65"/>
      <c r="GY39" s="65"/>
      <c r="GZ39" s="65"/>
      <c r="HA39" s="65"/>
      <c r="HB39" s="65"/>
      <c r="HC39" s="65"/>
      <c r="HD39" s="65"/>
      <c r="HE39" s="65"/>
      <c r="HF39" s="65"/>
      <c r="HG39" s="65"/>
      <c r="HH39" s="65"/>
      <c r="HI39" s="65"/>
      <c r="HJ39" s="65"/>
      <c r="HK39" s="65"/>
      <c r="HL39" s="65"/>
      <c r="HM39" s="65"/>
      <c r="HN39" s="65"/>
      <c r="HO39" s="65"/>
    </row>
    <row r="40" spans="1:223" s="78" customFormat="1" ht="63" customHeight="1" x14ac:dyDescent="0.25">
      <c r="A40" s="353">
        <v>2025</v>
      </c>
      <c r="B40" s="354">
        <v>6</v>
      </c>
      <c r="C40" s="353">
        <v>22754</v>
      </c>
      <c r="D40" s="279">
        <v>45818</v>
      </c>
      <c r="E40" s="81" t="s">
        <v>235</v>
      </c>
      <c r="F40" s="81" t="s">
        <v>2029</v>
      </c>
      <c r="G40" s="78" t="s">
        <v>570</v>
      </c>
      <c r="H40" s="78">
        <v>3004657333</v>
      </c>
      <c r="I40" s="78">
        <v>3185608945</v>
      </c>
      <c r="J40" s="66">
        <v>45832</v>
      </c>
      <c r="K40" s="78" t="s">
        <v>95</v>
      </c>
      <c r="L40" s="79" t="s">
        <v>2034</v>
      </c>
      <c r="M40" s="78" t="s">
        <v>282</v>
      </c>
      <c r="N40" s="78" t="s">
        <v>136</v>
      </c>
      <c r="O40" s="78">
        <v>6849</v>
      </c>
      <c r="P40" s="78" t="s">
        <v>2035</v>
      </c>
      <c r="Q40" s="78">
        <v>5597</v>
      </c>
      <c r="R40" s="78" t="s">
        <v>136</v>
      </c>
      <c r="S40" s="78" t="s">
        <v>134</v>
      </c>
      <c r="T40" s="78" t="s">
        <v>134</v>
      </c>
      <c r="U40" s="78" t="s">
        <v>136</v>
      </c>
      <c r="V40" s="81" t="s">
        <v>89</v>
      </c>
      <c r="W40" s="66"/>
      <c r="X40" s="66"/>
      <c r="Z40" s="80" t="s">
        <v>114</v>
      </c>
      <c r="AA40" s="371">
        <v>0</v>
      </c>
      <c r="AB40" s="78">
        <v>5985</v>
      </c>
      <c r="AC40" s="228">
        <v>4997205</v>
      </c>
      <c r="AD40" s="228">
        <f t="shared" si="1"/>
        <v>5946673.9500000002</v>
      </c>
      <c r="AE40" s="303">
        <v>2759137</v>
      </c>
      <c r="AG40" s="210" t="s">
        <v>2138</v>
      </c>
      <c r="AH40" s="241"/>
      <c r="AI40" s="66">
        <v>45826</v>
      </c>
      <c r="AJ40" s="78" t="s">
        <v>1705</v>
      </c>
      <c r="AL40" s="65"/>
      <c r="AM40" s="65"/>
      <c r="AN40" s="65"/>
      <c r="AO40" s="65"/>
      <c r="AP40" s="65"/>
      <c r="AQ40" s="65"/>
      <c r="AR40" s="65"/>
      <c r="AS40" s="65"/>
      <c r="AT40" s="65"/>
      <c r="AU40" s="65"/>
      <c r="AV40" s="65"/>
      <c r="AW40" s="65"/>
      <c r="AX40" s="65"/>
      <c r="AY40" s="65"/>
      <c r="AZ40" s="65"/>
      <c r="BA40" s="65"/>
      <c r="BB40" s="65"/>
      <c r="BC40" s="65"/>
      <c r="BD40" s="65"/>
      <c r="BE40" s="65"/>
      <c r="BF40" s="65"/>
      <c r="BG40" s="65"/>
      <c r="BH40" s="65"/>
      <c r="BI40" s="65"/>
      <c r="BJ40" s="65"/>
      <c r="BK40" s="65"/>
      <c r="BL40" s="65"/>
      <c r="BM40" s="65"/>
      <c r="BN40" s="65"/>
      <c r="BO40" s="65"/>
      <c r="BP40" s="65"/>
      <c r="BQ40" s="65"/>
      <c r="BR40" s="65"/>
      <c r="BS40" s="65"/>
      <c r="BT40" s="65"/>
      <c r="BU40" s="65"/>
      <c r="BV40" s="65"/>
      <c r="BW40" s="65"/>
      <c r="BX40" s="65"/>
      <c r="BY40" s="65"/>
      <c r="BZ40" s="65"/>
      <c r="CA40" s="65"/>
      <c r="CB40" s="65"/>
      <c r="CC40" s="65"/>
      <c r="CD40" s="65"/>
      <c r="CE40" s="65"/>
      <c r="CF40" s="65"/>
      <c r="CG40" s="65"/>
      <c r="CH40" s="65"/>
      <c r="CI40" s="65"/>
      <c r="CJ40" s="65"/>
      <c r="CK40" s="65"/>
      <c r="CL40" s="65"/>
      <c r="CM40" s="65"/>
      <c r="CN40" s="65"/>
      <c r="CO40" s="65"/>
      <c r="CP40" s="6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c r="DQ40" s="65"/>
      <c r="DR40" s="65"/>
      <c r="DS40" s="65"/>
      <c r="DT40" s="65"/>
      <c r="DU40" s="65"/>
      <c r="DV40" s="65"/>
      <c r="DW40" s="65"/>
      <c r="DX40" s="65"/>
      <c r="DY40" s="65"/>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c r="GN40" s="65"/>
      <c r="GO40" s="65"/>
      <c r="GP40" s="65"/>
      <c r="GQ40" s="65"/>
      <c r="GR40" s="65"/>
      <c r="GS40" s="65"/>
      <c r="GT40" s="65"/>
      <c r="GU40" s="65"/>
      <c r="GV40" s="65"/>
      <c r="GW40" s="65"/>
      <c r="GX40" s="65"/>
      <c r="GY40" s="65"/>
      <c r="GZ40" s="65"/>
      <c r="HA40" s="65"/>
      <c r="HB40" s="65"/>
      <c r="HC40" s="65"/>
      <c r="HD40" s="65"/>
      <c r="HE40" s="65"/>
      <c r="HF40" s="65"/>
      <c r="HG40" s="65"/>
      <c r="HH40" s="65"/>
      <c r="HI40" s="65"/>
      <c r="HJ40" s="65"/>
      <c r="HK40" s="65"/>
      <c r="HL40" s="65"/>
      <c r="HM40" s="65"/>
      <c r="HN40" s="65"/>
      <c r="HO40" s="65"/>
    </row>
    <row r="41" spans="1:223" s="78" customFormat="1" ht="34.5" customHeight="1" x14ac:dyDescent="0.25">
      <c r="A41" s="353">
        <v>2025</v>
      </c>
      <c r="B41" s="354">
        <v>6</v>
      </c>
      <c r="C41" s="353">
        <v>22755</v>
      </c>
      <c r="D41" s="279">
        <v>45818</v>
      </c>
      <c r="E41" s="81" t="s">
        <v>2067</v>
      </c>
      <c r="F41" s="81" t="s">
        <v>2068</v>
      </c>
      <c r="G41" s="78" t="s">
        <v>95</v>
      </c>
      <c r="H41" s="78">
        <v>3007795743</v>
      </c>
      <c r="I41" s="78">
        <v>3183990505</v>
      </c>
      <c r="J41" s="66">
        <v>45829</v>
      </c>
      <c r="K41" s="78" t="s">
        <v>95</v>
      </c>
      <c r="L41" s="79" t="s">
        <v>2069</v>
      </c>
      <c r="M41" s="78" t="s">
        <v>136</v>
      </c>
      <c r="N41" s="78" t="s">
        <v>2070</v>
      </c>
      <c r="O41" s="78">
        <v>6852</v>
      </c>
      <c r="P41" s="78">
        <v>9206</v>
      </c>
      <c r="Q41" s="78">
        <v>5588</v>
      </c>
      <c r="R41" s="78" t="s">
        <v>136</v>
      </c>
      <c r="S41" s="78" t="s">
        <v>134</v>
      </c>
      <c r="T41" s="78" t="s">
        <v>134</v>
      </c>
      <c r="U41" s="78" t="s">
        <v>136</v>
      </c>
      <c r="V41" s="81" t="s">
        <v>87</v>
      </c>
      <c r="W41" s="66"/>
      <c r="X41" s="66">
        <v>45833</v>
      </c>
      <c r="Z41" s="80" t="s">
        <v>85</v>
      </c>
      <c r="AA41" s="371">
        <v>0</v>
      </c>
      <c r="AB41" s="78">
        <v>5993</v>
      </c>
      <c r="AC41" s="228">
        <v>9958782</v>
      </c>
      <c r="AD41" s="228">
        <f t="shared" si="1"/>
        <v>11850950.58</v>
      </c>
      <c r="AE41" s="303">
        <v>4979391</v>
      </c>
      <c r="AG41" s="210" t="s">
        <v>2217</v>
      </c>
      <c r="AH41" s="438">
        <v>45832</v>
      </c>
      <c r="AI41" s="66">
        <v>45836</v>
      </c>
      <c r="AJ41" s="78" t="s">
        <v>1705</v>
      </c>
      <c r="AL41" s="65"/>
      <c r="AM41" s="65"/>
      <c r="AN41" s="65"/>
      <c r="AO41" s="65"/>
      <c r="AP41" s="65"/>
      <c r="AQ41" s="65"/>
      <c r="AR41" s="65"/>
      <c r="AS41" s="65"/>
      <c r="AT41" s="65"/>
      <c r="AU41" s="65"/>
      <c r="AV41" s="65"/>
      <c r="AW41" s="65"/>
      <c r="AX41" s="65"/>
      <c r="AY41" s="65"/>
      <c r="AZ41" s="65"/>
      <c r="BA41" s="65"/>
      <c r="BB41" s="65"/>
      <c r="BC41" s="65"/>
      <c r="BD41" s="65"/>
      <c r="BE41" s="65"/>
      <c r="BF41" s="65"/>
      <c r="BG41" s="65"/>
      <c r="BH41" s="65"/>
      <c r="BI41" s="65"/>
      <c r="BJ41" s="65"/>
      <c r="BK41" s="65"/>
      <c r="BL41" s="65"/>
      <c r="BM41" s="65"/>
      <c r="BN41" s="65"/>
      <c r="BO41" s="65"/>
      <c r="BP41" s="65"/>
      <c r="BQ41" s="65"/>
      <c r="BR41" s="65"/>
      <c r="BS41" s="65"/>
      <c r="BT41" s="65"/>
      <c r="BU41" s="65"/>
      <c r="BV41" s="65"/>
      <c r="BW41" s="65"/>
      <c r="BX41" s="65"/>
      <c r="BY41" s="65"/>
      <c r="BZ41" s="65"/>
      <c r="CA41" s="65"/>
      <c r="CB41" s="65"/>
      <c r="CC41" s="65"/>
      <c r="CD41" s="65"/>
      <c r="CE41" s="65"/>
      <c r="CF41" s="65"/>
      <c r="CG41" s="65"/>
      <c r="CH41" s="65"/>
      <c r="CI41" s="65"/>
      <c r="CJ41" s="65"/>
      <c r="CK41" s="65"/>
      <c r="CL41" s="65"/>
      <c r="CM41" s="65"/>
      <c r="CN41" s="65"/>
      <c r="CO41" s="65"/>
      <c r="CP41" s="65"/>
      <c r="CQ41" s="65"/>
      <c r="CR41" s="65"/>
      <c r="CS41" s="65"/>
      <c r="CT41" s="65"/>
      <c r="CU41" s="65"/>
      <c r="CV41" s="65"/>
      <c r="CW41" s="65"/>
      <c r="CX41" s="65"/>
      <c r="CY41" s="65"/>
      <c r="CZ41" s="65"/>
      <c r="DA41" s="65"/>
      <c r="DB41" s="65"/>
      <c r="DC41" s="65"/>
      <c r="DD41" s="65"/>
      <c r="DE41" s="65"/>
      <c r="DF41" s="65"/>
      <c r="DG41" s="65"/>
      <c r="DH41" s="65"/>
      <c r="DI41" s="65"/>
      <c r="DJ41" s="65"/>
      <c r="DK41" s="65"/>
      <c r="DL41" s="65"/>
      <c r="DM41" s="65"/>
      <c r="DN41" s="65"/>
      <c r="DO41" s="65"/>
      <c r="DP41" s="65"/>
      <c r="DQ41" s="65"/>
      <c r="DR41" s="65"/>
      <c r="DS41" s="65"/>
      <c r="DT41" s="65"/>
      <c r="DU41" s="65"/>
      <c r="DV41" s="65"/>
      <c r="DW41" s="65"/>
      <c r="DX41" s="65"/>
      <c r="DY41" s="65"/>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c r="GN41" s="65"/>
      <c r="GO41" s="65"/>
      <c r="GP41" s="65"/>
      <c r="GQ41" s="65"/>
      <c r="GR41" s="65"/>
      <c r="GS41" s="65"/>
      <c r="GT41" s="65"/>
      <c r="GU41" s="65"/>
      <c r="GV41" s="65"/>
      <c r="GW41" s="65"/>
      <c r="GX41" s="65"/>
      <c r="GY41" s="65"/>
      <c r="GZ41" s="65"/>
      <c r="HA41" s="65"/>
      <c r="HB41" s="65"/>
      <c r="HC41" s="65"/>
      <c r="HD41" s="65"/>
      <c r="HE41" s="65"/>
      <c r="HF41" s="65"/>
      <c r="HG41" s="65"/>
      <c r="HH41" s="65"/>
      <c r="HI41" s="65"/>
      <c r="HJ41" s="65"/>
      <c r="HK41" s="65"/>
      <c r="HL41" s="65"/>
      <c r="HM41" s="65"/>
      <c r="HN41" s="65"/>
      <c r="HO41" s="65"/>
    </row>
    <row r="42" spans="1:223" s="78" customFormat="1" ht="34.5" customHeight="1" x14ac:dyDescent="0.25">
      <c r="A42" s="353">
        <v>2025</v>
      </c>
      <c r="B42" s="354">
        <v>6</v>
      </c>
      <c r="C42" s="355">
        <v>22756</v>
      </c>
      <c r="D42" s="279">
        <v>45820</v>
      </c>
      <c r="E42" s="81" t="s">
        <v>2117</v>
      </c>
      <c r="F42" s="81" t="s">
        <v>2117</v>
      </c>
      <c r="G42" s="78" t="s">
        <v>143</v>
      </c>
      <c r="H42" s="78">
        <v>3013160905</v>
      </c>
      <c r="I42" s="78">
        <v>3013160905</v>
      </c>
      <c r="J42" s="66">
        <v>45832</v>
      </c>
      <c r="K42" s="78" t="s">
        <v>84</v>
      </c>
      <c r="L42" s="79" t="s">
        <v>2118</v>
      </c>
      <c r="M42" s="78" t="s">
        <v>136</v>
      </c>
      <c r="N42" s="78">
        <v>6031</v>
      </c>
      <c r="O42" s="78">
        <v>6871</v>
      </c>
      <c r="P42" s="78">
        <v>9219</v>
      </c>
      <c r="Q42" s="78">
        <v>5595</v>
      </c>
      <c r="R42" s="78" t="s">
        <v>136</v>
      </c>
      <c r="S42" s="78" t="s">
        <v>134</v>
      </c>
      <c r="T42" s="78" t="s">
        <v>134</v>
      </c>
      <c r="U42" s="78" t="s">
        <v>136</v>
      </c>
      <c r="V42" s="81" t="s">
        <v>119</v>
      </c>
      <c r="W42" s="66">
        <v>45834</v>
      </c>
      <c r="X42" s="66">
        <v>45836</v>
      </c>
      <c r="Z42" s="80" t="s">
        <v>85</v>
      </c>
      <c r="AA42" s="371">
        <v>0</v>
      </c>
      <c r="AB42" s="78">
        <v>6014</v>
      </c>
      <c r="AC42" s="228">
        <v>2843939</v>
      </c>
      <c r="AD42" s="228">
        <f t="shared" si="1"/>
        <v>3384287.4099999997</v>
      </c>
      <c r="AE42" s="303">
        <v>1692144</v>
      </c>
      <c r="AG42" s="210" t="s">
        <v>2097</v>
      </c>
      <c r="AH42" s="403">
        <v>45835</v>
      </c>
      <c r="AI42" s="66">
        <v>45842</v>
      </c>
      <c r="AJ42" s="78" t="s">
        <v>1705</v>
      </c>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5"/>
      <c r="CA42" s="65"/>
      <c r="CB42" s="65"/>
      <c r="CC42" s="65"/>
      <c r="CD42" s="65"/>
      <c r="CE42" s="65"/>
      <c r="CF42" s="65"/>
      <c r="CG42" s="65"/>
      <c r="CH42" s="65"/>
      <c r="CI42" s="65"/>
      <c r="CJ42" s="65"/>
      <c r="CK42" s="65"/>
      <c r="CL42" s="65"/>
      <c r="CM42" s="65"/>
      <c r="CN42" s="65"/>
      <c r="CO42" s="65"/>
      <c r="CP42" s="6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c r="GN42" s="65"/>
      <c r="GO42" s="65"/>
      <c r="GP42" s="65"/>
      <c r="GQ42" s="65"/>
      <c r="GR42" s="65"/>
      <c r="GS42" s="65"/>
      <c r="GT42" s="65"/>
      <c r="GU42" s="65"/>
      <c r="GV42" s="65"/>
      <c r="GW42" s="65"/>
      <c r="GX42" s="65"/>
      <c r="GY42" s="65"/>
      <c r="GZ42" s="65"/>
      <c r="HA42" s="65"/>
      <c r="HB42" s="65"/>
      <c r="HC42" s="65"/>
      <c r="HD42" s="65"/>
      <c r="HE42" s="65"/>
      <c r="HF42" s="65"/>
      <c r="HG42" s="65"/>
      <c r="HH42" s="65"/>
      <c r="HI42" s="65"/>
      <c r="HJ42" s="65"/>
      <c r="HK42" s="65"/>
      <c r="HL42" s="65"/>
      <c r="HM42" s="65"/>
      <c r="HN42" s="65"/>
      <c r="HO42" s="65"/>
    </row>
    <row r="43" spans="1:223" s="78" customFormat="1" ht="50.25" customHeight="1" x14ac:dyDescent="0.25">
      <c r="A43" s="353">
        <v>2025</v>
      </c>
      <c r="B43" s="354">
        <v>6</v>
      </c>
      <c r="C43" s="353">
        <v>22757</v>
      </c>
      <c r="D43" s="279">
        <v>45819</v>
      </c>
      <c r="E43" s="81" t="s">
        <v>2030</v>
      </c>
      <c r="F43" s="81" t="s">
        <v>2031</v>
      </c>
      <c r="G43" s="81" t="s">
        <v>2032</v>
      </c>
      <c r="H43" s="78">
        <v>3103950263</v>
      </c>
      <c r="I43" s="78">
        <v>6046054966</v>
      </c>
      <c r="J43" s="66">
        <v>45828</v>
      </c>
      <c r="K43" s="78" t="s">
        <v>88</v>
      </c>
      <c r="L43" s="79" t="s">
        <v>2033</v>
      </c>
      <c r="M43" s="78" t="s">
        <v>281</v>
      </c>
      <c r="N43" s="78">
        <v>6857</v>
      </c>
      <c r="O43" s="78">
        <v>6855</v>
      </c>
      <c r="P43" s="78">
        <v>9144</v>
      </c>
      <c r="Q43" s="78">
        <v>5571</v>
      </c>
      <c r="R43" s="78" t="s">
        <v>134</v>
      </c>
      <c r="S43" s="78" t="s">
        <v>134</v>
      </c>
      <c r="T43" s="78" t="s">
        <v>134</v>
      </c>
      <c r="U43" s="78" t="s">
        <v>136</v>
      </c>
      <c r="V43" s="81" t="s">
        <v>87</v>
      </c>
      <c r="W43" s="66">
        <v>45820</v>
      </c>
      <c r="X43" s="66">
        <v>45821</v>
      </c>
      <c r="Z43" s="80" t="s">
        <v>85</v>
      </c>
      <c r="AA43" s="371">
        <v>0</v>
      </c>
      <c r="AB43" s="78">
        <v>5950</v>
      </c>
      <c r="AC43" s="228">
        <v>220051</v>
      </c>
      <c r="AD43" s="228">
        <f t="shared" si="1"/>
        <v>261860.69</v>
      </c>
      <c r="AE43" s="303">
        <v>0</v>
      </c>
      <c r="AG43" s="210"/>
      <c r="AH43" s="438">
        <v>45829</v>
      </c>
      <c r="AI43" s="66">
        <v>45836</v>
      </c>
      <c r="AJ43" s="78" t="s">
        <v>2003</v>
      </c>
      <c r="AL43" s="65"/>
      <c r="AM43" s="65"/>
      <c r="AN43" s="65"/>
      <c r="AO43" s="65"/>
      <c r="AP43" s="65"/>
      <c r="AQ43" s="65"/>
      <c r="AR43" s="65"/>
      <c r="AS43" s="65"/>
      <c r="AT43" s="65"/>
      <c r="AU43" s="65"/>
      <c r="AV43" s="65"/>
      <c r="AW43" s="65"/>
      <c r="AX43" s="65"/>
      <c r="AY43" s="65"/>
      <c r="AZ43" s="65"/>
      <c r="BA43" s="65"/>
      <c r="BB43" s="65"/>
      <c r="BC43" s="65"/>
      <c r="BD43" s="65"/>
      <c r="BE43" s="65"/>
      <c r="BF43" s="65"/>
      <c r="BG43" s="65"/>
      <c r="BH43" s="65"/>
      <c r="BI43" s="65"/>
      <c r="BJ43" s="65"/>
      <c r="BK43" s="65"/>
      <c r="BL43" s="65"/>
      <c r="BM43" s="65"/>
      <c r="BN43" s="65"/>
      <c r="BO43" s="65"/>
      <c r="BP43" s="65"/>
      <c r="BQ43" s="65"/>
      <c r="BR43" s="65"/>
      <c r="BS43" s="65"/>
      <c r="BT43" s="65"/>
      <c r="BU43" s="65"/>
      <c r="BV43" s="65"/>
      <c r="BW43" s="65"/>
      <c r="BX43" s="65"/>
      <c r="BY43" s="65"/>
      <c r="BZ43" s="65"/>
      <c r="CA43" s="65"/>
      <c r="CB43" s="65"/>
      <c r="CC43" s="65"/>
      <c r="CD43" s="65"/>
      <c r="CE43" s="65"/>
      <c r="CF43" s="65"/>
      <c r="CG43" s="65"/>
      <c r="CH43" s="65"/>
      <c r="CI43" s="65"/>
      <c r="CJ43" s="65"/>
      <c r="CK43" s="65"/>
      <c r="CL43" s="65"/>
      <c r="CM43" s="65"/>
      <c r="CN43" s="65"/>
      <c r="CO43" s="65"/>
      <c r="CP43" s="65"/>
      <c r="CQ43" s="65"/>
      <c r="CR43" s="65"/>
      <c r="CS43" s="65"/>
      <c r="CT43" s="65"/>
      <c r="CU43" s="65"/>
      <c r="CV43" s="65"/>
      <c r="CW43" s="65"/>
      <c r="CX43" s="65"/>
      <c r="CY43" s="65"/>
      <c r="CZ43" s="65"/>
      <c r="DA43" s="65"/>
      <c r="DB43" s="65"/>
      <c r="DC43" s="65"/>
      <c r="DD43" s="65"/>
      <c r="DE43" s="65"/>
      <c r="DF43" s="65"/>
      <c r="DG43" s="65"/>
      <c r="DH43" s="65"/>
      <c r="DI43" s="65"/>
      <c r="DJ43" s="65"/>
      <c r="DK43" s="65"/>
      <c r="DL43" s="65"/>
      <c r="DM43" s="65"/>
      <c r="DN43" s="65"/>
      <c r="DO43" s="65"/>
      <c r="DP43" s="65"/>
      <c r="DQ43" s="65"/>
      <c r="DR43" s="65"/>
      <c r="DS43" s="65"/>
      <c r="DT43" s="65"/>
      <c r="DU43" s="65"/>
      <c r="DV43" s="65"/>
      <c r="DW43" s="65"/>
      <c r="DX43" s="65"/>
      <c r="DY43" s="65"/>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c r="GN43" s="65"/>
      <c r="GO43" s="65"/>
      <c r="GP43" s="65"/>
      <c r="GQ43" s="65"/>
      <c r="GR43" s="65"/>
      <c r="GS43" s="65"/>
      <c r="GT43" s="65"/>
      <c r="GU43" s="65"/>
      <c r="GV43" s="65"/>
      <c r="GW43" s="65"/>
      <c r="GX43" s="65"/>
      <c r="GY43" s="65"/>
      <c r="GZ43" s="65"/>
      <c r="HA43" s="65"/>
      <c r="HB43" s="65"/>
      <c r="HC43" s="65"/>
      <c r="HD43" s="65"/>
      <c r="HE43" s="65"/>
      <c r="HF43" s="65"/>
      <c r="HG43" s="65"/>
      <c r="HH43" s="65"/>
      <c r="HI43" s="65"/>
      <c r="HJ43" s="65"/>
      <c r="HK43" s="65"/>
      <c r="HL43" s="65"/>
      <c r="HM43" s="65"/>
      <c r="HN43" s="65"/>
      <c r="HO43" s="65"/>
    </row>
    <row r="44" spans="1:223" s="78" customFormat="1" ht="34.5" customHeight="1" x14ac:dyDescent="0.25">
      <c r="A44" s="353">
        <v>2025</v>
      </c>
      <c r="B44" s="354">
        <v>6</v>
      </c>
      <c r="C44" s="353">
        <v>22758</v>
      </c>
      <c r="D44" s="279">
        <v>45818</v>
      </c>
      <c r="E44" s="81" t="s">
        <v>2045</v>
      </c>
      <c r="F44" s="81" t="s">
        <v>172</v>
      </c>
      <c r="G44" s="78" t="s">
        <v>173</v>
      </c>
      <c r="H44" s="78">
        <v>3014204380</v>
      </c>
      <c r="I44" s="78">
        <v>3108452977</v>
      </c>
      <c r="J44" s="66"/>
      <c r="K44" s="78" t="s">
        <v>88</v>
      </c>
      <c r="L44" s="79" t="s">
        <v>2046</v>
      </c>
      <c r="M44" s="78" t="s">
        <v>136</v>
      </c>
      <c r="N44" s="78">
        <v>6040</v>
      </c>
      <c r="O44" s="78" t="s">
        <v>136</v>
      </c>
      <c r="P44" s="78">
        <v>9210</v>
      </c>
      <c r="Q44" s="78">
        <v>5593</v>
      </c>
      <c r="R44" s="78" t="s">
        <v>136</v>
      </c>
      <c r="S44" s="78" t="s">
        <v>134</v>
      </c>
      <c r="T44" s="78" t="s">
        <v>134</v>
      </c>
      <c r="U44" s="78" t="s">
        <v>136</v>
      </c>
      <c r="V44" s="81" t="s">
        <v>119</v>
      </c>
      <c r="W44" s="66">
        <v>45839</v>
      </c>
      <c r="X44" s="66">
        <v>45836</v>
      </c>
      <c r="Z44" s="80" t="s">
        <v>85</v>
      </c>
      <c r="AA44" s="371">
        <v>368617</v>
      </c>
      <c r="AB44" s="78">
        <v>5936</v>
      </c>
      <c r="AC44" s="228">
        <v>309763</v>
      </c>
      <c r="AD44" s="228">
        <f t="shared" si="1"/>
        <v>368617.97</v>
      </c>
      <c r="AE44" s="303">
        <v>0</v>
      </c>
      <c r="AG44" s="210" t="s">
        <v>2097</v>
      </c>
      <c r="AH44" s="403">
        <v>45827</v>
      </c>
      <c r="AI44" s="66">
        <v>45847</v>
      </c>
      <c r="AJ44" s="78" t="s">
        <v>1705</v>
      </c>
      <c r="AL44" s="65"/>
      <c r="AM44" s="65"/>
      <c r="AN44" s="65"/>
      <c r="AO44" s="65"/>
      <c r="AP44" s="65"/>
      <c r="AQ44" s="65"/>
      <c r="AR44" s="65"/>
      <c r="AS44" s="65"/>
      <c r="AT44" s="65"/>
      <c r="AU44" s="65"/>
      <c r="AV44" s="65"/>
      <c r="AW44" s="65"/>
      <c r="AX44" s="65"/>
      <c r="AY44" s="65"/>
      <c r="AZ44" s="65"/>
      <c r="BA44" s="65"/>
      <c r="BB44" s="65"/>
      <c r="BC44" s="65"/>
      <c r="BD44" s="65"/>
      <c r="BE44" s="65"/>
      <c r="BF44" s="65"/>
      <c r="BG44" s="65"/>
      <c r="BH44" s="65"/>
      <c r="BI44" s="65"/>
      <c r="BJ44" s="65"/>
      <c r="BK44" s="65"/>
      <c r="BL44" s="65"/>
      <c r="BM44" s="65"/>
      <c r="BN44" s="65"/>
      <c r="BO44" s="65"/>
      <c r="BP44" s="65"/>
      <c r="BQ44" s="65"/>
      <c r="BR44" s="65"/>
      <c r="BS44" s="65"/>
      <c r="BT44" s="65"/>
      <c r="BU44" s="65"/>
      <c r="BV44" s="65"/>
      <c r="BW44" s="65"/>
      <c r="BX44" s="65"/>
      <c r="BY44" s="65"/>
      <c r="BZ44" s="65"/>
      <c r="CA44" s="65"/>
      <c r="CB44" s="65"/>
      <c r="CC44" s="65"/>
      <c r="CD44" s="65"/>
      <c r="CE44" s="65"/>
      <c r="CF44" s="65"/>
      <c r="CG44" s="65"/>
      <c r="CH44" s="65"/>
      <c r="CI44" s="65"/>
      <c r="CJ44" s="65"/>
      <c r="CK44" s="65"/>
      <c r="CL44" s="65"/>
      <c r="CM44" s="65"/>
      <c r="CN44" s="65"/>
      <c r="CO44" s="65"/>
      <c r="CP44" s="65"/>
      <c r="CQ44" s="65"/>
      <c r="CR44" s="65"/>
      <c r="CS44" s="65"/>
      <c r="CT44" s="65"/>
      <c r="CU44" s="65"/>
      <c r="CV44" s="65"/>
      <c r="CW44" s="65"/>
      <c r="CX44" s="65"/>
      <c r="CY44" s="65"/>
      <c r="CZ44" s="65"/>
      <c r="DA44" s="65"/>
      <c r="DB44" s="65"/>
      <c r="DC44" s="65"/>
      <c r="DD44" s="65"/>
      <c r="DE44" s="65"/>
      <c r="DF44" s="65"/>
      <c r="DG44" s="65"/>
      <c r="DH44" s="65"/>
      <c r="DI44" s="65"/>
      <c r="DJ44" s="65"/>
      <c r="DK44" s="65"/>
      <c r="DL44" s="65"/>
      <c r="DM44" s="65"/>
      <c r="DN44" s="65"/>
      <c r="DO44" s="65"/>
      <c r="DP44" s="65"/>
      <c r="DQ44" s="65"/>
      <c r="DR44" s="65"/>
      <c r="DS44" s="65"/>
      <c r="DT44" s="65"/>
      <c r="DU44" s="65"/>
      <c r="DV44" s="65"/>
      <c r="DW44" s="65"/>
      <c r="DX44" s="65"/>
      <c r="DY44" s="65"/>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c r="GN44" s="65"/>
      <c r="GO44" s="65"/>
      <c r="GP44" s="65"/>
      <c r="GQ44" s="65"/>
      <c r="GR44" s="65"/>
      <c r="GS44" s="65"/>
      <c r="GT44" s="65"/>
      <c r="GU44" s="65"/>
      <c r="GV44" s="65"/>
      <c r="GW44" s="65"/>
      <c r="GX44" s="65"/>
      <c r="GY44" s="65"/>
      <c r="GZ44" s="65"/>
      <c r="HA44" s="65"/>
      <c r="HB44" s="65"/>
      <c r="HC44" s="65"/>
      <c r="HD44" s="65"/>
      <c r="HE44" s="65"/>
      <c r="HF44" s="65"/>
      <c r="HG44" s="65"/>
      <c r="HH44" s="65"/>
      <c r="HI44" s="65"/>
      <c r="HJ44" s="65"/>
      <c r="HK44" s="65"/>
      <c r="HL44" s="65"/>
      <c r="HM44" s="65"/>
      <c r="HN44" s="65"/>
      <c r="HO44" s="65"/>
    </row>
    <row r="45" spans="1:223" s="78" customFormat="1" ht="34.5" customHeight="1" x14ac:dyDescent="0.25">
      <c r="A45" s="353">
        <v>2025</v>
      </c>
      <c r="B45" s="354">
        <v>6</v>
      </c>
      <c r="C45" s="355">
        <v>22759</v>
      </c>
      <c r="D45" s="279">
        <v>45820</v>
      </c>
      <c r="E45" s="81" t="s">
        <v>2071</v>
      </c>
      <c r="F45" s="81"/>
      <c r="I45" s="78">
        <v>6044609940</v>
      </c>
      <c r="J45" s="66">
        <v>45832</v>
      </c>
      <c r="K45" s="78" t="s">
        <v>88</v>
      </c>
      <c r="L45" s="79" t="s">
        <v>2072</v>
      </c>
      <c r="M45" s="78" t="s">
        <v>281</v>
      </c>
      <c r="N45" s="78" t="s">
        <v>136</v>
      </c>
      <c r="O45" s="78">
        <v>6064</v>
      </c>
      <c r="P45" s="78">
        <v>9035</v>
      </c>
      <c r="Q45" s="78">
        <v>5552</v>
      </c>
      <c r="R45" s="78" t="s">
        <v>136</v>
      </c>
      <c r="S45" s="78" t="s">
        <v>134</v>
      </c>
      <c r="T45" s="78" t="s">
        <v>134</v>
      </c>
      <c r="U45" s="78" t="s">
        <v>136</v>
      </c>
      <c r="V45" s="81" t="s">
        <v>89</v>
      </c>
      <c r="W45" s="66">
        <v>45826</v>
      </c>
      <c r="X45" s="66"/>
      <c r="Z45" s="80" t="s">
        <v>90</v>
      </c>
      <c r="AA45" s="371">
        <v>0</v>
      </c>
      <c r="AB45" s="78">
        <v>5976</v>
      </c>
      <c r="AC45" s="228">
        <v>473660</v>
      </c>
      <c r="AD45" s="228">
        <f t="shared" si="1"/>
        <v>563655.4</v>
      </c>
      <c r="AE45" s="303">
        <v>547706</v>
      </c>
      <c r="AG45" s="210"/>
      <c r="AH45" s="241"/>
      <c r="AI45" s="66">
        <v>45826</v>
      </c>
      <c r="AJ45" s="78" t="s">
        <v>1705</v>
      </c>
      <c r="AL45" s="65"/>
      <c r="AM45" s="65"/>
      <c r="AN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W45" s="65"/>
      <c r="BX45" s="65"/>
      <c r="BY45" s="65"/>
      <c r="BZ45" s="65"/>
      <c r="CA45" s="65"/>
      <c r="CB45" s="65"/>
      <c r="CC45" s="65"/>
      <c r="CD45" s="65"/>
      <c r="CE45" s="65"/>
      <c r="CF45" s="65"/>
      <c r="CG45" s="65"/>
      <c r="CH45" s="65"/>
      <c r="CI45" s="65"/>
      <c r="CJ45" s="65"/>
      <c r="CK45" s="65"/>
      <c r="CL45" s="65"/>
      <c r="CM45" s="65"/>
      <c r="CN45" s="65"/>
      <c r="CO45" s="65"/>
      <c r="CP45" s="65"/>
      <c r="CQ45" s="65"/>
      <c r="CR45" s="65"/>
      <c r="CS45" s="65"/>
      <c r="CT45" s="65"/>
      <c r="CU45" s="65"/>
      <c r="CV45" s="65"/>
      <c r="CW45" s="65"/>
      <c r="CX45" s="65"/>
      <c r="CY45" s="65"/>
      <c r="CZ45" s="65"/>
      <c r="DA45" s="65"/>
      <c r="DB45" s="65"/>
      <c r="DC45" s="65"/>
      <c r="DD45" s="65"/>
      <c r="DE45" s="65"/>
      <c r="DF45" s="65"/>
      <c r="DG45" s="65"/>
      <c r="DH45" s="65"/>
      <c r="DI45" s="65"/>
      <c r="DJ45" s="65"/>
      <c r="DK45" s="65"/>
      <c r="DL45" s="65"/>
      <c r="DM45" s="65"/>
      <c r="DN45" s="65"/>
      <c r="DO45" s="65"/>
      <c r="DP45" s="65"/>
      <c r="DQ45" s="65"/>
      <c r="DR45" s="65"/>
      <c r="DS45" s="65"/>
      <c r="DT45" s="65"/>
      <c r="DU45" s="65"/>
      <c r="DV45" s="65"/>
      <c r="DW45" s="65"/>
      <c r="DX45" s="65"/>
      <c r="DY45" s="65"/>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c r="GN45" s="65"/>
      <c r="GO45" s="65"/>
      <c r="GP45" s="65"/>
      <c r="GQ45" s="65"/>
      <c r="GR45" s="65"/>
      <c r="GS45" s="65"/>
      <c r="GT45" s="65"/>
      <c r="GU45" s="65"/>
      <c r="GV45" s="65"/>
      <c r="GW45" s="65"/>
      <c r="GX45" s="65"/>
      <c r="GY45" s="65"/>
      <c r="GZ45" s="65"/>
      <c r="HA45" s="65"/>
      <c r="HB45" s="65"/>
      <c r="HC45" s="65"/>
      <c r="HD45" s="65"/>
      <c r="HE45" s="65"/>
      <c r="HF45" s="65"/>
      <c r="HG45" s="65"/>
      <c r="HH45" s="65"/>
      <c r="HI45" s="65"/>
      <c r="HJ45" s="65"/>
      <c r="HK45" s="65"/>
      <c r="HL45" s="65"/>
      <c r="HM45" s="65"/>
      <c r="HN45" s="65"/>
      <c r="HO45" s="65"/>
    </row>
    <row r="46" spans="1:223" s="78" customFormat="1" ht="74.25" customHeight="1" x14ac:dyDescent="0.25">
      <c r="A46" s="353">
        <v>2025</v>
      </c>
      <c r="B46" s="354">
        <v>6</v>
      </c>
      <c r="C46" s="353">
        <v>22760</v>
      </c>
      <c r="D46" s="279">
        <v>45819</v>
      </c>
      <c r="E46" s="81" t="s">
        <v>2048</v>
      </c>
      <c r="F46" s="81" t="s">
        <v>2049</v>
      </c>
      <c r="G46" s="78" t="s">
        <v>853</v>
      </c>
      <c r="H46" s="78">
        <v>3155058222</v>
      </c>
      <c r="I46" s="78">
        <v>3044064666</v>
      </c>
      <c r="J46" s="66">
        <v>45819</v>
      </c>
      <c r="K46" s="78" t="s">
        <v>84</v>
      </c>
      <c r="L46" s="79" t="s">
        <v>2050</v>
      </c>
      <c r="M46" s="78" t="s">
        <v>136</v>
      </c>
      <c r="N46" s="78" t="s">
        <v>136</v>
      </c>
      <c r="O46" s="78" t="s">
        <v>136</v>
      </c>
      <c r="P46" s="78" t="s">
        <v>136</v>
      </c>
      <c r="Q46" s="78" t="s">
        <v>136</v>
      </c>
      <c r="R46" s="78" t="s">
        <v>136</v>
      </c>
      <c r="S46" s="78" t="s">
        <v>136</v>
      </c>
      <c r="T46" s="78" t="s">
        <v>136</v>
      </c>
      <c r="U46" s="78" t="s">
        <v>134</v>
      </c>
      <c r="V46" s="81" t="s">
        <v>89</v>
      </c>
      <c r="W46" s="66">
        <v>45804</v>
      </c>
      <c r="X46" s="66">
        <v>45804</v>
      </c>
      <c r="Z46" s="80" t="s">
        <v>85</v>
      </c>
      <c r="AA46" s="371">
        <v>0</v>
      </c>
      <c r="AB46" s="78">
        <v>5939</v>
      </c>
      <c r="AC46" s="228">
        <v>100840</v>
      </c>
      <c r="AD46" s="228">
        <f t="shared" si="1"/>
        <v>119999.59999999999</v>
      </c>
      <c r="AE46" s="303">
        <v>0</v>
      </c>
      <c r="AG46" s="210" t="s">
        <v>2051</v>
      </c>
      <c r="AH46" s="241"/>
      <c r="AI46" s="66">
        <v>45820</v>
      </c>
      <c r="AJ46" s="78" t="s">
        <v>2003</v>
      </c>
      <c r="AL46" s="65"/>
      <c r="AM46" s="65"/>
      <c r="AN46" s="65"/>
      <c r="AO46" s="65"/>
      <c r="AP46" s="65"/>
      <c r="AQ46" s="65"/>
      <c r="AR46" s="65"/>
      <c r="AS46" s="65"/>
      <c r="AT46" s="65"/>
      <c r="AU46" s="65"/>
      <c r="AV46" s="65"/>
      <c r="AW46" s="65"/>
      <c r="AX46" s="65"/>
      <c r="AY46" s="65"/>
      <c r="AZ46" s="65"/>
      <c r="BA46" s="65"/>
      <c r="BB46" s="65"/>
      <c r="BC46" s="65"/>
      <c r="BD46" s="65"/>
      <c r="BE46" s="65"/>
      <c r="BF46" s="65"/>
      <c r="BG46" s="65"/>
      <c r="BH46" s="65"/>
      <c r="BI46" s="65"/>
      <c r="BJ46" s="65"/>
      <c r="BK46" s="65"/>
      <c r="BL46" s="65"/>
      <c r="BM46" s="65"/>
      <c r="BN46" s="65"/>
      <c r="BO46" s="65"/>
      <c r="BP46" s="65"/>
      <c r="BQ46" s="65"/>
      <c r="BR46" s="65"/>
      <c r="BS46" s="65"/>
      <c r="BT46" s="65"/>
      <c r="BU46" s="65"/>
      <c r="BV46" s="65"/>
      <c r="BW46" s="65"/>
      <c r="BX46" s="65"/>
      <c r="BY46" s="65"/>
      <c r="BZ46" s="65"/>
      <c r="CA46" s="65"/>
      <c r="CB46" s="65"/>
      <c r="CC46" s="65"/>
      <c r="CD46" s="65"/>
      <c r="CE46" s="65"/>
      <c r="CF46" s="65"/>
      <c r="CG46" s="65"/>
      <c r="CH46" s="65"/>
      <c r="CI46" s="65"/>
      <c r="CJ46" s="65"/>
      <c r="CK46" s="65"/>
      <c r="CL46" s="65"/>
      <c r="CM46" s="65"/>
      <c r="CN46" s="65"/>
      <c r="CO46" s="65"/>
      <c r="CP46" s="6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c r="GO46" s="65"/>
      <c r="GP46" s="65"/>
      <c r="GQ46" s="65"/>
      <c r="GR46" s="65"/>
      <c r="GS46" s="65"/>
      <c r="GT46" s="65"/>
      <c r="GU46" s="65"/>
      <c r="GV46" s="65"/>
      <c r="GW46" s="65"/>
      <c r="GX46" s="65"/>
      <c r="GY46" s="65"/>
      <c r="GZ46" s="65"/>
      <c r="HA46" s="65"/>
      <c r="HB46" s="65"/>
      <c r="HC46" s="65"/>
      <c r="HD46" s="65"/>
      <c r="HE46" s="65"/>
      <c r="HF46" s="65"/>
      <c r="HG46" s="65"/>
      <c r="HH46" s="65"/>
      <c r="HI46" s="65"/>
      <c r="HJ46" s="65"/>
      <c r="HK46" s="65"/>
      <c r="HL46" s="65"/>
      <c r="HM46" s="65"/>
      <c r="HN46" s="65"/>
      <c r="HO46" s="65"/>
    </row>
    <row r="47" spans="1:223" s="78" customFormat="1" ht="34.5" customHeight="1" x14ac:dyDescent="0.25">
      <c r="A47" s="353">
        <v>2025</v>
      </c>
      <c r="B47" s="354">
        <v>6</v>
      </c>
      <c r="C47" s="353">
        <v>22761</v>
      </c>
      <c r="D47" s="433">
        <v>45814</v>
      </c>
      <c r="E47" s="81" t="s">
        <v>2119</v>
      </c>
      <c r="F47" s="81" t="s">
        <v>2119</v>
      </c>
      <c r="G47" s="78" t="s">
        <v>143</v>
      </c>
      <c r="H47" s="78">
        <v>3013703977</v>
      </c>
      <c r="I47" s="78">
        <v>3013703977</v>
      </c>
      <c r="J47" s="66">
        <v>45834</v>
      </c>
      <c r="K47" s="78" t="s">
        <v>84</v>
      </c>
      <c r="L47" s="79" t="s">
        <v>2120</v>
      </c>
      <c r="M47" s="78" t="s">
        <v>136</v>
      </c>
      <c r="N47" s="78">
        <v>6030</v>
      </c>
      <c r="O47" s="78">
        <v>6868</v>
      </c>
      <c r="P47" s="78">
        <v>9032</v>
      </c>
      <c r="Q47" s="78">
        <v>5607</v>
      </c>
      <c r="R47" s="78" t="s">
        <v>136</v>
      </c>
      <c r="S47" s="78" t="s">
        <v>134</v>
      </c>
      <c r="T47" s="78" t="s">
        <v>134</v>
      </c>
      <c r="U47" s="78" t="s">
        <v>136</v>
      </c>
      <c r="V47" s="81" t="s">
        <v>119</v>
      </c>
      <c r="W47" s="66">
        <v>45833</v>
      </c>
      <c r="X47" s="66"/>
      <c r="Z47" s="80" t="s">
        <v>90</v>
      </c>
      <c r="AA47" s="371">
        <v>0</v>
      </c>
      <c r="AB47" s="78">
        <v>6002</v>
      </c>
      <c r="AC47" s="228">
        <v>501666</v>
      </c>
      <c r="AD47" s="228">
        <f t="shared" si="1"/>
        <v>596982.53999999992</v>
      </c>
      <c r="AE47" s="303">
        <v>300000</v>
      </c>
      <c r="AG47" s="210"/>
      <c r="AH47" s="403">
        <v>45834</v>
      </c>
      <c r="AI47" s="66">
        <v>45835</v>
      </c>
      <c r="AJ47" s="78" t="s">
        <v>1705</v>
      </c>
      <c r="AL47" s="65"/>
      <c r="AM47" s="65"/>
      <c r="AN47" s="65"/>
      <c r="AO47" s="65"/>
      <c r="AP47" s="65"/>
      <c r="AQ47" s="65"/>
      <c r="AR47" s="65"/>
      <c r="AS47" s="65"/>
      <c r="AT47" s="65"/>
      <c r="AU47" s="65"/>
      <c r="AV47" s="65"/>
      <c r="AW47" s="65"/>
      <c r="AX47" s="65"/>
      <c r="AY47" s="65"/>
      <c r="AZ47" s="65"/>
      <c r="BA47" s="65"/>
      <c r="BB47" s="65"/>
      <c r="BC47" s="65"/>
      <c r="BD47" s="65"/>
      <c r="BE47" s="65"/>
      <c r="BF47" s="65"/>
      <c r="BG47" s="65"/>
      <c r="BH47" s="65"/>
      <c r="BI47" s="65"/>
      <c r="BJ47" s="65"/>
      <c r="BK47" s="65"/>
      <c r="BL47" s="65"/>
      <c r="BM47" s="65"/>
      <c r="BN47" s="65"/>
      <c r="BO47" s="65"/>
      <c r="BP47" s="65"/>
      <c r="BQ47" s="65"/>
      <c r="BR47" s="65"/>
      <c r="BS47" s="65"/>
      <c r="BT47" s="65"/>
      <c r="BU47" s="65"/>
      <c r="BV47" s="65"/>
      <c r="BW47" s="65"/>
      <c r="BX47" s="65"/>
      <c r="BY47" s="65"/>
      <c r="BZ47" s="65"/>
      <c r="CA47" s="65"/>
      <c r="CB47" s="65"/>
      <c r="CC47" s="65"/>
      <c r="CD47" s="65"/>
      <c r="CE47" s="65"/>
      <c r="CF47" s="65"/>
      <c r="CG47" s="65"/>
      <c r="CH47" s="65"/>
      <c r="CI47" s="65"/>
      <c r="CJ47" s="65"/>
      <c r="CK47" s="65"/>
      <c r="CL47" s="65"/>
      <c r="CM47" s="65"/>
      <c r="CN47" s="65"/>
      <c r="CO47" s="65"/>
      <c r="CP47" s="65"/>
      <c r="CQ47" s="65"/>
      <c r="CR47" s="65"/>
      <c r="CS47" s="65"/>
      <c r="CT47" s="65"/>
      <c r="CU47" s="65"/>
      <c r="CV47" s="65"/>
      <c r="CW47" s="65"/>
      <c r="CX47" s="65"/>
      <c r="CY47" s="65"/>
      <c r="CZ47" s="65"/>
      <c r="DA47" s="65"/>
      <c r="DB47" s="65"/>
      <c r="DC47" s="65"/>
      <c r="DD47" s="65"/>
      <c r="DE47" s="65"/>
      <c r="DF47" s="65"/>
      <c r="DG47" s="65"/>
      <c r="DH47" s="65"/>
      <c r="DI47" s="65"/>
      <c r="DJ47" s="65"/>
      <c r="DK47" s="65"/>
      <c r="DL47" s="65"/>
      <c r="DM47" s="65"/>
      <c r="DN47" s="65"/>
      <c r="DO47" s="65"/>
      <c r="DP47" s="65"/>
      <c r="DQ47" s="65"/>
      <c r="DR47" s="65"/>
      <c r="DS47" s="65"/>
      <c r="DT47" s="65"/>
      <c r="DU47" s="65"/>
      <c r="DV47" s="65"/>
      <c r="DW47" s="65"/>
      <c r="DX47" s="65"/>
      <c r="DY47" s="65"/>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c r="GN47" s="65"/>
      <c r="GO47" s="65"/>
      <c r="GP47" s="65"/>
      <c r="GQ47" s="65"/>
      <c r="GR47" s="65"/>
      <c r="GS47" s="65"/>
      <c r="GT47" s="65"/>
      <c r="GU47" s="65"/>
      <c r="GV47" s="65"/>
      <c r="GW47" s="65"/>
      <c r="GX47" s="65"/>
      <c r="GY47" s="65"/>
      <c r="GZ47" s="65"/>
      <c r="HA47" s="65"/>
      <c r="HB47" s="65"/>
      <c r="HC47" s="65"/>
      <c r="HD47" s="65"/>
      <c r="HE47" s="65"/>
      <c r="HF47" s="65"/>
      <c r="HG47" s="65"/>
      <c r="HH47" s="65"/>
      <c r="HI47" s="65"/>
      <c r="HJ47" s="65"/>
      <c r="HK47" s="65"/>
      <c r="HL47" s="65"/>
      <c r="HM47" s="65"/>
      <c r="HN47" s="65"/>
      <c r="HO47" s="65"/>
    </row>
    <row r="48" spans="1:223" s="78" customFormat="1" ht="34.5" customHeight="1" x14ac:dyDescent="0.25">
      <c r="A48" s="353">
        <v>2025</v>
      </c>
      <c r="B48" s="354">
        <v>6</v>
      </c>
      <c r="C48" s="355">
        <v>22762</v>
      </c>
      <c r="D48" s="279">
        <v>45819</v>
      </c>
      <c r="E48" s="81" t="s">
        <v>1951</v>
      </c>
      <c r="F48" s="81" t="s">
        <v>917</v>
      </c>
      <c r="I48" s="78">
        <v>4483227</v>
      </c>
      <c r="J48" s="66">
        <v>45833</v>
      </c>
      <c r="K48" s="78" t="s">
        <v>88</v>
      </c>
      <c r="L48" s="79" t="s">
        <v>2073</v>
      </c>
      <c r="M48" s="78" t="s">
        <v>281</v>
      </c>
      <c r="N48" s="78">
        <v>6019</v>
      </c>
      <c r="O48" s="78">
        <v>6857</v>
      </c>
      <c r="P48" s="78">
        <v>9238</v>
      </c>
      <c r="Q48" s="78" t="s">
        <v>136</v>
      </c>
      <c r="R48" s="78" t="s">
        <v>134</v>
      </c>
      <c r="S48" s="78" t="s">
        <v>134</v>
      </c>
      <c r="T48" s="78" t="s">
        <v>134</v>
      </c>
      <c r="U48" s="78" t="s">
        <v>136</v>
      </c>
      <c r="V48" s="81" t="s">
        <v>89</v>
      </c>
      <c r="W48" s="66">
        <v>45839</v>
      </c>
      <c r="X48" s="66">
        <v>45840</v>
      </c>
      <c r="Z48" s="80" t="s">
        <v>97</v>
      </c>
      <c r="AA48" s="371">
        <v>0</v>
      </c>
      <c r="AB48" s="78">
        <v>6033</v>
      </c>
      <c r="AC48" s="228">
        <v>1245969</v>
      </c>
      <c r="AD48" s="228">
        <f t="shared" si="1"/>
        <v>1482703.1099999999</v>
      </c>
      <c r="AE48" s="303">
        <v>0</v>
      </c>
      <c r="AG48" s="210" t="s">
        <v>2247</v>
      </c>
      <c r="AH48" s="241"/>
      <c r="AI48" s="66">
        <v>45847</v>
      </c>
      <c r="AJ48" s="78" t="s">
        <v>1705</v>
      </c>
      <c r="AL48" s="65"/>
      <c r="AM48" s="65"/>
      <c r="AN48" s="65"/>
      <c r="AO48" s="65"/>
      <c r="AP48" s="65"/>
      <c r="AQ48" s="65"/>
      <c r="AR48" s="65"/>
      <c r="AS48" s="65"/>
      <c r="AT48" s="65"/>
      <c r="AU48" s="65"/>
      <c r="AV48" s="65"/>
      <c r="AW48" s="65"/>
      <c r="AX48" s="65"/>
      <c r="AY48" s="65"/>
      <c r="AZ48" s="65"/>
      <c r="BA48" s="65"/>
      <c r="BB48" s="65"/>
      <c r="BC48" s="65"/>
      <c r="BD48" s="65"/>
      <c r="BE48" s="65"/>
      <c r="BF48" s="65"/>
      <c r="BG48" s="65"/>
      <c r="BH48" s="65"/>
      <c r="BI48" s="65"/>
      <c r="BJ48" s="65"/>
      <c r="BK48" s="65"/>
      <c r="BL48" s="65"/>
      <c r="BM48" s="65"/>
      <c r="BN48" s="65"/>
      <c r="BO48" s="65"/>
      <c r="BP48" s="65"/>
      <c r="BQ48" s="65"/>
      <c r="BR48" s="65"/>
      <c r="BS48" s="65"/>
      <c r="BT48" s="65"/>
      <c r="BU48" s="65"/>
      <c r="BV48" s="65"/>
      <c r="BW48" s="65"/>
      <c r="BX48" s="65"/>
      <c r="BY48" s="65"/>
      <c r="BZ48" s="65"/>
      <c r="CA48" s="65"/>
      <c r="CB48" s="65"/>
      <c r="CC48" s="65"/>
      <c r="CD48" s="65"/>
      <c r="CE48" s="65"/>
      <c r="CF48" s="65"/>
      <c r="CG48" s="65"/>
      <c r="CH48" s="65"/>
      <c r="CI48" s="65"/>
      <c r="CJ48" s="65"/>
      <c r="CK48" s="65"/>
      <c r="CL48" s="65"/>
      <c r="CM48" s="65"/>
      <c r="CN48" s="65"/>
      <c r="CO48" s="65"/>
      <c r="CP48" s="65"/>
      <c r="CQ48" s="65"/>
      <c r="CR48" s="65"/>
      <c r="CS48" s="65"/>
      <c r="CT48" s="65"/>
      <c r="CU48" s="65"/>
      <c r="CV48" s="65"/>
      <c r="CW48" s="65"/>
      <c r="CX48" s="65"/>
      <c r="CY48" s="65"/>
      <c r="CZ48" s="65"/>
      <c r="DA48" s="65"/>
      <c r="DB48" s="65"/>
      <c r="DC48" s="65"/>
      <c r="DD48" s="65"/>
      <c r="DE48" s="65"/>
      <c r="DF48" s="65"/>
      <c r="DG48" s="65"/>
      <c r="DH48" s="65"/>
      <c r="DI48" s="65"/>
      <c r="DJ48" s="65"/>
      <c r="DK48" s="65"/>
      <c r="DL48" s="65"/>
      <c r="DM48" s="65"/>
      <c r="DN48" s="65"/>
      <c r="DO48" s="65"/>
      <c r="DP48" s="65"/>
      <c r="DQ48" s="65"/>
      <c r="DR48" s="65"/>
      <c r="DS48" s="65"/>
      <c r="DT48" s="65"/>
      <c r="DU48" s="65"/>
      <c r="DV48" s="65"/>
      <c r="DW48" s="65"/>
      <c r="DX48" s="65"/>
      <c r="DY48" s="65"/>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c r="GN48" s="65"/>
      <c r="GO48" s="65"/>
      <c r="GP48" s="65"/>
      <c r="GQ48" s="65"/>
      <c r="GR48" s="65"/>
      <c r="GS48" s="65"/>
      <c r="GT48" s="65"/>
      <c r="GU48" s="65"/>
      <c r="GV48" s="65"/>
      <c r="GW48" s="65"/>
      <c r="GX48" s="65"/>
      <c r="GY48" s="65"/>
      <c r="GZ48" s="65"/>
      <c r="HA48" s="65"/>
      <c r="HB48" s="65"/>
      <c r="HC48" s="65"/>
      <c r="HD48" s="65"/>
      <c r="HE48" s="65"/>
      <c r="HF48" s="65"/>
      <c r="HG48" s="65"/>
      <c r="HH48" s="65"/>
      <c r="HI48" s="65"/>
      <c r="HJ48" s="65"/>
      <c r="HK48" s="65"/>
      <c r="HL48" s="65"/>
      <c r="HM48" s="65"/>
      <c r="HN48" s="65"/>
      <c r="HO48" s="65"/>
    </row>
    <row r="49" spans="1:223" s="78" customFormat="1" ht="75" x14ac:dyDescent="0.25">
      <c r="A49" s="353">
        <v>2025</v>
      </c>
      <c r="B49" s="354">
        <v>6</v>
      </c>
      <c r="C49" s="353">
        <v>22763</v>
      </c>
      <c r="D49" s="279">
        <v>45819</v>
      </c>
      <c r="E49" s="81" t="s">
        <v>2101</v>
      </c>
      <c r="F49" s="81" t="s">
        <v>2102</v>
      </c>
      <c r="G49" s="78" t="s">
        <v>98</v>
      </c>
      <c r="H49" s="78">
        <v>3245597673</v>
      </c>
      <c r="I49" s="78">
        <v>2894966</v>
      </c>
      <c r="J49" s="66">
        <v>45832</v>
      </c>
      <c r="K49" s="78" t="s">
        <v>86</v>
      </c>
      <c r="L49" s="79" t="s">
        <v>2103</v>
      </c>
      <c r="M49" s="78" t="s">
        <v>136</v>
      </c>
      <c r="N49" s="78">
        <v>6022</v>
      </c>
      <c r="O49" s="78">
        <v>6858</v>
      </c>
      <c r="P49" s="78">
        <v>9132</v>
      </c>
      <c r="Q49" s="78" t="s">
        <v>136</v>
      </c>
      <c r="R49" s="78" t="s">
        <v>136</v>
      </c>
      <c r="S49" s="78" t="s">
        <v>136</v>
      </c>
      <c r="T49" s="78" t="s">
        <v>136</v>
      </c>
      <c r="U49" s="78" t="s">
        <v>136</v>
      </c>
      <c r="V49" s="81" t="s">
        <v>590</v>
      </c>
      <c r="W49" s="66"/>
      <c r="X49" s="66"/>
      <c r="Z49" s="80" t="s">
        <v>97</v>
      </c>
      <c r="AA49" s="371">
        <v>0</v>
      </c>
      <c r="AB49" s="78">
        <v>5974</v>
      </c>
      <c r="AC49" s="228">
        <v>1728761</v>
      </c>
      <c r="AD49" s="228">
        <f t="shared" si="1"/>
        <v>2057225.5899999999</v>
      </c>
      <c r="AE49" s="303">
        <v>1200000</v>
      </c>
      <c r="AG49" s="210" t="s">
        <v>2149</v>
      </c>
      <c r="AH49" s="241"/>
      <c r="AI49" s="66">
        <v>45828</v>
      </c>
      <c r="AJ49" s="78" t="s">
        <v>1705</v>
      </c>
      <c r="AL49" s="65"/>
      <c r="AM49" s="65"/>
      <c r="AN49" s="65"/>
      <c r="AO49" s="65"/>
      <c r="AP49" s="65"/>
      <c r="AQ49" s="65"/>
      <c r="AR49" s="65"/>
      <c r="AS49" s="65"/>
      <c r="AT49" s="65"/>
      <c r="AU49" s="65"/>
      <c r="AV49" s="65"/>
      <c r="AW49" s="65"/>
      <c r="AX49" s="65"/>
      <c r="AY49" s="65"/>
      <c r="AZ49" s="65"/>
      <c r="BA49" s="65"/>
      <c r="BB49" s="65"/>
      <c r="BC49" s="65"/>
      <c r="BD49" s="65"/>
      <c r="BE49" s="65"/>
      <c r="BF49" s="65"/>
      <c r="BG49" s="65"/>
      <c r="BH49" s="65"/>
      <c r="BI49" s="65"/>
      <c r="BJ49" s="65"/>
      <c r="BK49" s="65"/>
      <c r="BL49" s="65"/>
      <c r="BM49" s="65"/>
      <c r="BN49" s="65"/>
      <c r="BO49" s="65"/>
      <c r="BP49" s="65"/>
      <c r="BQ49" s="65"/>
      <c r="BR49" s="65"/>
      <c r="BS49" s="65"/>
      <c r="BT49" s="65"/>
      <c r="BU49" s="65"/>
      <c r="BV49" s="65"/>
      <c r="BW49" s="65"/>
      <c r="BX49" s="65"/>
      <c r="BY49" s="65"/>
      <c r="BZ49" s="65"/>
      <c r="CA49" s="65"/>
      <c r="CB49" s="65"/>
      <c r="CC49" s="65"/>
      <c r="CD49" s="65"/>
      <c r="CE49" s="65"/>
      <c r="CF49" s="65"/>
      <c r="CG49" s="65"/>
      <c r="CH49" s="65"/>
      <c r="CI49" s="65"/>
      <c r="CJ49" s="65"/>
      <c r="CK49" s="65"/>
      <c r="CL49" s="65"/>
      <c r="CM49" s="65"/>
      <c r="CN49" s="65"/>
      <c r="CO49" s="65"/>
      <c r="CP49" s="65"/>
      <c r="CQ49" s="65"/>
      <c r="CR49" s="65"/>
      <c r="CS49" s="65"/>
      <c r="CT49" s="65"/>
      <c r="CU49" s="65"/>
      <c r="CV49" s="65"/>
      <c r="CW49" s="65"/>
      <c r="CX49" s="65"/>
      <c r="CY49" s="65"/>
      <c r="CZ49" s="65"/>
      <c r="DA49" s="65"/>
      <c r="DB49" s="65"/>
      <c r="DC49" s="65"/>
      <c r="DD49" s="65"/>
      <c r="DE49" s="65"/>
      <c r="DF49" s="65"/>
      <c r="DG49" s="65"/>
      <c r="DH49" s="65"/>
      <c r="DI49" s="65"/>
      <c r="DJ49" s="65"/>
      <c r="DK49" s="65"/>
      <c r="DL49" s="65"/>
      <c r="DM49" s="65"/>
      <c r="DN49" s="65"/>
      <c r="DO49" s="65"/>
      <c r="DP49" s="65"/>
      <c r="DQ49" s="65"/>
      <c r="DR49" s="65"/>
      <c r="DS49" s="65"/>
      <c r="DT49" s="65"/>
      <c r="DU49" s="65"/>
      <c r="DV49" s="65"/>
      <c r="DW49" s="65"/>
      <c r="DX49" s="65"/>
      <c r="DY49" s="65"/>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c r="GN49" s="65"/>
      <c r="GO49" s="65"/>
      <c r="GP49" s="65"/>
      <c r="GQ49" s="65"/>
      <c r="GR49" s="65"/>
      <c r="GS49" s="65"/>
      <c r="GT49" s="65"/>
      <c r="GU49" s="65"/>
      <c r="GV49" s="65"/>
      <c r="GW49" s="65"/>
      <c r="GX49" s="65"/>
      <c r="GY49" s="65"/>
      <c r="GZ49" s="65"/>
      <c r="HA49" s="65"/>
      <c r="HB49" s="65"/>
      <c r="HC49" s="65"/>
      <c r="HD49" s="65"/>
      <c r="HE49" s="65"/>
      <c r="HF49" s="65"/>
      <c r="HG49" s="65"/>
      <c r="HH49" s="65"/>
      <c r="HI49" s="65"/>
      <c r="HJ49" s="65"/>
      <c r="HK49" s="65"/>
      <c r="HL49" s="65"/>
      <c r="HM49" s="65"/>
      <c r="HN49" s="65"/>
      <c r="HO49" s="65"/>
    </row>
    <row r="50" spans="1:223" s="78" customFormat="1" ht="34.5" customHeight="1" x14ac:dyDescent="0.25">
      <c r="A50" s="353">
        <v>2025</v>
      </c>
      <c r="B50" s="354">
        <v>6</v>
      </c>
      <c r="C50" s="353">
        <v>22764</v>
      </c>
      <c r="D50" s="279">
        <v>45820</v>
      </c>
      <c r="E50" s="81" t="s">
        <v>2074</v>
      </c>
      <c r="F50" s="81" t="s">
        <v>2074</v>
      </c>
      <c r="G50" s="78" t="s">
        <v>143</v>
      </c>
      <c r="H50" s="78">
        <v>3137471373</v>
      </c>
      <c r="I50" s="78">
        <v>3137471373</v>
      </c>
      <c r="J50" s="66">
        <v>45828</v>
      </c>
      <c r="K50" s="78" t="s">
        <v>84</v>
      </c>
      <c r="L50" s="79" t="s">
        <v>2075</v>
      </c>
      <c r="M50" s="78" t="s">
        <v>281</v>
      </c>
      <c r="N50" s="78" t="s">
        <v>136</v>
      </c>
      <c r="O50" s="78" t="s">
        <v>136</v>
      </c>
      <c r="P50" s="78" t="s">
        <v>136</v>
      </c>
      <c r="Q50" s="78">
        <v>5602</v>
      </c>
      <c r="R50" s="78" t="s">
        <v>136</v>
      </c>
      <c r="S50" s="78" t="s">
        <v>134</v>
      </c>
      <c r="T50" s="78" t="s">
        <v>134</v>
      </c>
      <c r="U50" s="78" t="s">
        <v>136</v>
      </c>
      <c r="V50" s="81" t="s">
        <v>119</v>
      </c>
      <c r="W50" s="66">
        <v>45827</v>
      </c>
      <c r="X50" s="66">
        <v>45834</v>
      </c>
      <c r="Z50" s="80" t="s">
        <v>85</v>
      </c>
      <c r="AA50" s="371">
        <v>0</v>
      </c>
      <c r="AB50" s="78">
        <v>5988</v>
      </c>
      <c r="AC50" s="228">
        <v>223445</v>
      </c>
      <c r="AD50" s="228">
        <f t="shared" si="1"/>
        <v>265899.55</v>
      </c>
      <c r="AE50" s="303">
        <v>133000</v>
      </c>
      <c r="AG50" s="210" t="s">
        <v>2218</v>
      </c>
      <c r="AH50" s="403">
        <v>45829</v>
      </c>
      <c r="AI50" s="66">
        <v>45836</v>
      </c>
      <c r="AJ50" s="78" t="s">
        <v>1705</v>
      </c>
      <c r="AL50" s="65"/>
      <c r="AM50" s="65"/>
      <c r="AN50" s="65"/>
      <c r="AO50" s="65"/>
      <c r="AP50" s="65"/>
      <c r="AQ50" s="65"/>
      <c r="AR50" s="65"/>
      <c r="AS50" s="65"/>
      <c r="AT50" s="65"/>
      <c r="AU50" s="65"/>
      <c r="AV50" s="65"/>
      <c r="AW50" s="65"/>
      <c r="AX50" s="65"/>
      <c r="AY50" s="65"/>
      <c r="AZ50" s="65"/>
      <c r="BA50" s="65"/>
      <c r="BB50" s="65"/>
      <c r="BC50" s="65"/>
      <c r="BD50" s="65"/>
      <c r="BE50" s="65"/>
      <c r="BF50" s="65"/>
      <c r="BG50" s="65"/>
      <c r="BH50" s="65"/>
      <c r="BI50" s="65"/>
      <c r="BJ50" s="65"/>
      <c r="BK50" s="65"/>
      <c r="BL50" s="65"/>
      <c r="BM50" s="65"/>
      <c r="BN50" s="65"/>
      <c r="BO50" s="65"/>
      <c r="BP50" s="65"/>
      <c r="BQ50" s="65"/>
      <c r="BR50" s="65"/>
      <c r="BS50" s="65"/>
      <c r="BT50" s="65"/>
      <c r="BU50" s="65"/>
      <c r="BV50" s="65"/>
      <c r="BW50" s="65"/>
      <c r="BX50" s="65"/>
      <c r="BY50" s="65"/>
      <c r="BZ50" s="65"/>
      <c r="CA50" s="65"/>
      <c r="CB50" s="65"/>
      <c r="CC50" s="65"/>
      <c r="CD50" s="65"/>
      <c r="CE50" s="65"/>
      <c r="CF50" s="65"/>
      <c r="CG50" s="65"/>
      <c r="CH50" s="65"/>
      <c r="CI50" s="65"/>
      <c r="CJ50" s="65"/>
      <c r="CK50" s="65"/>
      <c r="CL50" s="65"/>
      <c r="CM50" s="65"/>
      <c r="CN50" s="65"/>
      <c r="CO50" s="65"/>
      <c r="CP50" s="65"/>
      <c r="CQ50" s="65"/>
      <c r="CR50" s="65"/>
      <c r="CS50" s="65"/>
      <c r="CT50" s="65"/>
      <c r="CU50" s="65"/>
      <c r="CV50" s="65"/>
      <c r="CW50" s="65"/>
      <c r="CX50" s="65"/>
      <c r="CY50" s="65"/>
      <c r="CZ50" s="65"/>
      <c r="DA50" s="65"/>
      <c r="DB50" s="65"/>
      <c r="DC50" s="65"/>
      <c r="DD50" s="65"/>
      <c r="DE50" s="65"/>
      <c r="DF50" s="65"/>
      <c r="DG50" s="65"/>
      <c r="DH50" s="65"/>
      <c r="DI50" s="65"/>
      <c r="DJ50" s="65"/>
      <c r="DK50" s="65"/>
      <c r="DL50" s="65"/>
      <c r="DM50" s="65"/>
      <c r="DN50" s="65"/>
      <c r="DO50" s="65"/>
      <c r="DP50" s="65"/>
      <c r="DQ50" s="65"/>
      <c r="DR50" s="65"/>
      <c r="DS50" s="65"/>
      <c r="DT50" s="65"/>
      <c r="DU50" s="65"/>
      <c r="DV50" s="65"/>
      <c r="DW50" s="65"/>
      <c r="DX50" s="65"/>
      <c r="DY50" s="65"/>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c r="GN50" s="65"/>
      <c r="GO50" s="65"/>
      <c r="GP50" s="65"/>
      <c r="GQ50" s="65"/>
      <c r="GR50" s="65"/>
      <c r="GS50" s="65"/>
      <c r="GT50" s="65"/>
      <c r="GU50" s="65"/>
      <c r="GV50" s="65"/>
      <c r="GW50" s="65"/>
      <c r="GX50" s="65"/>
      <c r="GY50" s="65"/>
      <c r="GZ50" s="65"/>
      <c r="HA50" s="65"/>
      <c r="HB50" s="65"/>
      <c r="HC50" s="65"/>
      <c r="HD50" s="65"/>
      <c r="HE50" s="65"/>
      <c r="HF50" s="65"/>
      <c r="HG50" s="65"/>
      <c r="HH50" s="65"/>
      <c r="HI50" s="65"/>
      <c r="HJ50" s="65"/>
      <c r="HK50" s="65"/>
      <c r="HL50" s="65"/>
      <c r="HM50" s="65"/>
      <c r="HN50" s="65"/>
      <c r="HO50" s="65"/>
    </row>
    <row r="51" spans="1:223" s="78" customFormat="1" ht="34.5" customHeight="1" x14ac:dyDescent="0.25">
      <c r="A51" s="353">
        <v>2025</v>
      </c>
      <c r="B51" s="354">
        <v>6</v>
      </c>
      <c r="C51" s="355">
        <v>22765</v>
      </c>
      <c r="D51" s="279">
        <v>45819</v>
      </c>
      <c r="E51" s="81" t="s">
        <v>1842</v>
      </c>
      <c r="F51" s="81" t="s">
        <v>1843</v>
      </c>
      <c r="H51" s="78">
        <v>3104476235</v>
      </c>
      <c r="I51" s="78">
        <v>3104476235</v>
      </c>
      <c r="J51" s="66">
        <v>45833</v>
      </c>
      <c r="K51" s="78" t="s">
        <v>88</v>
      </c>
      <c r="L51" s="79" t="s">
        <v>2076</v>
      </c>
      <c r="M51" s="78" t="s">
        <v>136</v>
      </c>
      <c r="N51" s="78">
        <v>6018</v>
      </c>
      <c r="O51" s="78" t="s">
        <v>136</v>
      </c>
      <c r="P51" s="78">
        <v>9105</v>
      </c>
      <c r="Q51" s="78">
        <v>5559</v>
      </c>
      <c r="R51" s="78" t="s">
        <v>136</v>
      </c>
      <c r="S51" s="78" t="s">
        <v>134</v>
      </c>
      <c r="T51" s="78" t="s">
        <v>134</v>
      </c>
      <c r="U51" s="78" t="s">
        <v>136</v>
      </c>
      <c r="V51" s="81" t="s">
        <v>87</v>
      </c>
      <c r="W51" s="66">
        <v>45839</v>
      </c>
      <c r="X51" s="66">
        <v>45839</v>
      </c>
      <c r="Z51" s="80" t="s">
        <v>97</v>
      </c>
      <c r="AA51" s="371">
        <v>0</v>
      </c>
      <c r="AC51" s="228">
        <v>0</v>
      </c>
      <c r="AD51" s="228">
        <f t="shared" si="1"/>
        <v>0</v>
      </c>
      <c r="AE51" s="303">
        <v>0</v>
      </c>
      <c r="AG51" s="210" t="s">
        <v>1987</v>
      </c>
      <c r="AH51" s="241"/>
      <c r="AI51" s="66">
        <v>45842</v>
      </c>
      <c r="AJ51" s="78" t="s">
        <v>1705</v>
      </c>
      <c r="AL51" s="65"/>
      <c r="AM51" s="65"/>
      <c r="AN51" s="65"/>
      <c r="AO51" s="65"/>
      <c r="AP51" s="65"/>
      <c r="AQ51" s="65"/>
      <c r="AR51" s="65"/>
      <c r="AS51" s="65"/>
      <c r="AT51" s="65"/>
      <c r="AU51" s="65"/>
      <c r="AV51" s="65"/>
      <c r="AW51" s="65"/>
      <c r="AX51" s="65"/>
      <c r="AY51" s="65"/>
      <c r="AZ51" s="65"/>
      <c r="BA51" s="65"/>
      <c r="BB51" s="65"/>
      <c r="BC51" s="65"/>
      <c r="BD51" s="65"/>
      <c r="BE51" s="65"/>
      <c r="BF51" s="65"/>
      <c r="BG51" s="65"/>
      <c r="BH51" s="65"/>
      <c r="BI51" s="65"/>
      <c r="BJ51" s="65"/>
      <c r="BK51" s="65"/>
      <c r="BL51" s="65"/>
      <c r="BM51" s="65"/>
      <c r="BN51" s="65"/>
      <c r="BO51" s="65"/>
      <c r="BP51" s="65"/>
      <c r="BQ51" s="65"/>
      <c r="BR51" s="65"/>
      <c r="BS51" s="65"/>
      <c r="BT51" s="65"/>
      <c r="BU51" s="65"/>
      <c r="BV51" s="65"/>
      <c r="BW51" s="65"/>
      <c r="BX51" s="65"/>
      <c r="BY51" s="65"/>
      <c r="BZ51" s="65"/>
      <c r="CA51" s="65"/>
      <c r="CB51" s="65"/>
      <c r="CC51" s="65"/>
      <c r="CD51" s="65"/>
      <c r="CE51" s="65"/>
      <c r="CF51" s="65"/>
      <c r="CG51" s="65"/>
      <c r="CH51" s="65"/>
      <c r="CI51" s="65"/>
      <c r="CJ51" s="65"/>
      <c r="CK51" s="65"/>
      <c r="CL51" s="65"/>
      <c r="CM51" s="65"/>
      <c r="CN51" s="65"/>
      <c r="CO51" s="65"/>
      <c r="CP51" s="65"/>
      <c r="CQ51" s="65"/>
      <c r="CR51" s="65"/>
      <c r="CS51" s="65"/>
      <c r="CT51" s="65"/>
      <c r="CU51" s="65"/>
      <c r="CV51" s="65"/>
      <c r="CW51" s="65"/>
      <c r="CX51" s="65"/>
      <c r="CY51" s="65"/>
      <c r="CZ51" s="65"/>
      <c r="DA51" s="65"/>
      <c r="DB51" s="65"/>
      <c r="DC51" s="65"/>
      <c r="DD51" s="65"/>
      <c r="DE51" s="65"/>
      <c r="DF51" s="65"/>
      <c r="DG51" s="65"/>
      <c r="DH51" s="65"/>
      <c r="DI51" s="65"/>
      <c r="DJ51" s="65"/>
      <c r="DK51" s="65"/>
      <c r="DL51" s="65"/>
      <c r="DM51" s="65"/>
      <c r="DN51" s="65"/>
      <c r="DO51" s="65"/>
      <c r="DP51" s="65"/>
      <c r="DQ51" s="65"/>
      <c r="DR51" s="65"/>
      <c r="DS51" s="65"/>
      <c r="DT51" s="65"/>
      <c r="DU51" s="65"/>
      <c r="DV51" s="65"/>
      <c r="DW51" s="65"/>
      <c r="DX51" s="65"/>
      <c r="DY51" s="65"/>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c r="GN51" s="65"/>
      <c r="GO51" s="65"/>
      <c r="GP51" s="65"/>
      <c r="GQ51" s="65"/>
      <c r="GR51" s="65"/>
      <c r="GS51" s="65"/>
      <c r="GT51" s="65"/>
      <c r="GU51" s="65"/>
      <c r="GV51" s="65"/>
      <c r="GW51" s="65"/>
      <c r="GX51" s="65"/>
      <c r="GY51" s="65"/>
      <c r="GZ51" s="65"/>
      <c r="HA51" s="65"/>
      <c r="HB51" s="65"/>
      <c r="HC51" s="65"/>
      <c r="HD51" s="65"/>
      <c r="HE51" s="65"/>
      <c r="HF51" s="65"/>
      <c r="HG51" s="65"/>
      <c r="HH51" s="65"/>
      <c r="HI51" s="65"/>
      <c r="HJ51" s="65"/>
      <c r="HK51" s="65"/>
      <c r="HL51" s="65"/>
      <c r="HM51" s="65"/>
      <c r="HN51" s="65"/>
      <c r="HO51" s="65"/>
    </row>
    <row r="52" spans="1:223" s="78" customFormat="1" ht="34.5" customHeight="1" x14ac:dyDescent="0.25">
      <c r="A52" s="353">
        <v>2025</v>
      </c>
      <c r="B52" s="354">
        <v>6</v>
      </c>
      <c r="C52" s="353">
        <v>22766</v>
      </c>
      <c r="D52" s="279">
        <v>45819</v>
      </c>
      <c r="E52" s="81" t="s">
        <v>2077</v>
      </c>
      <c r="F52" s="81" t="s">
        <v>2078</v>
      </c>
      <c r="G52" s="78" t="s">
        <v>95</v>
      </c>
      <c r="H52" s="78">
        <v>3128328980</v>
      </c>
      <c r="I52" s="78">
        <v>3669052</v>
      </c>
      <c r="J52" s="66">
        <v>45834</v>
      </c>
      <c r="K52" s="78" t="s">
        <v>88</v>
      </c>
      <c r="L52" s="79" t="s">
        <v>2079</v>
      </c>
      <c r="M52" s="78" t="s">
        <v>136</v>
      </c>
      <c r="N52" s="78">
        <v>6021</v>
      </c>
      <c r="O52" s="78" t="s">
        <v>136</v>
      </c>
      <c r="P52" s="78">
        <v>9107</v>
      </c>
      <c r="Q52" s="78" t="s">
        <v>136</v>
      </c>
      <c r="R52" s="78" t="s">
        <v>136</v>
      </c>
      <c r="S52" s="78" t="s">
        <v>136</v>
      </c>
      <c r="T52" s="78" t="s">
        <v>136</v>
      </c>
      <c r="U52" s="78" t="s">
        <v>136</v>
      </c>
      <c r="V52" s="81" t="s">
        <v>590</v>
      </c>
      <c r="W52" s="66">
        <v>45827</v>
      </c>
      <c r="X52" s="66">
        <v>45832</v>
      </c>
      <c r="Z52" s="80" t="s">
        <v>85</v>
      </c>
      <c r="AA52" s="371">
        <v>2584759</v>
      </c>
      <c r="AB52" s="78">
        <v>5990</v>
      </c>
      <c r="AC52" s="228">
        <v>2172067</v>
      </c>
      <c r="AD52" s="228">
        <f t="shared" si="1"/>
        <v>2584759.73</v>
      </c>
      <c r="AE52" s="303">
        <v>0</v>
      </c>
      <c r="AG52" s="210" t="s">
        <v>2238</v>
      </c>
      <c r="AH52" s="403">
        <v>45819</v>
      </c>
      <c r="AI52" s="66">
        <v>45833</v>
      </c>
      <c r="AJ52" s="78" t="s">
        <v>1705</v>
      </c>
      <c r="AL52" s="65"/>
      <c r="AM52" s="65"/>
      <c r="AN52" s="65"/>
      <c r="AO52" s="65"/>
      <c r="AP52" s="65"/>
      <c r="AQ52" s="65"/>
      <c r="AR52" s="65"/>
      <c r="AS52" s="65"/>
      <c r="AT52" s="65"/>
      <c r="AU52" s="65"/>
      <c r="AV52" s="65"/>
      <c r="AW52" s="65"/>
      <c r="AX52" s="65"/>
      <c r="AY52" s="65"/>
      <c r="AZ52" s="65"/>
      <c r="BA52" s="65"/>
      <c r="BB52" s="65"/>
      <c r="BC52" s="65"/>
      <c r="BD52" s="65"/>
      <c r="BE52" s="65"/>
      <c r="BF52" s="65"/>
      <c r="BG52" s="65"/>
      <c r="BH52" s="65"/>
      <c r="BI52" s="65"/>
      <c r="BJ52" s="65"/>
      <c r="BK52" s="65"/>
      <c r="BL52" s="65"/>
      <c r="BM52" s="65"/>
      <c r="BN52" s="65"/>
      <c r="BO52" s="65"/>
      <c r="BP52" s="65"/>
      <c r="BQ52" s="65"/>
      <c r="BR52" s="65"/>
      <c r="BS52" s="65"/>
      <c r="BT52" s="65"/>
      <c r="BU52" s="65"/>
      <c r="BV52" s="65"/>
      <c r="BW52" s="65"/>
      <c r="BX52" s="65"/>
      <c r="BY52" s="65"/>
      <c r="BZ52" s="65"/>
      <c r="CA52" s="65"/>
      <c r="CB52" s="65"/>
      <c r="CC52" s="65"/>
      <c r="CD52" s="65"/>
      <c r="CE52" s="65"/>
      <c r="CF52" s="65"/>
      <c r="CG52" s="65"/>
      <c r="CH52" s="65"/>
      <c r="CI52" s="65"/>
      <c r="CJ52" s="65"/>
      <c r="CK52" s="65"/>
      <c r="CL52" s="65"/>
      <c r="CM52" s="65"/>
      <c r="CN52" s="65"/>
      <c r="CO52" s="65"/>
      <c r="CP52" s="65"/>
      <c r="CQ52" s="65"/>
      <c r="CR52" s="65"/>
      <c r="CS52" s="65"/>
      <c r="CT52" s="65"/>
      <c r="CU52" s="65"/>
      <c r="CV52" s="65"/>
      <c r="CW52" s="65"/>
      <c r="CX52" s="65"/>
      <c r="CY52" s="65"/>
      <c r="CZ52" s="65"/>
      <c r="DA52" s="65"/>
      <c r="DB52" s="65"/>
      <c r="DC52" s="65"/>
      <c r="DD52" s="65"/>
      <c r="DE52" s="65"/>
      <c r="DF52" s="65"/>
      <c r="DG52" s="65"/>
      <c r="DH52" s="65"/>
      <c r="DI52" s="65"/>
      <c r="DJ52" s="65"/>
      <c r="DK52" s="65"/>
      <c r="DL52" s="65"/>
      <c r="DM52" s="65"/>
      <c r="DN52" s="65"/>
      <c r="DO52" s="65"/>
      <c r="DP52" s="65"/>
      <c r="DQ52" s="65"/>
      <c r="DR52" s="65"/>
      <c r="DS52" s="65"/>
      <c r="DT52" s="65"/>
      <c r="DU52" s="65"/>
      <c r="DV52" s="65"/>
      <c r="DW52" s="65"/>
      <c r="DX52" s="65"/>
      <c r="DY52" s="65"/>
      <c r="DZ52" s="65"/>
      <c r="EA52" s="65"/>
      <c r="EB52" s="65"/>
      <c r="EC52" s="65"/>
      <c r="ED52" s="65"/>
      <c r="EE52" s="65"/>
      <c r="EF52" s="65"/>
      <c r="EG52" s="65"/>
      <c r="EH52" s="65"/>
      <c r="EI52" s="65"/>
      <c r="EJ52" s="65"/>
      <c r="EK52" s="65"/>
      <c r="EL52" s="65"/>
      <c r="EM52" s="65"/>
      <c r="EN52" s="65"/>
      <c r="EO52" s="65"/>
      <c r="EP52" s="65"/>
      <c r="EQ52" s="65"/>
      <c r="ER52" s="65"/>
      <c r="ES52" s="65"/>
      <c r="ET52" s="65"/>
      <c r="EU52" s="65"/>
      <c r="EV52" s="65"/>
      <c r="EW52" s="65"/>
      <c r="EX52" s="65"/>
      <c r="EY52" s="65"/>
      <c r="EZ52" s="65"/>
      <c r="FA52" s="65"/>
      <c r="FB52" s="65"/>
      <c r="FC52" s="65"/>
      <c r="FD52" s="65"/>
      <c r="FE52" s="65"/>
      <c r="FF52" s="65"/>
      <c r="FG52" s="65"/>
      <c r="FH52" s="65"/>
      <c r="FI52" s="65"/>
      <c r="FJ52" s="65"/>
      <c r="FK52" s="65"/>
      <c r="FL52" s="65"/>
      <c r="FM52" s="65"/>
      <c r="FN52" s="65"/>
      <c r="FO52" s="65"/>
      <c r="FP52" s="65"/>
      <c r="FQ52" s="65"/>
      <c r="FR52" s="65"/>
      <c r="FS52" s="65"/>
      <c r="FT52" s="65"/>
      <c r="FU52" s="65"/>
      <c r="FV52" s="65"/>
      <c r="FW52" s="65"/>
      <c r="FX52" s="65"/>
      <c r="FY52" s="65"/>
      <c r="FZ52" s="65"/>
      <c r="GA52" s="65"/>
      <c r="GB52" s="65"/>
      <c r="GC52" s="65"/>
      <c r="GD52" s="65"/>
      <c r="GE52" s="65"/>
      <c r="GF52" s="65"/>
      <c r="GG52" s="65"/>
      <c r="GH52" s="65"/>
      <c r="GI52" s="65"/>
      <c r="GJ52" s="65"/>
      <c r="GK52" s="65"/>
      <c r="GL52" s="65"/>
      <c r="GM52" s="65"/>
      <c r="GN52" s="65"/>
      <c r="GO52" s="65"/>
      <c r="GP52" s="65"/>
      <c r="GQ52" s="65"/>
      <c r="GR52" s="65"/>
      <c r="GS52" s="65"/>
      <c r="GT52" s="65"/>
      <c r="GU52" s="65"/>
      <c r="GV52" s="65"/>
      <c r="GW52" s="65"/>
      <c r="GX52" s="65"/>
      <c r="GY52" s="65"/>
      <c r="GZ52" s="65"/>
      <c r="HA52" s="65"/>
      <c r="HB52" s="65"/>
      <c r="HC52" s="65"/>
      <c r="HD52" s="65"/>
      <c r="HE52" s="65"/>
      <c r="HF52" s="65"/>
      <c r="HG52" s="65"/>
      <c r="HH52" s="65"/>
      <c r="HI52" s="65"/>
      <c r="HJ52" s="65"/>
      <c r="HK52" s="65"/>
      <c r="HL52" s="65"/>
      <c r="HM52" s="65"/>
      <c r="HN52" s="65"/>
      <c r="HO52" s="65"/>
    </row>
    <row r="53" spans="1:223" s="78" customFormat="1" ht="34.5" customHeight="1" x14ac:dyDescent="0.25">
      <c r="A53" s="353">
        <v>2025</v>
      </c>
      <c r="B53" s="354">
        <v>6</v>
      </c>
      <c r="C53" s="353">
        <v>22767</v>
      </c>
      <c r="D53" s="279">
        <v>45820</v>
      </c>
      <c r="E53" s="81" t="s">
        <v>2080</v>
      </c>
      <c r="F53" s="81" t="s">
        <v>2081</v>
      </c>
      <c r="G53" s="78" t="s">
        <v>173</v>
      </c>
      <c r="H53" s="78">
        <v>3043614682</v>
      </c>
      <c r="I53" s="78">
        <v>3043609618</v>
      </c>
      <c r="J53" s="66">
        <v>45827</v>
      </c>
      <c r="K53" s="78" t="s">
        <v>99</v>
      </c>
      <c r="L53" s="79" t="s">
        <v>2082</v>
      </c>
      <c r="M53" s="78" t="s">
        <v>282</v>
      </c>
      <c r="N53" s="78" t="s">
        <v>136</v>
      </c>
      <c r="O53" s="78" t="s">
        <v>136</v>
      </c>
      <c r="P53" s="78">
        <v>9141</v>
      </c>
      <c r="Q53" s="78" t="s">
        <v>136</v>
      </c>
      <c r="R53" s="78" t="s">
        <v>136</v>
      </c>
      <c r="S53" s="78" t="s">
        <v>134</v>
      </c>
      <c r="T53" s="78" t="s">
        <v>134</v>
      </c>
      <c r="U53" s="78" t="s">
        <v>136</v>
      </c>
      <c r="V53" s="81" t="s">
        <v>87</v>
      </c>
      <c r="W53" s="66">
        <v>45827</v>
      </c>
      <c r="X53" s="66">
        <v>45827</v>
      </c>
      <c r="Z53" s="80" t="s">
        <v>85</v>
      </c>
      <c r="AA53" s="371">
        <v>0</v>
      </c>
      <c r="AB53" s="78">
        <v>5982</v>
      </c>
      <c r="AC53" s="228">
        <v>1113109</v>
      </c>
      <c r="AD53" s="228">
        <f t="shared" si="1"/>
        <v>1324599.71</v>
      </c>
      <c r="AE53" s="303">
        <v>662300</v>
      </c>
      <c r="AG53" s="210" t="s">
        <v>2239</v>
      </c>
      <c r="AH53" s="438">
        <v>45828</v>
      </c>
      <c r="AI53" s="66">
        <v>45836</v>
      </c>
      <c r="AJ53" s="78" t="s">
        <v>1705</v>
      </c>
      <c r="AL53" s="65"/>
      <c r="AM53" s="65"/>
      <c r="AN53" s="65"/>
      <c r="AO53" s="65"/>
      <c r="AP53" s="65"/>
      <c r="AQ53" s="65"/>
      <c r="AR53" s="65"/>
      <c r="AS53" s="65"/>
      <c r="AT53" s="65"/>
      <c r="AU53" s="65"/>
      <c r="AV53" s="65"/>
      <c r="AW53" s="65"/>
      <c r="AX53" s="65"/>
      <c r="AY53" s="65"/>
      <c r="AZ53" s="65"/>
      <c r="BA53" s="65"/>
      <c r="BB53" s="65"/>
      <c r="BC53" s="65"/>
      <c r="BD53" s="65"/>
      <c r="BE53" s="65"/>
      <c r="BF53" s="65"/>
      <c r="BG53" s="65"/>
      <c r="BH53" s="65"/>
      <c r="BI53" s="65"/>
      <c r="BJ53" s="65"/>
      <c r="BK53" s="65"/>
      <c r="BL53" s="65"/>
      <c r="BM53" s="65"/>
      <c r="BN53" s="65"/>
      <c r="BO53" s="65"/>
      <c r="BP53" s="65"/>
      <c r="BQ53" s="65"/>
      <c r="BR53" s="65"/>
      <c r="BS53" s="65"/>
      <c r="BT53" s="65"/>
      <c r="BU53" s="65"/>
      <c r="BV53" s="65"/>
      <c r="BW53" s="65"/>
      <c r="BX53" s="65"/>
      <c r="BY53" s="65"/>
      <c r="BZ53" s="65"/>
      <c r="CA53" s="65"/>
      <c r="CB53" s="65"/>
      <c r="CC53" s="65"/>
      <c r="CD53" s="65"/>
      <c r="CE53" s="65"/>
      <c r="CF53" s="65"/>
      <c r="CG53" s="65"/>
      <c r="CH53" s="65"/>
      <c r="CI53" s="65"/>
      <c r="CJ53" s="65"/>
      <c r="CK53" s="65"/>
      <c r="CL53" s="65"/>
      <c r="CM53" s="65"/>
      <c r="CN53" s="65"/>
      <c r="CO53" s="65"/>
      <c r="CP53" s="65"/>
      <c r="CQ53" s="65"/>
      <c r="CR53" s="65"/>
      <c r="CS53" s="65"/>
      <c r="CT53" s="65"/>
      <c r="CU53" s="65"/>
      <c r="CV53" s="65"/>
      <c r="CW53" s="65"/>
      <c r="CX53" s="65"/>
      <c r="CY53" s="65"/>
      <c r="CZ53" s="65"/>
      <c r="DA53" s="65"/>
      <c r="DB53" s="65"/>
      <c r="DC53" s="65"/>
      <c r="DD53" s="65"/>
      <c r="DE53" s="65"/>
      <c r="DF53" s="65"/>
      <c r="DG53" s="65"/>
      <c r="DH53" s="65"/>
      <c r="DI53" s="65"/>
      <c r="DJ53" s="65"/>
      <c r="DK53" s="65"/>
      <c r="DL53" s="65"/>
      <c r="DM53" s="65"/>
      <c r="DN53" s="65"/>
      <c r="DO53" s="65"/>
      <c r="DP53" s="65"/>
      <c r="DQ53" s="65"/>
      <c r="DR53" s="65"/>
      <c r="DS53" s="65"/>
      <c r="DT53" s="65"/>
      <c r="DU53" s="65"/>
      <c r="DV53" s="65"/>
      <c r="DW53" s="65"/>
      <c r="DX53" s="65"/>
      <c r="DY53" s="65"/>
      <c r="DZ53" s="65"/>
      <c r="EA53" s="65"/>
      <c r="EB53" s="65"/>
      <c r="EC53" s="65"/>
      <c r="ED53" s="65"/>
      <c r="EE53" s="65"/>
      <c r="EF53" s="65"/>
      <c r="EG53" s="65"/>
      <c r="EH53" s="65"/>
      <c r="EI53" s="65"/>
      <c r="EJ53" s="65"/>
      <c r="EK53" s="65"/>
      <c r="EL53" s="65"/>
      <c r="EM53" s="65"/>
      <c r="EN53" s="65"/>
      <c r="EO53" s="65"/>
      <c r="EP53" s="65"/>
      <c r="EQ53" s="65"/>
      <c r="ER53" s="65"/>
      <c r="ES53" s="65"/>
      <c r="ET53" s="65"/>
      <c r="EU53" s="65"/>
      <c r="EV53" s="65"/>
      <c r="EW53" s="65"/>
      <c r="EX53" s="65"/>
      <c r="EY53" s="65"/>
      <c r="EZ53" s="65"/>
      <c r="FA53" s="65"/>
      <c r="FB53" s="65"/>
      <c r="FC53" s="65"/>
      <c r="FD53" s="65"/>
      <c r="FE53" s="65"/>
      <c r="FF53" s="65"/>
      <c r="FG53" s="65"/>
      <c r="FH53" s="65"/>
      <c r="FI53" s="65"/>
      <c r="FJ53" s="65"/>
      <c r="FK53" s="65"/>
      <c r="FL53" s="65"/>
      <c r="FM53" s="65"/>
      <c r="FN53" s="65"/>
      <c r="FO53" s="65"/>
      <c r="FP53" s="65"/>
      <c r="FQ53" s="65"/>
      <c r="FR53" s="65"/>
      <c r="FS53" s="65"/>
      <c r="FT53" s="65"/>
      <c r="FU53" s="65"/>
      <c r="FV53" s="65"/>
      <c r="FW53" s="65"/>
      <c r="FX53" s="65"/>
      <c r="FY53" s="65"/>
      <c r="FZ53" s="65"/>
      <c r="GA53" s="65"/>
      <c r="GB53" s="65"/>
      <c r="GC53" s="65"/>
      <c r="GD53" s="65"/>
      <c r="GE53" s="65"/>
      <c r="GF53" s="65"/>
      <c r="GG53" s="65"/>
      <c r="GH53" s="65"/>
      <c r="GI53" s="65"/>
      <c r="GJ53" s="65"/>
      <c r="GK53" s="65"/>
      <c r="GL53" s="65"/>
      <c r="GM53" s="65"/>
      <c r="GN53" s="65"/>
      <c r="GO53" s="65"/>
      <c r="GP53" s="65"/>
      <c r="GQ53" s="65"/>
      <c r="GR53" s="65"/>
      <c r="GS53" s="65"/>
      <c r="GT53" s="65"/>
      <c r="GU53" s="65"/>
      <c r="GV53" s="65"/>
      <c r="GW53" s="65"/>
      <c r="GX53" s="65"/>
      <c r="GY53" s="65"/>
      <c r="GZ53" s="65"/>
      <c r="HA53" s="65"/>
      <c r="HB53" s="65"/>
      <c r="HC53" s="65"/>
      <c r="HD53" s="65"/>
      <c r="HE53" s="65"/>
      <c r="HF53" s="65"/>
      <c r="HG53" s="65"/>
      <c r="HH53" s="65"/>
      <c r="HI53" s="65"/>
      <c r="HJ53" s="65"/>
      <c r="HK53" s="65"/>
      <c r="HL53" s="65"/>
      <c r="HM53" s="65"/>
      <c r="HN53" s="65"/>
      <c r="HO53" s="65"/>
    </row>
    <row r="54" spans="1:223" s="78" customFormat="1" ht="63.75" customHeight="1" x14ac:dyDescent="0.25">
      <c r="A54" s="353">
        <v>2025</v>
      </c>
      <c r="B54" s="354">
        <v>6</v>
      </c>
      <c r="C54" s="355">
        <v>22768</v>
      </c>
      <c r="D54" s="279">
        <v>45820</v>
      </c>
      <c r="E54" s="81" t="s">
        <v>2083</v>
      </c>
      <c r="F54" s="81" t="s">
        <v>2083</v>
      </c>
      <c r="G54" s="78" t="s">
        <v>143</v>
      </c>
      <c r="H54" s="78">
        <v>3103728505</v>
      </c>
      <c r="I54" s="78">
        <v>3103728505</v>
      </c>
      <c r="J54" s="66">
        <v>45826</v>
      </c>
      <c r="K54" s="78" t="s">
        <v>84</v>
      </c>
      <c r="L54" s="79" t="s">
        <v>2084</v>
      </c>
      <c r="M54" s="78" t="s">
        <v>136</v>
      </c>
      <c r="N54" s="78" t="s">
        <v>136</v>
      </c>
      <c r="O54" s="78">
        <v>6861</v>
      </c>
      <c r="P54" s="78" t="s">
        <v>136</v>
      </c>
      <c r="Q54" s="78" t="s">
        <v>136</v>
      </c>
      <c r="R54" s="78" t="s">
        <v>136</v>
      </c>
      <c r="S54" s="78" t="s">
        <v>136</v>
      </c>
      <c r="T54" s="78" t="s">
        <v>134</v>
      </c>
      <c r="U54" s="78" t="s">
        <v>136</v>
      </c>
      <c r="V54" s="81" t="s">
        <v>119</v>
      </c>
      <c r="W54" s="66">
        <v>45824</v>
      </c>
      <c r="X54" s="66">
        <v>45824</v>
      </c>
      <c r="Z54" s="80" t="s">
        <v>85</v>
      </c>
      <c r="AA54" s="371">
        <v>297500</v>
      </c>
      <c r="AB54" s="78">
        <v>5965</v>
      </c>
      <c r="AC54" s="228">
        <v>250000</v>
      </c>
      <c r="AD54" s="228">
        <f t="shared" si="1"/>
        <v>297500</v>
      </c>
      <c r="AE54" s="303">
        <v>0</v>
      </c>
      <c r="AG54" s="210" t="s">
        <v>2131</v>
      </c>
      <c r="AH54" s="403">
        <v>45820</v>
      </c>
      <c r="AI54" s="66">
        <v>45826</v>
      </c>
      <c r="AJ54" s="78" t="s">
        <v>1705</v>
      </c>
      <c r="AL54" s="65"/>
      <c r="AM54" s="65"/>
      <c r="AN54" s="65"/>
      <c r="AO54" s="65"/>
      <c r="AP54" s="65"/>
      <c r="AQ54" s="65"/>
      <c r="AR54" s="65"/>
      <c r="AS54" s="65"/>
      <c r="AT54" s="65"/>
      <c r="AU54" s="65"/>
      <c r="AV54" s="65"/>
      <c r="AW54" s="65"/>
      <c r="AX54" s="65"/>
      <c r="AY54" s="65"/>
      <c r="AZ54" s="65"/>
      <c r="BA54" s="65"/>
      <c r="BB54" s="65"/>
      <c r="BC54" s="65"/>
      <c r="BD54" s="65"/>
      <c r="BE54" s="65"/>
      <c r="BF54" s="65"/>
      <c r="BG54" s="65"/>
      <c r="BH54" s="65"/>
      <c r="BI54" s="65"/>
      <c r="BJ54" s="65"/>
      <c r="BK54" s="65"/>
      <c r="BL54" s="65"/>
      <c r="BM54" s="65"/>
      <c r="BN54" s="65"/>
      <c r="BO54" s="65"/>
      <c r="BP54" s="65"/>
      <c r="BQ54" s="65"/>
      <c r="BR54" s="65"/>
      <c r="BS54" s="65"/>
      <c r="BT54" s="65"/>
      <c r="BU54" s="65"/>
      <c r="BV54" s="65"/>
      <c r="BW54" s="65"/>
      <c r="BX54" s="65"/>
      <c r="BY54" s="65"/>
      <c r="BZ54" s="65"/>
      <c r="CA54" s="65"/>
      <c r="CB54" s="65"/>
      <c r="CC54" s="65"/>
      <c r="CD54" s="65"/>
      <c r="CE54" s="65"/>
      <c r="CF54" s="65"/>
      <c r="CG54" s="65"/>
      <c r="CH54" s="65"/>
      <c r="CI54" s="65"/>
      <c r="CJ54" s="65"/>
      <c r="CK54" s="65"/>
      <c r="CL54" s="65"/>
      <c r="CM54" s="65"/>
      <c r="CN54" s="65"/>
      <c r="CO54" s="65"/>
      <c r="CP54" s="65"/>
      <c r="CQ54" s="65"/>
      <c r="CR54" s="65"/>
      <c r="CS54" s="65"/>
      <c r="CT54" s="65"/>
      <c r="CU54" s="65"/>
      <c r="CV54" s="65"/>
      <c r="CW54" s="65"/>
      <c r="CX54" s="65"/>
      <c r="CY54" s="65"/>
      <c r="CZ54" s="65"/>
      <c r="DA54" s="65"/>
      <c r="DB54" s="65"/>
      <c r="DC54" s="65"/>
      <c r="DD54" s="65"/>
      <c r="DE54" s="65"/>
      <c r="DF54" s="65"/>
      <c r="DG54" s="65"/>
      <c r="DH54" s="65"/>
      <c r="DI54" s="65"/>
      <c r="DJ54" s="65"/>
      <c r="DK54" s="65"/>
      <c r="DL54" s="65"/>
      <c r="DM54" s="65"/>
      <c r="DN54" s="65"/>
      <c r="DO54" s="65"/>
      <c r="DP54" s="65"/>
      <c r="DQ54" s="65"/>
      <c r="DR54" s="65"/>
      <c r="DS54" s="65"/>
      <c r="DT54" s="65"/>
      <c r="DU54" s="65"/>
      <c r="DV54" s="65"/>
      <c r="DW54" s="65"/>
      <c r="DX54" s="65"/>
      <c r="DY54" s="65"/>
      <c r="DZ54" s="65"/>
      <c r="EA54" s="65"/>
      <c r="EB54" s="65"/>
      <c r="EC54" s="65"/>
      <c r="ED54" s="65"/>
      <c r="EE54" s="65"/>
      <c r="EF54" s="65"/>
      <c r="EG54" s="65"/>
      <c r="EH54" s="65"/>
      <c r="EI54" s="65"/>
      <c r="EJ54" s="65"/>
      <c r="EK54" s="65"/>
      <c r="EL54" s="65"/>
      <c r="EM54" s="65"/>
      <c r="EN54" s="65"/>
      <c r="EO54" s="65"/>
      <c r="EP54" s="65"/>
      <c r="EQ54" s="65"/>
      <c r="ER54" s="65"/>
      <c r="ES54" s="65"/>
      <c r="ET54" s="65"/>
      <c r="EU54" s="65"/>
      <c r="EV54" s="65"/>
      <c r="EW54" s="65"/>
      <c r="EX54" s="65"/>
      <c r="EY54" s="65"/>
      <c r="EZ54" s="65"/>
      <c r="FA54" s="65"/>
      <c r="FB54" s="65"/>
      <c r="FC54" s="65"/>
      <c r="FD54" s="65"/>
      <c r="FE54" s="65"/>
      <c r="FF54" s="65"/>
      <c r="FG54" s="65"/>
      <c r="FH54" s="65"/>
      <c r="FI54" s="65"/>
      <c r="FJ54" s="65"/>
      <c r="FK54" s="65"/>
      <c r="FL54" s="65"/>
      <c r="FM54" s="65"/>
      <c r="FN54" s="65"/>
      <c r="FO54" s="65"/>
      <c r="FP54" s="65"/>
      <c r="FQ54" s="65"/>
      <c r="FR54" s="65"/>
      <c r="FS54" s="65"/>
      <c r="FT54" s="65"/>
      <c r="FU54" s="65"/>
      <c r="FV54" s="65"/>
      <c r="FW54" s="65"/>
      <c r="FX54" s="65"/>
      <c r="FY54" s="65"/>
      <c r="FZ54" s="65"/>
      <c r="GA54" s="65"/>
      <c r="GB54" s="65"/>
      <c r="GC54" s="65"/>
      <c r="GD54" s="65"/>
      <c r="GE54" s="65"/>
      <c r="GF54" s="65"/>
      <c r="GG54" s="65"/>
      <c r="GH54" s="65"/>
      <c r="GI54" s="65"/>
      <c r="GJ54" s="65"/>
      <c r="GK54" s="65"/>
      <c r="GL54" s="65"/>
      <c r="GM54" s="65"/>
      <c r="GN54" s="65"/>
      <c r="GO54" s="65"/>
      <c r="GP54" s="65"/>
      <c r="GQ54" s="65"/>
      <c r="GR54" s="65"/>
      <c r="GS54" s="65"/>
      <c r="GT54" s="65"/>
      <c r="GU54" s="65"/>
      <c r="GV54" s="65"/>
      <c r="GW54" s="65"/>
      <c r="GX54" s="65"/>
      <c r="GY54" s="65"/>
      <c r="GZ54" s="65"/>
      <c r="HA54" s="65"/>
      <c r="HB54" s="65"/>
      <c r="HC54" s="65"/>
      <c r="HD54" s="65"/>
      <c r="HE54" s="65"/>
      <c r="HF54" s="65"/>
      <c r="HG54" s="65"/>
      <c r="HH54" s="65"/>
      <c r="HI54" s="65"/>
      <c r="HJ54" s="65"/>
      <c r="HK54" s="65"/>
      <c r="HL54" s="65"/>
      <c r="HM54" s="65"/>
      <c r="HN54" s="65"/>
      <c r="HO54" s="65"/>
    </row>
    <row r="55" spans="1:223" s="78" customFormat="1" ht="34.5" customHeight="1" x14ac:dyDescent="0.25">
      <c r="A55" s="353">
        <v>2025</v>
      </c>
      <c r="B55" s="354">
        <v>6</v>
      </c>
      <c r="C55" s="353">
        <v>22769</v>
      </c>
      <c r="D55" s="279">
        <v>45820</v>
      </c>
      <c r="E55" s="81" t="s">
        <v>2085</v>
      </c>
      <c r="F55" s="81" t="s">
        <v>2085</v>
      </c>
      <c r="G55" s="78" t="s">
        <v>143</v>
      </c>
      <c r="H55" s="78">
        <v>3103116584</v>
      </c>
      <c r="I55" s="78">
        <v>3103116584</v>
      </c>
      <c r="J55" s="66">
        <v>45833</v>
      </c>
      <c r="K55" s="78" t="s">
        <v>84</v>
      </c>
      <c r="L55" s="79" t="s">
        <v>2086</v>
      </c>
      <c r="M55" s="78" t="s">
        <v>136</v>
      </c>
      <c r="N55" s="78">
        <v>6024</v>
      </c>
      <c r="O55" s="78" t="s">
        <v>136</v>
      </c>
      <c r="P55" s="78" t="s">
        <v>136</v>
      </c>
      <c r="Q55" s="78" t="s">
        <v>136</v>
      </c>
      <c r="R55" s="78" t="s">
        <v>136</v>
      </c>
      <c r="S55" s="78" t="s">
        <v>136</v>
      </c>
      <c r="T55" s="78" t="s">
        <v>2065</v>
      </c>
      <c r="U55" s="78" t="s">
        <v>136</v>
      </c>
      <c r="V55" s="81" t="s">
        <v>119</v>
      </c>
      <c r="W55" s="66">
        <v>45833</v>
      </c>
      <c r="X55" s="66">
        <v>45834</v>
      </c>
      <c r="Z55" s="80" t="s">
        <v>85</v>
      </c>
      <c r="AA55" s="371">
        <v>240000</v>
      </c>
      <c r="AB55" s="78">
        <v>6008</v>
      </c>
      <c r="AC55" s="228">
        <v>201681</v>
      </c>
      <c r="AD55" s="228">
        <f t="shared" si="1"/>
        <v>240000.38999999998</v>
      </c>
      <c r="AE55" s="303">
        <v>0</v>
      </c>
      <c r="AG55" s="210" t="s">
        <v>2219</v>
      </c>
      <c r="AH55" s="438">
        <v>45820</v>
      </c>
      <c r="AI55" s="66">
        <v>45836</v>
      </c>
      <c r="AJ55" s="78" t="s">
        <v>1705</v>
      </c>
      <c r="AL55" s="65"/>
      <c r="AM55" s="65"/>
      <c r="AN55" s="65"/>
      <c r="AO55" s="65"/>
      <c r="AP55" s="65"/>
      <c r="AQ55" s="65"/>
      <c r="AR55" s="65"/>
      <c r="AS55" s="65"/>
      <c r="AT55" s="65"/>
      <c r="AU55" s="65"/>
      <c r="AV55" s="65"/>
      <c r="AW55" s="65"/>
      <c r="AX55" s="65"/>
      <c r="AY55" s="65"/>
      <c r="AZ55" s="65"/>
      <c r="BA55" s="65"/>
      <c r="BB55" s="65"/>
      <c r="BC55" s="65"/>
      <c r="BD55" s="65"/>
      <c r="BE55" s="65"/>
      <c r="BF55" s="65"/>
      <c r="BG55" s="65"/>
      <c r="BH55" s="65"/>
      <c r="BI55" s="65"/>
      <c r="BJ55" s="65"/>
      <c r="BK55" s="65"/>
      <c r="BL55" s="65"/>
      <c r="BM55" s="65"/>
      <c r="BN55" s="65"/>
      <c r="BO55" s="65"/>
      <c r="BP55" s="65"/>
      <c r="BQ55" s="65"/>
      <c r="BR55" s="65"/>
      <c r="BS55" s="65"/>
      <c r="BT55" s="65"/>
      <c r="BU55" s="65"/>
      <c r="BV55" s="65"/>
      <c r="BW55" s="65"/>
      <c r="BX55" s="65"/>
      <c r="BY55" s="65"/>
      <c r="BZ55" s="65"/>
      <c r="CA55" s="65"/>
      <c r="CB55" s="65"/>
      <c r="CC55" s="65"/>
      <c r="CD55" s="65"/>
      <c r="CE55" s="65"/>
      <c r="CF55" s="65"/>
      <c r="CG55" s="65"/>
      <c r="CH55" s="65"/>
      <c r="CI55" s="65"/>
      <c r="CJ55" s="65"/>
      <c r="CK55" s="65"/>
      <c r="CL55" s="65"/>
      <c r="CM55" s="65"/>
      <c r="CN55" s="65"/>
      <c r="CO55" s="65"/>
      <c r="CP55" s="65"/>
      <c r="CQ55" s="65"/>
      <c r="CR55" s="65"/>
      <c r="CS55" s="65"/>
      <c r="CT55" s="65"/>
      <c r="CU55" s="65"/>
      <c r="CV55" s="65"/>
      <c r="CW55" s="65"/>
      <c r="CX55" s="65"/>
      <c r="CY55" s="65"/>
      <c r="CZ55" s="65"/>
      <c r="DA55" s="65"/>
      <c r="DB55" s="65"/>
      <c r="DC55" s="65"/>
      <c r="DD55" s="65"/>
      <c r="DE55" s="65"/>
      <c r="DF55" s="65"/>
      <c r="DG55" s="65"/>
      <c r="DH55" s="65"/>
      <c r="DI55" s="65"/>
      <c r="DJ55" s="65"/>
      <c r="DK55" s="65"/>
      <c r="DL55" s="65"/>
      <c r="DM55" s="65"/>
      <c r="DN55" s="65"/>
      <c r="DO55" s="65"/>
      <c r="DP55" s="65"/>
      <c r="DQ55" s="65"/>
      <c r="DR55" s="65"/>
      <c r="DS55" s="65"/>
      <c r="DT55" s="65"/>
      <c r="DU55" s="65"/>
      <c r="DV55" s="65"/>
      <c r="DW55" s="65"/>
      <c r="DX55" s="65"/>
      <c r="DY55" s="65"/>
      <c r="DZ55" s="65"/>
      <c r="EA55" s="65"/>
      <c r="EB55" s="65"/>
      <c r="EC55" s="65"/>
      <c r="ED55" s="65"/>
      <c r="EE55" s="65"/>
      <c r="EF55" s="65"/>
      <c r="EG55" s="65"/>
      <c r="EH55" s="65"/>
      <c r="EI55" s="65"/>
      <c r="EJ55" s="65"/>
      <c r="EK55" s="65"/>
      <c r="EL55" s="65"/>
      <c r="EM55" s="65"/>
      <c r="EN55" s="65"/>
      <c r="EO55" s="65"/>
      <c r="EP55" s="65"/>
      <c r="EQ55" s="65"/>
      <c r="ER55" s="65"/>
      <c r="ES55" s="65"/>
      <c r="ET55" s="65"/>
      <c r="EU55" s="65"/>
      <c r="EV55" s="65"/>
      <c r="EW55" s="65"/>
      <c r="EX55" s="65"/>
      <c r="EY55" s="65"/>
      <c r="EZ55" s="65"/>
      <c r="FA55" s="65"/>
      <c r="FB55" s="65"/>
      <c r="FC55" s="65"/>
      <c r="FD55" s="65"/>
      <c r="FE55" s="65"/>
      <c r="FF55" s="65"/>
      <c r="FG55" s="65"/>
      <c r="FH55" s="65"/>
      <c r="FI55" s="65"/>
      <c r="FJ55" s="65"/>
      <c r="FK55" s="65"/>
      <c r="FL55" s="65"/>
      <c r="FM55" s="65"/>
      <c r="FN55" s="65"/>
      <c r="FO55" s="65"/>
      <c r="FP55" s="65"/>
      <c r="FQ55" s="65"/>
      <c r="FR55" s="65"/>
      <c r="FS55" s="65"/>
      <c r="FT55" s="65"/>
      <c r="FU55" s="65"/>
      <c r="FV55" s="65"/>
      <c r="FW55" s="65"/>
      <c r="FX55" s="65"/>
      <c r="FY55" s="65"/>
      <c r="FZ55" s="65"/>
      <c r="GA55" s="65"/>
      <c r="GB55" s="65"/>
      <c r="GC55" s="65"/>
      <c r="GD55" s="65"/>
      <c r="GE55" s="65"/>
      <c r="GF55" s="65"/>
      <c r="GG55" s="65"/>
      <c r="GH55" s="65"/>
      <c r="GI55" s="65"/>
      <c r="GJ55" s="65"/>
      <c r="GK55" s="65"/>
      <c r="GL55" s="65"/>
      <c r="GM55" s="65"/>
      <c r="GN55" s="65"/>
      <c r="GO55" s="65"/>
      <c r="GP55" s="65"/>
      <c r="GQ55" s="65"/>
      <c r="GR55" s="65"/>
      <c r="GS55" s="65"/>
      <c r="GT55" s="65"/>
      <c r="GU55" s="65"/>
      <c r="GV55" s="65"/>
      <c r="GW55" s="65"/>
      <c r="GX55" s="65"/>
      <c r="GY55" s="65"/>
      <c r="GZ55" s="65"/>
      <c r="HA55" s="65"/>
      <c r="HB55" s="65"/>
      <c r="HC55" s="65"/>
      <c r="HD55" s="65"/>
      <c r="HE55" s="65"/>
      <c r="HF55" s="65"/>
      <c r="HG55" s="65"/>
      <c r="HH55" s="65"/>
      <c r="HI55" s="65"/>
      <c r="HJ55" s="65"/>
      <c r="HK55" s="65"/>
      <c r="HL55" s="65"/>
      <c r="HM55" s="65"/>
      <c r="HN55" s="65"/>
      <c r="HO55" s="65"/>
    </row>
    <row r="56" spans="1:223" s="78" customFormat="1" ht="34.5" customHeight="1" x14ac:dyDescent="0.25">
      <c r="A56" s="353">
        <v>2025</v>
      </c>
      <c r="B56" s="354">
        <v>6</v>
      </c>
      <c r="C56" s="355">
        <v>22770</v>
      </c>
      <c r="D56" s="279">
        <v>45820</v>
      </c>
      <c r="E56" s="81" t="s">
        <v>2087</v>
      </c>
      <c r="F56" s="81" t="s">
        <v>2087</v>
      </c>
      <c r="G56" s="78" t="s">
        <v>143</v>
      </c>
      <c r="H56" s="78">
        <v>3104194750</v>
      </c>
      <c r="I56" s="78">
        <v>3104194750</v>
      </c>
      <c r="J56" s="66">
        <v>45833</v>
      </c>
      <c r="K56" s="78" t="s">
        <v>84</v>
      </c>
      <c r="L56" s="79" t="s">
        <v>2088</v>
      </c>
      <c r="M56" s="78" t="s">
        <v>136</v>
      </c>
      <c r="N56" s="78">
        <v>6026</v>
      </c>
      <c r="O56" s="78">
        <v>6863</v>
      </c>
      <c r="P56" s="78" t="s">
        <v>136</v>
      </c>
      <c r="Q56" s="78">
        <v>5601</v>
      </c>
      <c r="R56" s="78" t="s">
        <v>136</v>
      </c>
      <c r="S56" s="78" t="s">
        <v>134</v>
      </c>
      <c r="T56" s="78" t="s">
        <v>134</v>
      </c>
      <c r="U56" s="78" t="s">
        <v>136</v>
      </c>
      <c r="V56" s="81" t="s">
        <v>89</v>
      </c>
      <c r="W56" s="66">
        <v>45833</v>
      </c>
      <c r="X56" s="66">
        <v>45834</v>
      </c>
      <c r="Z56" s="80" t="s">
        <v>85</v>
      </c>
      <c r="AA56" s="371">
        <v>0</v>
      </c>
      <c r="AB56" s="78">
        <v>5998</v>
      </c>
      <c r="AC56" s="228">
        <v>1915966</v>
      </c>
      <c r="AD56" s="228">
        <f t="shared" si="1"/>
        <v>2279999.54</v>
      </c>
      <c r="AE56" s="303">
        <v>1140000</v>
      </c>
      <c r="AG56" s="210" t="s">
        <v>2220</v>
      </c>
      <c r="AH56" s="438">
        <v>45834</v>
      </c>
      <c r="AI56" s="66">
        <v>45836</v>
      </c>
      <c r="AJ56" s="78" t="s">
        <v>1705</v>
      </c>
      <c r="AL56" s="65"/>
      <c r="AM56" s="65"/>
      <c r="AN56" s="65"/>
      <c r="AO56" s="65"/>
      <c r="AP56" s="65"/>
      <c r="AQ56" s="65"/>
      <c r="AR56" s="65"/>
      <c r="AS56" s="65"/>
      <c r="AT56" s="65"/>
      <c r="AU56" s="65"/>
      <c r="AV56" s="65"/>
      <c r="AW56" s="65"/>
      <c r="AX56" s="65"/>
      <c r="AY56" s="65"/>
      <c r="AZ56" s="65"/>
      <c r="BA56" s="65"/>
      <c r="BB56" s="65"/>
      <c r="BC56" s="65"/>
      <c r="BD56" s="65"/>
      <c r="BE56" s="65"/>
      <c r="BF56" s="65"/>
      <c r="BG56" s="65"/>
      <c r="BH56" s="65"/>
      <c r="BI56" s="65"/>
      <c r="BJ56" s="65"/>
      <c r="BK56" s="65"/>
      <c r="BL56" s="65"/>
      <c r="BM56" s="65"/>
      <c r="BN56" s="65"/>
      <c r="BO56" s="65"/>
      <c r="BP56" s="65"/>
      <c r="BQ56" s="65"/>
      <c r="BR56" s="65"/>
      <c r="BS56" s="65"/>
      <c r="BT56" s="65"/>
      <c r="BU56" s="65"/>
      <c r="BV56" s="65"/>
      <c r="BW56" s="65"/>
      <c r="BX56" s="65"/>
      <c r="BY56" s="65"/>
      <c r="BZ56" s="65"/>
      <c r="CA56" s="65"/>
      <c r="CB56" s="65"/>
      <c r="CC56" s="65"/>
      <c r="CD56" s="65"/>
      <c r="CE56" s="65"/>
      <c r="CF56" s="65"/>
      <c r="CG56" s="65"/>
      <c r="CH56" s="65"/>
      <c r="CI56" s="65"/>
      <c r="CJ56" s="65"/>
      <c r="CK56" s="65"/>
      <c r="CL56" s="65"/>
      <c r="CM56" s="65"/>
      <c r="CN56" s="65"/>
      <c r="CO56" s="65"/>
      <c r="CP56" s="65"/>
      <c r="CQ56" s="65"/>
      <c r="CR56" s="65"/>
      <c r="CS56" s="65"/>
      <c r="CT56" s="65"/>
      <c r="CU56" s="65"/>
      <c r="CV56" s="65"/>
      <c r="CW56" s="65"/>
      <c r="CX56" s="65"/>
      <c r="CY56" s="65"/>
      <c r="CZ56" s="65"/>
      <c r="DA56" s="65"/>
      <c r="DB56" s="65"/>
      <c r="DC56" s="65"/>
      <c r="DD56" s="65"/>
      <c r="DE56" s="65"/>
      <c r="DF56" s="65"/>
      <c r="DG56" s="65"/>
      <c r="DH56" s="65"/>
      <c r="DI56" s="65"/>
      <c r="DJ56" s="65"/>
      <c r="DK56" s="65"/>
      <c r="DL56" s="65"/>
      <c r="DM56" s="65"/>
      <c r="DN56" s="65"/>
      <c r="DO56" s="65"/>
      <c r="DP56" s="65"/>
      <c r="DQ56" s="65"/>
      <c r="DR56" s="65"/>
      <c r="DS56" s="65"/>
      <c r="DT56" s="65"/>
      <c r="DU56" s="65"/>
      <c r="DV56" s="65"/>
      <c r="DW56" s="65"/>
      <c r="DX56" s="65"/>
      <c r="DY56" s="65"/>
      <c r="DZ56" s="65"/>
      <c r="EA56" s="65"/>
      <c r="EB56" s="65"/>
      <c r="EC56" s="65"/>
      <c r="ED56" s="65"/>
      <c r="EE56" s="65"/>
      <c r="EF56" s="65"/>
      <c r="EG56" s="65"/>
      <c r="EH56" s="65"/>
      <c r="EI56" s="65"/>
      <c r="EJ56" s="65"/>
      <c r="EK56" s="65"/>
      <c r="EL56" s="65"/>
      <c r="EM56" s="65"/>
      <c r="EN56" s="65"/>
      <c r="EO56" s="65"/>
      <c r="EP56" s="65"/>
      <c r="EQ56" s="65"/>
      <c r="ER56" s="65"/>
      <c r="ES56" s="65"/>
      <c r="ET56" s="65"/>
      <c r="EU56" s="65"/>
      <c r="EV56" s="65"/>
      <c r="EW56" s="65"/>
      <c r="EX56" s="65"/>
      <c r="EY56" s="65"/>
      <c r="EZ56" s="65"/>
      <c r="FA56" s="65"/>
      <c r="FB56" s="65"/>
      <c r="FC56" s="65"/>
      <c r="FD56" s="65"/>
      <c r="FE56" s="65"/>
      <c r="FF56" s="65"/>
      <c r="FG56" s="65"/>
      <c r="FH56" s="65"/>
      <c r="FI56" s="65"/>
      <c r="FJ56" s="65"/>
      <c r="FK56" s="65"/>
      <c r="FL56" s="65"/>
      <c r="FM56" s="65"/>
      <c r="FN56" s="65"/>
      <c r="FO56" s="65"/>
      <c r="FP56" s="65"/>
      <c r="FQ56" s="65"/>
      <c r="FR56" s="65"/>
      <c r="FS56" s="65"/>
      <c r="FT56" s="65"/>
      <c r="FU56" s="65"/>
      <c r="FV56" s="65"/>
      <c r="FW56" s="65"/>
      <c r="FX56" s="65"/>
      <c r="FY56" s="65"/>
      <c r="FZ56" s="65"/>
      <c r="GA56" s="65"/>
      <c r="GB56" s="65"/>
      <c r="GC56" s="65"/>
      <c r="GD56" s="65"/>
      <c r="GE56" s="65"/>
      <c r="GF56" s="65"/>
      <c r="GG56" s="65"/>
      <c r="GH56" s="65"/>
      <c r="GI56" s="65"/>
      <c r="GJ56" s="65"/>
      <c r="GK56" s="65"/>
      <c r="GL56" s="65"/>
      <c r="GM56" s="65"/>
      <c r="GN56" s="65"/>
      <c r="GO56" s="65"/>
      <c r="GP56" s="65"/>
      <c r="GQ56" s="65"/>
      <c r="GR56" s="65"/>
      <c r="GS56" s="65"/>
      <c r="GT56" s="65"/>
      <c r="GU56" s="65"/>
      <c r="GV56" s="65"/>
      <c r="GW56" s="65"/>
      <c r="GX56" s="65"/>
      <c r="GY56" s="65"/>
      <c r="GZ56" s="65"/>
      <c r="HA56" s="65"/>
      <c r="HB56" s="65"/>
      <c r="HC56" s="65"/>
      <c r="HD56" s="65"/>
      <c r="HE56" s="65"/>
      <c r="HF56" s="65"/>
      <c r="HG56" s="65"/>
      <c r="HH56" s="65"/>
      <c r="HI56" s="65"/>
      <c r="HJ56" s="65"/>
      <c r="HK56" s="65"/>
      <c r="HL56" s="65"/>
      <c r="HM56" s="65"/>
      <c r="HN56" s="65"/>
      <c r="HO56" s="65"/>
    </row>
    <row r="57" spans="1:223" s="78" customFormat="1" ht="34.5" customHeight="1" x14ac:dyDescent="0.25">
      <c r="A57" s="353">
        <v>2025</v>
      </c>
      <c r="B57" s="354">
        <v>6</v>
      </c>
      <c r="C57" s="353">
        <v>22771</v>
      </c>
      <c r="D57" s="279">
        <v>45814</v>
      </c>
      <c r="E57" s="81" t="s">
        <v>1711</v>
      </c>
      <c r="F57" s="81" t="s">
        <v>1712</v>
      </c>
      <c r="G57" s="78" t="s">
        <v>2089</v>
      </c>
      <c r="H57" s="78">
        <v>3234535350</v>
      </c>
      <c r="I57" s="78">
        <v>3177039332</v>
      </c>
      <c r="J57" s="66">
        <v>45828</v>
      </c>
      <c r="K57" s="78" t="s">
        <v>95</v>
      </c>
      <c r="L57" s="79" t="s">
        <v>2090</v>
      </c>
      <c r="M57" s="78" t="s">
        <v>282</v>
      </c>
      <c r="N57" s="78" t="s">
        <v>136</v>
      </c>
      <c r="O57" s="78">
        <v>6862</v>
      </c>
      <c r="P57" s="78" t="s">
        <v>136</v>
      </c>
      <c r="Q57" s="78" t="s">
        <v>136</v>
      </c>
      <c r="R57" s="78" t="s">
        <v>136</v>
      </c>
      <c r="S57" s="78" t="s">
        <v>134</v>
      </c>
      <c r="T57" s="78" t="s">
        <v>134</v>
      </c>
      <c r="U57" s="78" t="s">
        <v>136</v>
      </c>
      <c r="V57" s="81" t="s">
        <v>119</v>
      </c>
      <c r="W57" s="66">
        <v>45827</v>
      </c>
      <c r="X57" s="66">
        <v>45843</v>
      </c>
      <c r="Z57" s="80" t="s">
        <v>85</v>
      </c>
      <c r="AA57" s="371">
        <v>0</v>
      </c>
      <c r="AC57" s="228">
        <v>0</v>
      </c>
      <c r="AD57" s="228">
        <f t="shared" si="1"/>
        <v>0</v>
      </c>
      <c r="AE57" s="303">
        <v>0</v>
      </c>
      <c r="AG57" s="210" t="s">
        <v>2148</v>
      </c>
      <c r="AH57" s="241"/>
      <c r="AI57" s="66">
        <v>45845</v>
      </c>
      <c r="AJ57" s="78" t="s">
        <v>1705</v>
      </c>
      <c r="AK57" s="78" t="s">
        <v>2259</v>
      </c>
      <c r="AL57" s="65"/>
      <c r="AM57" s="65"/>
      <c r="AN57" s="65"/>
      <c r="AO57" s="65"/>
      <c r="AP57" s="65"/>
      <c r="AQ57" s="65"/>
      <c r="AR57" s="65"/>
      <c r="AS57" s="65"/>
      <c r="AT57" s="65"/>
      <c r="AU57" s="65"/>
      <c r="AV57" s="65"/>
      <c r="AW57" s="65"/>
      <c r="AX57" s="65"/>
      <c r="AY57" s="65"/>
      <c r="AZ57" s="65"/>
      <c r="BA57" s="65"/>
      <c r="BB57" s="65"/>
      <c r="BC57" s="65"/>
      <c r="BD57" s="65"/>
      <c r="BE57" s="65"/>
      <c r="BF57" s="65"/>
      <c r="BG57" s="65"/>
      <c r="BH57" s="65"/>
      <c r="BI57" s="65"/>
      <c r="BJ57" s="65"/>
      <c r="BK57" s="65"/>
      <c r="BL57" s="65"/>
      <c r="BM57" s="65"/>
      <c r="BN57" s="65"/>
      <c r="BO57" s="65"/>
      <c r="BP57" s="65"/>
      <c r="BQ57" s="65"/>
      <c r="BR57" s="65"/>
      <c r="BS57" s="65"/>
      <c r="BT57" s="65"/>
      <c r="BU57" s="65"/>
      <c r="BV57" s="65"/>
      <c r="BW57" s="65"/>
      <c r="BX57" s="65"/>
      <c r="BY57" s="65"/>
      <c r="BZ57" s="65"/>
      <c r="CA57" s="65"/>
      <c r="CB57" s="65"/>
      <c r="CC57" s="65"/>
      <c r="CD57" s="65"/>
      <c r="CE57" s="65"/>
      <c r="CF57" s="65"/>
      <c r="CG57" s="65"/>
      <c r="CH57" s="65"/>
      <c r="CI57" s="65"/>
      <c r="CJ57" s="65"/>
      <c r="CK57" s="65"/>
      <c r="CL57" s="65"/>
      <c r="CM57" s="65"/>
      <c r="CN57" s="65"/>
      <c r="CO57" s="65"/>
      <c r="CP57" s="65"/>
      <c r="CQ57" s="65"/>
      <c r="CR57" s="65"/>
      <c r="CS57" s="65"/>
      <c r="CT57" s="65"/>
      <c r="CU57" s="65"/>
      <c r="CV57" s="65"/>
      <c r="CW57" s="65"/>
      <c r="CX57" s="65"/>
      <c r="CY57" s="65"/>
      <c r="CZ57" s="65"/>
      <c r="DA57" s="65"/>
      <c r="DB57" s="65"/>
      <c r="DC57" s="65"/>
      <c r="DD57" s="65"/>
      <c r="DE57" s="65"/>
      <c r="DF57" s="65"/>
      <c r="DG57" s="65"/>
      <c r="DH57" s="65"/>
      <c r="DI57" s="65"/>
      <c r="DJ57" s="65"/>
      <c r="DK57" s="65"/>
      <c r="DL57" s="65"/>
      <c r="DM57" s="65"/>
      <c r="DN57" s="65"/>
      <c r="DO57" s="65"/>
      <c r="DP57" s="65"/>
      <c r="DQ57" s="65"/>
      <c r="DR57" s="65"/>
      <c r="DS57" s="65"/>
      <c r="DT57" s="65"/>
      <c r="DU57" s="65"/>
      <c r="DV57" s="65"/>
      <c r="DW57" s="65"/>
      <c r="DX57" s="65"/>
      <c r="DY57" s="65"/>
      <c r="DZ57" s="65"/>
      <c r="EA57" s="65"/>
      <c r="EB57" s="65"/>
      <c r="EC57" s="65"/>
      <c r="ED57" s="65"/>
      <c r="EE57" s="65"/>
      <c r="EF57" s="65"/>
      <c r="EG57" s="65"/>
      <c r="EH57" s="65"/>
      <c r="EI57" s="65"/>
      <c r="EJ57" s="65"/>
      <c r="EK57" s="65"/>
      <c r="EL57" s="65"/>
      <c r="EM57" s="65"/>
      <c r="EN57" s="65"/>
      <c r="EO57" s="65"/>
      <c r="EP57" s="65"/>
      <c r="EQ57" s="65"/>
      <c r="ER57" s="65"/>
      <c r="ES57" s="65"/>
      <c r="ET57" s="65"/>
      <c r="EU57" s="65"/>
      <c r="EV57" s="65"/>
      <c r="EW57" s="65"/>
      <c r="EX57" s="65"/>
      <c r="EY57" s="65"/>
      <c r="EZ57" s="65"/>
      <c r="FA57" s="65"/>
      <c r="FB57" s="65"/>
      <c r="FC57" s="65"/>
      <c r="FD57" s="65"/>
      <c r="FE57" s="65"/>
      <c r="FF57" s="65"/>
      <c r="FG57" s="65"/>
      <c r="FH57" s="65"/>
      <c r="FI57" s="65"/>
      <c r="FJ57" s="65"/>
      <c r="FK57" s="65"/>
      <c r="FL57" s="65"/>
      <c r="FM57" s="65"/>
      <c r="FN57" s="65"/>
      <c r="FO57" s="65"/>
      <c r="FP57" s="65"/>
      <c r="FQ57" s="65"/>
      <c r="FR57" s="65"/>
      <c r="FS57" s="65"/>
      <c r="FT57" s="65"/>
      <c r="FU57" s="65"/>
      <c r="FV57" s="65"/>
      <c r="FW57" s="65"/>
      <c r="FX57" s="65"/>
      <c r="FY57" s="65"/>
      <c r="FZ57" s="65"/>
      <c r="GA57" s="65"/>
      <c r="GB57" s="65"/>
      <c r="GC57" s="65"/>
      <c r="GD57" s="65"/>
      <c r="GE57" s="65"/>
      <c r="GF57" s="65"/>
      <c r="GG57" s="65"/>
      <c r="GH57" s="65"/>
      <c r="GI57" s="65"/>
      <c r="GJ57" s="65"/>
      <c r="GK57" s="65"/>
      <c r="GL57" s="65"/>
      <c r="GM57" s="65"/>
      <c r="GN57" s="65"/>
      <c r="GO57" s="65"/>
      <c r="GP57" s="65"/>
      <c r="GQ57" s="65"/>
      <c r="GR57" s="65"/>
      <c r="GS57" s="65"/>
      <c r="GT57" s="65"/>
      <c r="GU57" s="65"/>
      <c r="GV57" s="65"/>
      <c r="GW57" s="65"/>
      <c r="GX57" s="65"/>
      <c r="GY57" s="65"/>
      <c r="GZ57" s="65"/>
      <c r="HA57" s="65"/>
      <c r="HB57" s="65"/>
      <c r="HC57" s="65"/>
      <c r="HD57" s="65"/>
      <c r="HE57" s="65"/>
      <c r="HF57" s="65"/>
      <c r="HG57" s="65"/>
      <c r="HH57" s="65"/>
      <c r="HI57" s="65"/>
      <c r="HJ57" s="65"/>
      <c r="HK57" s="65"/>
      <c r="HL57" s="65"/>
      <c r="HM57" s="65"/>
      <c r="HN57" s="65"/>
      <c r="HO57" s="65"/>
    </row>
    <row r="58" spans="1:223" s="78" customFormat="1" ht="34.5" customHeight="1" x14ac:dyDescent="0.25">
      <c r="A58" s="353">
        <v>2025</v>
      </c>
      <c r="B58" s="354">
        <v>6</v>
      </c>
      <c r="C58" s="353">
        <v>22772</v>
      </c>
      <c r="D58" s="279">
        <v>45820</v>
      </c>
      <c r="E58" s="81" t="s">
        <v>2091</v>
      </c>
      <c r="F58" s="81" t="s">
        <v>2092</v>
      </c>
      <c r="G58" s="78" t="s">
        <v>150</v>
      </c>
      <c r="I58" s="78">
        <v>5405100</v>
      </c>
      <c r="J58" s="66">
        <v>45820</v>
      </c>
      <c r="K58" s="78" t="s">
        <v>88</v>
      </c>
      <c r="L58" s="79" t="s">
        <v>2093</v>
      </c>
      <c r="M58" s="78" t="s">
        <v>136</v>
      </c>
      <c r="N58" s="78" t="s">
        <v>136</v>
      </c>
      <c r="O58" s="78" t="s">
        <v>136</v>
      </c>
      <c r="P58" s="78">
        <v>9250</v>
      </c>
      <c r="Q58" s="78" t="s">
        <v>136</v>
      </c>
      <c r="R58" s="78" t="s">
        <v>136</v>
      </c>
      <c r="S58" s="78" t="s">
        <v>136</v>
      </c>
      <c r="T58" s="78" t="s">
        <v>134</v>
      </c>
      <c r="U58" s="78" t="s">
        <v>136</v>
      </c>
      <c r="V58" s="81" t="s">
        <v>89</v>
      </c>
      <c r="W58" s="66"/>
      <c r="X58" s="66" t="s">
        <v>2240</v>
      </c>
      <c r="Z58" s="80" t="s">
        <v>85</v>
      </c>
      <c r="AA58" s="371">
        <v>214200</v>
      </c>
      <c r="AB58" s="78">
        <v>5969</v>
      </c>
      <c r="AC58" s="228">
        <v>180000</v>
      </c>
      <c r="AD58" s="228">
        <f t="shared" si="1"/>
        <v>214200</v>
      </c>
      <c r="AE58" s="303">
        <v>0</v>
      </c>
      <c r="AG58" s="210"/>
      <c r="AH58" s="438">
        <v>45820</v>
      </c>
      <c r="AI58" s="66">
        <v>45821</v>
      </c>
      <c r="AJ58" s="78" t="s">
        <v>1705</v>
      </c>
      <c r="AL58" s="65"/>
      <c r="AM58" s="65"/>
      <c r="AN58" s="65"/>
      <c r="AO58" s="65"/>
      <c r="AP58" s="65"/>
      <c r="AQ58" s="65"/>
      <c r="AR58" s="65"/>
      <c r="AS58" s="65"/>
      <c r="AT58" s="65"/>
      <c r="AU58" s="65"/>
      <c r="AV58" s="65"/>
      <c r="AW58" s="65"/>
      <c r="AX58" s="65"/>
      <c r="AY58" s="65"/>
      <c r="AZ58" s="65"/>
      <c r="BA58" s="65"/>
      <c r="BB58" s="65"/>
      <c r="BC58" s="65"/>
      <c r="BD58" s="65"/>
      <c r="BE58" s="65"/>
      <c r="BF58" s="65"/>
      <c r="BG58" s="65"/>
      <c r="BH58" s="65"/>
      <c r="BI58" s="65"/>
      <c r="BJ58" s="65"/>
      <c r="BK58" s="65"/>
      <c r="BL58" s="65"/>
      <c r="BM58" s="65"/>
      <c r="BN58" s="65"/>
      <c r="BO58" s="65"/>
      <c r="BP58" s="65"/>
      <c r="BQ58" s="65"/>
      <c r="BR58" s="65"/>
      <c r="BS58" s="65"/>
      <c r="BT58" s="65"/>
      <c r="BU58" s="65"/>
      <c r="BV58" s="65"/>
      <c r="BW58" s="65"/>
      <c r="BX58" s="65"/>
      <c r="BY58" s="65"/>
      <c r="BZ58" s="65"/>
      <c r="CA58" s="65"/>
      <c r="CB58" s="65"/>
      <c r="CC58" s="65"/>
      <c r="CD58" s="65"/>
      <c r="CE58" s="65"/>
      <c r="CF58" s="65"/>
      <c r="CG58" s="65"/>
      <c r="CH58" s="65"/>
      <c r="CI58" s="65"/>
      <c r="CJ58" s="65"/>
      <c r="CK58" s="65"/>
      <c r="CL58" s="65"/>
      <c r="CM58" s="65"/>
      <c r="CN58" s="65"/>
      <c r="CO58" s="65"/>
      <c r="CP58" s="65"/>
      <c r="CQ58" s="65"/>
      <c r="CR58" s="65"/>
      <c r="CS58" s="65"/>
      <c r="CT58" s="65"/>
      <c r="CU58" s="65"/>
      <c r="CV58" s="65"/>
      <c r="CW58" s="65"/>
      <c r="CX58" s="65"/>
      <c r="CY58" s="65"/>
      <c r="CZ58" s="65"/>
      <c r="DA58" s="65"/>
      <c r="DB58" s="65"/>
      <c r="DC58" s="65"/>
      <c r="DD58" s="65"/>
      <c r="DE58" s="65"/>
      <c r="DF58" s="65"/>
      <c r="DG58" s="65"/>
      <c r="DH58" s="65"/>
      <c r="DI58" s="65"/>
      <c r="DJ58" s="65"/>
      <c r="DK58" s="65"/>
      <c r="DL58" s="65"/>
      <c r="DM58" s="65"/>
      <c r="DN58" s="65"/>
      <c r="DO58" s="65"/>
      <c r="DP58" s="65"/>
      <c r="DQ58" s="65"/>
      <c r="DR58" s="65"/>
      <c r="DS58" s="65"/>
      <c r="DT58" s="65"/>
      <c r="DU58" s="65"/>
      <c r="DV58" s="65"/>
      <c r="DW58" s="65"/>
      <c r="DX58" s="65"/>
      <c r="DY58" s="65"/>
      <c r="DZ58" s="65"/>
      <c r="EA58" s="65"/>
      <c r="EB58" s="65"/>
      <c r="EC58" s="65"/>
      <c r="ED58" s="65"/>
      <c r="EE58" s="65"/>
      <c r="EF58" s="65"/>
      <c r="EG58" s="65"/>
      <c r="EH58" s="65"/>
      <c r="EI58" s="65"/>
      <c r="EJ58" s="65"/>
      <c r="EK58" s="65"/>
      <c r="EL58" s="65"/>
      <c r="EM58" s="65"/>
      <c r="EN58" s="65"/>
      <c r="EO58" s="65"/>
      <c r="EP58" s="65"/>
      <c r="EQ58" s="65"/>
      <c r="ER58" s="65"/>
      <c r="ES58" s="65"/>
      <c r="ET58" s="65"/>
      <c r="EU58" s="65"/>
      <c r="EV58" s="65"/>
      <c r="EW58" s="65"/>
      <c r="EX58" s="65"/>
      <c r="EY58" s="65"/>
      <c r="EZ58" s="65"/>
      <c r="FA58" s="65"/>
      <c r="FB58" s="65"/>
      <c r="FC58" s="65"/>
      <c r="FD58" s="65"/>
      <c r="FE58" s="65"/>
      <c r="FF58" s="65"/>
      <c r="FG58" s="65"/>
      <c r="FH58" s="65"/>
      <c r="FI58" s="65"/>
      <c r="FJ58" s="65"/>
      <c r="FK58" s="65"/>
      <c r="FL58" s="65"/>
      <c r="FM58" s="65"/>
      <c r="FN58" s="65"/>
      <c r="FO58" s="65"/>
      <c r="FP58" s="65"/>
      <c r="FQ58" s="65"/>
      <c r="FR58" s="65"/>
      <c r="FS58" s="65"/>
      <c r="FT58" s="65"/>
      <c r="FU58" s="65"/>
      <c r="FV58" s="65"/>
      <c r="FW58" s="65"/>
      <c r="FX58" s="65"/>
      <c r="FY58" s="65"/>
      <c r="FZ58" s="65"/>
      <c r="GA58" s="65"/>
      <c r="GB58" s="65"/>
      <c r="GC58" s="65"/>
      <c r="GD58" s="65"/>
      <c r="GE58" s="65"/>
      <c r="GF58" s="65"/>
      <c r="GG58" s="65"/>
      <c r="GH58" s="65"/>
      <c r="GI58" s="65"/>
      <c r="GJ58" s="65"/>
      <c r="GK58" s="65"/>
      <c r="GL58" s="65"/>
      <c r="GM58" s="65"/>
      <c r="GN58" s="65"/>
      <c r="GO58" s="65"/>
      <c r="GP58" s="65"/>
      <c r="GQ58" s="65"/>
      <c r="GR58" s="65"/>
      <c r="GS58" s="65"/>
      <c r="GT58" s="65"/>
      <c r="GU58" s="65"/>
      <c r="GV58" s="65"/>
      <c r="GW58" s="65"/>
      <c r="GX58" s="65"/>
      <c r="GY58" s="65"/>
      <c r="GZ58" s="65"/>
      <c r="HA58" s="65"/>
      <c r="HB58" s="65"/>
      <c r="HC58" s="65"/>
      <c r="HD58" s="65"/>
      <c r="HE58" s="65"/>
      <c r="HF58" s="65"/>
      <c r="HG58" s="65"/>
      <c r="HH58" s="65"/>
      <c r="HI58" s="65"/>
      <c r="HJ58" s="65"/>
      <c r="HK58" s="65"/>
      <c r="HL58" s="65"/>
      <c r="HM58" s="65"/>
      <c r="HN58" s="65"/>
      <c r="HO58" s="65"/>
    </row>
    <row r="59" spans="1:223" s="78" customFormat="1" ht="34.5" customHeight="1" x14ac:dyDescent="0.25">
      <c r="A59" s="353">
        <v>2025</v>
      </c>
      <c r="B59" s="354">
        <v>6</v>
      </c>
      <c r="C59" s="355">
        <v>22773</v>
      </c>
      <c r="D59" s="279">
        <v>45822</v>
      </c>
      <c r="E59" s="81" t="s">
        <v>2121</v>
      </c>
      <c r="F59" s="81" t="s">
        <v>2121</v>
      </c>
      <c r="G59" s="78" t="s">
        <v>143</v>
      </c>
      <c r="H59" s="78">
        <v>3007022037</v>
      </c>
      <c r="I59" s="78">
        <v>3007022037</v>
      </c>
      <c r="J59" s="66">
        <v>45834</v>
      </c>
      <c r="K59" s="78" t="s">
        <v>84</v>
      </c>
      <c r="L59" s="79" t="s">
        <v>2122</v>
      </c>
      <c r="M59" s="78" t="s">
        <v>136</v>
      </c>
      <c r="N59" s="78">
        <v>6032</v>
      </c>
      <c r="O59" s="78" t="s">
        <v>136</v>
      </c>
      <c r="P59" s="78" t="s">
        <v>136</v>
      </c>
      <c r="Q59" s="78" t="s">
        <v>136</v>
      </c>
      <c r="R59" s="78" t="s">
        <v>136</v>
      </c>
      <c r="S59" s="78" t="s">
        <v>136</v>
      </c>
      <c r="T59" s="78" t="s">
        <v>2065</v>
      </c>
      <c r="U59" s="78" t="s">
        <v>136</v>
      </c>
      <c r="V59" s="81" t="s">
        <v>119</v>
      </c>
      <c r="W59" s="66">
        <v>45833</v>
      </c>
      <c r="X59" s="66">
        <v>45834</v>
      </c>
      <c r="Z59" s="80" t="s">
        <v>85</v>
      </c>
      <c r="AA59" s="371">
        <v>70000</v>
      </c>
      <c r="AB59" s="78">
        <v>6007</v>
      </c>
      <c r="AC59" s="228">
        <v>58824</v>
      </c>
      <c r="AD59" s="228">
        <f t="shared" si="1"/>
        <v>70000.56</v>
      </c>
      <c r="AE59" s="303">
        <v>0</v>
      </c>
      <c r="AG59" s="210" t="s">
        <v>2241</v>
      </c>
      <c r="AH59" s="403">
        <v>45821</v>
      </c>
      <c r="AI59" s="66">
        <v>45835</v>
      </c>
      <c r="AJ59" s="78" t="s">
        <v>1705</v>
      </c>
      <c r="AL59" s="65"/>
      <c r="AM59" s="65"/>
      <c r="AN59" s="65"/>
      <c r="AO59" s="65"/>
      <c r="AP59" s="65"/>
      <c r="AQ59" s="65"/>
      <c r="AR59" s="65"/>
      <c r="AS59" s="65"/>
      <c r="AT59" s="65"/>
      <c r="AU59" s="65"/>
      <c r="AV59" s="65"/>
      <c r="AW59" s="65"/>
      <c r="AX59" s="65"/>
      <c r="AY59" s="65"/>
      <c r="AZ59" s="65"/>
      <c r="BA59" s="65"/>
      <c r="BB59" s="65"/>
      <c r="BC59" s="65"/>
      <c r="BD59" s="65"/>
      <c r="BE59" s="65"/>
      <c r="BF59" s="65"/>
      <c r="BG59" s="65"/>
      <c r="BH59" s="65"/>
      <c r="BI59" s="65"/>
      <c r="BJ59" s="65"/>
      <c r="BK59" s="65"/>
      <c r="BL59" s="65"/>
      <c r="BM59" s="65"/>
      <c r="BN59" s="65"/>
      <c r="BO59" s="65"/>
      <c r="BP59" s="65"/>
      <c r="BQ59" s="65"/>
      <c r="BR59" s="65"/>
      <c r="BS59" s="65"/>
      <c r="BT59" s="65"/>
      <c r="BU59" s="65"/>
      <c r="BV59" s="65"/>
      <c r="BW59" s="65"/>
      <c r="BX59" s="65"/>
      <c r="BY59" s="65"/>
      <c r="BZ59" s="65"/>
      <c r="CA59" s="65"/>
      <c r="CB59" s="65"/>
      <c r="CC59" s="65"/>
      <c r="CD59" s="65"/>
      <c r="CE59" s="65"/>
      <c r="CF59" s="65"/>
      <c r="CG59" s="65"/>
      <c r="CH59" s="65"/>
      <c r="CI59" s="65"/>
      <c r="CJ59" s="65"/>
      <c r="CK59" s="65"/>
      <c r="CL59" s="65"/>
      <c r="CM59" s="65"/>
      <c r="CN59" s="65"/>
      <c r="CO59" s="65"/>
      <c r="CP59" s="65"/>
      <c r="CQ59" s="65"/>
      <c r="CR59" s="65"/>
      <c r="CS59" s="65"/>
      <c r="CT59" s="65"/>
      <c r="CU59" s="65"/>
      <c r="CV59" s="65"/>
      <c r="CW59" s="65"/>
      <c r="CX59" s="65"/>
      <c r="CY59" s="65"/>
      <c r="CZ59" s="65"/>
      <c r="DA59" s="65"/>
      <c r="DB59" s="65"/>
      <c r="DC59" s="65"/>
      <c r="DD59" s="65"/>
      <c r="DE59" s="65"/>
      <c r="DF59" s="65"/>
      <c r="DG59" s="65"/>
      <c r="DH59" s="65"/>
      <c r="DI59" s="65"/>
      <c r="DJ59" s="65"/>
      <c r="DK59" s="65"/>
      <c r="DL59" s="65"/>
      <c r="DM59" s="65"/>
      <c r="DN59" s="65"/>
      <c r="DO59" s="65"/>
      <c r="DP59" s="65"/>
      <c r="DQ59" s="65"/>
      <c r="DR59" s="65"/>
      <c r="DS59" s="65"/>
      <c r="DT59" s="65"/>
      <c r="DU59" s="65"/>
      <c r="DV59" s="65"/>
      <c r="DW59" s="65"/>
      <c r="DX59" s="65"/>
      <c r="DY59" s="65"/>
      <c r="DZ59" s="65"/>
      <c r="EA59" s="65"/>
      <c r="EB59" s="65"/>
      <c r="EC59" s="65"/>
      <c r="ED59" s="65"/>
      <c r="EE59" s="65"/>
      <c r="EF59" s="65"/>
      <c r="EG59" s="65"/>
      <c r="EH59" s="65"/>
      <c r="EI59" s="65"/>
      <c r="EJ59" s="65"/>
      <c r="EK59" s="65"/>
      <c r="EL59" s="65"/>
      <c r="EM59" s="65"/>
      <c r="EN59" s="65"/>
      <c r="EO59" s="65"/>
      <c r="EP59" s="65"/>
      <c r="EQ59" s="65"/>
      <c r="ER59" s="65"/>
      <c r="ES59" s="65"/>
      <c r="ET59" s="65"/>
      <c r="EU59" s="65"/>
      <c r="EV59" s="65"/>
      <c r="EW59" s="65"/>
      <c r="EX59" s="65"/>
      <c r="EY59" s="65"/>
      <c r="EZ59" s="65"/>
      <c r="FA59" s="65"/>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c r="GO59" s="65"/>
      <c r="GP59" s="65"/>
      <c r="GQ59" s="65"/>
      <c r="GR59" s="65"/>
      <c r="GS59" s="65"/>
      <c r="GT59" s="65"/>
      <c r="GU59" s="65"/>
      <c r="GV59" s="65"/>
      <c r="GW59" s="65"/>
      <c r="GX59" s="65"/>
      <c r="GY59" s="65"/>
      <c r="GZ59" s="65"/>
      <c r="HA59" s="65"/>
      <c r="HB59" s="65"/>
      <c r="HC59" s="65"/>
      <c r="HD59" s="65"/>
      <c r="HE59" s="65"/>
      <c r="HF59" s="65"/>
      <c r="HG59" s="65"/>
      <c r="HH59" s="65"/>
      <c r="HI59" s="65"/>
      <c r="HJ59" s="65"/>
      <c r="HK59" s="65"/>
      <c r="HL59" s="65"/>
      <c r="HM59" s="65"/>
      <c r="HN59" s="65"/>
      <c r="HO59" s="65"/>
    </row>
    <row r="60" spans="1:223" s="78" customFormat="1" ht="34.5" customHeight="1" x14ac:dyDescent="0.25">
      <c r="A60" s="353">
        <v>2025</v>
      </c>
      <c r="B60" s="354">
        <v>6</v>
      </c>
      <c r="C60" s="353">
        <v>22774</v>
      </c>
      <c r="D60" s="279">
        <v>45821</v>
      </c>
      <c r="E60" s="81" t="s">
        <v>2094</v>
      </c>
      <c r="F60" s="81" t="s">
        <v>2095</v>
      </c>
      <c r="H60" s="78">
        <v>3006135322</v>
      </c>
      <c r="I60" s="78">
        <v>2664620</v>
      </c>
      <c r="J60" s="66">
        <v>45828</v>
      </c>
      <c r="K60" s="78" t="s">
        <v>88</v>
      </c>
      <c r="L60" s="79" t="s">
        <v>2096</v>
      </c>
      <c r="M60" s="78" t="s">
        <v>136</v>
      </c>
      <c r="N60" s="78" t="s">
        <v>136</v>
      </c>
      <c r="O60" s="78">
        <v>6865</v>
      </c>
      <c r="P60" s="78">
        <v>9247</v>
      </c>
      <c r="Q60" s="78" t="s">
        <v>136</v>
      </c>
      <c r="R60" s="78" t="s">
        <v>136</v>
      </c>
      <c r="S60" s="78" t="s">
        <v>136</v>
      </c>
      <c r="T60" s="78" t="s">
        <v>134</v>
      </c>
      <c r="U60" s="78" t="s">
        <v>136</v>
      </c>
      <c r="V60" s="81" t="s">
        <v>89</v>
      </c>
      <c r="W60" s="66"/>
      <c r="X60" s="66">
        <v>45833</v>
      </c>
      <c r="Z60" s="80" t="s">
        <v>85</v>
      </c>
      <c r="AA60" s="371">
        <v>1423000</v>
      </c>
      <c r="AB60" s="78">
        <v>6001</v>
      </c>
      <c r="AC60" s="228">
        <v>1221429</v>
      </c>
      <c r="AD60" s="228">
        <f t="shared" si="1"/>
        <v>1453500.51</v>
      </c>
      <c r="AE60" s="303">
        <v>0</v>
      </c>
      <c r="AG60" s="210" t="s">
        <v>1987</v>
      </c>
      <c r="AH60" s="403">
        <v>45821</v>
      </c>
      <c r="AI60" s="66">
        <v>45835</v>
      </c>
      <c r="AJ60" s="78" t="s">
        <v>1705</v>
      </c>
      <c r="AL60" s="65"/>
      <c r="AM60" s="65"/>
      <c r="AN60" s="65"/>
      <c r="AO60" s="65"/>
      <c r="AP60" s="65"/>
      <c r="AQ60" s="65"/>
      <c r="AR60" s="65"/>
      <c r="AS60" s="65"/>
      <c r="AT60" s="65"/>
      <c r="AU60" s="65"/>
      <c r="AV60" s="65"/>
      <c r="AW60" s="65"/>
      <c r="AX60" s="65"/>
      <c r="AY60" s="65"/>
      <c r="AZ60" s="65"/>
      <c r="BA60" s="65"/>
      <c r="BB60" s="65"/>
      <c r="BC60" s="65"/>
      <c r="BD60" s="65"/>
      <c r="BE60" s="65"/>
      <c r="BF60" s="65"/>
      <c r="BG60" s="65"/>
      <c r="BH60" s="65"/>
      <c r="BI60" s="65"/>
      <c r="BJ60" s="65"/>
      <c r="BK60" s="65"/>
      <c r="BL60" s="65"/>
      <c r="BM60" s="65"/>
      <c r="BN60" s="65"/>
      <c r="BO60" s="65"/>
      <c r="BP60" s="65"/>
      <c r="BQ60" s="65"/>
      <c r="BR60" s="65"/>
      <c r="BS60" s="65"/>
      <c r="BT60" s="65"/>
      <c r="BU60" s="65"/>
      <c r="BV60" s="65"/>
      <c r="BW60" s="65"/>
      <c r="BX60" s="65"/>
      <c r="BY60" s="65"/>
      <c r="BZ60" s="65"/>
      <c r="CA60" s="65"/>
      <c r="CB60" s="65"/>
      <c r="CC60" s="65"/>
      <c r="CD60" s="65"/>
      <c r="CE60" s="65"/>
      <c r="CF60" s="65"/>
      <c r="CG60" s="65"/>
      <c r="CH60" s="65"/>
      <c r="CI60" s="65"/>
      <c r="CJ60" s="65"/>
      <c r="CK60" s="65"/>
      <c r="CL60" s="65"/>
      <c r="CM60" s="65"/>
      <c r="CN60" s="65"/>
      <c r="CO60" s="65"/>
      <c r="CP60" s="65"/>
      <c r="CQ60" s="65"/>
      <c r="CR60" s="65"/>
      <c r="CS60" s="65"/>
      <c r="CT60" s="65"/>
      <c r="CU60" s="65"/>
      <c r="CV60" s="65"/>
      <c r="CW60" s="65"/>
      <c r="CX60" s="65"/>
      <c r="CY60" s="65"/>
      <c r="CZ60" s="65"/>
      <c r="DA60" s="65"/>
      <c r="DB60" s="65"/>
      <c r="DC60" s="65"/>
      <c r="DD60" s="65"/>
      <c r="DE60" s="65"/>
      <c r="DF60" s="65"/>
      <c r="DG60" s="65"/>
      <c r="DH60" s="65"/>
      <c r="DI60" s="65"/>
      <c r="DJ60" s="65"/>
      <c r="DK60" s="65"/>
      <c r="DL60" s="65"/>
      <c r="DM60" s="65"/>
      <c r="DN60" s="65"/>
      <c r="DO60" s="65"/>
      <c r="DP60" s="65"/>
      <c r="DQ60" s="65"/>
      <c r="DR60" s="65"/>
      <c r="DS60" s="65"/>
      <c r="DT60" s="65"/>
      <c r="DU60" s="65"/>
      <c r="DV60" s="65"/>
      <c r="DW60" s="65"/>
      <c r="DX60" s="65"/>
      <c r="DY60" s="65"/>
      <c r="DZ60" s="65"/>
      <c r="EA60" s="65"/>
      <c r="EB60" s="65"/>
      <c r="EC60" s="65"/>
      <c r="ED60" s="65"/>
      <c r="EE60" s="65"/>
      <c r="EF60" s="65"/>
      <c r="EG60" s="65"/>
      <c r="EH60" s="65"/>
      <c r="EI60" s="65"/>
      <c r="EJ60" s="65"/>
      <c r="EK60" s="65"/>
      <c r="EL60" s="65"/>
      <c r="EM60" s="65"/>
      <c r="EN60" s="65"/>
      <c r="EO60" s="65"/>
      <c r="EP60" s="65"/>
      <c r="EQ60" s="65"/>
      <c r="ER60" s="65"/>
      <c r="ES60" s="65"/>
      <c r="ET60" s="65"/>
      <c r="EU60" s="65"/>
      <c r="EV60" s="65"/>
      <c r="EW60" s="65"/>
      <c r="EX60" s="65"/>
      <c r="EY60" s="65"/>
      <c r="EZ60" s="65"/>
      <c r="FA60" s="65"/>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c r="GO60" s="65"/>
      <c r="GP60" s="65"/>
      <c r="GQ60" s="65"/>
      <c r="GR60" s="65"/>
      <c r="GS60" s="65"/>
      <c r="GT60" s="65"/>
      <c r="GU60" s="65"/>
      <c r="GV60" s="65"/>
      <c r="GW60" s="65"/>
      <c r="GX60" s="65"/>
      <c r="GY60" s="65"/>
      <c r="GZ60" s="65"/>
      <c r="HA60" s="65"/>
      <c r="HB60" s="65"/>
      <c r="HC60" s="65"/>
      <c r="HD60" s="65"/>
      <c r="HE60" s="65"/>
      <c r="HF60" s="65"/>
      <c r="HG60" s="65"/>
      <c r="HH60" s="65"/>
      <c r="HI60" s="65"/>
      <c r="HJ60" s="65"/>
      <c r="HK60" s="65"/>
      <c r="HL60" s="65"/>
      <c r="HM60" s="65"/>
      <c r="HN60" s="65"/>
      <c r="HO60" s="65"/>
    </row>
    <row r="61" spans="1:223" s="78" customFormat="1" ht="34.5" customHeight="1" x14ac:dyDescent="0.25">
      <c r="A61" s="353">
        <v>2025</v>
      </c>
      <c r="B61" s="354">
        <v>6</v>
      </c>
      <c r="C61" s="353">
        <v>22775</v>
      </c>
      <c r="D61" s="279">
        <v>45821</v>
      </c>
      <c r="E61" s="81" t="s">
        <v>2126</v>
      </c>
      <c r="F61" s="81" t="s">
        <v>2126</v>
      </c>
      <c r="G61" s="78" t="s">
        <v>143</v>
      </c>
      <c r="H61" s="78">
        <v>3126685913</v>
      </c>
      <c r="I61" s="78">
        <v>3126685913</v>
      </c>
      <c r="J61" s="66">
        <v>45834</v>
      </c>
      <c r="K61" s="78" t="s">
        <v>84</v>
      </c>
      <c r="L61" s="79" t="s">
        <v>2127</v>
      </c>
      <c r="M61" s="78" t="s">
        <v>136</v>
      </c>
      <c r="N61" s="78">
        <v>6028</v>
      </c>
      <c r="O61" s="78" t="s">
        <v>136</v>
      </c>
      <c r="P61" s="78" t="s">
        <v>136</v>
      </c>
      <c r="Q61" s="78" t="s">
        <v>136</v>
      </c>
      <c r="R61" s="78" t="s">
        <v>136</v>
      </c>
      <c r="S61" s="78" t="s">
        <v>136</v>
      </c>
      <c r="T61" s="78" t="s">
        <v>2065</v>
      </c>
      <c r="U61" s="78" t="s">
        <v>136</v>
      </c>
      <c r="V61" s="81" t="s">
        <v>119</v>
      </c>
      <c r="W61" s="66">
        <v>45833</v>
      </c>
      <c r="X61" s="66">
        <v>45845</v>
      </c>
      <c r="Z61" s="80" t="s">
        <v>85</v>
      </c>
      <c r="AA61" s="371">
        <v>180000</v>
      </c>
      <c r="AB61" s="78">
        <v>6006</v>
      </c>
      <c r="AC61" s="228">
        <v>151261</v>
      </c>
      <c r="AD61" s="228">
        <f t="shared" si="1"/>
        <v>180000.59</v>
      </c>
      <c r="AE61" s="303">
        <v>0</v>
      </c>
      <c r="AG61" s="210" t="s">
        <v>2139</v>
      </c>
      <c r="AH61" s="403">
        <v>45821</v>
      </c>
      <c r="AI61" s="66">
        <v>45847</v>
      </c>
      <c r="AJ61" s="78" t="s">
        <v>1705</v>
      </c>
      <c r="AL61" s="65"/>
      <c r="AM61" s="65"/>
      <c r="AN61" s="65"/>
      <c r="AO61" s="65"/>
      <c r="AP61" s="65"/>
      <c r="AQ61" s="65"/>
      <c r="AR61" s="65"/>
      <c r="AS61" s="65"/>
      <c r="AT61" s="65"/>
      <c r="AU61" s="65"/>
      <c r="AV61" s="65"/>
      <c r="AW61" s="65"/>
      <c r="AX61" s="65"/>
      <c r="AY61" s="65"/>
      <c r="AZ61" s="65"/>
      <c r="BA61" s="65"/>
      <c r="BB61" s="65"/>
      <c r="BC61" s="65"/>
      <c r="BD61" s="65"/>
      <c r="BE61" s="65"/>
      <c r="BF61" s="65"/>
      <c r="BG61" s="65"/>
      <c r="BH61" s="65"/>
      <c r="BI61" s="65"/>
      <c r="BJ61" s="65"/>
      <c r="BK61" s="65"/>
      <c r="BL61" s="65"/>
      <c r="BM61" s="65"/>
      <c r="BN61" s="65"/>
      <c r="BO61" s="65"/>
      <c r="BP61" s="65"/>
      <c r="BQ61" s="65"/>
      <c r="BR61" s="65"/>
      <c r="BS61" s="65"/>
      <c r="BT61" s="65"/>
      <c r="BU61" s="65"/>
      <c r="BV61" s="65"/>
      <c r="BW61" s="65"/>
      <c r="BX61" s="65"/>
      <c r="BY61" s="65"/>
      <c r="BZ61" s="65"/>
      <c r="CA61" s="65"/>
      <c r="CB61" s="65"/>
      <c r="CC61" s="65"/>
      <c r="CD61" s="65"/>
      <c r="CE61" s="65"/>
      <c r="CF61" s="65"/>
      <c r="CG61" s="65"/>
      <c r="CH61" s="65"/>
      <c r="CI61" s="65"/>
      <c r="CJ61" s="65"/>
      <c r="CK61" s="65"/>
      <c r="CL61" s="65"/>
      <c r="CM61" s="65"/>
      <c r="CN61" s="65"/>
      <c r="CO61" s="65"/>
      <c r="CP61" s="65"/>
      <c r="CQ61" s="65"/>
      <c r="CR61" s="65"/>
      <c r="CS61" s="65"/>
      <c r="CT61" s="65"/>
      <c r="CU61" s="65"/>
      <c r="CV61" s="65"/>
      <c r="CW61" s="65"/>
      <c r="CX61" s="65"/>
      <c r="CY61" s="65"/>
      <c r="CZ61" s="65"/>
      <c r="DA61" s="65"/>
      <c r="DB61" s="65"/>
      <c r="DC61" s="65"/>
      <c r="DD61" s="65"/>
      <c r="DE61" s="65"/>
      <c r="DF61" s="65"/>
      <c r="DG61" s="65"/>
      <c r="DH61" s="65"/>
      <c r="DI61" s="65"/>
      <c r="DJ61" s="65"/>
      <c r="DK61" s="65"/>
      <c r="DL61" s="65"/>
      <c r="DM61" s="65"/>
      <c r="DN61" s="65"/>
      <c r="DO61" s="65"/>
      <c r="DP61" s="65"/>
      <c r="DQ61" s="65"/>
      <c r="DR61" s="65"/>
      <c r="DS61" s="65"/>
      <c r="DT61" s="65"/>
      <c r="DU61" s="65"/>
      <c r="DV61" s="65"/>
      <c r="DW61" s="65"/>
      <c r="DX61" s="65"/>
      <c r="DY61" s="65"/>
      <c r="DZ61" s="65"/>
      <c r="EA61" s="65"/>
      <c r="EB61" s="65"/>
      <c r="EC61" s="65"/>
      <c r="ED61" s="65"/>
      <c r="EE61" s="65"/>
      <c r="EF61" s="65"/>
      <c r="EG61" s="65"/>
      <c r="EH61" s="65"/>
      <c r="EI61" s="65"/>
      <c r="EJ61" s="65"/>
      <c r="EK61" s="65"/>
      <c r="EL61" s="65"/>
      <c r="EM61" s="65"/>
      <c r="EN61" s="65"/>
      <c r="EO61" s="65"/>
      <c r="EP61" s="65"/>
      <c r="EQ61" s="65"/>
      <c r="ER61" s="65"/>
      <c r="ES61" s="65"/>
      <c r="ET61" s="65"/>
      <c r="EU61" s="65"/>
      <c r="EV61" s="65"/>
      <c r="EW61" s="65"/>
      <c r="EX61" s="65"/>
      <c r="EY61" s="65"/>
      <c r="EZ61" s="65"/>
      <c r="FA61" s="65"/>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c r="GO61" s="65"/>
      <c r="GP61" s="65"/>
      <c r="GQ61" s="65"/>
      <c r="GR61" s="65"/>
      <c r="GS61" s="65"/>
      <c r="GT61" s="65"/>
      <c r="GU61" s="65"/>
      <c r="GV61" s="65"/>
      <c r="GW61" s="65"/>
      <c r="GX61" s="65"/>
      <c r="GY61" s="65"/>
      <c r="GZ61" s="65"/>
      <c r="HA61" s="65"/>
      <c r="HB61" s="65"/>
      <c r="HC61" s="65"/>
      <c r="HD61" s="65"/>
      <c r="HE61" s="65"/>
      <c r="HF61" s="65"/>
      <c r="HG61" s="65"/>
      <c r="HH61" s="65"/>
      <c r="HI61" s="65"/>
      <c r="HJ61" s="65"/>
      <c r="HK61" s="65"/>
      <c r="HL61" s="65"/>
      <c r="HM61" s="65"/>
      <c r="HN61" s="65"/>
      <c r="HO61" s="65"/>
    </row>
    <row r="62" spans="1:223" s="78" customFormat="1" ht="34.5" customHeight="1" x14ac:dyDescent="0.25">
      <c r="A62" s="353">
        <v>2025</v>
      </c>
      <c r="B62" s="354">
        <v>6</v>
      </c>
      <c r="C62" s="355">
        <v>22776</v>
      </c>
      <c r="D62" s="279">
        <v>45821</v>
      </c>
      <c r="E62" s="81" t="s">
        <v>2111</v>
      </c>
      <c r="F62" s="81" t="s">
        <v>2112</v>
      </c>
      <c r="H62" s="78">
        <v>3186620067</v>
      </c>
      <c r="I62" s="78">
        <v>3223479604</v>
      </c>
      <c r="J62" s="66">
        <v>45832</v>
      </c>
      <c r="K62" s="78" t="s">
        <v>88</v>
      </c>
      <c r="L62" s="79" t="s">
        <v>2113</v>
      </c>
      <c r="M62" s="78" t="s">
        <v>136</v>
      </c>
      <c r="N62" s="78" t="s">
        <v>136</v>
      </c>
      <c r="O62" s="78" t="s">
        <v>136</v>
      </c>
      <c r="P62" s="78" t="s">
        <v>136</v>
      </c>
      <c r="Q62" s="78" t="s">
        <v>136</v>
      </c>
      <c r="R62" s="78" t="s">
        <v>136</v>
      </c>
      <c r="S62" s="78" t="s">
        <v>136</v>
      </c>
      <c r="T62" s="78" t="s">
        <v>136</v>
      </c>
      <c r="U62" s="78" t="s">
        <v>134</v>
      </c>
      <c r="V62" s="81" t="s">
        <v>119</v>
      </c>
      <c r="W62" s="66">
        <v>45824</v>
      </c>
      <c r="X62" s="66">
        <v>45832</v>
      </c>
      <c r="Z62" s="80" t="s">
        <v>85</v>
      </c>
      <c r="AA62" s="371">
        <v>120000</v>
      </c>
      <c r="AB62" s="78">
        <v>5954</v>
      </c>
      <c r="AC62" s="228">
        <v>100840</v>
      </c>
      <c r="AD62" s="228">
        <f>+AC62*1.19</f>
        <v>119999.59999999999</v>
      </c>
      <c r="AE62" s="303">
        <v>0</v>
      </c>
      <c r="AG62" s="210" t="s">
        <v>2221</v>
      </c>
      <c r="AH62" s="66">
        <v>45821</v>
      </c>
      <c r="AI62" s="66">
        <v>45836</v>
      </c>
      <c r="AJ62" s="78" t="s">
        <v>1705</v>
      </c>
      <c r="AK62" s="434"/>
      <c r="AL62" s="65"/>
      <c r="AM62" s="65"/>
      <c r="AN62" s="65"/>
      <c r="AO62" s="65"/>
      <c r="AP62" s="65"/>
      <c r="AQ62" s="65"/>
      <c r="AR62" s="65"/>
      <c r="AS62" s="65"/>
      <c r="AT62" s="65"/>
      <c r="AU62" s="65"/>
      <c r="AV62" s="65"/>
      <c r="AW62" s="65"/>
      <c r="AX62" s="65"/>
      <c r="AY62" s="65"/>
      <c r="AZ62" s="65"/>
      <c r="BA62" s="65"/>
      <c r="BB62" s="65"/>
      <c r="BC62" s="65"/>
      <c r="BD62" s="65"/>
      <c r="BE62" s="65"/>
      <c r="BF62" s="65"/>
      <c r="BG62" s="65"/>
      <c r="BH62" s="65"/>
      <c r="BI62" s="65"/>
      <c r="BJ62" s="65"/>
      <c r="BK62" s="65"/>
      <c r="BL62" s="65"/>
      <c r="BM62" s="65"/>
      <c r="BN62" s="65"/>
      <c r="BO62" s="65"/>
      <c r="BP62" s="65"/>
      <c r="BQ62" s="65"/>
      <c r="BR62" s="65"/>
      <c r="BS62" s="65"/>
      <c r="BT62" s="65"/>
      <c r="BU62" s="65"/>
      <c r="BV62" s="65"/>
      <c r="BW62" s="65"/>
      <c r="BX62" s="65"/>
      <c r="BY62" s="65"/>
      <c r="BZ62" s="65"/>
      <c r="CA62" s="65"/>
      <c r="CB62" s="65"/>
      <c r="CC62" s="65"/>
      <c r="CD62" s="65"/>
      <c r="CE62" s="65"/>
      <c r="CF62" s="65"/>
      <c r="CG62" s="65"/>
      <c r="CH62" s="65"/>
      <c r="CI62" s="65"/>
      <c r="CJ62" s="65"/>
      <c r="CK62" s="65"/>
      <c r="CL62" s="65"/>
      <c r="CM62" s="65"/>
      <c r="CN62" s="65"/>
      <c r="CO62" s="65"/>
      <c r="CP62" s="65"/>
      <c r="CQ62" s="65"/>
      <c r="CR62" s="65"/>
      <c r="CS62" s="65"/>
      <c r="CT62" s="65"/>
      <c r="CU62" s="65"/>
      <c r="CV62" s="65"/>
      <c r="CW62" s="65"/>
      <c r="CX62" s="65"/>
      <c r="CY62" s="65"/>
      <c r="CZ62" s="65"/>
      <c r="DA62" s="65"/>
      <c r="DB62" s="65"/>
      <c r="DC62" s="65"/>
      <c r="DD62" s="65"/>
      <c r="DE62" s="65"/>
      <c r="DF62" s="65"/>
      <c r="DG62" s="65"/>
      <c r="DH62" s="65"/>
      <c r="DI62" s="65"/>
      <c r="DJ62" s="65"/>
      <c r="DK62" s="65"/>
      <c r="DL62" s="65"/>
      <c r="DM62" s="65"/>
      <c r="DN62" s="65"/>
      <c r="DO62" s="65"/>
      <c r="DP62" s="65"/>
      <c r="DQ62" s="65"/>
      <c r="DR62" s="65"/>
      <c r="DS62" s="65"/>
      <c r="DT62" s="65"/>
      <c r="DU62" s="65"/>
      <c r="DV62" s="65"/>
      <c r="DW62" s="65"/>
      <c r="DX62" s="65"/>
      <c r="DY62" s="65"/>
      <c r="DZ62" s="65"/>
      <c r="EA62" s="65"/>
      <c r="EB62" s="65"/>
      <c r="EC62" s="65"/>
      <c r="ED62" s="65"/>
      <c r="EE62" s="65"/>
      <c r="EF62" s="65"/>
      <c r="EG62" s="65"/>
      <c r="EH62" s="65"/>
      <c r="EI62" s="65"/>
      <c r="EJ62" s="65"/>
      <c r="EK62" s="65"/>
      <c r="EL62" s="65"/>
      <c r="EM62" s="65"/>
      <c r="EN62" s="65"/>
      <c r="EO62" s="65"/>
      <c r="EP62" s="65"/>
      <c r="EQ62" s="65"/>
      <c r="ER62" s="65"/>
      <c r="ES62" s="65"/>
      <c r="ET62" s="65"/>
      <c r="EU62" s="65"/>
      <c r="EV62" s="65"/>
      <c r="EW62" s="65"/>
      <c r="EX62" s="65"/>
      <c r="EY62" s="65"/>
      <c r="EZ62" s="65"/>
      <c r="FA62" s="65"/>
      <c r="FB62" s="65"/>
      <c r="FC62" s="65"/>
      <c r="FD62" s="65"/>
      <c r="FE62" s="65"/>
      <c r="FF62" s="65"/>
      <c r="FG62" s="65"/>
      <c r="FH62" s="65"/>
      <c r="FI62" s="65"/>
      <c r="FJ62" s="65"/>
      <c r="FK62" s="65"/>
      <c r="FL62" s="65"/>
      <c r="FM62" s="65"/>
      <c r="FN62" s="65"/>
      <c r="FO62" s="65"/>
      <c r="FP62" s="65"/>
      <c r="FQ62" s="65"/>
      <c r="FR62" s="65"/>
      <c r="FS62" s="65"/>
      <c r="FT62" s="65"/>
      <c r="FU62" s="65"/>
      <c r="FV62" s="65"/>
      <c r="FW62" s="65"/>
      <c r="FX62" s="65"/>
      <c r="FY62" s="65"/>
      <c r="FZ62" s="65"/>
      <c r="GA62" s="65"/>
      <c r="GB62" s="65"/>
      <c r="GC62" s="65"/>
      <c r="GD62" s="65"/>
      <c r="GE62" s="65"/>
      <c r="GF62" s="65"/>
      <c r="GG62" s="65"/>
      <c r="GH62" s="65"/>
      <c r="GI62" s="65"/>
      <c r="GJ62" s="65"/>
      <c r="GK62" s="65"/>
      <c r="GL62" s="65"/>
      <c r="GM62" s="65"/>
      <c r="GN62" s="65"/>
      <c r="GO62" s="65"/>
      <c r="GP62" s="65"/>
      <c r="GQ62" s="65"/>
      <c r="GR62" s="65"/>
      <c r="GS62" s="65"/>
      <c r="GT62" s="65"/>
      <c r="GU62" s="65"/>
      <c r="GV62" s="65"/>
      <c r="GW62" s="65"/>
      <c r="GX62" s="65"/>
      <c r="GY62" s="65"/>
      <c r="GZ62" s="65"/>
      <c r="HA62" s="65"/>
      <c r="HB62" s="65"/>
      <c r="HC62" s="65"/>
      <c r="HD62" s="65"/>
      <c r="HE62" s="65"/>
      <c r="HF62" s="65"/>
      <c r="HG62" s="65"/>
      <c r="HH62" s="65"/>
      <c r="HI62" s="65"/>
      <c r="HJ62" s="65"/>
      <c r="HK62" s="65"/>
      <c r="HL62" s="65"/>
      <c r="HM62" s="65"/>
      <c r="HN62" s="65"/>
      <c r="HO62" s="65"/>
    </row>
    <row r="63" spans="1:223" s="78" customFormat="1" ht="34.5" customHeight="1" x14ac:dyDescent="0.25">
      <c r="A63" s="353">
        <v>2025</v>
      </c>
      <c r="B63" s="354">
        <v>6</v>
      </c>
      <c r="C63" s="353">
        <v>22777</v>
      </c>
      <c r="D63" s="279">
        <v>45821</v>
      </c>
      <c r="E63" s="81" t="s">
        <v>2114</v>
      </c>
      <c r="F63" s="81" t="s">
        <v>2115</v>
      </c>
      <c r="H63" s="78">
        <v>3176392675</v>
      </c>
      <c r="I63" s="78">
        <v>3176392675</v>
      </c>
      <c r="J63" s="66">
        <v>45825</v>
      </c>
      <c r="K63" s="78" t="s">
        <v>88</v>
      </c>
      <c r="L63" s="79" t="s">
        <v>2116</v>
      </c>
      <c r="M63" s="78" t="s">
        <v>136</v>
      </c>
      <c r="N63" s="78" t="s">
        <v>136</v>
      </c>
      <c r="O63" s="78">
        <v>6869</v>
      </c>
      <c r="P63" s="78">
        <v>9226</v>
      </c>
      <c r="Q63" s="78" t="s">
        <v>136</v>
      </c>
      <c r="R63" s="78" t="s">
        <v>136</v>
      </c>
      <c r="S63" s="78" t="s">
        <v>136</v>
      </c>
      <c r="T63" s="78" t="s">
        <v>136</v>
      </c>
      <c r="U63" s="78" t="s">
        <v>134</v>
      </c>
      <c r="V63" s="81" t="s">
        <v>119</v>
      </c>
      <c r="W63" s="66">
        <v>45825</v>
      </c>
      <c r="X63" s="66">
        <v>45825</v>
      </c>
      <c r="Z63" s="80" t="s">
        <v>85</v>
      </c>
      <c r="AA63" s="371">
        <f>80000+160000</f>
        <v>240000</v>
      </c>
      <c r="AB63" s="78">
        <v>5953</v>
      </c>
      <c r="AC63" s="228">
        <v>201681</v>
      </c>
      <c r="AD63" s="228">
        <f t="shared" si="1"/>
        <v>240000.38999999998</v>
      </c>
      <c r="AE63" s="303">
        <v>0</v>
      </c>
      <c r="AG63" s="210" t="s">
        <v>1890</v>
      </c>
      <c r="AH63" s="66">
        <v>45821</v>
      </c>
      <c r="AI63" s="66">
        <v>45826</v>
      </c>
      <c r="AJ63" s="78" t="s">
        <v>1705</v>
      </c>
      <c r="AL63" s="65"/>
      <c r="AM63" s="65"/>
      <c r="AN63" s="65"/>
      <c r="AO63" s="65"/>
      <c r="AP63" s="65"/>
      <c r="AQ63" s="65"/>
      <c r="AR63" s="65"/>
      <c r="AS63" s="65"/>
      <c r="AT63" s="65"/>
      <c r="AU63" s="65"/>
      <c r="AV63" s="65"/>
      <c r="AW63" s="65"/>
      <c r="AX63" s="65"/>
      <c r="AY63" s="65"/>
      <c r="AZ63" s="65"/>
      <c r="BA63" s="65"/>
      <c r="BB63" s="65"/>
      <c r="BC63" s="65"/>
      <c r="BD63" s="65"/>
      <c r="BE63" s="65"/>
      <c r="BF63" s="65"/>
      <c r="BG63" s="65"/>
      <c r="BH63" s="65"/>
      <c r="BI63" s="65"/>
      <c r="BJ63" s="65"/>
      <c r="BK63" s="65"/>
      <c r="BL63" s="65"/>
      <c r="BM63" s="65"/>
      <c r="BN63" s="65"/>
      <c r="BO63" s="65"/>
      <c r="BP63" s="65"/>
      <c r="BQ63" s="65"/>
      <c r="BR63" s="65"/>
      <c r="BS63" s="65"/>
      <c r="BT63" s="65"/>
      <c r="BU63" s="65"/>
      <c r="BV63" s="65"/>
      <c r="BW63" s="65"/>
      <c r="BX63" s="65"/>
      <c r="BY63" s="65"/>
      <c r="BZ63" s="65"/>
      <c r="CA63" s="65"/>
      <c r="CB63" s="65"/>
      <c r="CC63" s="65"/>
      <c r="CD63" s="65"/>
      <c r="CE63" s="65"/>
      <c r="CF63" s="65"/>
      <c r="CG63" s="65"/>
      <c r="CH63" s="65"/>
      <c r="CI63" s="65"/>
      <c r="CJ63" s="65"/>
      <c r="CK63" s="65"/>
      <c r="CL63" s="65"/>
      <c r="CM63" s="65"/>
      <c r="CN63" s="65"/>
      <c r="CO63" s="65"/>
      <c r="CP63" s="65"/>
      <c r="CQ63" s="65"/>
      <c r="CR63" s="65"/>
      <c r="CS63" s="65"/>
      <c r="CT63" s="65"/>
      <c r="CU63" s="65"/>
      <c r="CV63" s="65"/>
      <c r="CW63" s="65"/>
      <c r="CX63" s="65"/>
      <c r="CY63" s="65"/>
      <c r="CZ63" s="65"/>
      <c r="DA63" s="65"/>
      <c r="DB63" s="65"/>
      <c r="DC63" s="65"/>
      <c r="DD63" s="65"/>
      <c r="DE63" s="65"/>
      <c r="DF63" s="65"/>
      <c r="DG63" s="65"/>
      <c r="DH63" s="65"/>
      <c r="DI63" s="65"/>
      <c r="DJ63" s="65"/>
      <c r="DK63" s="65"/>
      <c r="DL63" s="65"/>
      <c r="DM63" s="65"/>
      <c r="DN63" s="65"/>
      <c r="DO63" s="65"/>
      <c r="DP63" s="65"/>
      <c r="DQ63" s="65"/>
      <c r="DR63" s="65"/>
      <c r="DS63" s="65"/>
      <c r="DT63" s="65"/>
      <c r="DU63" s="65"/>
      <c r="DV63" s="65"/>
      <c r="DW63" s="65"/>
      <c r="DX63" s="65"/>
      <c r="DY63" s="65"/>
      <c r="DZ63" s="65"/>
      <c r="EA63" s="65"/>
      <c r="EB63" s="65"/>
      <c r="EC63" s="65"/>
      <c r="ED63" s="65"/>
      <c r="EE63" s="65"/>
      <c r="EF63" s="65"/>
      <c r="EG63" s="65"/>
      <c r="EH63" s="65"/>
      <c r="EI63" s="65"/>
      <c r="EJ63" s="65"/>
      <c r="EK63" s="65"/>
      <c r="EL63" s="65"/>
      <c r="EM63" s="65"/>
      <c r="EN63" s="65"/>
      <c r="EO63" s="65"/>
      <c r="EP63" s="65"/>
      <c r="EQ63" s="65"/>
      <c r="ER63" s="65"/>
      <c r="ES63" s="65"/>
      <c r="ET63" s="65"/>
      <c r="EU63" s="65"/>
      <c r="EV63" s="65"/>
      <c r="EW63" s="65"/>
      <c r="EX63" s="65"/>
      <c r="EY63" s="65"/>
      <c r="EZ63" s="65"/>
      <c r="FA63" s="65"/>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c r="GO63" s="65"/>
      <c r="GP63" s="65"/>
      <c r="GQ63" s="65"/>
      <c r="GR63" s="65"/>
      <c r="GS63" s="65"/>
      <c r="GT63" s="65"/>
      <c r="GU63" s="65"/>
      <c r="GV63" s="65"/>
      <c r="GW63" s="65"/>
      <c r="GX63" s="65"/>
      <c r="GY63" s="65"/>
      <c r="GZ63" s="65"/>
      <c r="HA63" s="65"/>
      <c r="HB63" s="65"/>
      <c r="HC63" s="65"/>
      <c r="HD63" s="65"/>
      <c r="HE63" s="65"/>
      <c r="HF63" s="65"/>
      <c r="HG63" s="65"/>
      <c r="HH63" s="65"/>
      <c r="HI63" s="65"/>
      <c r="HJ63" s="65"/>
      <c r="HK63" s="65"/>
      <c r="HL63" s="65"/>
      <c r="HM63" s="65"/>
      <c r="HN63" s="65"/>
      <c r="HO63" s="65"/>
    </row>
    <row r="64" spans="1:223" s="78" customFormat="1" ht="45" x14ac:dyDescent="0.25">
      <c r="A64" s="353">
        <v>2025</v>
      </c>
      <c r="B64" s="354">
        <v>6</v>
      </c>
      <c r="C64" s="353">
        <v>22778</v>
      </c>
      <c r="D64" s="279">
        <v>45822</v>
      </c>
      <c r="E64" s="81" t="s">
        <v>2242</v>
      </c>
      <c r="F64" s="81" t="s">
        <v>2243</v>
      </c>
      <c r="G64" s="78" t="s">
        <v>173</v>
      </c>
      <c r="H64" s="78" t="s">
        <v>2244</v>
      </c>
      <c r="J64" s="66">
        <v>45824</v>
      </c>
      <c r="K64" s="78" t="s">
        <v>88</v>
      </c>
      <c r="L64" s="79" t="s">
        <v>2245</v>
      </c>
      <c r="M64" s="78" t="s">
        <v>136</v>
      </c>
      <c r="N64" s="78" t="s">
        <v>136</v>
      </c>
      <c r="O64" s="78">
        <v>6870</v>
      </c>
      <c r="P64" s="78">
        <v>9260</v>
      </c>
      <c r="Q64" s="78" t="s">
        <v>136</v>
      </c>
      <c r="R64" s="78" t="s">
        <v>136</v>
      </c>
      <c r="S64" s="78" t="s">
        <v>136</v>
      </c>
      <c r="T64" s="78" t="s">
        <v>136</v>
      </c>
      <c r="U64" s="78" t="s">
        <v>134</v>
      </c>
      <c r="V64" s="81" t="s">
        <v>87</v>
      </c>
      <c r="W64" s="66">
        <v>45822</v>
      </c>
      <c r="X64" s="66">
        <v>45822</v>
      </c>
      <c r="Z64" s="80" t="s">
        <v>85</v>
      </c>
      <c r="AA64" s="371">
        <v>232050</v>
      </c>
      <c r="AB64" s="78">
        <v>5975</v>
      </c>
      <c r="AC64" s="228">
        <v>195000</v>
      </c>
      <c r="AD64" s="228">
        <f t="shared" si="1"/>
        <v>232050</v>
      </c>
      <c r="AE64" s="303">
        <v>0</v>
      </c>
      <c r="AG64" s="210"/>
      <c r="AH64" s="438">
        <v>45826</v>
      </c>
      <c r="AI64" s="66">
        <v>45836</v>
      </c>
      <c r="AJ64" s="78" t="s">
        <v>2227</v>
      </c>
      <c r="AL64" s="65"/>
      <c r="AM64" s="65"/>
      <c r="AN64" s="65"/>
      <c r="AO64" s="65"/>
      <c r="AP64" s="65"/>
      <c r="AQ64" s="65"/>
      <c r="AR64" s="65"/>
      <c r="AS64" s="65"/>
      <c r="AT64" s="65"/>
      <c r="AU64" s="65"/>
      <c r="AV64" s="65"/>
      <c r="AW64" s="65"/>
      <c r="AX64" s="65"/>
      <c r="AY64" s="65"/>
      <c r="AZ64" s="65"/>
      <c r="BA64" s="65"/>
      <c r="BB64" s="65"/>
      <c r="BC64" s="65"/>
      <c r="BD64" s="65"/>
      <c r="BE64" s="65"/>
      <c r="BF64" s="65"/>
      <c r="BG64" s="65"/>
      <c r="BH64" s="65"/>
      <c r="BI64" s="65"/>
      <c r="BJ64" s="65"/>
      <c r="BK64" s="65"/>
      <c r="BL64" s="65"/>
      <c r="BM64" s="65"/>
      <c r="BN64" s="65"/>
      <c r="BO64" s="65"/>
      <c r="BP64" s="65"/>
      <c r="BQ64" s="65"/>
      <c r="BR64" s="65"/>
      <c r="BS64" s="65"/>
      <c r="BT64" s="65"/>
      <c r="BU64" s="65"/>
      <c r="BV64" s="65"/>
      <c r="BW64" s="65"/>
      <c r="BX64" s="65"/>
      <c r="BY64" s="65"/>
      <c r="BZ64" s="65"/>
      <c r="CA64" s="65"/>
      <c r="CB64" s="65"/>
      <c r="CC64" s="65"/>
      <c r="CD64" s="65"/>
      <c r="CE64" s="65"/>
      <c r="CF64" s="65"/>
      <c r="CG64" s="65"/>
      <c r="CH64" s="65"/>
      <c r="CI64" s="65"/>
      <c r="CJ64" s="65"/>
      <c r="CK64" s="65"/>
      <c r="CL64" s="65"/>
      <c r="CM64" s="65"/>
      <c r="CN64" s="65"/>
      <c r="CO64" s="65"/>
      <c r="CP64" s="65"/>
      <c r="CQ64" s="65"/>
      <c r="CR64" s="65"/>
      <c r="CS64" s="65"/>
      <c r="CT64" s="65"/>
      <c r="CU64" s="65"/>
      <c r="CV64" s="65"/>
      <c r="CW64" s="65"/>
      <c r="CX64" s="65"/>
      <c r="CY64" s="65"/>
      <c r="CZ64" s="65"/>
      <c r="DA64" s="65"/>
      <c r="DB64" s="65"/>
      <c r="DC64" s="65"/>
      <c r="DD64" s="65"/>
      <c r="DE64" s="65"/>
      <c r="DF64" s="65"/>
      <c r="DG64" s="65"/>
      <c r="DH64" s="65"/>
      <c r="DI64" s="65"/>
      <c r="DJ64" s="65"/>
      <c r="DK64" s="65"/>
      <c r="DL64" s="65"/>
      <c r="DM64" s="65"/>
      <c r="DN64" s="65"/>
      <c r="DO64" s="65"/>
      <c r="DP64" s="65"/>
      <c r="DQ64" s="65"/>
      <c r="DR64" s="65"/>
      <c r="DS64" s="65"/>
      <c r="DT64" s="65"/>
      <c r="DU64" s="65"/>
      <c r="DV64" s="65"/>
      <c r="DW64" s="65"/>
      <c r="DX64" s="65"/>
      <c r="DY64" s="65"/>
      <c r="DZ64" s="65"/>
      <c r="EA64" s="65"/>
      <c r="EB64" s="65"/>
      <c r="EC64" s="65"/>
      <c r="ED64" s="65"/>
      <c r="EE64" s="65"/>
      <c r="EF64" s="65"/>
      <c r="EG64" s="65"/>
      <c r="EH64" s="65"/>
      <c r="EI64" s="65"/>
      <c r="EJ64" s="65"/>
      <c r="EK64" s="65"/>
      <c r="EL64" s="65"/>
      <c r="EM64" s="65"/>
      <c r="EN64" s="65"/>
      <c r="EO64" s="65"/>
      <c r="EP64" s="65"/>
      <c r="EQ64" s="65"/>
      <c r="ER64" s="65"/>
      <c r="ES64" s="65"/>
      <c r="ET64" s="65"/>
      <c r="EU64" s="65"/>
      <c r="EV64" s="65"/>
      <c r="EW64" s="65"/>
      <c r="EX64" s="65"/>
      <c r="EY64" s="65"/>
      <c r="EZ64" s="65"/>
      <c r="FA64" s="65"/>
      <c r="FB64" s="65"/>
      <c r="FC64" s="65"/>
      <c r="FD64" s="65"/>
      <c r="FE64" s="65"/>
      <c r="FF64" s="65"/>
      <c r="FG64" s="65"/>
      <c r="FH64" s="65"/>
      <c r="FI64" s="65"/>
      <c r="FJ64" s="65"/>
      <c r="FK64" s="65"/>
      <c r="FL64" s="65"/>
      <c r="FM64" s="65"/>
      <c r="FN64" s="65"/>
      <c r="FO64" s="65"/>
      <c r="FP64" s="65"/>
      <c r="FQ64" s="65"/>
      <c r="FR64" s="65"/>
      <c r="FS64" s="65"/>
      <c r="FT64" s="65"/>
      <c r="FU64" s="65"/>
      <c r="FV64" s="65"/>
      <c r="FW64" s="65"/>
      <c r="FX64" s="65"/>
      <c r="FY64" s="65"/>
      <c r="FZ64" s="65"/>
      <c r="GA64" s="65"/>
      <c r="GB64" s="65"/>
      <c r="GC64" s="65"/>
      <c r="GD64" s="65"/>
      <c r="GE64" s="65"/>
      <c r="GF64" s="65"/>
      <c r="GG64" s="65"/>
      <c r="GH64" s="65"/>
      <c r="GI64" s="65"/>
      <c r="GJ64" s="65"/>
      <c r="GK64" s="65"/>
      <c r="GL64" s="65"/>
      <c r="GM64" s="65"/>
      <c r="GN64" s="65"/>
      <c r="GO64" s="65"/>
      <c r="GP64" s="65"/>
      <c r="GQ64" s="65"/>
      <c r="GR64" s="65"/>
      <c r="GS64" s="65"/>
      <c r="GT64" s="65"/>
      <c r="GU64" s="65"/>
      <c r="GV64" s="65"/>
      <c r="GW64" s="65"/>
      <c r="GX64" s="65"/>
      <c r="GY64" s="65"/>
      <c r="GZ64" s="65"/>
      <c r="HA64" s="65"/>
      <c r="HB64" s="65"/>
      <c r="HC64" s="65"/>
      <c r="HD64" s="65"/>
      <c r="HE64" s="65"/>
      <c r="HF64" s="65"/>
      <c r="HG64" s="65"/>
      <c r="HH64" s="65"/>
      <c r="HI64" s="65"/>
      <c r="HJ64" s="65"/>
      <c r="HK64" s="65"/>
      <c r="HL64" s="65"/>
      <c r="HM64" s="65"/>
      <c r="HN64" s="65"/>
      <c r="HO64" s="65"/>
    </row>
    <row r="65" spans="1:223" s="78" customFormat="1" ht="34.5" customHeight="1" x14ac:dyDescent="0.25">
      <c r="A65" s="353">
        <v>2025</v>
      </c>
      <c r="B65" s="354">
        <v>6</v>
      </c>
      <c r="C65" s="355">
        <v>22779</v>
      </c>
      <c r="D65" s="279">
        <v>45827</v>
      </c>
      <c r="E65" s="81" t="s">
        <v>2150</v>
      </c>
      <c r="F65" s="81" t="s">
        <v>2151</v>
      </c>
      <c r="G65" s="78" t="s">
        <v>143</v>
      </c>
      <c r="H65" s="78">
        <v>3104451192</v>
      </c>
      <c r="I65" s="78">
        <v>3104451192</v>
      </c>
      <c r="J65" s="66">
        <v>45843</v>
      </c>
      <c r="K65" s="78" t="s">
        <v>84</v>
      </c>
      <c r="L65" s="79" t="s">
        <v>2152</v>
      </c>
      <c r="M65" s="78" t="s">
        <v>136</v>
      </c>
      <c r="N65" s="78">
        <v>6044</v>
      </c>
      <c r="O65" s="78">
        <v>6878</v>
      </c>
      <c r="P65" s="78">
        <v>9239</v>
      </c>
      <c r="Q65" s="78">
        <v>5605</v>
      </c>
      <c r="R65" s="78" t="s">
        <v>134</v>
      </c>
      <c r="S65" s="78" t="s">
        <v>134</v>
      </c>
      <c r="T65" s="78" t="s">
        <v>134</v>
      </c>
      <c r="U65" s="78" t="s">
        <v>136</v>
      </c>
      <c r="V65" s="81" t="s">
        <v>119</v>
      </c>
      <c r="X65" s="66"/>
      <c r="Z65" s="80" t="s">
        <v>97</v>
      </c>
      <c r="AA65" s="371">
        <v>0</v>
      </c>
      <c r="AC65" s="228">
        <v>3016964</v>
      </c>
      <c r="AD65" s="228">
        <f t="shared" si="1"/>
        <v>3590187.1599999997</v>
      </c>
      <c r="AE65" s="303">
        <v>1795000</v>
      </c>
      <c r="AG65" s="210" t="s">
        <v>2248</v>
      </c>
      <c r="AH65" s="241"/>
      <c r="AI65" s="66">
        <v>45842</v>
      </c>
      <c r="AJ65" s="78" t="s">
        <v>1705</v>
      </c>
      <c r="AL65" s="65"/>
      <c r="AM65" s="65"/>
      <c r="AN65" s="65"/>
      <c r="AO65" s="65"/>
      <c r="AP65" s="65"/>
      <c r="AQ65" s="65"/>
      <c r="AR65" s="65"/>
      <c r="AS65" s="65"/>
      <c r="AT65" s="65"/>
      <c r="AU65" s="65"/>
      <c r="AV65" s="65"/>
      <c r="AW65" s="65"/>
      <c r="AX65" s="65"/>
      <c r="AY65" s="65"/>
      <c r="AZ65" s="65"/>
      <c r="BA65" s="65"/>
      <c r="BB65" s="65"/>
      <c r="BC65" s="65"/>
      <c r="BD65" s="65"/>
      <c r="BE65" s="65"/>
      <c r="BF65" s="65"/>
      <c r="BG65" s="65"/>
      <c r="BH65" s="65"/>
      <c r="BI65" s="65"/>
      <c r="BJ65" s="65"/>
      <c r="BK65" s="65"/>
      <c r="BL65" s="65"/>
      <c r="BM65" s="65"/>
      <c r="BN65" s="65"/>
      <c r="BO65" s="65"/>
      <c r="BP65" s="65"/>
      <c r="BQ65" s="65"/>
      <c r="BR65" s="65"/>
      <c r="BS65" s="65"/>
      <c r="BT65" s="65"/>
      <c r="BU65" s="65"/>
      <c r="BV65" s="65"/>
      <c r="BW65" s="65"/>
      <c r="BX65" s="65"/>
      <c r="BY65" s="65"/>
      <c r="BZ65" s="65"/>
      <c r="CA65" s="65"/>
      <c r="CB65" s="65"/>
      <c r="CC65" s="65"/>
      <c r="CD65" s="65"/>
      <c r="CE65" s="65"/>
      <c r="CF65" s="65"/>
      <c r="CG65" s="65"/>
      <c r="CH65" s="65"/>
      <c r="CI65" s="65"/>
      <c r="CJ65" s="65"/>
      <c r="CK65" s="65"/>
      <c r="CL65" s="65"/>
      <c r="CM65" s="65"/>
      <c r="CN65" s="65"/>
      <c r="CO65" s="65"/>
      <c r="CP65" s="65"/>
      <c r="CQ65" s="65"/>
      <c r="CR65" s="65"/>
      <c r="CS65" s="65"/>
      <c r="CT65" s="65"/>
      <c r="CU65" s="65"/>
      <c r="CV65" s="65"/>
      <c r="CW65" s="65"/>
      <c r="CX65" s="65"/>
      <c r="CY65" s="65"/>
      <c r="CZ65" s="65"/>
      <c r="DA65" s="65"/>
      <c r="DB65" s="65"/>
      <c r="DC65" s="65"/>
      <c r="DD65" s="65"/>
      <c r="DE65" s="65"/>
      <c r="DF65" s="65"/>
      <c r="DG65" s="65"/>
      <c r="DH65" s="65"/>
      <c r="DI65" s="65"/>
      <c r="DJ65" s="65"/>
      <c r="DK65" s="65"/>
      <c r="DL65" s="65"/>
      <c r="DM65" s="65"/>
      <c r="DN65" s="65"/>
      <c r="DO65" s="65"/>
      <c r="DP65" s="65"/>
      <c r="DQ65" s="65"/>
      <c r="DR65" s="65"/>
      <c r="DS65" s="65"/>
      <c r="DT65" s="65"/>
      <c r="DU65" s="65"/>
      <c r="DV65" s="65"/>
      <c r="DW65" s="65"/>
      <c r="DX65" s="65"/>
      <c r="DY65" s="65"/>
      <c r="DZ65" s="65"/>
      <c r="EA65" s="65"/>
      <c r="EB65" s="65"/>
      <c r="EC65" s="65"/>
      <c r="ED65" s="65"/>
      <c r="EE65" s="65"/>
      <c r="EF65" s="65"/>
      <c r="EG65" s="65"/>
      <c r="EH65" s="65"/>
      <c r="EI65" s="65"/>
      <c r="EJ65" s="65"/>
      <c r="EK65" s="65"/>
      <c r="EL65" s="65"/>
      <c r="EM65" s="65"/>
      <c r="EN65" s="65"/>
      <c r="EO65" s="65"/>
      <c r="EP65" s="65"/>
      <c r="EQ65" s="65"/>
      <c r="ER65" s="65"/>
      <c r="ES65" s="65"/>
      <c r="ET65" s="65"/>
      <c r="EU65" s="65"/>
      <c r="EV65" s="65"/>
      <c r="EW65" s="65"/>
      <c r="EX65" s="65"/>
      <c r="EY65" s="65"/>
      <c r="EZ65" s="65"/>
      <c r="FA65" s="65"/>
      <c r="FB65" s="65"/>
      <c r="FC65" s="65"/>
      <c r="FD65" s="65"/>
      <c r="FE65" s="65"/>
      <c r="FF65" s="65"/>
      <c r="FG65" s="65"/>
      <c r="FH65" s="65"/>
      <c r="FI65" s="65"/>
      <c r="FJ65" s="65"/>
      <c r="FK65" s="65"/>
      <c r="FL65" s="65"/>
      <c r="FM65" s="65"/>
      <c r="FN65" s="65"/>
      <c r="FO65" s="65"/>
      <c r="FP65" s="65"/>
      <c r="FQ65" s="65"/>
      <c r="FR65" s="65"/>
      <c r="FS65" s="65"/>
      <c r="FT65" s="65"/>
      <c r="FU65" s="65"/>
      <c r="FV65" s="65"/>
      <c r="FW65" s="65"/>
      <c r="FX65" s="65"/>
      <c r="FY65" s="65"/>
      <c r="FZ65" s="65"/>
      <c r="GA65" s="65"/>
      <c r="GB65" s="65"/>
      <c r="GC65" s="65"/>
      <c r="GD65" s="65"/>
      <c r="GE65" s="65"/>
      <c r="GF65" s="65"/>
      <c r="GG65" s="65"/>
      <c r="GH65" s="65"/>
      <c r="GI65" s="65"/>
      <c r="GJ65" s="65"/>
      <c r="GK65" s="65"/>
      <c r="GL65" s="65"/>
      <c r="GM65" s="65"/>
      <c r="GN65" s="65"/>
      <c r="GO65" s="65"/>
      <c r="GP65" s="65"/>
      <c r="GQ65" s="65"/>
      <c r="GR65" s="65"/>
      <c r="GS65" s="65"/>
      <c r="GT65" s="65"/>
      <c r="GU65" s="65"/>
      <c r="GV65" s="65"/>
      <c r="GW65" s="65"/>
      <c r="GX65" s="65"/>
      <c r="GY65" s="65"/>
      <c r="GZ65" s="65"/>
      <c r="HA65" s="65"/>
      <c r="HB65" s="65"/>
      <c r="HC65" s="65"/>
      <c r="HD65" s="65"/>
      <c r="HE65" s="65"/>
      <c r="HF65" s="65"/>
      <c r="HG65" s="65"/>
      <c r="HH65" s="65"/>
      <c r="HI65" s="65"/>
      <c r="HJ65" s="65"/>
      <c r="HK65" s="65"/>
      <c r="HL65" s="65"/>
      <c r="HM65" s="65"/>
      <c r="HN65" s="65"/>
      <c r="HO65" s="65"/>
    </row>
    <row r="66" spans="1:223" s="78" customFormat="1" ht="34.5" customHeight="1" x14ac:dyDescent="0.25">
      <c r="A66" s="353">
        <v>2025</v>
      </c>
      <c r="B66" s="354">
        <v>6</v>
      </c>
      <c r="C66" s="353">
        <v>22780</v>
      </c>
      <c r="D66" s="279">
        <v>45824</v>
      </c>
      <c r="E66" s="81" t="s">
        <v>2199</v>
      </c>
      <c r="F66" s="81" t="s">
        <v>2199</v>
      </c>
      <c r="G66" s="78" t="s">
        <v>143</v>
      </c>
      <c r="H66" s="78">
        <v>3113576251</v>
      </c>
      <c r="I66" s="78">
        <v>3113576251</v>
      </c>
      <c r="J66" s="66">
        <v>45839</v>
      </c>
      <c r="K66" s="78" t="s">
        <v>84</v>
      </c>
      <c r="L66" s="79" t="s">
        <v>2200</v>
      </c>
      <c r="M66" s="78" t="s">
        <v>136</v>
      </c>
      <c r="N66" s="78">
        <v>6046</v>
      </c>
      <c r="O66" s="78">
        <v>6881</v>
      </c>
      <c r="P66" s="78" t="s">
        <v>136</v>
      </c>
      <c r="Q66" s="78">
        <v>5613</v>
      </c>
      <c r="R66" s="78" t="s">
        <v>136</v>
      </c>
      <c r="S66" s="78" t="s">
        <v>134</v>
      </c>
      <c r="T66" s="78" t="s">
        <v>134</v>
      </c>
      <c r="U66" s="78" t="s">
        <v>136</v>
      </c>
      <c r="V66" s="81" t="s">
        <v>119</v>
      </c>
      <c r="W66" s="66">
        <v>45839</v>
      </c>
      <c r="X66" s="66">
        <v>45843</v>
      </c>
      <c r="Z66" s="80" t="s">
        <v>97</v>
      </c>
      <c r="AA66" s="371">
        <v>0</v>
      </c>
      <c r="AC66" s="228">
        <v>571429</v>
      </c>
      <c r="AD66" s="228">
        <f t="shared" si="1"/>
        <v>680000.51</v>
      </c>
      <c r="AE66" s="303">
        <v>340000</v>
      </c>
      <c r="AG66" s="210"/>
      <c r="AH66" s="241"/>
      <c r="AI66" s="66">
        <v>45847</v>
      </c>
      <c r="AJ66" s="78" t="s">
        <v>1705</v>
      </c>
      <c r="AL66" s="65"/>
      <c r="AM66" s="65"/>
      <c r="AN66" s="65"/>
      <c r="AO66" s="65"/>
      <c r="AP66" s="65"/>
      <c r="AQ66" s="65"/>
      <c r="AR66" s="65"/>
      <c r="AS66" s="65"/>
      <c r="AT66" s="65"/>
      <c r="AU66" s="65"/>
      <c r="AV66" s="65"/>
      <c r="AW66" s="65"/>
      <c r="AX66" s="65"/>
      <c r="AY66" s="65"/>
      <c r="AZ66" s="65"/>
      <c r="BA66" s="65"/>
      <c r="BB66" s="65"/>
      <c r="BC66" s="65"/>
      <c r="BD66" s="65"/>
      <c r="BE66" s="65"/>
      <c r="BF66" s="65"/>
      <c r="BG66" s="65"/>
      <c r="BH66" s="65"/>
      <c r="BI66" s="65"/>
      <c r="BJ66" s="65"/>
      <c r="BK66" s="65"/>
      <c r="BL66" s="65"/>
      <c r="BM66" s="65"/>
      <c r="BN66" s="65"/>
      <c r="BO66" s="65"/>
      <c r="BP66" s="65"/>
      <c r="BQ66" s="65"/>
      <c r="BR66" s="65"/>
      <c r="BS66" s="65"/>
      <c r="BT66" s="65"/>
      <c r="BU66" s="65"/>
      <c r="BV66" s="65"/>
      <c r="BW66" s="65"/>
      <c r="BX66" s="65"/>
      <c r="BY66" s="65"/>
      <c r="BZ66" s="65"/>
      <c r="CA66" s="65"/>
      <c r="CB66" s="65"/>
      <c r="CC66" s="65"/>
      <c r="CD66" s="65"/>
      <c r="CE66" s="65"/>
      <c r="CF66" s="65"/>
      <c r="CG66" s="65"/>
      <c r="CH66" s="65"/>
      <c r="CI66" s="65"/>
      <c r="CJ66" s="65"/>
      <c r="CK66" s="65"/>
      <c r="CL66" s="65"/>
      <c r="CM66" s="65"/>
      <c r="CN66" s="65"/>
      <c r="CO66" s="65"/>
      <c r="CP66" s="65"/>
      <c r="CQ66" s="65"/>
      <c r="CR66" s="65"/>
      <c r="CS66" s="65"/>
      <c r="CT66" s="65"/>
      <c r="CU66" s="65"/>
      <c r="CV66" s="65"/>
      <c r="CW66" s="65"/>
      <c r="CX66" s="65"/>
      <c r="CY66" s="65"/>
      <c r="CZ66" s="65"/>
      <c r="DA66" s="65"/>
      <c r="DB66" s="65"/>
      <c r="DC66" s="65"/>
      <c r="DD66" s="65"/>
      <c r="DE66" s="65"/>
      <c r="DF66" s="65"/>
      <c r="DG66" s="65"/>
      <c r="DH66" s="65"/>
      <c r="DI66" s="65"/>
      <c r="DJ66" s="65"/>
      <c r="DK66" s="65"/>
      <c r="DL66" s="65"/>
      <c r="DM66" s="65"/>
      <c r="DN66" s="65"/>
      <c r="DO66" s="65"/>
      <c r="DP66" s="65"/>
      <c r="DQ66" s="65"/>
      <c r="DR66" s="65"/>
      <c r="DS66" s="65"/>
      <c r="DT66" s="65"/>
      <c r="DU66" s="65"/>
      <c r="DV66" s="65"/>
      <c r="DW66" s="65"/>
      <c r="DX66" s="65"/>
      <c r="DY66" s="65"/>
      <c r="DZ66" s="65"/>
      <c r="EA66" s="65"/>
      <c r="EB66" s="65"/>
      <c r="EC66" s="65"/>
      <c r="ED66" s="65"/>
      <c r="EE66" s="65"/>
      <c r="EF66" s="65"/>
      <c r="EG66" s="65"/>
      <c r="EH66" s="65"/>
      <c r="EI66" s="65"/>
      <c r="EJ66" s="65"/>
      <c r="EK66" s="65"/>
      <c r="EL66" s="65"/>
      <c r="EM66" s="65"/>
      <c r="EN66" s="65"/>
      <c r="EO66" s="65"/>
      <c r="EP66" s="65"/>
      <c r="EQ66" s="65"/>
      <c r="ER66" s="65"/>
      <c r="ES66" s="65"/>
      <c r="ET66" s="65"/>
      <c r="EU66" s="65"/>
      <c r="EV66" s="65"/>
      <c r="EW66" s="65"/>
      <c r="EX66" s="65"/>
      <c r="EY66" s="65"/>
      <c r="EZ66" s="65"/>
      <c r="FA66" s="65"/>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c r="GO66" s="65"/>
      <c r="GP66" s="65"/>
      <c r="GQ66" s="65"/>
      <c r="GR66" s="65"/>
      <c r="GS66" s="65"/>
      <c r="GT66" s="65"/>
      <c r="GU66" s="65"/>
      <c r="GV66" s="65"/>
      <c r="GW66" s="65"/>
      <c r="GX66" s="65"/>
      <c r="GY66" s="65"/>
      <c r="GZ66" s="65"/>
      <c r="HA66" s="65"/>
      <c r="HB66" s="65"/>
      <c r="HC66" s="65"/>
      <c r="HD66" s="65"/>
      <c r="HE66" s="65"/>
      <c r="HF66" s="65"/>
      <c r="HG66" s="65"/>
      <c r="HH66" s="65"/>
      <c r="HI66" s="65"/>
      <c r="HJ66" s="65"/>
      <c r="HK66" s="65"/>
      <c r="HL66" s="65"/>
      <c r="HM66" s="65"/>
      <c r="HN66" s="65"/>
      <c r="HO66" s="65"/>
    </row>
    <row r="67" spans="1:223" s="78" customFormat="1" ht="50.25" customHeight="1" x14ac:dyDescent="0.25">
      <c r="A67" s="353">
        <v>2025</v>
      </c>
      <c r="B67" s="354">
        <v>6</v>
      </c>
      <c r="C67" s="353">
        <v>22781</v>
      </c>
      <c r="D67" s="279">
        <v>45786</v>
      </c>
      <c r="E67" s="81" t="s">
        <v>2146</v>
      </c>
      <c r="F67" s="81" t="s">
        <v>1875</v>
      </c>
      <c r="H67" s="78">
        <v>3175029345</v>
      </c>
      <c r="I67" s="78">
        <v>6045802300</v>
      </c>
      <c r="J67" s="66">
        <v>45836</v>
      </c>
      <c r="K67" s="78" t="s">
        <v>88</v>
      </c>
      <c r="L67" s="79" t="s">
        <v>2430</v>
      </c>
      <c r="M67" s="78" t="s">
        <v>136</v>
      </c>
      <c r="N67" s="78">
        <v>6033</v>
      </c>
      <c r="O67" s="78">
        <v>6872</v>
      </c>
      <c r="P67" s="78">
        <v>8700</v>
      </c>
      <c r="Q67" s="78">
        <v>5518</v>
      </c>
      <c r="R67" s="78" t="s">
        <v>136</v>
      </c>
      <c r="S67" s="78" t="s">
        <v>134</v>
      </c>
      <c r="T67" s="78" t="s">
        <v>134</v>
      </c>
      <c r="U67" s="78" t="s">
        <v>136</v>
      </c>
      <c r="V67" s="81" t="s">
        <v>590</v>
      </c>
      <c r="W67" s="66">
        <v>45849</v>
      </c>
      <c r="X67" s="66">
        <v>45857</v>
      </c>
      <c r="Z67" s="80" t="s">
        <v>92</v>
      </c>
      <c r="AA67" s="371">
        <v>0</v>
      </c>
      <c r="AB67" s="78">
        <v>6076</v>
      </c>
      <c r="AC67" s="228">
        <v>19029967</v>
      </c>
      <c r="AD67" s="228">
        <f t="shared" si="1"/>
        <v>22645660.73</v>
      </c>
      <c r="AE67" s="303">
        <v>9514984</v>
      </c>
      <c r="AG67" s="210" t="s">
        <v>2431</v>
      </c>
      <c r="AH67" s="241"/>
      <c r="AI67" s="66">
        <v>45859</v>
      </c>
      <c r="AJ67" s="78" t="s">
        <v>1705</v>
      </c>
      <c r="AL67" s="65"/>
      <c r="AM67" s="65"/>
      <c r="AN67" s="65"/>
      <c r="AO67" s="65"/>
      <c r="AP67" s="65"/>
      <c r="AQ67" s="65"/>
      <c r="AR67" s="65"/>
      <c r="AS67" s="65"/>
      <c r="AT67" s="65"/>
      <c r="AU67" s="65"/>
      <c r="AV67" s="65"/>
      <c r="AW67" s="65"/>
      <c r="AX67" s="65"/>
      <c r="AY67" s="65"/>
      <c r="AZ67" s="65"/>
      <c r="BA67" s="65"/>
      <c r="BB67" s="65"/>
      <c r="BC67" s="65"/>
      <c r="BD67" s="65"/>
      <c r="BE67" s="65"/>
      <c r="BF67" s="65"/>
      <c r="BG67" s="65"/>
      <c r="BH67" s="65"/>
      <c r="BI67" s="65"/>
      <c r="BJ67" s="65"/>
      <c r="BK67" s="65"/>
      <c r="BL67" s="65"/>
      <c r="BM67" s="65"/>
      <c r="BN67" s="65"/>
      <c r="BO67" s="65"/>
      <c r="BP67" s="65"/>
      <c r="BQ67" s="65"/>
      <c r="BR67" s="65"/>
      <c r="BS67" s="65"/>
      <c r="BT67" s="65"/>
      <c r="BU67" s="65"/>
      <c r="BV67" s="65"/>
      <c r="BW67" s="65"/>
      <c r="BX67" s="65"/>
      <c r="BY67" s="65"/>
      <c r="BZ67" s="65"/>
      <c r="CA67" s="65"/>
      <c r="CB67" s="65"/>
      <c r="CC67" s="65"/>
      <c r="CD67" s="65"/>
      <c r="CE67" s="65"/>
      <c r="CF67" s="65"/>
      <c r="CG67" s="65"/>
      <c r="CH67" s="65"/>
      <c r="CI67" s="65"/>
      <c r="CJ67" s="65"/>
      <c r="CK67" s="65"/>
      <c r="CL67" s="65"/>
      <c r="CM67" s="65"/>
      <c r="CN67" s="65"/>
      <c r="CO67" s="65"/>
      <c r="CP67" s="65"/>
      <c r="CQ67" s="65"/>
      <c r="CR67" s="65"/>
      <c r="CS67" s="65"/>
      <c r="CT67" s="65"/>
      <c r="CU67" s="65"/>
      <c r="CV67" s="65"/>
      <c r="CW67" s="65"/>
      <c r="CX67" s="65"/>
      <c r="CY67" s="65"/>
      <c r="CZ67" s="65"/>
      <c r="DA67" s="65"/>
      <c r="DB67" s="65"/>
      <c r="DC67" s="65"/>
      <c r="DD67" s="65"/>
      <c r="DE67" s="65"/>
      <c r="DF67" s="65"/>
      <c r="DG67" s="65"/>
      <c r="DH67" s="65"/>
      <c r="DI67" s="65"/>
      <c r="DJ67" s="65"/>
      <c r="DK67" s="65"/>
      <c r="DL67" s="65"/>
      <c r="DM67" s="65"/>
      <c r="DN67" s="65"/>
      <c r="DO67" s="65"/>
      <c r="DP67" s="65"/>
      <c r="DQ67" s="65"/>
      <c r="DR67" s="65"/>
      <c r="DS67" s="65"/>
      <c r="DT67" s="65"/>
      <c r="DU67" s="65"/>
      <c r="DV67" s="65"/>
      <c r="DW67" s="65"/>
      <c r="DX67" s="65"/>
      <c r="DY67" s="65"/>
      <c r="DZ67" s="65"/>
      <c r="EA67" s="65"/>
      <c r="EB67" s="65"/>
      <c r="EC67" s="65"/>
      <c r="ED67" s="65"/>
      <c r="EE67" s="65"/>
      <c r="EF67" s="65"/>
      <c r="EG67" s="65"/>
      <c r="EH67" s="65"/>
      <c r="EI67" s="65"/>
      <c r="EJ67" s="65"/>
      <c r="EK67" s="65"/>
      <c r="EL67" s="65"/>
      <c r="EM67" s="65"/>
      <c r="EN67" s="65"/>
      <c r="EO67" s="65"/>
      <c r="EP67" s="65"/>
      <c r="EQ67" s="65"/>
      <c r="ER67" s="65"/>
      <c r="ES67" s="65"/>
      <c r="ET67" s="65"/>
      <c r="EU67" s="65"/>
      <c r="EV67" s="65"/>
      <c r="EW67" s="65"/>
      <c r="EX67" s="65"/>
      <c r="EY67" s="65"/>
      <c r="EZ67" s="65"/>
      <c r="FA67" s="65"/>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c r="GO67" s="65"/>
      <c r="GP67" s="65"/>
      <c r="GQ67" s="65"/>
      <c r="GR67" s="65"/>
      <c r="GS67" s="65"/>
      <c r="GT67" s="65"/>
      <c r="GU67" s="65"/>
      <c r="GV67" s="65"/>
      <c r="GW67" s="65"/>
      <c r="GX67" s="65"/>
      <c r="GY67" s="65"/>
      <c r="GZ67" s="65"/>
      <c r="HA67" s="65"/>
      <c r="HB67" s="65"/>
      <c r="HC67" s="65"/>
      <c r="HD67" s="65"/>
      <c r="HE67" s="65"/>
      <c r="HF67" s="65"/>
      <c r="HG67" s="65"/>
      <c r="HH67" s="65"/>
      <c r="HI67" s="65"/>
      <c r="HJ67" s="65"/>
      <c r="HK67" s="65"/>
      <c r="HL67" s="65"/>
      <c r="HM67" s="65"/>
      <c r="HN67" s="65"/>
      <c r="HO67" s="65"/>
    </row>
    <row r="68" spans="1:223" s="78" customFormat="1" ht="34.5" customHeight="1" x14ac:dyDescent="0.25">
      <c r="A68" s="353">
        <v>2025</v>
      </c>
      <c r="B68" s="354">
        <v>6</v>
      </c>
      <c r="C68" s="355">
        <v>22782</v>
      </c>
      <c r="D68" s="436">
        <v>45825</v>
      </c>
      <c r="E68" s="81" t="s">
        <v>2157</v>
      </c>
      <c r="F68" s="81" t="s">
        <v>2157</v>
      </c>
      <c r="G68" s="78" t="s">
        <v>95</v>
      </c>
      <c r="H68" s="78">
        <v>3154529699</v>
      </c>
      <c r="I68" s="78">
        <v>3154529699</v>
      </c>
      <c r="J68" s="66">
        <v>45836</v>
      </c>
      <c r="K68" s="78" t="s">
        <v>95</v>
      </c>
      <c r="L68" s="79" t="s">
        <v>2158</v>
      </c>
      <c r="M68" s="78" t="s">
        <v>282</v>
      </c>
      <c r="N68" s="78">
        <v>6035</v>
      </c>
      <c r="O68" s="78">
        <v>6873</v>
      </c>
      <c r="P68" s="78">
        <v>8966</v>
      </c>
      <c r="Q68" s="78" t="s">
        <v>2159</v>
      </c>
      <c r="R68" s="78" t="s">
        <v>136</v>
      </c>
      <c r="S68" s="78" t="s">
        <v>134</v>
      </c>
      <c r="T68" s="78" t="s">
        <v>134</v>
      </c>
      <c r="U68" s="78" t="s">
        <v>136</v>
      </c>
      <c r="V68" s="81" t="s">
        <v>89</v>
      </c>
      <c r="W68" s="435">
        <v>45839</v>
      </c>
      <c r="X68" s="66">
        <v>45842</v>
      </c>
      <c r="Z68" s="80" t="s">
        <v>97</v>
      </c>
      <c r="AA68" s="371">
        <v>0</v>
      </c>
      <c r="AC68" s="228">
        <v>0</v>
      </c>
      <c r="AD68" s="228">
        <f t="shared" si="1"/>
        <v>0</v>
      </c>
      <c r="AE68" s="303">
        <v>0</v>
      </c>
      <c r="AG68" s="210" t="s">
        <v>1987</v>
      </c>
      <c r="AH68" s="241"/>
      <c r="AI68" s="66">
        <v>45842</v>
      </c>
      <c r="AJ68" s="78" t="s">
        <v>1705</v>
      </c>
      <c r="AL68" s="65"/>
      <c r="AM68" s="65"/>
      <c r="AN68" s="65"/>
      <c r="AO68" s="65"/>
      <c r="AP68" s="65"/>
      <c r="AQ68" s="65"/>
      <c r="AR68" s="65"/>
      <c r="AS68" s="65"/>
      <c r="AT68" s="65"/>
      <c r="AU68" s="65"/>
      <c r="AV68" s="65"/>
      <c r="AW68" s="65"/>
      <c r="AX68" s="65"/>
      <c r="AY68" s="65"/>
      <c r="AZ68" s="65"/>
      <c r="BA68" s="65"/>
      <c r="BB68" s="65"/>
      <c r="BC68" s="65"/>
      <c r="BD68" s="65"/>
      <c r="BE68" s="65"/>
      <c r="BF68" s="65"/>
      <c r="BG68" s="65"/>
      <c r="BH68" s="65"/>
      <c r="BI68" s="65"/>
      <c r="BJ68" s="65"/>
      <c r="BK68" s="65"/>
      <c r="BL68" s="65"/>
      <c r="BM68" s="65"/>
      <c r="BN68" s="65"/>
      <c r="BO68" s="65"/>
      <c r="BP68" s="65"/>
      <c r="BQ68" s="65"/>
      <c r="BR68" s="65"/>
      <c r="BS68" s="65"/>
      <c r="BT68" s="65"/>
      <c r="BU68" s="65"/>
      <c r="BV68" s="65"/>
      <c r="BW68" s="65"/>
      <c r="BX68" s="65"/>
      <c r="BY68" s="65"/>
      <c r="BZ68" s="65"/>
      <c r="CA68" s="65"/>
      <c r="CB68" s="65"/>
      <c r="CC68" s="65"/>
      <c r="CD68" s="65"/>
      <c r="CE68" s="65"/>
      <c r="CF68" s="65"/>
      <c r="CG68" s="65"/>
      <c r="CH68" s="65"/>
      <c r="CI68" s="65"/>
      <c r="CJ68" s="65"/>
      <c r="CK68" s="65"/>
      <c r="CL68" s="65"/>
      <c r="CM68" s="65"/>
      <c r="CN68" s="65"/>
      <c r="CO68" s="65"/>
      <c r="CP68" s="65"/>
      <c r="CQ68" s="65"/>
      <c r="CR68" s="65"/>
      <c r="CS68" s="65"/>
      <c r="CT68" s="65"/>
      <c r="CU68" s="65"/>
      <c r="CV68" s="65"/>
      <c r="CW68" s="65"/>
      <c r="CX68" s="65"/>
      <c r="CY68" s="65"/>
      <c r="CZ68" s="65"/>
      <c r="DA68" s="65"/>
      <c r="DB68" s="65"/>
      <c r="DC68" s="65"/>
      <c r="DD68" s="65"/>
      <c r="DE68" s="65"/>
      <c r="DF68" s="65"/>
      <c r="DG68" s="65"/>
      <c r="DH68" s="65"/>
      <c r="DI68" s="65"/>
      <c r="DJ68" s="65"/>
      <c r="DK68" s="65"/>
      <c r="DL68" s="65"/>
      <c r="DM68" s="65"/>
      <c r="DN68" s="65"/>
      <c r="DO68" s="65"/>
      <c r="DP68" s="65"/>
      <c r="DQ68" s="65"/>
      <c r="DR68" s="65"/>
      <c r="DS68" s="65"/>
      <c r="DT68" s="65"/>
      <c r="DU68" s="65"/>
      <c r="DV68" s="65"/>
      <c r="DW68" s="65"/>
      <c r="DX68" s="65"/>
      <c r="DY68" s="65"/>
      <c r="DZ68" s="65"/>
      <c r="EA68" s="65"/>
      <c r="EB68" s="65"/>
      <c r="EC68" s="65"/>
      <c r="ED68" s="65"/>
      <c r="EE68" s="65"/>
      <c r="EF68" s="65"/>
      <c r="EG68" s="65"/>
      <c r="EH68" s="65"/>
      <c r="EI68" s="65"/>
      <c r="EJ68" s="65"/>
      <c r="EK68" s="65"/>
      <c r="EL68" s="65"/>
      <c r="EM68" s="65"/>
      <c r="EN68" s="65"/>
      <c r="EO68" s="65"/>
      <c r="EP68" s="65"/>
      <c r="EQ68" s="65"/>
      <c r="ER68" s="65"/>
      <c r="ES68" s="65"/>
      <c r="ET68" s="65"/>
      <c r="EU68" s="65"/>
      <c r="EV68" s="65"/>
      <c r="EW68" s="65"/>
      <c r="EX68" s="65"/>
      <c r="EY68" s="65"/>
      <c r="EZ68" s="65"/>
      <c r="FA68" s="65"/>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c r="GO68" s="65"/>
      <c r="GP68" s="65"/>
      <c r="GQ68" s="65"/>
      <c r="GR68" s="65"/>
      <c r="GS68" s="65"/>
      <c r="GT68" s="65"/>
      <c r="GU68" s="65"/>
      <c r="GV68" s="65"/>
      <c r="GW68" s="65"/>
      <c r="GX68" s="65"/>
      <c r="GY68" s="65"/>
      <c r="GZ68" s="65"/>
      <c r="HA68" s="65"/>
      <c r="HB68" s="65"/>
      <c r="HC68" s="65"/>
      <c r="HD68" s="65"/>
      <c r="HE68" s="65"/>
      <c r="HF68" s="65"/>
      <c r="HG68" s="65"/>
      <c r="HH68" s="65"/>
      <c r="HI68" s="65"/>
      <c r="HJ68" s="65"/>
      <c r="HK68" s="65"/>
      <c r="HL68" s="65"/>
      <c r="HM68" s="65"/>
      <c r="HN68" s="65"/>
      <c r="HO68" s="65"/>
    </row>
    <row r="69" spans="1:223" s="78" customFormat="1" ht="34.5" customHeight="1" x14ac:dyDescent="0.25">
      <c r="A69" s="353">
        <v>2025</v>
      </c>
      <c r="B69" s="354">
        <v>6</v>
      </c>
      <c r="C69" s="353">
        <v>22783</v>
      </c>
      <c r="D69" s="273">
        <v>45825</v>
      </c>
      <c r="E69" s="81" t="s">
        <v>2160</v>
      </c>
      <c r="F69" s="81" t="s">
        <v>2161</v>
      </c>
      <c r="G69" s="78" t="s">
        <v>95</v>
      </c>
      <c r="I69" s="78">
        <v>3116057195</v>
      </c>
      <c r="J69" s="66"/>
      <c r="K69" s="78" t="s">
        <v>84</v>
      </c>
      <c r="L69" s="79" t="s">
        <v>2162</v>
      </c>
      <c r="M69" s="78" t="s">
        <v>136</v>
      </c>
      <c r="N69" s="78">
        <v>6036</v>
      </c>
      <c r="O69" s="78" t="s">
        <v>136</v>
      </c>
      <c r="P69" s="78">
        <v>9287</v>
      </c>
      <c r="Q69" s="78">
        <v>5614</v>
      </c>
      <c r="R69" s="78" t="s">
        <v>136</v>
      </c>
      <c r="S69" s="78" t="s">
        <v>134</v>
      </c>
      <c r="T69" s="78" t="s">
        <v>134</v>
      </c>
      <c r="U69" s="78" t="s">
        <v>136</v>
      </c>
      <c r="V69" s="81" t="s">
        <v>89</v>
      </c>
      <c r="W69" s="435">
        <v>45839</v>
      </c>
      <c r="X69" s="66">
        <v>45839</v>
      </c>
      <c r="Z69" s="80" t="s">
        <v>85</v>
      </c>
      <c r="AA69" s="371">
        <v>0</v>
      </c>
      <c r="AB69" s="78">
        <v>5971</v>
      </c>
      <c r="AC69" s="228">
        <v>887404</v>
      </c>
      <c r="AD69" s="228">
        <f t="shared" si="1"/>
        <v>1056010.76</v>
      </c>
      <c r="AE69" s="303">
        <v>500000</v>
      </c>
      <c r="AG69" s="210" t="s">
        <v>1987</v>
      </c>
      <c r="AH69" s="403">
        <v>45842</v>
      </c>
      <c r="AI69" s="66">
        <v>45847</v>
      </c>
      <c r="AJ69" s="78" t="s">
        <v>1705</v>
      </c>
      <c r="AL69" s="65"/>
      <c r="AM69" s="65"/>
      <c r="AN69" s="65"/>
      <c r="AO69" s="65"/>
      <c r="AP69" s="65"/>
      <c r="AQ69" s="65"/>
      <c r="AR69" s="65"/>
      <c r="AS69" s="65"/>
      <c r="AT69" s="65"/>
      <c r="AU69" s="65"/>
      <c r="AV69" s="65"/>
      <c r="AW69" s="65"/>
      <c r="AX69" s="65"/>
      <c r="AY69" s="65"/>
      <c r="AZ69" s="65"/>
      <c r="BA69" s="65"/>
      <c r="BB69" s="65"/>
      <c r="BC69" s="65"/>
      <c r="BD69" s="65"/>
      <c r="BE69" s="65"/>
      <c r="BF69" s="65"/>
      <c r="BG69" s="65"/>
      <c r="BH69" s="65"/>
      <c r="BI69" s="65"/>
      <c r="BJ69" s="65"/>
      <c r="BK69" s="65"/>
      <c r="BL69" s="65"/>
      <c r="BM69" s="65"/>
      <c r="BN69" s="65"/>
      <c r="BO69" s="65"/>
      <c r="BP69" s="65"/>
      <c r="BQ69" s="65"/>
      <c r="BR69" s="65"/>
      <c r="BS69" s="65"/>
      <c r="BT69" s="65"/>
      <c r="BU69" s="65"/>
      <c r="BV69" s="65"/>
      <c r="BW69" s="65"/>
      <c r="BX69" s="65"/>
      <c r="BY69" s="65"/>
      <c r="BZ69" s="65"/>
      <c r="CA69" s="65"/>
      <c r="CB69" s="65"/>
      <c r="CC69" s="65"/>
      <c r="CD69" s="65"/>
      <c r="CE69" s="65"/>
      <c r="CF69" s="65"/>
      <c r="CG69" s="65"/>
      <c r="CH69" s="65"/>
      <c r="CI69" s="65"/>
      <c r="CJ69" s="65"/>
      <c r="CK69" s="65"/>
      <c r="CL69" s="65"/>
      <c r="CM69" s="65"/>
      <c r="CN69" s="65"/>
      <c r="CO69" s="65"/>
      <c r="CP69" s="65"/>
      <c r="CQ69" s="65"/>
      <c r="CR69" s="65"/>
      <c r="CS69" s="65"/>
      <c r="CT69" s="65"/>
      <c r="CU69" s="65"/>
      <c r="CV69" s="65"/>
      <c r="CW69" s="65"/>
      <c r="CX69" s="65"/>
      <c r="CY69" s="65"/>
      <c r="CZ69" s="65"/>
      <c r="DA69" s="65"/>
      <c r="DB69" s="65"/>
      <c r="DC69" s="65"/>
      <c r="DD69" s="65"/>
      <c r="DE69" s="65"/>
      <c r="DF69" s="65"/>
      <c r="DG69" s="65"/>
      <c r="DH69" s="65"/>
      <c r="DI69" s="65"/>
      <c r="DJ69" s="65"/>
      <c r="DK69" s="65"/>
      <c r="DL69" s="65"/>
      <c r="DM69" s="65"/>
      <c r="DN69" s="65"/>
      <c r="DO69" s="65"/>
      <c r="DP69" s="65"/>
      <c r="DQ69" s="65"/>
      <c r="DR69" s="65"/>
      <c r="DS69" s="65"/>
      <c r="DT69" s="65"/>
      <c r="DU69" s="65"/>
      <c r="DV69" s="65"/>
      <c r="DW69" s="65"/>
      <c r="DX69" s="65"/>
      <c r="DY69" s="65"/>
      <c r="DZ69" s="65"/>
      <c r="EA69" s="65"/>
      <c r="EB69" s="65"/>
      <c r="EC69" s="65"/>
      <c r="ED69" s="65"/>
      <c r="EE69" s="65"/>
      <c r="EF69" s="65"/>
      <c r="EG69" s="65"/>
      <c r="EH69" s="65"/>
      <c r="EI69" s="65"/>
      <c r="EJ69" s="65"/>
      <c r="EK69" s="65"/>
      <c r="EL69" s="65"/>
      <c r="EM69" s="65"/>
      <c r="EN69" s="65"/>
      <c r="EO69" s="65"/>
      <c r="EP69" s="65"/>
      <c r="EQ69" s="65"/>
      <c r="ER69" s="65"/>
      <c r="ES69" s="65"/>
      <c r="ET69" s="65"/>
      <c r="EU69" s="65"/>
      <c r="EV69" s="65"/>
      <c r="EW69" s="65"/>
      <c r="EX69" s="65"/>
      <c r="EY69" s="65"/>
      <c r="EZ69" s="65"/>
      <c r="FA69" s="65"/>
      <c r="FB69" s="65"/>
      <c r="FC69" s="65"/>
      <c r="FD69" s="65"/>
      <c r="FE69" s="65"/>
      <c r="FF69" s="65"/>
      <c r="FG69" s="65"/>
      <c r="FH69" s="65"/>
      <c r="FI69" s="65"/>
      <c r="FJ69" s="65"/>
      <c r="FK69" s="65"/>
      <c r="FL69" s="65"/>
      <c r="FM69" s="65"/>
      <c r="FN69" s="65"/>
      <c r="FO69" s="65"/>
      <c r="FP69" s="65"/>
      <c r="FQ69" s="65"/>
      <c r="FR69" s="65"/>
      <c r="FS69" s="65"/>
      <c r="FT69" s="65"/>
      <c r="FU69" s="65"/>
      <c r="FV69" s="65"/>
      <c r="FW69" s="65"/>
      <c r="FX69" s="65"/>
      <c r="FY69" s="65"/>
      <c r="FZ69" s="65"/>
      <c r="GA69" s="65"/>
      <c r="GB69" s="65"/>
      <c r="GC69" s="65"/>
      <c r="GD69" s="65"/>
      <c r="GE69" s="65"/>
      <c r="GF69" s="65"/>
      <c r="GG69" s="65"/>
      <c r="GH69" s="65"/>
      <c r="GI69" s="65"/>
      <c r="GJ69" s="65"/>
      <c r="GK69" s="65"/>
      <c r="GL69" s="65"/>
      <c r="GM69" s="65"/>
      <c r="GN69" s="65"/>
      <c r="GO69" s="65"/>
      <c r="GP69" s="65"/>
      <c r="GQ69" s="65"/>
      <c r="GR69" s="65"/>
      <c r="GS69" s="65"/>
      <c r="GT69" s="65"/>
      <c r="GU69" s="65"/>
      <c r="GV69" s="65"/>
      <c r="GW69" s="65"/>
      <c r="GX69" s="65"/>
      <c r="GY69" s="65"/>
      <c r="GZ69" s="65"/>
      <c r="HA69" s="65"/>
      <c r="HB69" s="65"/>
      <c r="HC69" s="65"/>
      <c r="HD69" s="65"/>
      <c r="HE69" s="65"/>
      <c r="HF69" s="65"/>
      <c r="HG69" s="65"/>
      <c r="HH69" s="65"/>
      <c r="HI69" s="65"/>
      <c r="HJ69" s="65"/>
      <c r="HK69" s="65"/>
      <c r="HL69" s="65"/>
      <c r="HM69" s="65"/>
      <c r="HN69" s="65"/>
      <c r="HO69" s="65"/>
    </row>
    <row r="70" spans="1:223" s="78" customFormat="1" ht="34.5" customHeight="1" x14ac:dyDescent="0.25">
      <c r="A70" s="353">
        <v>2025</v>
      </c>
      <c r="B70" s="354">
        <v>6</v>
      </c>
      <c r="C70" s="353">
        <v>22784</v>
      </c>
      <c r="D70" s="273">
        <v>45826</v>
      </c>
      <c r="E70" s="81" t="s">
        <v>2190</v>
      </c>
      <c r="F70" s="81" t="s">
        <v>2190</v>
      </c>
      <c r="G70" s="78" t="s">
        <v>95</v>
      </c>
      <c r="H70" s="78">
        <v>3122923392</v>
      </c>
      <c r="I70" s="78">
        <v>3122923392</v>
      </c>
      <c r="J70" s="66">
        <v>45834</v>
      </c>
      <c r="K70" s="78" t="s">
        <v>84</v>
      </c>
      <c r="L70" s="79" t="s">
        <v>2191</v>
      </c>
      <c r="M70" s="78" t="s">
        <v>136</v>
      </c>
      <c r="N70" s="78">
        <v>6038</v>
      </c>
      <c r="O70" s="78" t="s">
        <v>136</v>
      </c>
      <c r="P70" s="78" t="s">
        <v>136</v>
      </c>
      <c r="Q70" s="78">
        <v>5578</v>
      </c>
      <c r="R70" s="78" t="s">
        <v>136</v>
      </c>
      <c r="S70" s="78" t="s">
        <v>134</v>
      </c>
      <c r="T70" s="78" t="s">
        <v>134</v>
      </c>
      <c r="U70" s="78" t="s">
        <v>136</v>
      </c>
      <c r="V70" s="81" t="s">
        <v>119</v>
      </c>
      <c r="X70" s="66"/>
      <c r="Z70" s="80" t="s">
        <v>114</v>
      </c>
      <c r="AA70" s="371">
        <v>0</v>
      </c>
      <c r="AC70" s="228">
        <v>0</v>
      </c>
      <c r="AD70" s="228">
        <f t="shared" si="1"/>
        <v>0</v>
      </c>
      <c r="AE70" s="303">
        <v>0</v>
      </c>
      <c r="AG70" s="210"/>
      <c r="AH70" s="241"/>
      <c r="AI70" s="66">
        <v>45835</v>
      </c>
      <c r="AJ70" s="78" t="s">
        <v>1705</v>
      </c>
      <c r="AL70" s="65"/>
      <c r="AM70" s="65"/>
      <c r="AN70" s="65"/>
      <c r="AO70" s="65"/>
      <c r="AP70" s="65"/>
      <c r="AQ70" s="65"/>
      <c r="AR70" s="65"/>
      <c r="AS70" s="65"/>
      <c r="AT70" s="65"/>
      <c r="AU70" s="65"/>
      <c r="AV70" s="65"/>
      <c r="AW70" s="65"/>
      <c r="AX70" s="65"/>
      <c r="AY70" s="65"/>
      <c r="AZ70" s="65"/>
      <c r="BA70" s="65"/>
      <c r="BB70" s="65"/>
      <c r="BC70" s="65"/>
      <c r="BD70" s="65"/>
      <c r="BE70" s="65"/>
      <c r="BF70" s="65"/>
      <c r="BG70" s="65"/>
      <c r="BH70" s="65"/>
      <c r="BI70" s="65"/>
      <c r="BJ70" s="65"/>
      <c r="BK70" s="65"/>
      <c r="BL70" s="65"/>
      <c r="BM70" s="65"/>
      <c r="BN70" s="65"/>
      <c r="BO70" s="65"/>
      <c r="BP70" s="65"/>
      <c r="BQ70" s="65"/>
      <c r="BR70" s="65"/>
      <c r="BS70" s="65"/>
      <c r="BT70" s="65"/>
      <c r="BU70" s="65"/>
      <c r="BV70" s="65"/>
      <c r="BW70" s="65"/>
      <c r="BX70" s="65"/>
      <c r="BY70" s="65"/>
      <c r="BZ70" s="65"/>
      <c r="CA70" s="65"/>
      <c r="CB70" s="65"/>
      <c r="CC70" s="65"/>
      <c r="CD70" s="65"/>
      <c r="CE70" s="65"/>
      <c r="CF70" s="65"/>
      <c r="CG70" s="65"/>
      <c r="CH70" s="65"/>
      <c r="CI70" s="65"/>
      <c r="CJ70" s="65"/>
      <c r="CK70" s="65"/>
      <c r="CL70" s="65"/>
      <c r="CM70" s="65"/>
      <c r="CN70" s="65"/>
      <c r="CO70" s="65"/>
      <c r="CP70" s="65"/>
      <c r="CQ70" s="65"/>
      <c r="CR70" s="65"/>
      <c r="CS70" s="65"/>
      <c r="CT70" s="65"/>
      <c r="CU70" s="65"/>
      <c r="CV70" s="65"/>
      <c r="CW70" s="65"/>
      <c r="CX70" s="65"/>
      <c r="CY70" s="65"/>
      <c r="CZ70" s="65"/>
      <c r="DA70" s="65"/>
      <c r="DB70" s="65"/>
      <c r="DC70" s="65"/>
      <c r="DD70" s="65"/>
      <c r="DE70" s="65"/>
      <c r="DF70" s="65"/>
      <c r="DG70" s="65"/>
      <c r="DH70" s="65"/>
      <c r="DI70" s="65"/>
      <c r="DJ70" s="65"/>
      <c r="DK70" s="65"/>
      <c r="DL70" s="65"/>
      <c r="DM70" s="65"/>
      <c r="DN70" s="65"/>
      <c r="DO70" s="65"/>
      <c r="DP70" s="65"/>
      <c r="DQ70" s="65"/>
      <c r="DR70" s="65"/>
      <c r="DS70" s="65"/>
      <c r="DT70" s="65"/>
      <c r="DU70" s="65"/>
      <c r="DV70" s="65"/>
      <c r="DW70" s="65"/>
      <c r="DX70" s="65"/>
      <c r="DY70" s="65"/>
      <c r="DZ70" s="65"/>
      <c r="EA70" s="65"/>
      <c r="EB70" s="65"/>
      <c r="EC70" s="65"/>
      <c r="ED70" s="65"/>
      <c r="EE70" s="65"/>
      <c r="EF70" s="65"/>
      <c r="EG70" s="65"/>
      <c r="EH70" s="65"/>
      <c r="EI70" s="65"/>
      <c r="EJ70" s="65"/>
      <c r="EK70" s="65"/>
      <c r="EL70" s="65"/>
      <c r="EM70" s="65"/>
      <c r="EN70" s="65"/>
      <c r="EO70" s="65"/>
      <c r="EP70" s="65"/>
      <c r="EQ70" s="65"/>
      <c r="ER70" s="65"/>
      <c r="ES70" s="65"/>
      <c r="ET70" s="65"/>
      <c r="EU70" s="65"/>
      <c r="EV70" s="65"/>
      <c r="EW70" s="65"/>
      <c r="EX70" s="65"/>
      <c r="EY70" s="65"/>
      <c r="EZ70" s="65"/>
      <c r="FA70" s="65"/>
      <c r="FB70" s="65"/>
      <c r="FC70" s="65"/>
      <c r="FD70" s="65"/>
      <c r="FE70" s="65"/>
      <c r="FF70" s="65"/>
      <c r="FG70" s="65"/>
      <c r="FH70" s="65"/>
      <c r="FI70" s="65"/>
      <c r="FJ70" s="65"/>
      <c r="FK70" s="65"/>
      <c r="FL70" s="65"/>
      <c r="FM70" s="65"/>
      <c r="FN70" s="65"/>
      <c r="FO70" s="65"/>
      <c r="FP70" s="65"/>
      <c r="FQ70" s="65"/>
      <c r="FR70" s="65"/>
      <c r="FS70" s="65"/>
      <c r="FT70" s="65"/>
      <c r="FU70" s="65"/>
      <c r="FV70" s="65"/>
      <c r="FW70" s="65"/>
      <c r="FX70" s="65"/>
      <c r="FY70" s="65"/>
      <c r="FZ70" s="65"/>
      <c r="GA70" s="65"/>
      <c r="GB70" s="65"/>
      <c r="GC70" s="65"/>
      <c r="GD70" s="65"/>
      <c r="GE70" s="65"/>
      <c r="GF70" s="65"/>
      <c r="GG70" s="65"/>
      <c r="GH70" s="65"/>
      <c r="GI70" s="65"/>
      <c r="GJ70" s="65"/>
      <c r="GK70" s="65"/>
      <c r="GL70" s="65"/>
      <c r="GM70" s="65"/>
      <c r="GN70" s="65"/>
      <c r="GO70" s="65"/>
      <c r="GP70" s="65"/>
      <c r="GQ70" s="65"/>
      <c r="GR70" s="65"/>
      <c r="GS70" s="65"/>
      <c r="GT70" s="65"/>
      <c r="GU70" s="65"/>
      <c r="GV70" s="65"/>
      <c r="GW70" s="65"/>
      <c r="GX70" s="65"/>
      <c r="GY70" s="65"/>
      <c r="GZ70" s="65"/>
      <c r="HA70" s="65"/>
      <c r="HB70" s="65"/>
      <c r="HC70" s="65"/>
      <c r="HD70" s="65"/>
      <c r="HE70" s="65"/>
      <c r="HF70" s="65"/>
      <c r="HG70" s="65"/>
      <c r="HH70" s="65"/>
      <c r="HI70" s="65"/>
      <c r="HJ70" s="65"/>
      <c r="HK70" s="65"/>
      <c r="HL70" s="65"/>
      <c r="HM70" s="65"/>
      <c r="HN70" s="65"/>
      <c r="HO70" s="65"/>
    </row>
    <row r="71" spans="1:223" s="78" customFormat="1" ht="34.5" customHeight="1" x14ac:dyDescent="0.25">
      <c r="A71" s="353">
        <v>2025</v>
      </c>
      <c r="B71" s="354">
        <v>6</v>
      </c>
      <c r="C71" s="355">
        <v>22785</v>
      </c>
      <c r="D71" s="273">
        <v>45827</v>
      </c>
      <c r="E71" s="81" t="s">
        <v>2210</v>
      </c>
      <c r="F71" s="81" t="s">
        <v>2168</v>
      </c>
      <c r="G71" s="78" t="s">
        <v>853</v>
      </c>
      <c r="H71" s="78">
        <v>3166024091</v>
      </c>
      <c r="I71" s="78">
        <v>3124010</v>
      </c>
      <c r="J71" s="66">
        <v>45828</v>
      </c>
      <c r="K71" s="78" t="s">
        <v>95</v>
      </c>
      <c r="L71" s="79" t="s">
        <v>2093</v>
      </c>
      <c r="M71" s="78" t="s">
        <v>136</v>
      </c>
      <c r="N71" s="78" t="s">
        <v>136</v>
      </c>
      <c r="O71" s="78">
        <v>6879</v>
      </c>
      <c r="P71" s="78">
        <v>9310</v>
      </c>
      <c r="Q71" s="78" t="s">
        <v>136</v>
      </c>
      <c r="R71" s="78" t="s">
        <v>136</v>
      </c>
      <c r="S71" s="78" t="s">
        <v>134</v>
      </c>
      <c r="T71" s="78" t="s">
        <v>134</v>
      </c>
      <c r="U71" s="78" t="s">
        <v>136</v>
      </c>
      <c r="V71" s="81" t="s">
        <v>119</v>
      </c>
      <c r="X71" s="66">
        <v>45828</v>
      </c>
      <c r="Z71" s="80" t="s">
        <v>97</v>
      </c>
      <c r="AA71" s="371">
        <v>0</v>
      </c>
      <c r="AB71" s="78">
        <v>6004</v>
      </c>
      <c r="AC71" s="228">
        <v>451011</v>
      </c>
      <c r="AD71" s="228">
        <f t="shared" si="1"/>
        <v>536703.09</v>
      </c>
      <c r="AE71" s="303">
        <v>0</v>
      </c>
      <c r="AG71" s="210"/>
      <c r="AH71" s="241"/>
      <c r="AI71" s="66">
        <v>45835</v>
      </c>
      <c r="AJ71" s="78" t="s">
        <v>1705</v>
      </c>
      <c r="AL71" s="65"/>
      <c r="AM71" s="65"/>
      <c r="AN71" s="65"/>
      <c r="AO71" s="65"/>
      <c r="AP71" s="65"/>
      <c r="AQ71" s="65"/>
      <c r="AR71" s="65"/>
      <c r="AS71" s="65"/>
      <c r="AT71" s="65"/>
      <c r="AU71" s="65"/>
      <c r="AV71" s="65"/>
      <c r="AW71" s="65"/>
      <c r="AX71" s="65"/>
      <c r="AY71" s="65"/>
      <c r="AZ71" s="65"/>
      <c r="BA71" s="65"/>
      <c r="BB71" s="65"/>
      <c r="BC71" s="65"/>
      <c r="BD71" s="65"/>
      <c r="BE71" s="65"/>
      <c r="BF71" s="65"/>
      <c r="BG71" s="65"/>
      <c r="BH71" s="65"/>
      <c r="BI71" s="65"/>
      <c r="BJ71" s="65"/>
      <c r="BK71" s="65"/>
      <c r="BL71" s="65"/>
      <c r="BM71" s="65"/>
      <c r="BN71" s="65"/>
      <c r="BO71" s="65"/>
      <c r="BP71" s="65"/>
      <c r="BQ71" s="65"/>
      <c r="BR71" s="65"/>
      <c r="BS71" s="65"/>
      <c r="BT71" s="65"/>
      <c r="BU71" s="65"/>
      <c r="BV71" s="65"/>
      <c r="BW71" s="65"/>
      <c r="BX71" s="65"/>
      <c r="BY71" s="65"/>
      <c r="BZ71" s="65"/>
      <c r="CA71" s="65"/>
      <c r="CB71" s="65"/>
      <c r="CC71" s="65"/>
      <c r="CD71" s="65"/>
      <c r="CE71" s="65"/>
      <c r="CF71" s="65"/>
      <c r="CG71" s="65"/>
      <c r="CH71" s="65"/>
      <c r="CI71" s="65"/>
      <c r="CJ71" s="65"/>
      <c r="CK71" s="65"/>
      <c r="CL71" s="65"/>
      <c r="CM71" s="65"/>
      <c r="CN71" s="65"/>
      <c r="CO71" s="65"/>
      <c r="CP71" s="6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c r="GO71" s="65"/>
      <c r="GP71" s="65"/>
      <c r="GQ71" s="65"/>
      <c r="GR71" s="65"/>
      <c r="GS71" s="65"/>
      <c r="GT71" s="65"/>
      <c r="GU71" s="65"/>
      <c r="GV71" s="65"/>
      <c r="GW71" s="65"/>
      <c r="GX71" s="65"/>
      <c r="GY71" s="65"/>
      <c r="GZ71" s="65"/>
      <c r="HA71" s="65"/>
      <c r="HB71" s="65"/>
      <c r="HC71" s="65"/>
      <c r="HD71" s="65"/>
      <c r="HE71" s="65"/>
      <c r="HF71" s="65"/>
      <c r="HG71" s="65"/>
      <c r="HH71" s="65"/>
      <c r="HI71" s="65"/>
      <c r="HJ71" s="65"/>
      <c r="HK71" s="65"/>
      <c r="HL71" s="65"/>
      <c r="HM71" s="65"/>
      <c r="HN71" s="65"/>
      <c r="HO71" s="65"/>
    </row>
    <row r="72" spans="1:223" s="78" customFormat="1" ht="34.5" customHeight="1" x14ac:dyDescent="0.25">
      <c r="A72" s="353">
        <v>2025</v>
      </c>
      <c r="B72" s="354">
        <v>6</v>
      </c>
      <c r="C72" s="353">
        <v>22786</v>
      </c>
      <c r="D72" s="273">
        <v>45827</v>
      </c>
      <c r="E72" s="81" t="s">
        <v>1711</v>
      </c>
      <c r="F72" s="81" t="s">
        <v>2168</v>
      </c>
      <c r="G72" s="78" t="s">
        <v>853</v>
      </c>
      <c r="H72" s="78">
        <v>3166024091</v>
      </c>
      <c r="I72" s="78">
        <v>3124010</v>
      </c>
      <c r="J72" s="66">
        <v>45841</v>
      </c>
      <c r="K72" s="78" t="s">
        <v>95</v>
      </c>
      <c r="L72" s="79" t="s">
        <v>2169</v>
      </c>
      <c r="M72" s="78" t="s">
        <v>136</v>
      </c>
      <c r="N72" s="78">
        <v>6055</v>
      </c>
      <c r="O72" s="78">
        <v>6880</v>
      </c>
      <c r="P72" s="78">
        <v>8812</v>
      </c>
      <c r="Q72" s="78">
        <v>5610</v>
      </c>
      <c r="R72" s="78" t="s">
        <v>136</v>
      </c>
      <c r="S72" s="78" t="s">
        <v>134</v>
      </c>
      <c r="T72" s="78" t="s">
        <v>134</v>
      </c>
      <c r="U72" s="78" t="s">
        <v>136</v>
      </c>
      <c r="V72" s="81" t="s">
        <v>119</v>
      </c>
      <c r="W72" s="435">
        <v>45845</v>
      </c>
      <c r="X72" s="66">
        <v>45856</v>
      </c>
      <c r="Z72" s="80" t="s">
        <v>97</v>
      </c>
      <c r="AA72" s="371">
        <v>0</v>
      </c>
      <c r="AB72" s="78">
        <v>6064</v>
      </c>
      <c r="AC72" s="228">
        <v>6561970</v>
      </c>
      <c r="AD72" s="228">
        <f t="shared" si="1"/>
        <v>7808744.2999999998</v>
      </c>
      <c r="AE72" s="303">
        <v>3900000</v>
      </c>
      <c r="AG72" s="210" t="s">
        <v>2128</v>
      </c>
      <c r="AH72" s="241"/>
      <c r="AI72" s="66">
        <v>45856</v>
      </c>
      <c r="AJ72" s="78" t="s">
        <v>1705</v>
      </c>
      <c r="AL72" s="65"/>
      <c r="AM72" s="65"/>
      <c r="AN72" s="65"/>
      <c r="AO72" s="65"/>
      <c r="AP72" s="65"/>
      <c r="AQ72" s="65"/>
      <c r="AR72" s="65"/>
      <c r="AS72" s="65"/>
      <c r="AT72" s="65"/>
      <c r="AU72" s="65"/>
      <c r="AV72" s="65"/>
      <c r="AW72" s="65"/>
      <c r="AX72" s="65"/>
      <c r="AY72" s="65"/>
      <c r="AZ72" s="65"/>
      <c r="BA72" s="65"/>
      <c r="BB72" s="65"/>
      <c r="BC72" s="65"/>
      <c r="BD72" s="65"/>
      <c r="BE72" s="65"/>
      <c r="BF72" s="65"/>
      <c r="BG72" s="65"/>
      <c r="BH72" s="65"/>
      <c r="BI72" s="65"/>
      <c r="BJ72" s="65"/>
      <c r="BK72" s="65"/>
      <c r="BL72" s="65"/>
      <c r="BM72" s="65"/>
      <c r="BN72" s="65"/>
      <c r="BO72" s="65"/>
      <c r="BP72" s="65"/>
      <c r="BQ72" s="65"/>
      <c r="BR72" s="65"/>
      <c r="BS72" s="65"/>
      <c r="BT72" s="65"/>
      <c r="BU72" s="65"/>
      <c r="BV72" s="65"/>
      <c r="BW72" s="65"/>
      <c r="BX72" s="65"/>
      <c r="BY72" s="65"/>
      <c r="BZ72" s="65"/>
      <c r="CA72" s="65"/>
      <c r="CB72" s="65"/>
      <c r="CC72" s="65"/>
      <c r="CD72" s="65"/>
      <c r="CE72" s="65"/>
      <c r="CF72" s="65"/>
      <c r="CG72" s="65"/>
      <c r="CH72" s="65"/>
      <c r="CI72" s="65"/>
      <c r="CJ72" s="65"/>
      <c r="CK72" s="65"/>
      <c r="CL72" s="65"/>
      <c r="CM72" s="65"/>
      <c r="CN72" s="65"/>
      <c r="CO72" s="65"/>
      <c r="CP72" s="65"/>
      <c r="CQ72" s="65"/>
      <c r="CR72" s="65"/>
      <c r="CS72" s="65"/>
      <c r="CT72" s="65"/>
      <c r="CU72" s="65"/>
      <c r="CV72" s="65"/>
      <c r="CW72" s="65"/>
      <c r="CX72" s="65"/>
      <c r="CY72" s="65"/>
      <c r="CZ72" s="65"/>
      <c r="DA72" s="65"/>
      <c r="DB72" s="65"/>
      <c r="DC72" s="65"/>
      <c r="DD72" s="65"/>
      <c r="DE72" s="65"/>
      <c r="DF72" s="65"/>
      <c r="DG72" s="65"/>
      <c r="DH72" s="65"/>
      <c r="DI72" s="65"/>
      <c r="DJ72" s="65"/>
      <c r="DK72" s="65"/>
      <c r="DL72" s="65"/>
      <c r="DM72" s="65"/>
      <c r="DN72" s="65"/>
      <c r="DO72" s="65"/>
      <c r="DP72" s="65"/>
      <c r="DQ72" s="65"/>
      <c r="DR72" s="65"/>
      <c r="DS72" s="65"/>
      <c r="DT72" s="65"/>
      <c r="DU72" s="65"/>
      <c r="DV72" s="65"/>
      <c r="DW72" s="65"/>
      <c r="DX72" s="65"/>
      <c r="DY72" s="65"/>
      <c r="DZ72" s="65"/>
      <c r="EA72" s="65"/>
      <c r="EB72" s="65"/>
      <c r="EC72" s="65"/>
      <c r="ED72" s="65"/>
      <c r="EE72" s="65"/>
      <c r="EF72" s="65"/>
      <c r="EG72" s="65"/>
      <c r="EH72" s="65"/>
      <c r="EI72" s="65"/>
      <c r="EJ72" s="65"/>
      <c r="EK72" s="65"/>
      <c r="EL72" s="65"/>
      <c r="EM72" s="65"/>
      <c r="EN72" s="65"/>
      <c r="EO72" s="65"/>
      <c r="EP72" s="65"/>
      <c r="EQ72" s="65"/>
      <c r="ER72" s="65"/>
      <c r="ES72" s="65"/>
      <c r="ET72" s="65"/>
      <c r="EU72" s="65"/>
      <c r="EV72" s="65"/>
      <c r="EW72" s="65"/>
      <c r="EX72" s="65"/>
      <c r="EY72" s="65"/>
      <c r="EZ72" s="65"/>
      <c r="FA72" s="65"/>
      <c r="FB72" s="65"/>
      <c r="FC72" s="65"/>
      <c r="FD72" s="65"/>
      <c r="FE72" s="65"/>
      <c r="FF72" s="65"/>
      <c r="FG72" s="65"/>
      <c r="FH72" s="65"/>
      <c r="FI72" s="65"/>
      <c r="FJ72" s="65"/>
      <c r="FK72" s="65"/>
      <c r="FL72" s="65"/>
      <c r="FM72" s="65"/>
      <c r="FN72" s="65"/>
      <c r="FO72" s="65"/>
      <c r="FP72" s="65"/>
      <c r="FQ72" s="65"/>
      <c r="FR72" s="65"/>
      <c r="FS72" s="65"/>
      <c r="FT72" s="65"/>
      <c r="FU72" s="65"/>
      <c r="FV72" s="65"/>
      <c r="FW72" s="65"/>
      <c r="FX72" s="65"/>
      <c r="FY72" s="65"/>
      <c r="FZ72" s="65"/>
      <c r="GA72" s="65"/>
      <c r="GB72" s="65"/>
      <c r="GC72" s="65"/>
      <c r="GD72" s="65"/>
      <c r="GE72" s="65"/>
      <c r="GF72" s="65"/>
      <c r="GG72" s="65"/>
      <c r="GH72" s="65"/>
      <c r="GI72" s="65"/>
      <c r="GJ72" s="65"/>
      <c r="GK72" s="65"/>
      <c r="GL72" s="65"/>
      <c r="GM72" s="65"/>
      <c r="GN72" s="65"/>
      <c r="GO72" s="65"/>
      <c r="GP72" s="65"/>
      <c r="GQ72" s="65"/>
      <c r="GR72" s="65"/>
      <c r="GS72" s="65"/>
      <c r="GT72" s="65"/>
      <c r="GU72" s="65"/>
      <c r="GV72" s="65"/>
      <c r="GW72" s="65"/>
      <c r="GX72" s="65"/>
      <c r="GY72" s="65"/>
      <c r="GZ72" s="65"/>
      <c r="HA72" s="65"/>
      <c r="HB72" s="65"/>
      <c r="HC72" s="65"/>
      <c r="HD72" s="65"/>
      <c r="HE72" s="65"/>
      <c r="HF72" s="65"/>
      <c r="HG72" s="65"/>
      <c r="HH72" s="65"/>
      <c r="HI72" s="65"/>
      <c r="HJ72" s="65"/>
      <c r="HK72" s="65"/>
      <c r="HL72" s="65"/>
      <c r="HM72" s="65"/>
      <c r="HN72" s="65"/>
      <c r="HO72" s="65"/>
    </row>
    <row r="73" spans="1:223" s="78" customFormat="1" ht="34.5" customHeight="1" x14ac:dyDescent="0.25">
      <c r="A73" s="353">
        <v>2025</v>
      </c>
      <c r="B73" s="354">
        <v>6</v>
      </c>
      <c r="C73" s="353">
        <v>22787</v>
      </c>
      <c r="D73" s="273">
        <v>45826</v>
      </c>
      <c r="E73" s="81" t="s">
        <v>2192</v>
      </c>
      <c r="F73" s="81" t="s">
        <v>2192</v>
      </c>
      <c r="G73" s="78" t="s">
        <v>143</v>
      </c>
      <c r="H73" s="78">
        <v>3332521553</v>
      </c>
      <c r="I73" s="78">
        <v>3332521553</v>
      </c>
      <c r="J73" s="66">
        <v>45835</v>
      </c>
      <c r="K73" s="78" t="s">
        <v>84</v>
      </c>
      <c r="L73" s="79" t="s">
        <v>2193</v>
      </c>
      <c r="M73" s="78" t="s">
        <v>136</v>
      </c>
      <c r="N73" s="78">
        <v>6041</v>
      </c>
      <c r="O73" s="78" t="s">
        <v>136</v>
      </c>
      <c r="P73" s="78" t="s">
        <v>136</v>
      </c>
      <c r="Q73" s="78" t="s">
        <v>136</v>
      </c>
      <c r="R73" s="78" t="s">
        <v>136</v>
      </c>
      <c r="S73" s="78" t="s">
        <v>136</v>
      </c>
      <c r="T73" s="78" t="s">
        <v>2065</v>
      </c>
      <c r="U73" s="78" t="s">
        <v>136</v>
      </c>
      <c r="V73" s="81" t="s">
        <v>119</v>
      </c>
      <c r="W73" s="435">
        <v>45839</v>
      </c>
      <c r="X73" s="66">
        <v>45842</v>
      </c>
      <c r="Z73" s="80" t="s">
        <v>85</v>
      </c>
      <c r="AA73" s="371">
        <v>70000</v>
      </c>
      <c r="AB73" s="78">
        <v>6025</v>
      </c>
      <c r="AC73" s="228">
        <v>58824</v>
      </c>
      <c r="AD73" s="228">
        <f t="shared" si="1"/>
        <v>70000.56</v>
      </c>
      <c r="AE73" s="303">
        <v>0</v>
      </c>
      <c r="AG73" s="210" t="s">
        <v>2139</v>
      </c>
      <c r="AH73" s="403">
        <v>45826</v>
      </c>
      <c r="AI73" s="66">
        <v>45847</v>
      </c>
      <c r="AJ73" s="78" t="s">
        <v>1705</v>
      </c>
      <c r="AL73" s="65"/>
      <c r="AM73" s="65"/>
      <c r="AN73" s="65"/>
      <c r="AO73" s="65"/>
      <c r="AP73" s="65"/>
      <c r="AQ73" s="65"/>
      <c r="AR73" s="65"/>
      <c r="AS73" s="65"/>
      <c r="AT73" s="65"/>
      <c r="AU73" s="65"/>
      <c r="AV73" s="65"/>
      <c r="AW73" s="65"/>
      <c r="AX73" s="65"/>
      <c r="AY73" s="65"/>
      <c r="AZ73" s="65"/>
      <c r="BA73" s="65"/>
      <c r="BB73" s="65"/>
      <c r="BC73" s="65"/>
      <c r="BD73" s="65"/>
      <c r="BE73" s="65"/>
      <c r="BF73" s="65"/>
      <c r="BG73" s="65"/>
      <c r="BH73" s="65"/>
      <c r="BI73" s="65"/>
      <c r="BJ73" s="65"/>
      <c r="BK73" s="65"/>
      <c r="BL73" s="65"/>
      <c r="BM73" s="65"/>
      <c r="BN73" s="65"/>
      <c r="BO73" s="65"/>
      <c r="BP73" s="65"/>
      <c r="BQ73" s="65"/>
      <c r="BR73" s="65"/>
      <c r="BS73" s="65"/>
      <c r="BT73" s="65"/>
      <c r="BU73" s="65"/>
      <c r="BV73" s="65"/>
      <c r="BW73" s="65"/>
      <c r="BX73" s="65"/>
      <c r="BY73" s="65"/>
      <c r="BZ73" s="65"/>
      <c r="CA73" s="65"/>
      <c r="CB73" s="65"/>
      <c r="CC73" s="65"/>
      <c r="CD73" s="65"/>
      <c r="CE73" s="65"/>
      <c r="CF73" s="65"/>
      <c r="CG73" s="65"/>
      <c r="CH73" s="65"/>
      <c r="CI73" s="65"/>
      <c r="CJ73" s="65"/>
      <c r="CK73" s="65"/>
      <c r="CL73" s="65"/>
      <c r="CM73" s="65"/>
      <c r="CN73" s="65"/>
      <c r="CO73" s="65"/>
      <c r="CP73" s="65"/>
      <c r="CQ73" s="65"/>
      <c r="CR73" s="65"/>
      <c r="CS73" s="65"/>
      <c r="CT73" s="65"/>
      <c r="CU73" s="65"/>
      <c r="CV73" s="65"/>
      <c r="CW73" s="65"/>
      <c r="CX73" s="65"/>
      <c r="CY73" s="65"/>
      <c r="CZ73" s="65"/>
      <c r="DA73" s="65"/>
      <c r="DB73" s="65"/>
      <c r="DC73" s="65"/>
      <c r="DD73" s="65"/>
      <c r="DE73" s="65"/>
      <c r="DF73" s="65"/>
      <c r="DG73" s="65"/>
      <c r="DH73" s="65"/>
      <c r="DI73" s="65"/>
      <c r="DJ73" s="65"/>
      <c r="DK73" s="65"/>
      <c r="DL73" s="65"/>
      <c r="DM73" s="65"/>
      <c r="DN73" s="65"/>
      <c r="DO73" s="65"/>
      <c r="DP73" s="65"/>
      <c r="DQ73" s="65"/>
      <c r="DR73" s="65"/>
      <c r="DS73" s="65"/>
      <c r="DT73" s="65"/>
      <c r="DU73" s="65"/>
      <c r="DV73" s="65"/>
      <c r="DW73" s="65"/>
      <c r="DX73" s="65"/>
      <c r="DY73" s="65"/>
      <c r="DZ73" s="65"/>
      <c r="EA73" s="65"/>
      <c r="EB73" s="65"/>
      <c r="EC73" s="65"/>
      <c r="ED73" s="65"/>
      <c r="EE73" s="65"/>
      <c r="EF73" s="65"/>
      <c r="EG73" s="65"/>
      <c r="EH73" s="65"/>
      <c r="EI73" s="65"/>
      <c r="EJ73" s="65"/>
      <c r="EK73" s="65"/>
      <c r="EL73" s="65"/>
      <c r="EM73" s="65"/>
      <c r="EN73" s="65"/>
      <c r="EO73" s="65"/>
      <c r="EP73" s="65"/>
      <c r="EQ73" s="65"/>
      <c r="ER73" s="65"/>
      <c r="ES73" s="65"/>
      <c r="ET73" s="65"/>
      <c r="EU73" s="65"/>
      <c r="EV73" s="65"/>
      <c r="EW73" s="65"/>
      <c r="EX73" s="65"/>
      <c r="EY73" s="65"/>
      <c r="EZ73" s="65"/>
      <c r="FA73" s="65"/>
      <c r="FB73" s="65"/>
      <c r="FC73" s="65"/>
      <c r="FD73" s="65"/>
      <c r="FE73" s="65"/>
      <c r="FF73" s="65"/>
      <c r="FG73" s="65"/>
      <c r="FH73" s="65"/>
      <c r="FI73" s="65"/>
      <c r="FJ73" s="65"/>
      <c r="FK73" s="65"/>
      <c r="FL73" s="65"/>
      <c r="FM73" s="65"/>
      <c r="FN73" s="65"/>
      <c r="FO73" s="65"/>
      <c r="FP73" s="65"/>
      <c r="FQ73" s="65"/>
      <c r="FR73" s="65"/>
      <c r="FS73" s="65"/>
      <c r="FT73" s="65"/>
      <c r="FU73" s="65"/>
      <c r="FV73" s="65"/>
      <c r="FW73" s="65"/>
      <c r="FX73" s="65"/>
      <c r="FY73" s="65"/>
      <c r="FZ73" s="65"/>
      <c r="GA73" s="65"/>
      <c r="GB73" s="65"/>
      <c r="GC73" s="65"/>
      <c r="GD73" s="65"/>
      <c r="GE73" s="65"/>
      <c r="GF73" s="65"/>
      <c r="GG73" s="65"/>
      <c r="GH73" s="65"/>
      <c r="GI73" s="65"/>
      <c r="GJ73" s="65"/>
      <c r="GK73" s="65"/>
      <c r="GL73" s="65"/>
      <c r="GM73" s="65"/>
      <c r="GN73" s="65"/>
      <c r="GO73" s="65"/>
      <c r="GP73" s="65"/>
      <c r="GQ73" s="65"/>
      <c r="GR73" s="65"/>
      <c r="GS73" s="65"/>
      <c r="GT73" s="65"/>
      <c r="GU73" s="65"/>
      <c r="GV73" s="65"/>
      <c r="GW73" s="65"/>
      <c r="GX73" s="65"/>
      <c r="GY73" s="65"/>
      <c r="GZ73" s="65"/>
      <c r="HA73" s="65"/>
      <c r="HB73" s="65"/>
      <c r="HC73" s="65"/>
      <c r="HD73" s="65"/>
      <c r="HE73" s="65"/>
      <c r="HF73" s="65"/>
      <c r="HG73" s="65"/>
      <c r="HH73" s="65"/>
      <c r="HI73" s="65"/>
      <c r="HJ73" s="65"/>
      <c r="HK73" s="65"/>
      <c r="HL73" s="65"/>
      <c r="HM73" s="65"/>
      <c r="HN73" s="65"/>
      <c r="HO73" s="65"/>
    </row>
    <row r="74" spans="1:223" s="78" customFormat="1" ht="34.5" customHeight="1" x14ac:dyDescent="0.25">
      <c r="A74" s="353">
        <v>2025</v>
      </c>
      <c r="B74" s="354">
        <v>6</v>
      </c>
      <c r="C74" s="355">
        <v>22788</v>
      </c>
      <c r="D74" s="273">
        <v>45827</v>
      </c>
      <c r="E74" s="81" t="s">
        <v>358</v>
      </c>
      <c r="F74" s="81" t="s">
        <v>2043</v>
      </c>
      <c r="G74" s="78" t="s">
        <v>98</v>
      </c>
      <c r="H74" s="78">
        <v>3216425669</v>
      </c>
      <c r="I74" s="78">
        <v>4487170</v>
      </c>
      <c r="J74" s="66">
        <v>45835</v>
      </c>
      <c r="K74" s="78" t="s">
        <v>86</v>
      </c>
      <c r="L74" s="79" t="s">
        <v>1904</v>
      </c>
      <c r="M74" s="78" t="s">
        <v>363</v>
      </c>
      <c r="N74" s="78" t="s">
        <v>136</v>
      </c>
      <c r="O74" s="78" t="s">
        <v>136</v>
      </c>
      <c r="P74" s="78" t="s">
        <v>136</v>
      </c>
      <c r="Q74" s="78" t="s">
        <v>136</v>
      </c>
      <c r="R74" s="78" t="s">
        <v>136</v>
      </c>
      <c r="S74" s="78" t="s">
        <v>134</v>
      </c>
      <c r="T74" s="78" t="s">
        <v>136</v>
      </c>
      <c r="U74" s="78" t="s">
        <v>136</v>
      </c>
      <c r="V74" s="81" t="s">
        <v>87</v>
      </c>
      <c r="W74" s="435">
        <v>45833</v>
      </c>
      <c r="X74" s="66">
        <v>45833</v>
      </c>
      <c r="Z74" s="80" t="s">
        <v>85</v>
      </c>
      <c r="AA74" s="371">
        <v>0</v>
      </c>
      <c r="AC74" s="228">
        <v>0</v>
      </c>
      <c r="AD74" s="228">
        <f t="shared" si="1"/>
        <v>0</v>
      </c>
      <c r="AE74" s="303">
        <v>0</v>
      </c>
      <c r="AG74" s="210" t="s">
        <v>2175</v>
      </c>
      <c r="AH74" s="241"/>
      <c r="AI74" s="66">
        <v>45833</v>
      </c>
      <c r="AJ74" s="78" t="s">
        <v>1705</v>
      </c>
      <c r="AL74" s="65"/>
      <c r="AM74" s="65"/>
      <c r="AN74" s="65"/>
      <c r="AO74" s="65"/>
      <c r="AP74" s="65"/>
      <c r="AQ74" s="65"/>
      <c r="AR74" s="65"/>
      <c r="AS74" s="65"/>
      <c r="AT74" s="65"/>
      <c r="AU74" s="65"/>
      <c r="AV74" s="65"/>
      <c r="AW74" s="65"/>
      <c r="AX74" s="65"/>
      <c r="AY74" s="65"/>
      <c r="AZ74" s="65"/>
      <c r="BA74" s="65"/>
      <c r="BB74" s="65"/>
      <c r="BC74" s="65"/>
      <c r="BD74" s="65"/>
      <c r="BE74" s="65"/>
      <c r="BF74" s="65"/>
      <c r="BG74" s="65"/>
      <c r="BH74" s="65"/>
      <c r="BI74" s="65"/>
      <c r="BJ74" s="65"/>
      <c r="BK74" s="65"/>
      <c r="BL74" s="65"/>
      <c r="BM74" s="65"/>
      <c r="BN74" s="65"/>
      <c r="BO74" s="65"/>
      <c r="BP74" s="65"/>
      <c r="BQ74" s="65"/>
      <c r="BR74" s="65"/>
      <c r="BS74" s="65"/>
      <c r="BT74" s="65"/>
      <c r="BU74" s="65"/>
      <c r="BV74" s="65"/>
      <c r="BW74" s="65"/>
      <c r="BX74" s="65"/>
      <c r="BY74" s="65"/>
      <c r="BZ74" s="65"/>
      <c r="CA74" s="65"/>
      <c r="CB74" s="65"/>
      <c r="CC74" s="65"/>
      <c r="CD74" s="65"/>
      <c r="CE74" s="65"/>
      <c r="CF74" s="65"/>
      <c r="CG74" s="65"/>
      <c r="CH74" s="65"/>
      <c r="CI74" s="65"/>
      <c r="CJ74" s="65"/>
      <c r="CK74" s="65"/>
      <c r="CL74" s="65"/>
      <c r="CM74" s="65"/>
      <c r="CN74" s="65"/>
      <c r="CO74" s="65"/>
      <c r="CP74" s="65"/>
      <c r="CQ74" s="65"/>
      <c r="CR74" s="65"/>
      <c r="CS74" s="65"/>
      <c r="CT74" s="65"/>
      <c r="CU74" s="65"/>
      <c r="CV74" s="65"/>
      <c r="CW74" s="65"/>
      <c r="CX74" s="65"/>
      <c r="CY74" s="65"/>
      <c r="CZ74" s="65"/>
      <c r="DA74" s="65"/>
      <c r="DB74" s="65"/>
      <c r="DC74" s="65"/>
      <c r="DD74" s="65"/>
      <c r="DE74" s="65"/>
      <c r="DF74" s="65"/>
      <c r="DG74" s="65"/>
      <c r="DH74" s="65"/>
      <c r="DI74" s="65"/>
      <c r="DJ74" s="65"/>
      <c r="DK74" s="65"/>
      <c r="DL74" s="65"/>
      <c r="DM74" s="65"/>
      <c r="DN74" s="65"/>
      <c r="DO74" s="65"/>
      <c r="DP74" s="65"/>
      <c r="DQ74" s="65"/>
      <c r="DR74" s="65"/>
      <c r="DS74" s="65"/>
      <c r="DT74" s="65"/>
      <c r="DU74" s="65"/>
      <c r="DV74" s="65"/>
      <c r="DW74" s="65"/>
      <c r="DX74" s="65"/>
      <c r="DY74" s="65"/>
      <c r="DZ74" s="65"/>
      <c r="EA74" s="65"/>
      <c r="EB74" s="65"/>
      <c r="EC74" s="65"/>
      <c r="ED74" s="65"/>
      <c r="EE74" s="65"/>
      <c r="EF74" s="65"/>
      <c r="EG74" s="65"/>
      <c r="EH74" s="65"/>
      <c r="EI74" s="65"/>
      <c r="EJ74" s="65"/>
      <c r="EK74" s="65"/>
      <c r="EL74" s="65"/>
      <c r="EM74" s="65"/>
      <c r="EN74" s="65"/>
      <c r="EO74" s="65"/>
      <c r="EP74" s="65"/>
      <c r="EQ74" s="65"/>
      <c r="ER74" s="65"/>
      <c r="ES74" s="65"/>
      <c r="ET74" s="65"/>
      <c r="EU74" s="65"/>
      <c r="EV74" s="65"/>
      <c r="EW74" s="65"/>
      <c r="EX74" s="65"/>
      <c r="EY74" s="65"/>
      <c r="EZ74" s="65"/>
      <c r="FA74" s="65"/>
      <c r="FB74" s="65"/>
      <c r="FC74" s="65"/>
      <c r="FD74" s="65"/>
      <c r="FE74" s="65"/>
      <c r="FF74" s="65"/>
      <c r="FG74" s="65"/>
      <c r="FH74" s="65"/>
      <c r="FI74" s="65"/>
      <c r="FJ74" s="65"/>
      <c r="FK74" s="65"/>
      <c r="FL74" s="65"/>
      <c r="FM74" s="65"/>
      <c r="FN74" s="65"/>
      <c r="FO74" s="65"/>
      <c r="FP74" s="65"/>
      <c r="FQ74" s="65"/>
      <c r="FR74" s="65"/>
      <c r="FS74" s="65"/>
      <c r="FT74" s="65"/>
      <c r="FU74" s="65"/>
      <c r="FV74" s="65"/>
      <c r="FW74" s="65"/>
      <c r="FX74" s="65"/>
      <c r="FY74" s="65"/>
      <c r="FZ74" s="65"/>
      <c r="GA74" s="65"/>
      <c r="GB74" s="65"/>
      <c r="GC74" s="65"/>
      <c r="GD74" s="65"/>
      <c r="GE74" s="65"/>
      <c r="GF74" s="65"/>
      <c r="GG74" s="65"/>
      <c r="GH74" s="65"/>
      <c r="GI74" s="65"/>
      <c r="GJ74" s="65"/>
      <c r="GK74" s="65"/>
      <c r="GL74" s="65"/>
      <c r="GM74" s="65"/>
      <c r="GN74" s="65"/>
      <c r="GO74" s="65"/>
      <c r="GP74" s="65"/>
      <c r="GQ74" s="65"/>
      <c r="GR74" s="65"/>
      <c r="GS74" s="65"/>
      <c r="GT74" s="65"/>
      <c r="GU74" s="65"/>
      <c r="GV74" s="65"/>
      <c r="GW74" s="65"/>
      <c r="GX74" s="65"/>
      <c r="GY74" s="65"/>
      <c r="GZ74" s="65"/>
      <c r="HA74" s="65"/>
      <c r="HB74" s="65"/>
      <c r="HC74" s="65"/>
      <c r="HD74" s="65"/>
      <c r="HE74" s="65"/>
      <c r="HF74" s="65"/>
      <c r="HG74" s="65"/>
      <c r="HH74" s="65"/>
      <c r="HI74" s="65"/>
      <c r="HJ74" s="65"/>
      <c r="HK74" s="65"/>
      <c r="HL74" s="65"/>
      <c r="HM74" s="65"/>
      <c r="HN74" s="65"/>
      <c r="HO74" s="65"/>
    </row>
    <row r="75" spans="1:223" s="78" customFormat="1" ht="34.5" customHeight="1" x14ac:dyDescent="0.25">
      <c r="A75" s="353">
        <v>2025</v>
      </c>
      <c r="B75" s="354">
        <v>6</v>
      </c>
      <c r="C75" s="353">
        <v>22789</v>
      </c>
      <c r="D75" s="273">
        <v>45827</v>
      </c>
      <c r="E75" s="81" t="s">
        <v>2194</v>
      </c>
      <c r="F75" s="81" t="s">
        <v>2194</v>
      </c>
      <c r="G75" s="78" t="s">
        <v>143</v>
      </c>
      <c r="H75" s="78">
        <v>31105075106</v>
      </c>
      <c r="I75" s="78">
        <v>31105075106</v>
      </c>
      <c r="J75" s="66">
        <v>45839</v>
      </c>
      <c r="K75" s="78" t="s">
        <v>84</v>
      </c>
      <c r="L75" s="79" t="s">
        <v>2195</v>
      </c>
      <c r="M75" s="78" t="s">
        <v>136</v>
      </c>
      <c r="N75" s="78">
        <v>6042</v>
      </c>
      <c r="O75" s="78">
        <v>6876</v>
      </c>
      <c r="P75" s="78" t="s">
        <v>136</v>
      </c>
      <c r="Q75" s="78" t="s">
        <v>136</v>
      </c>
      <c r="R75" s="78" t="s">
        <v>136</v>
      </c>
      <c r="S75" s="78" t="s">
        <v>134</v>
      </c>
      <c r="T75" s="78" t="s">
        <v>2065</v>
      </c>
      <c r="U75" s="78" t="s">
        <v>136</v>
      </c>
      <c r="V75" s="81" t="s">
        <v>119</v>
      </c>
      <c r="W75" s="435">
        <v>45839</v>
      </c>
      <c r="X75" s="66">
        <v>45845</v>
      </c>
      <c r="Z75" s="80" t="s">
        <v>85</v>
      </c>
      <c r="AB75" s="78">
        <v>6029</v>
      </c>
      <c r="AC75" s="228">
        <v>284874</v>
      </c>
      <c r="AD75" s="228">
        <f t="shared" si="1"/>
        <v>339000.06</v>
      </c>
      <c r="AE75" s="303">
        <v>150000</v>
      </c>
      <c r="AG75" s="210" t="s">
        <v>2099</v>
      </c>
      <c r="AH75" s="403">
        <v>45845</v>
      </c>
      <c r="AI75" s="66">
        <v>45856</v>
      </c>
      <c r="AJ75" s="78" t="s">
        <v>1705</v>
      </c>
      <c r="AL75" s="65"/>
      <c r="AM75" s="65"/>
      <c r="AN75" s="65"/>
      <c r="AO75" s="65"/>
      <c r="AP75" s="65"/>
      <c r="AQ75" s="65"/>
      <c r="AR75" s="65"/>
      <c r="AS75" s="65"/>
      <c r="AT75" s="65"/>
      <c r="AU75" s="65"/>
      <c r="AV75" s="65"/>
      <c r="AW75" s="65"/>
      <c r="AX75" s="65"/>
      <c r="AY75" s="65"/>
      <c r="AZ75" s="65"/>
      <c r="BA75" s="65"/>
      <c r="BB75" s="65"/>
      <c r="BC75" s="65"/>
      <c r="BD75" s="65"/>
      <c r="BE75" s="65"/>
      <c r="BF75" s="65"/>
      <c r="BG75" s="65"/>
      <c r="BH75" s="65"/>
      <c r="BI75" s="65"/>
      <c r="BJ75" s="65"/>
      <c r="BK75" s="65"/>
      <c r="BL75" s="65"/>
      <c r="BM75" s="65"/>
      <c r="BN75" s="65"/>
      <c r="BO75" s="65"/>
      <c r="BP75" s="65"/>
      <c r="BQ75" s="65"/>
      <c r="BR75" s="65"/>
      <c r="BS75" s="65"/>
      <c r="BT75" s="65"/>
      <c r="BU75" s="65"/>
      <c r="BV75" s="65"/>
      <c r="BW75" s="65"/>
      <c r="BX75" s="65"/>
      <c r="BY75" s="65"/>
      <c r="BZ75" s="65"/>
      <c r="CA75" s="65"/>
      <c r="CB75" s="65"/>
      <c r="CC75" s="65"/>
      <c r="CD75" s="65"/>
      <c r="CE75" s="65"/>
      <c r="CF75" s="65"/>
      <c r="CG75" s="65"/>
      <c r="CH75" s="65"/>
      <c r="CI75" s="65"/>
      <c r="CJ75" s="65"/>
      <c r="CK75" s="65"/>
      <c r="CL75" s="65"/>
      <c r="CM75" s="65"/>
      <c r="CN75" s="65"/>
      <c r="CO75" s="65"/>
      <c r="CP75" s="65"/>
      <c r="CQ75" s="65"/>
      <c r="CR75" s="65"/>
      <c r="CS75" s="65"/>
      <c r="CT75" s="65"/>
      <c r="CU75" s="65"/>
      <c r="CV75" s="65"/>
      <c r="CW75" s="65"/>
      <c r="CX75" s="65"/>
      <c r="CY75" s="65"/>
      <c r="CZ75" s="65"/>
      <c r="DA75" s="65"/>
      <c r="DB75" s="65"/>
      <c r="DC75" s="65"/>
      <c r="DD75" s="65"/>
      <c r="DE75" s="65"/>
      <c r="DF75" s="65"/>
      <c r="DG75" s="65"/>
      <c r="DH75" s="65"/>
      <c r="DI75" s="65"/>
      <c r="DJ75" s="65"/>
      <c r="DK75" s="65"/>
      <c r="DL75" s="65"/>
      <c r="DM75" s="65"/>
      <c r="DN75" s="65"/>
      <c r="DO75" s="65"/>
      <c r="DP75" s="65"/>
      <c r="DQ75" s="65"/>
      <c r="DR75" s="65"/>
      <c r="DS75" s="65"/>
      <c r="DT75" s="65"/>
      <c r="DU75" s="65"/>
      <c r="DV75" s="65"/>
      <c r="DW75" s="65"/>
      <c r="DX75" s="65"/>
      <c r="DY75" s="65"/>
      <c r="DZ75" s="65"/>
      <c r="EA75" s="65"/>
      <c r="EB75" s="65"/>
      <c r="EC75" s="65"/>
      <c r="ED75" s="65"/>
      <c r="EE75" s="65"/>
      <c r="EF75" s="65"/>
      <c r="EG75" s="65"/>
      <c r="EH75" s="65"/>
      <c r="EI75" s="65"/>
      <c r="EJ75" s="65"/>
      <c r="EK75" s="65"/>
      <c r="EL75" s="65"/>
      <c r="EM75" s="65"/>
      <c r="EN75" s="65"/>
      <c r="EO75" s="65"/>
      <c r="EP75" s="65"/>
      <c r="EQ75" s="65"/>
      <c r="ER75" s="65"/>
      <c r="ES75" s="65"/>
      <c r="ET75" s="65"/>
      <c r="EU75" s="65"/>
      <c r="EV75" s="65"/>
      <c r="EW75" s="65"/>
      <c r="EX75" s="65"/>
      <c r="EY75" s="65"/>
      <c r="EZ75" s="65"/>
      <c r="FA75" s="65"/>
      <c r="FB75" s="65"/>
      <c r="FC75" s="65"/>
      <c r="FD75" s="65"/>
      <c r="FE75" s="65"/>
      <c r="FF75" s="65"/>
      <c r="FG75" s="65"/>
      <c r="FH75" s="65"/>
      <c r="FI75" s="65"/>
      <c r="FJ75" s="65"/>
      <c r="FK75" s="65"/>
      <c r="FL75" s="65"/>
      <c r="FM75" s="65"/>
      <c r="FN75" s="65"/>
      <c r="FO75" s="65"/>
      <c r="FP75" s="65"/>
      <c r="FQ75" s="65"/>
      <c r="FR75" s="65"/>
      <c r="FS75" s="65"/>
      <c r="FT75" s="65"/>
      <c r="FU75" s="65"/>
      <c r="FV75" s="65"/>
      <c r="FW75" s="65"/>
      <c r="FX75" s="65"/>
      <c r="FY75" s="65"/>
      <c r="FZ75" s="65"/>
      <c r="GA75" s="65"/>
      <c r="GB75" s="65"/>
      <c r="GC75" s="65"/>
      <c r="GD75" s="65"/>
      <c r="GE75" s="65"/>
      <c r="GF75" s="65"/>
      <c r="GG75" s="65"/>
      <c r="GH75" s="65"/>
      <c r="GI75" s="65"/>
      <c r="GJ75" s="65"/>
      <c r="GK75" s="65"/>
      <c r="GL75" s="65"/>
      <c r="GM75" s="65"/>
      <c r="GN75" s="65"/>
      <c r="GO75" s="65"/>
      <c r="GP75" s="65"/>
      <c r="GQ75" s="65"/>
      <c r="GR75" s="65"/>
      <c r="GS75" s="65"/>
      <c r="GT75" s="65"/>
      <c r="GU75" s="65"/>
      <c r="GV75" s="65"/>
      <c r="GW75" s="65"/>
      <c r="GX75" s="65"/>
      <c r="GY75" s="65"/>
      <c r="GZ75" s="65"/>
      <c r="HA75" s="65"/>
      <c r="HB75" s="65"/>
      <c r="HC75" s="65"/>
      <c r="HD75" s="65"/>
      <c r="HE75" s="65"/>
      <c r="HF75" s="65"/>
      <c r="HG75" s="65"/>
      <c r="HH75" s="65"/>
      <c r="HI75" s="65"/>
      <c r="HJ75" s="65"/>
      <c r="HK75" s="65"/>
      <c r="HL75" s="65"/>
      <c r="HM75" s="65"/>
      <c r="HN75" s="65"/>
      <c r="HO75" s="65"/>
    </row>
    <row r="76" spans="1:223" s="78" customFormat="1" ht="34.5" customHeight="1" x14ac:dyDescent="0.25">
      <c r="A76" s="353">
        <v>2025</v>
      </c>
      <c r="B76" s="354">
        <v>6</v>
      </c>
      <c r="C76" s="355">
        <v>22790</v>
      </c>
      <c r="D76" s="273">
        <v>45827</v>
      </c>
      <c r="E76" s="81" t="s">
        <v>2196</v>
      </c>
      <c r="F76" s="81" t="s">
        <v>2196</v>
      </c>
      <c r="I76" s="78">
        <v>3054366675</v>
      </c>
      <c r="J76" s="66">
        <v>45836</v>
      </c>
      <c r="K76" s="78" t="s">
        <v>2188</v>
      </c>
      <c r="L76" s="79" t="s">
        <v>2197</v>
      </c>
      <c r="M76" s="78" t="s">
        <v>136</v>
      </c>
      <c r="N76" s="78">
        <v>6039</v>
      </c>
      <c r="O76" s="78" t="s">
        <v>136</v>
      </c>
      <c r="P76" s="78" t="s">
        <v>136</v>
      </c>
      <c r="Q76" s="78" t="s">
        <v>136</v>
      </c>
      <c r="R76" s="78" t="s">
        <v>136</v>
      </c>
      <c r="S76" s="78" t="s">
        <v>136</v>
      </c>
      <c r="T76" s="78" t="s">
        <v>2065</v>
      </c>
      <c r="U76" s="78" t="s">
        <v>136</v>
      </c>
      <c r="V76" s="81" t="s">
        <v>87</v>
      </c>
      <c r="W76" s="435">
        <v>45839</v>
      </c>
      <c r="X76" s="66">
        <v>45839</v>
      </c>
      <c r="Z76" s="80" t="s">
        <v>85</v>
      </c>
      <c r="AA76" s="371">
        <v>0</v>
      </c>
      <c r="AB76" s="78">
        <v>6017</v>
      </c>
      <c r="AC76" s="228">
        <v>1722689</v>
      </c>
      <c r="AD76" s="228">
        <f t="shared" si="1"/>
        <v>2049999.91</v>
      </c>
      <c r="AE76" s="303">
        <v>1000000</v>
      </c>
      <c r="AG76" s="210" t="s">
        <v>2099</v>
      </c>
      <c r="AH76" s="403">
        <v>45839</v>
      </c>
      <c r="AI76" s="66">
        <v>45847</v>
      </c>
      <c r="AJ76" s="78" t="s">
        <v>1705</v>
      </c>
      <c r="AL76" s="65"/>
      <c r="AM76" s="65"/>
      <c r="AN76" s="65"/>
      <c r="AO76" s="65"/>
      <c r="AP76" s="65"/>
      <c r="AQ76" s="65"/>
      <c r="AR76" s="65"/>
      <c r="AS76" s="65"/>
      <c r="AT76" s="65"/>
      <c r="AU76" s="65"/>
      <c r="AV76" s="65"/>
      <c r="AW76" s="65"/>
      <c r="AX76" s="65"/>
      <c r="AY76" s="65"/>
      <c r="AZ76" s="65"/>
      <c r="BA76" s="65"/>
      <c r="BB76" s="65"/>
      <c r="BC76" s="65"/>
      <c r="BD76" s="65"/>
      <c r="BE76" s="65"/>
      <c r="BF76" s="65"/>
      <c r="BG76" s="65"/>
      <c r="BH76" s="65"/>
      <c r="BI76" s="65"/>
      <c r="BJ76" s="65"/>
      <c r="BK76" s="65"/>
      <c r="BL76" s="65"/>
      <c r="BM76" s="65"/>
      <c r="BN76" s="65"/>
      <c r="BO76" s="65"/>
      <c r="BP76" s="65"/>
      <c r="BQ76" s="65"/>
      <c r="BR76" s="65"/>
      <c r="BS76" s="65"/>
      <c r="BT76" s="65"/>
      <c r="BU76" s="65"/>
      <c r="BV76" s="65"/>
      <c r="BW76" s="65"/>
      <c r="BX76" s="65"/>
      <c r="BY76" s="65"/>
      <c r="BZ76" s="65"/>
      <c r="CA76" s="65"/>
      <c r="CB76" s="65"/>
      <c r="CC76" s="65"/>
      <c r="CD76" s="65"/>
      <c r="CE76" s="65"/>
      <c r="CF76" s="65"/>
      <c r="CG76" s="65"/>
      <c r="CH76" s="65"/>
      <c r="CI76" s="65"/>
      <c r="CJ76" s="65"/>
      <c r="CK76" s="65"/>
      <c r="CL76" s="65"/>
      <c r="CM76" s="65"/>
      <c r="CN76" s="65"/>
      <c r="CO76" s="65"/>
      <c r="CP76" s="65"/>
      <c r="CQ76" s="65"/>
      <c r="CR76" s="65"/>
      <c r="CS76" s="65"/>
      <c r="CT76" s="65"/>
      <c r="CU76" s="65"/>
      <c r="CV76" s="65"/>
      <c r="CW76" s="65"/>
      <c r="CX76" s="65"/>
      <c r="CY76" s="65"/>
      <c r="CZ76" s="65"/>
      <c r="DA76" s="65"/>
      <c r="DB76" s="65"/>
      <c r="DC76" s="65"/>
      <c r="DD76" s="65"/>
      <c r="DE76" s="65"/>
      <c r="DF76" s="65"/>
      <c r="DG76" s="65"/>
      <c r="DH76" s="65"/>
      <c r="DI76" s="65"/>
      <c r="DJ76" s="65"/>
      <c r="DK76" s="65"/>
      <c r="DL76" s="65"/>
      <c r="DM76" s="65"/>
      <c r="DN76" s="65"/>
      <c r="DO76" s="65"/>
      <c r="DP76" s="65"/>
      <c r="DQ76" s="65"/>
      <c r="DR76" s="65"/>
      <c r="DS76" s="65"/>
      <c r="DT76" s="65"/>
      <c r="DU76" s="65"/>
      <c r="DV76" s="65"/>
      <c r="DW76" s="65"/>
      <c r="DX76" s="65"/>
      <c r="DY76" s="65"/>
      <c r="DZ76" s="65"/>
      <c r="EA76" s="65"/>
      <c r="EB76" s="65"/>
      <c r="EC76" s="65"/>
      <c r="ED76" s="65"/>
      <c r="EE76" s="65"/>
      <c r="EF76" s="65"/>
      <c r="EG76" s="65"/>
      <c r="EH76" s="65"/>
      <c r="EI76" s="65"/>
      <c r="EJ76" s="65"/>
      <c r="EK76" s="65"/>
      <c r="EL76" s="65"/>
      <c r="EM76" s="65"/>
      <c r="EN76" s="65"/>
      <c r="EO76" s="65"/>
      <c r="EP76" s="65"/>
      <c r="EQ76" s="65"/>
      <c r="ER76" s="65"/>
      <c r="ES76" s="65"/>
      <c r="ET76" s="65"/>
      <c r="EU76" s="65"/>
      <c r="EV76" s="65"/>
      <c r="EW76" s="65"/>
      <c r="EX76" s="65"/>
      <c r="EY76" s="65"/>
      <c r="EZ76" s="65"/>
      <c r="FA76" s="65"/>
      <c r="FB76" s="65"/>
      <c r="FC76" s="65"/>
      <c r="FD76" s="65"/>
      <c r="FE76" s="65"/>
      <c r="FF76" s="65"/>
      <c r="FG76" s="65"/>
      <c r="FH76" s="65"/>
      <c r="FI76" s="65"/>
      <c r="FJ76" s="65"/>
      <c r="FK76" s="65"/>
      <c r="FL76" s="65"/>
      <c r="FM76" s="65"/>
      <c r="FN76" s="65"/>
      <c r="FO76" s="65"/>
      <c r="FP76" s="65"/>
      <c r="FQ76" s="65"/>
      <c r="FR76" s="65"/>
      <c r="FS76" s="65"/>
      <c r="FT76" s="65"/>
      <c r="FU76" s="65"/>
      <c r="FV76" s="65"/>
      <c r="FW76" s="65"/>
      <c r="FX76" s="65"/>
      <c r="FY76" s="65"/>
      <c r="FZ76" s="65"/>
      <c r="GA76" s="65"/>
      <c r="GB76" s="65"/>
      <c r="GC76" s="65"/>
      <c r="GD76" s="65"/>
      <c r="GE76" s="65"/>
      <c r="GF76" s="65"/>
      <c r="GG76" s="65"/>
      <c r="GH76" s="65"/>
      <c r="GI76" s="65"/>
      <c r="GJ76" s="65"/>
      <c r="GK76" s="65"/>
      <c r="GL76" s="65"/>
      <c r="GM76" s="65"/>
      <c r="GN76" s="65"/>
      <c r="GO76" s="65"/>
      <c r="GP76" s="65"/>
      <c r="GQ76" s="65"/>
      <c r="GR76" s="65"/>
      <c r="GS76" s="65"/>
      <c r="GT76" s="65"/>
      <c r="GU76" s="65"/>
      <c r="GV76" s="65"/>
      <c r="GW76" s="65"/>
      <c r="GX76" s="65"/>
      <c r="GY76" s="65"/>
      <c r="GZ76" s="65"/>
      <c r="HA76" s="65"/>
      <c r="HB76" s="65"/>
      <c r="HC76" s="65"/>
      <c r="HD76" s="65"/>
      <c r="HE76" s="65"/>
      <c r="HF76" s="65"/>
      <c r="HG76" s="65"/>
      <c r="HH76" s="65"/>
      <c r="HI76" s="65"/>
      <c r="HJ76" s="65"/>
      <c r="HK76" s="65"/>
      <c r="HL76" s="65"/>
      <c r="HM76" s="65"/>
      <c r="HN76" s="65"/>
      <c r="HO76" s="65"/>
    </row>
    <row r="77" spans="1:223" s="78" customFormat="1" ht="34.5" customHeight="1" x14ac:dyDescent="0.25">
      <c r="A77" s="353">
        <v>2025</v>
      </c>
      <c r="B77" s="354">
        <v>6</v>
      </c>
      <c r="C77" s="353">
        <v>22791</v>
      </c>
      <c r="D77" s="273">
        <v>45827</v>
      </c>
      <c r="E77" s="81" t="s">
        <v>2101</v>
      </c>
      <c r="F77" s="81" t="s">
        <v>2102</v>
      </c>
      <c r="G77" s="78" t="s">
        <v>98</v>
      </c>
      <c r="H77" s="78">
        <v>3245597673</v>
      </c>
      <c r="I77" s="78">
        <v>6042894966</v>
      </c>
      <c r="J77" s="66">
        <v>45839</v>
      </c>
      <c r="K77" s="78" t="s">
        <v>86</v>
      </c>
      <c r="L77" s="79" t="s">
        <v>2198</v>
      </c>
      <c r="M77" s="78" t="s">
        <v>136</v>
      </c>
      <c r="N77" s="78">
        <v>6043</v>
      </c>
      <c r="O77" s="78">
        <v>6877</v>
      </c>
      <c r="P77" s="78" t="s">
        <v>136</v>
      </c>
      <c r="Q77" s="78" t="s">
        <v>136</v>
      </c>
      <c r="R77" s="78" t="s">
        <v>136</v>
      </c>
      <c r="S77" s="78" t="s">
        <v>136</v>
      </c>
      <c r="T77" s="78" t="s">
        <v>2065</v>
      </c>
      <c r="U77" s="78" t="s">
        <v>136</v>
      </c>
      <c r="V77" s="81" t="s">
        <v>87</v>
      </c>
      <c r="W77" s="435">
        <v>45839</v>
      </c>
      <c r="X77" s="66">
        <v>45841</v>
      </c>
      <c r="Z77" s="80" t="s">
        <v>85</v>
      </c>
      <c r="AA77" s="371">
        <v>693940</v>
      </c>
      <c r="AB77" s="78">
        <v>6020</v>
      </c>
      <c r="AC77" s="228">
        <v>583143</v>
      </c>
      <c r="AD77" s="228">
        <f t="shared" si="1"/>
        <v>693940.16999999993</v>
      </c>
      <c r="AE77" s="303">
        <v>0</v>
      </c>
      <c r="AG77" s="210" t="s">
        <v>2140</v>
      </c>
      <c r="AH77" s="403">
        <v>45826</v>
      </c>
      <c r="AI77" s="66">
        <v>45847</v>
      </c>
      <c r="AJ77" s="78" t="s">
        <v>1705</v>
      </c>
      <c r="AL77" s="65"/>
      <c r="AM77" s="65"/>
      <c r="AN77" s="65"/>
      <c r="AO77" s="65"/>
      <c r="AP77" s="65"/>
      <c r="AQ77" s="65"/>
      <c r="AR77" s="65"/>
      <c r="AS77" s="65"/>
      <c r="AT77" s="65"/>
      <c r="AU77" s="65"/>
      <c r="AV77" s="65"/>
      <c r="AW77" s="65"/>
      <c r="AX77" s="65"/>
      <c r="AY77" s="65"/>
      <c r="AZ77" s="65"/>
      <c r="BA77" s="65"/>
      <c r="BB77" s="65"/>
      <c r="BC77" s="65"/>
      <c r="BD77" s="65"/>
      <c r="BE77" s="65"/>
      <c r="BF77" s="65"/>
      <c r="BG77" s="65"/>
      <c r="BH77" s="65"/>
      <c r="BI77" s="65"/>
      <c r="BJ77" s="65"/>
      <c r="BK77" s="65"/>
      <c r="BL77" s="65"/>
      <c r="BM77" s="65"/>
      <c r="BN77" s="65"/>
      <c r="BO77" s="65"/>
      <c r="BP77" s="65"/>
      <c r="BQ77" s="65"/>
      <c r="BR77" s="65"/>
      <c r="BS77" s="65"/>
      <c r="BT77" s="65"/>
      <c r="BU77" s="65"/>
      <c r="BV77" s="65"/>
      <c r="BW77" s="65"/>
      <c r="BX77" s="65"/>
      <c r="BY77" s="65"/>
      <c r="BZ77" s="65"/>
      <c r="CA77" s="65"/>
      <c r="CB77" s="65"/>
      <c r="CC77" s="65"/>
      <c r="CD77" s="65"/>
      <c r="CE77" s="65"/>
      <c r="CF77" s="65"/>
      <c r="CG77" s="65"/>
      <c r="CH77" s="65"/>
      <c r="CI77" s="65"/>
      <c r="CJ77" s="65"/>
      <c r="CK77" s="65"/>
      <c r="CL77" s="65"/>
      <c r="CM77" s="65"/>
      <c r="CN77" s="65"/>
      <c r="CO77" s="65"/>
      <c r="CP77" s="65"/>
      <c r="CQ77" s="65"/>
      <c r="CR77" s="65"/>
      <c r="CS77" s="65"/>
      <c r="CT77" s="65"/>
      <c r="CU77" s="65"/>
      <c r="CV77" s="65"/>
      <c r="CW77" s="65"/>
      <c r="CX77" s="65"/>
      <c r="CY77" s="65"/>
      <c r="CZ77" s="65"/>
      <c r="DA77" s="65"/>
      <c r="DB77" s="65"/>
      <c r="DC77" s="65"/>
      <c r="DD77" s="65"/>
      <c r="DE77" s="65"/>
      <c r="DF77" s="65"/>
      <c r="DG77" s="65"/>
      <c r="DH77" s="65"/>
      <c r="DI77" s="65"/>
      <c r="DJ77" s="65"/>
      <c r="DK77" s="65"/>
      <c r="DL77" s="65"/>
      <c r="DM77" s="65"/>
      <c r="DN77" s="65"/>
      <c r="DO77" s="65"/>
      <c r="DP77" s="65"/>
      <c r="DQ77" s="65"/>
      <c r="DR77" s="65"/>
      <c r="DS77" s="65"/>
      <c r="DT77" s="65"/>
      <c r="DU77" s="65"/>
      <c r="DV77" s="65"/>
      <c r="DW77" s="65"/>
      <c r="DX77" s="65"/>
      <c r="DY77" s="65"/>
      <c r="DZ77" s="65"/>
      <c r="EA77" s="65"/>
      <c r="EB77" s="65"/>
      <c r="EC77" s="65"/>
      <c r="ED77" s="65"/>
      <c r="EE77" s="65"/>
      <c r="EF77" s="65"/>
      <c r="EG77" s="65"/>
      <c r="EH77" s="65"/>
      <c r="EI77" s="65"/>
      <c r="EJ77" s="65"/>
      <c r="EK77" s="65"/>
      <c r="EL77" s="65"/>
      <c r="EM77" s="65"/>
      <c r="EN77" s="65"/>
      <c r="EO77" s="65"/>
      <c r="EP77" s="65"/>
      <c r="EQ77" s="65"/>
      <c r="ER77" s="65"/>
      <c r="ES77" s="65"/>
      <c r="ET77" s="65"/>
      <c r="EU77" s="65"/>
      <c r="EV77" s="65"/>
      <c r="EW77" s="65"/>
      <c r="EX77" s="65"/>
      <c r="EY77" s="65"/>
      <c r="EZ77" s="65"/>
      <c r="FA77" s="65"/>
      <c r="FB77" s="65"/>
      <c r="FC77" s="65"/>
      <c r="FD77" s="65"/>
      <c r="FE77" s="65"/>
      <c r="FF77" s="65"/>
      <c r="FG77" s="65"/>
      <c r="FH77" s="65"/>
      <c r="FI77" s="65"/>
      <c r="FJ77" s="65"/>
      <c r="FK77" s="65"/>
      <c r="FL77" s="65"/>
      <c r="FM77" s="65"/>
      <c r="FN77" s="65"/>
      <c r="FO77" s="65"/>
      <c r="FP77" s="65"/>
      <c r="FQ77" s="65"/>
      <c r="FR77" s="65"/>
      <c r="FS77" s="65"/>
      <c r="FT77" s="65"/>
      <c r="FU77" s="65"/>
      <c r="FV77" s="65"/>
      <c r="FW77" s="65"/>
      <c r="FX77" s="65"/>
      <c r="FY77" s="65"/>
      <c r="FZ77" s="65"/>
      <c r="GA77" s="65"/>
      <c r="GB77" s="65"/>
      <c r="GC77" s="65"/>
      <c r="GD77" s="65"/>
      <c r="GE77" s="65"/>
      <c r="GF77" s="65"/>
      <c r="GG77" s="65"/>
      <c r="GH77" s="65"/>
      <c r="GI77" s="65"/>
      <c r="GJ77" s="65"/>
      <c r="GK77" s="65"/>
      <c r="GL77" s="65"/>
      <c r="GM77" s="65"/>
      <c r="GN77" s="65"/>
      <c r="GO77" s="65"/>
      <c r="GP77" s="65"/>
      <c r="GQ77" s="65"/>
      <c r="GR77" s="65"/>
      <c r="GS77" s="65"/>
      <c r="GT77" s="65"/>
      <c r="GU77" s="65"/>
      <c r="GV77" s="65"/>
      <c r="GW77" s="65"/>
      <c r="GX77" s="65"/>
      <c r="GY77" s="65"/>
      <c r="GZ77" s="65"/>
      <c r="HA77" s="65"/>
      <c r="HB77" s="65"/>
      <c r="HC77" s="65"/>
      <c r="HD77" s="65"/>
      <c r="HE77" s="65"/>
      <c r="HF77" s="65"/>
      <c r="HG77" s="65"/>
      <c r="HH77" s="65"/>
      <c r="HI77" s="65"/>
      <c r="HJ77" s="65"/>
      <c r="HK77" s="65"/>
      <c r="HL77" s="65"/>
      <c r="HM77" s="65"/>
      <c r="HN77" s="65"/>
      <c r="HO77" s="65"/>
    </row>
    <row r="78" spans="1:223" s="78" customFormat="1" ht="34.5" customHeight="1" x14ac:dyDescent="0.25">
      <c r="A78" s="353">
        <v>2025</v>
      </c>
      <c r="B78" s="354">
        <v>6</v>
      </c>
      <c r="C78" s="353">
        <v>22792</v>
      </c>
      <c r="D78" s="273">
        <v>45825</v>
      </c>
      <c r="E78" s="81" t="s">
        <v>2165</v>
      </c>
      <c r="F78" s="81" t="s">
        <v>2165</v>
      </c>
      <c r="G78" s="78" t="s">
        <v>143</v>
      </c>
      <c r="H78" s="78">
        <v>3246477997</v>
      </c>
      <c r="I78" s="78">
        <v>3246477997</v>
      </c>
      <c r="J78" s="66">
        <v>45825</v>
      </c>
      <c r="K78" s="78" t="s">
        <v>84</v>
      </c>
      <c r="L78" s="79" t="s">
        <v>2166</v>
      </c>
      <c r="M78" s="78" t="s">
        <v>136</v>
      </c>
      <c r="N78" s="78" t="s">
        <v>136</v>
      </c>
      <c r="O78" s="78" t="s">
        <v>136</v>
      </c>
      <c r="P78" s="78" t="s">
        <v>136</v>
      </c>
      <c r="Q78" s="78">
        <v>9286</v>
      </c>
      <c r="R78" s="78" t="s">
        <v>136</v>
      </c>
      <c r="S78" s="78" t="s">
        <v>136</v>
      </c>
      <c r="T78" s="78" t="s">
        <v>2065</v>
      </c>
      <c r="U78" s="78" t="s">
        <v>134</v>
      </c>
      <c r="V78" s="81" t="s">
        <v>119</v>
      </c>
      <c r="X78" s="66">
        <v>45825</v>
      </c>
      <c r="Z78" s="80" t="s">
        <v>85</v>
      </c>
      <c r="AA78" s="371">
        <v>130000</v>
      </c>
      <c r="AB78" s="78">
        <v>5991</v>
      </c>
      <c r="AC78" s="228">
        <v>109244</v>
      </c>
      <c r="AD78" s="228">
        <f t="shared" si="1"/>
        <v>130000.36</v>
      </c>
      <c r="AE78" s="303">
        <v>0</v>
      </c>
      <c r="AG78" s="210" t="s">
        <v>2167</v>
      </c>
      <c r="AH78" s="403">
        <v>45825</v>
      </c>
      <c r="AI78" s="66">
        <v>45833</v>
      </c>
      <c r="AJ78" s="78" t="s">
        <v>1705</v>
      </c>
      <c r="AL78" s="65"/>
      <c r="AM78" s="65"/>
      <c r="AN78" s="65"/>
      <c r="AO78" s="65"/>
      <c r="AP78" s="65"/>
      <c r="AQ78" s="65"/>
      <c r="AR78" s="65"/>
      <c r="AS78" s="65"/>
      <c r="AT78" s="65"/>
      <c r="AU78" s="65"/>
      <c r="AV78" s="65"/>
      <c r="AW78" s="65"/>
      <c r="AX78" s="65"/>
      <c r="AY78" s="65"/>
      <c r="AZ78" s="65"/>
      <c r="BA78" s="65"/>
      <c r="BB78" s="65"/>
      <c r="BC78" s="65"/>
      <c r="BD78" s="65"/>
      <c r="BE78" s="65"/>
      <c r="BF78" s="65"/>
      <c r="BG78" s="65"/>
      <c r="BH78" s="65"/>
      <c r="BI78" s="65"/>
      <c r="BJ78" s="65"/>
      <c r="BK78" s="65"/>
      <c r="BL78" s="65"/>
      <c r="BM78" s="65"/>
      <c r="BN78" s="65"/>
      <c r="BO78" s="65"/>
      <c r="BP78" s="65"/>
      <c r="BQ78" s="65"/>
      <c r="BR78" s="65"/>
      <c r="BS78" s="65"/>
      <c r="BT78" s="65"/>
      <c r="BU78" s="65"/>
      <c r="BV78" s="65"/>
      <c r="BW78" s="65"/>
      <c r="BX78" s="65"/>
      <c r="BY78" s="65"/>
      <c r="BZ78" s="65"/>
      <c r="CA78" s="65"/>
      <c r="CB78" s="65"/>
      <c r="CC78" s="65"/>
      <c r="CD78" s="65"/>
      <c r="CE78" s="65"/>
      <c r="CF78" s="65"/>
      <c r="CG78" s="65"/>
      <c r="CH78" s="65"/>
      <c r="CI78" s="65"/>
      <c r="CJ78" s="65"/>
      <c r="CK78" s="65"/>
      <c r="CL78" s="65"/>
      <c r="CM78" s="65"/>
      <c r="CN78" s="65"/>
      <c r="CO78" s="65"/>
      <c r="CP78" s="65"/>
      <c r="CQ78" s="65"/>
      <c r="CR78" s="65"/>
      <c r="CS78" s="65"/>
      <c r="CT78" s="65"/>
      <c r="CU78" s="65"/>
      <c r="CV78" s="65"/>
      <c r="CW78" s="65"/>
      <c r="CX78" s="65"/>
      <c r="CY78" s="65"/>
      <c r="CZ78" s="65"/>
      <c r="DA78" s="65"/>
      <c r="DB78" s="65"/>
      <c r="DC78" s="65"/>
      <c r="DD78" s="65"/>
      <c r="DE78" s="65"/>
      <c r="DF78" s="65"/>
      <c r="DG78" s="65"/>
      <c r="DH78" s="65"/>
      <c r="DI78" s="65"/>
      <c r="DJ78" s="65"/>
      <c r="DK78" s="65"/>
      <c r="DL78" s="65"/>
      <c r="DM78" s="65"/>
      <c r="DN78" s="65"/>
      <c r="DO78" s="65"/>
      <c r="DP78" s="65"/>
      <c r="DQ78" s="65"/>
      <c r="DR78" s="65"/>
      <c r="DS78" s="65"/>
      <c r="DT78" s="65"/>
      <c r="DU78" s="65"/>
      <c r="DV78" s="65"/>
      <c r="DW78" s="65"/>
      <c r="DX78" s="65"/>
      <c r="DY78" s="65"/>
      <c r="DZ78" s="65"/>
      <c r="EA78" s="65"/>
      <c r="EB78" s="65"/>
      <c r="EC78" s="65"/>
      <c r="ED78" s="65"/>
      <c r="EE78" s="65"/>
      <c r="EF78" s="65"/>
      <c r="EG78" s="65"/>
      <c r="EH78" s="65"/>
      <c r="EI78" s="65"/>
      <c r="EJ78" s="65"/>
      <c r="EK78" s="65"/>
      <c r="EL78" s="65"/>
      <c r="EM78" s="65"/>
      <c r="EN78" s="65"/>
      <c r="EO78" s="65"/>
      <c r="EP78" s="65"/>
      <c r="EQ78" s="65"/>
      <c r="ER78" s="65"/>
      <c r="ES78" s="65"/>
      <c r="ET78" s="65"/>
      <c r="EU78" s="65"/>
      <c r="EV78" s="65"/>
      <c r="EW78" s="65"/>
      <c r="EX78" s="65"/>
      <c r="EY78" s="65"/>
      <c r="EZ78" s="65"/>
      <c r="FA78" s="65"/>
      <c r="FB78" s="65"/>
      <c r="FC78" s="65"/>
      <c r="FD78" s="65"/>
      <c r="FE78" s="65"/>
      <c r="FF78" s="65"/>
      <c r="FG78" s="65"/>
      <c r="FH78" s="65"/>
      <c r="FI78" s="65"/>
      <c r="FJ78" s="65"/>
      <c r="FK78" s="65"/>
      <c r="FL78" s="65"/>
      <c r="FM78" s="65"/>
      <c r="FN78" s="65"/>
      <c r="FO78" s="65"/>
      <c r="FP78" s="65"/>
      <c r="FQ78" s="65"/>
      <c r="FR78" s="65"/>
      <c r="FS78" s="65"/>
      <c r="FT78" s="65"/>
      <c r="FU78" s="65"/>
      <c r="FV78" s="65"/>
      <c r="FW78" s="65"/>
      <c r="FX78" s="65"/>
      <c r="FY78" s="65"/>
      <c r="FZ78" s="65"/>
      <c r="GA78" s="65"/>
      <c r="GB78" s="65"/>
      <c r="GC78" s="65"/>
      <c r="GD78" s="65"/>
      <c r="GE78" s="65"/>
      <c r="GF78" s="65"/>
      <c r="GG78" s="65"/>
      <c r="GH78" s="65"/>
      <c r="GI78" s="65"/>
      <c r="GJ78" s="65"/>
      <c r="GK78" s="65"/>
      <c r="GL78" s="65"/>
      <c r="GM78" s="65"/>
      <c r="GN78" s="65"/>
      <c r="GO78" s="65"/>
      <c r="GP78" s="65"/>
      <c r="GQ78" s="65"/>
      <c r="GR78" s="65"/>
      <c r="GS78" s="65"/>
      <c r="GT78" s="65"/>
      <c r="GU78" s="65"/>
      <c r="GV78" s="65"/>
      <c r="GW78" s="65"/>
      <c r="GX78" s="65"/>
      <c r="GY78" s="65"/>
      <c r="GZ78" s="65"/>
      <c r="HA78" s="65"/>
      <c r="HB78" s="65"/>
      <c r="HC78" s="65"/>
      <c r="HD78" s="65"/>
      <c r="HE78" s="65"/>
      <c r="HF78" s="65"/>
      <c r="HG78" s="65"/>
      <c r="HH78" s="65"/>
      <c r="HI78" s="65"/>
      <c r="HJ78" s="65"/>
      <c r="HK78" s="65"/>
      <c r="HL78" s="65"/>
      <c r="HM78" s="65"/>
      <c r="HN78" s="65"/>
      <c r="HO78" s="65"/>
    </row>
    <row r="79" spans="1:223" s="78" customFormat="1" ht="34.5" customHeight="1" x14ac:dyDescent="0.25">
      <c r="A79" s="353">
        <v>2025</v>
      </c>
      <c r="B79" s="354">
        <v>6</v>
      </c>
      <c r="C79" s="355">
        <v>22793</v>
      </c>
      <c r="D79" s="273">
        <v>45828</v>
      </c>
      <c r="E79" s="81" t="s">
        <v>2163</v>
      </c>
      <c r="F79" s="81" t="s">
        <v>227</v>
      </c>
      <c r="H79" s="78">
        <v>3045306051</v>
      </c>
      <c r="I79" s="78">
        <v>3045306051</v>
      </c>
      <c r="J79" s="66">
        <v>45828</v>
      </c>
      <c r="K79" s="78" t="s">
        <v>99</v>
      </c>
      <c r="L79" s="79" t="s">
        <v>2164</v>
      </c>
      <c r="M79" s="78" t="s">
        <v>136</v>
      </c>
      <c r="N79" s="78" t="s">
        <v>136</v>
      </c>
      <c r="O79" s="78" t="s">
        <v>136</v>
      </c>
      <c r="P79" s="78" t="s">
        <v>136</v>
      </c>
      <c r="Q79" s="78" t="s">
        <v>136</v>
      </c>
      <c r="R79" s="78" t="s">
        <v>136</v>
      </c>
      <c r="S79" s="78" t="s">
        <v>136</v>
      </c>
      <c r="T79" s="78" t="s">
        <v>136</v>
      </c>
      <c r="U79" s="78" t="s">
        <v>134</v>
      </c>
      <c r="V79" s="81" t="s">
        <v>89</v>
      </c>
      <c r="X79" s="66">
        <v>45826</v>
      </c>
      <c r="Z79" s="80" t="s">
        <v>97</v>
      </c>
      <c r="AA79" s="371">
        <v>0</v>
      </c>
      <c r="AB79" s="78">
        <v>5983</v>
      </c>
      <c r="AC79" s="228">
        <v>120000</v>
      </c>
      <c r="AD79" s="228">
        <f t="shared" si="1"/>
        <v>142800</v>
      </c>
      <c r="AE79" s="303">
        <v>0</v>
      </c>
      <c r="AG79" s="210"/>
      <c r="AH79" s="241"/>
      <c r="AI79" s="66">
        <v>45833</v>
      </c>
      <c r="AJ79" s="78" t="s">
        <v>1705</v>
      </c>
      <c r="AL79" s="65"/>
      <c r="AM79" s="65"/>
      <c r="AN79" s="65"/>
      <c r="AO79" s="65"/>
      <c r="AP79" s="65"/>
      <c r="AQ79" s="65"/>
      <c r="AR79" s="65"/>
      <c r="AS79" s="65"/>
      <c r="AT79" s="65"/>
      <c r="AU79" s="65"/>
      <c r="AV79" s="65"/>
      <c r="AW79" s="65"/>
      <c r="AX79" s="65"/>
      <c r="AY79" s="65"/>
      <c r="AZ79" s="65"/>
      <c r="BA79" s="65"/>
      <c r="BB79" s="65"/>
      <c r="BC79" s="65"/>
      <c r="BD79" s="65"/>
      <c r="BE79" s="65"/>
      <c r="BF79" s="65"/>
      <c r="BG79" s="65"/>
      <c r="BH79" s="65"/>
      <c r="BI79" s="65"/>
      <c r="BJ79" s="65"/>
      <c r="BK79" s="65"/>
      <c r="BL79" s="65"/>
      <c r="BM79" s="65"/>
      <c r="BN79" s="65"/>
      <c r="BO79" s="65"/>
      <c r="BP79" s="65"/>
      <c r="BQ79" s="65"/>
      <c r="BR79" s="65"/>
      <c r="BS79" s="65"/>
      <c r="BT79" s="65"/>
      <c r="BU79" s="65"/>
      <c r="BV79" s="65"/>
      <c r="BW79" s="65"/>
      <c r="BX79" s="65"/>
      <c r="BY79" s="65"/>
      <c r="BZ79" s="65"/>
      <c r="CA79" s="65"/>
      <c r="CB79" s="65"/>
      <c r="CC79" s="65"/>
      <c r="CD79" s="65"/>
      <c r="CE79" s="65"/>
      <c r="CF79" s="65"/>
      <c r="CG79" s="65"/>
      <c r="CH79" s="65"/>
      <c r="CI79" s="65"/>
      <c r="CJ79" s="65"/>
      <c r="CK79" s="65"/>
      <c r="CL79" s="65"/>
      <c r="CM79" s="65"/>
      <c r="CN79" s="65"/>
      <c r="CO79" s="65"/>
      <c r="CP79" s="65"/>
      <c r="CQ79" s="65"/>
      <c r="CR79" s="65"/>
      <c r="CS79" s="65"/>
      <c r="CT79" s="65"/>
      <c r="CU79" s="65"/>
      <c r="CV79" s="65"/>
      <c r="CW79" s="65"/>
      <c r="CX79" s="65"/>
      <c r="CY79" s="65"/>
      <c r="CZ79" s="65"/>
      <c r="DA79" s="65"/>
      <c r="DB79" s="65"/>
      <c r="DC79" s="65"/>
      <c r="DD79" s="65"/>
      <c r="DE79" s="65"/>
      <c r="DF79" s="65"/>
      <c r="DG79" s="65"/>
      <c r="DH79" s="65"/>
      <c r="DI79" s="65"/>
      <c r="DJ79" s="65"/>
      <c r="DK79" s="65"/>
      <c r="DL79" s="65"/>
      <c r="DM79" s="65"/>
      <c r="DN79" s="65"/>
      <c r="DO79" s="65"/>
      <c r="DP79" s="65"/>
      <c r="DQ79" s="65"/>
      <c r="DR79" s="65"/>
      <c r="DS79" s="65"/>
      <c r="DT79" s="65"/>
      <c r="DU79" s="65"/>
      <c r="DV79" s="65"/>
      <c r="DW79" s="65"/>
      <c r="DX79" s="65"/>
      <c r="DY79" s="65"/>
      <c r="DZ79" s="65"/>
      <c r="EA79" s="65"/>
      <c r="EB79" s="65"/>
      <c r="EC79" s="65"/>
      <c r="ED79" s="65"/>
      <c r="EE79" s="65"/>
      <c r="EF79" s="65"/>
      <c r="EG79" s="65"/>
      <c r="EH79" s="65"/>
      <c r="EI79" s="65"/>
      <c r="EJ79" s="65"/>
      <c r="EK79" s="65"/>
      <c r="EL79" s="65"/>
      <c r="EM79" s="65"/>
      <c r="EN79" s="65"/>
      <c r="EO79" s="65"/>
      <c r="EP79" s="65"/>
      <c r="EQ79" s="65"/>
      <c r="ER79" s="65"/>
      <c r="ES79" s="65"/>
      <c r="ET79" s="65"/>
      <c r="EU79" s="65"/>
      <c r="EV79" s="65"/>
      <c r="EW79" s="65"/>
      <c r="EX79" s="65"/>
      <c r="EY79" s="65"/>
      <c r="EZ79" s="65"/>
      <c r="FA79" s="65"/>
      <c r="FB79" s="65"/>
      <c r="FC79" s="65"/>
      <c r="FD79" s="65"/>
      <c r="FE79" s="65"/>
      <c r="FF79" s="65"/>
      <c r="FG79" s="65"/>
      <c r="FH79" s="65"/>
      <c r="FI79" s="65"/>
      <c r="FJ79" s="65"/>
      <c r="FK79" s="65"/>
      <c r="FL79" s="65"/>
      <c r="FM79" s="65"/>
      <c r="FN79" s="65"/>
      <c r="FO79" s="65"/>
      <c r="FP79" s="65"/>
      <c r="FQ79" s="65"/>
      <c r="FR79" s="65"/>
      <c r="FS79" s="65"/>
      <c r="FT79" s="65"/>
      <c r="FU79" s="65"/>
      <c r="FV79" s="65"/>
      <c r="FW79" s="65"/>
      <c r="FX79" s="65"/>
      <c r="FY79" s="65"/>
      <c r="FZ79" s="65"/>
      <c r="GA79" s="65"/>
      <c r="GB79" s="65"/>
      <c r="GC79" s="65"/>
      <c r="GD79" s="65"/>
      <c r="GE79" s="65"/>
      <c r="GF79" s="65"/>
      <c r="GG79" s="65"/>
      <c r="GH79" s="65"/>
      <c r="GI79" s="65"/>
      <c r="GJ79" s="65"/>
      <c r="GK79" s="65"/>
      <c r="GL79" s="65"/>
      <c r="GM79" s="65"/>
      <c r="GN79" s="65"/>
      <c r="GO79" s="65"/>
      <c r="GP79" s="65"/>
      <c r="GQ79" s="65"/>
      <c r="GR79" s="65"/>
      <c r="GS79" s="65"/>
      <c r="GT79" s="65"/>
      <c r="GU79" s="65"/>
      <c r="GV79" s="65"/>
      <c r="GW79" s="65"/>
      <c r="GX79" s="65"/>
      <c r="GY79" s="65"/>
      <c r="GZ79" s="65"/>
      <c r="HA79" s="65"/>
      <c r="HB79" s="65"/>
      <c r="HC79" s="65"/>
      <c r="HD79" s="65"/>
      <c r="HE79" s="65"/>
      <c r="HF79" s="65"/>
      <c r="HG79" s="65"/>
      <c r="HH79" s="65"/>
      <c r="HI79" s="65"/>
      <c r="HJ79" s="65"/>
      <c r="HK79" s="65"/>
      <c r="HL79" s="65"/>
      <c r="HM79" s="65"/>
      <c r="HN79" s="65"/>
      <c r="HO79" s="65"/>
    </row>
    <row r="80" spans="1:223" s="78" customFormat="1" ht="34.5" customHeight="1" x14ac:dyDescent="0.25">
      <c r="A80" s="353">
        <v>2025</v>
      </c>
      <c r="B80" s="354">
        <v>6</v>
      </c>
      <c r="C80" s="353">
        <v>22794</v>
      </c>
      <c r="D80" s="273">
        <v>45828</v>
      </c>
      <c r="E80" s="81" t="s">
        <v>1967</v>
      </c>
      <c r="F80" s="81" t="s">
        <v>1967</v>
      </c>
      <c r="H80" s="78">
        <v>3016756303</v>
      </c>
      <c r="I80" s="78">
        <v>3016756303</v>
      </c>
      <c r="J80" s="66">
        <v>45839</v>
      </c>
      <c r="K80" s="78" t="s">
        <v>94</v>
      </c>
      <c r="L80" s="79" t="s">
        <v>2187</v>
      </c>
      <c r="M80" s="78" t="s">
        <v>136</v>
      </c>
      <c r="N80" s="78">
        <v>6045</v>
      </c>
      <c r="O80" s="78">
        <v>6882</v>
      </c>
      <c r="P80" s="78">
        <v>9314</v>
      </c>
      <c r="Q80" s="78" t="s">
        <v>136</v>
      </c>
      <c r="R80" s="78" t="s">
        <v>136</v>
      </c>
      <c r="S80" s="78" t="s">
        <v>136</v>
      </c>
      <c r="T80" s="78" t="s">
        <v>2065</v>
      </c>
      <c r="U80" s="78" t="s">
        <v>136</v>
      </c>
      <c r="V80" s="81" t="s">
        <v>87</v>
      </c>
      <c r="W80" s="435">
        <v>45839</v>
      </c>
      <c r="X80" s="66">
        <v>45840</v>
      </c>
      <c r="Z80" s="80" t="s">
        <v>85</v>
      </c>
      <c r="AA80" s="371">
        <v>0</v>
      </c>
      <c r="AB80" s="78">
        <v>6018</v>
      </c>
      <c r="AC80" s="228">
        <v>405000</v>
      </c>
      <c r="AD80" s="228">
        <f t="shared" si="1"/>
        <v>481950</v>
      </c>
      <c r="AE80" s="303">
        <v>250000</v>
      </c>
      <c r="AG80" s="210" t="s">
        <v>2140</v>
      </c>
      <c r="AH80" s="403">
        <v>45839</v>
      </c>
      <c r="AI80" s="66">
        <v>45847</v>
      </c>
      <c r="AJ80" s="78" t="s">
        <v>1705</v>
      </c>
      <c r="AL80" s="65"/>
      <c r="AM80" s="65"/>
      <c r="AN80" s="65"/>
      <c r="AO80" s="65"/>
      <c r="AP80" s="65"/>
      <c r="AQ80" s="65"/>
      <c r="AR80" s="65"/>
      <c r="AS80" s="65"/>
      <c r="AT80" s="65"/>
      <c r="AU80" s="65"/>
      <c r="AV80" s="65"/>
      <c r="AW80" s="65"/>
      <c r="AX80" s="65"/>
      <c r="AY80" s="65"/>
      <c r="AZ80" s="65"/>
      <c r="BA80" s="65"/>
      <c r="BB80" s="65"/>
      <c r="BC80" s="65"/>
      <c r="BD80" s="65"/>
      <c r="BE80" s="65"/>
      <c r="BF80" s="65"/>
      <c r="BG80" s="65"/>
      <c r="BH80" s="65"/>
      <c r="BI80" s="65"/>
      <c r="BJ80" s="65"/>
      <c r="BK80" s="65"/>
      <c r="BL80" s="65"/>
      <c r="BM80" s="65"/>
      <c r="BN80" s="65"/>
      <c r="BO80" s="65"/>
      <c r="BP80" s="65"/>
      <c r="BQ80" s="65"/>
      <c r="BR80" s="65"/>
      <c r="BS80" s="65"/>
      <c r="BT80" s="65"/>
      <c r="BU80" s="65"/>
      <c r="BV80" s="65"/>
      <c r="BW80" s="65"/>
      <c r="BX80" s="65"/>
      <c r="BY80" s="65"/>
      <c r="BZ80" s="65"/>
      <c r="CA80" s="65"/>
      <c r="CB80" s="65"/>
      <c r="CC80" s="65"/>
      <c r="CD80" s="65"/>
      <c r="CE80" s="65"/>
      <c r="CF80" s="65"/>
      <c r="CG80" s="65"/>
      <c r="CH80" s="65"/>
      <c r="CI80" s="65"/>
      <c r="CJ80" s="65"/>
      <c r="CK80" s="65"/>
      <c r="CL80" s="65"/>
      <c r="CM80" s="65"/>
      <c r="CN80" s="65"/>
      <c r="CO80" s="65"/>
      <c r="CP80" s="65"/>
      <c r="CQ80" s="65"/>
      <c r="CR80" s="65"/>
      <c r="CS80" s="65"/>
      <c r="CT80" s="65"/>
      <c r="CU80" s="65"/>
      <c r="CV80" s="65"/>
      <c r="CW80" s="65"/>
      <c r="CX80" s="65"/>
      <c r="CY80" s="65"/>
      <c r="CZ80" s="65"/>
      <c r="DA80" s="65"/>
      <c r="DB80" s="65"/>
      <c r="DC80" s="65"/>
      <c r="DD80" s="65"/>
      <c r="DE80" s="65"/>
      <c r="DF80" s="65"/>
      <c r="DG80" s="65"/>
      <c r="DH80" s="65"/>
      <c r="DI80" s="65"/>
      <c r="DJ80" s="65"/>
      <c r="DK80" s="65"/>
      <c r="DL80" s="65"/>
      <c r="DM80" s="65"/>
      <c r="DN80" s="65"/>
      <c r="DO80" s="65"/>
      <c r="DP80" s="65"/>
      <c r="DQ80" s="65"/>
      <c r="DR80" s="65"/>
      <c r="DS80" s="65"/>
      <c r="DT80" s="65"/>
      <c r="DU80" s="65"/>
      <c r="DV80" s="65"/>
      <c r="DW80" s="65"/>
      <c r="DX80" s="65"/>
      <c r="DY80" s="65"/>
      <c r="DZ80" s="65"/>
      <c r="EA80" s="65"/>
      <c r="EB80" s="65"/>
      <c r="EC80" s="65"/>
      <c r="ED80" s="65"/>
      <c r="EE80" s="65"/>
      <c r="EF80" s="65"/>
      <c r="EG80" s="65"/>
      <c r="EH80" s="65"/>
      <c r="EI80" s="65"/>
      <c r="EJ80" s="65"/>
      <c r="EK80" s="65"/>
      <c r="EL80" s="65"/>
      <c r="EM80" s="65"/>
      <c r="EN80" s="65"/>
      <c r="EO80" s="65"/>
      <c r="EP80" s="65"/>
      <c r="EQ80" s="65"/>
      <c r="ER80" s="65"/>
      <c r="ES80" s="65"/>
      <c r="ET80" s="65"/>
      <c r="EU80" s="65"/>
      <c r="EV80" s="65"/>
      <c r="EW80" s="65"/>
      <c r="EX80" s="65"/>
      <c r="EY80" s="65"/>
      <c r="EZ80" s="65"/>
      <c r="FA80" s="65"/>
      <c r="FB80" s="65"/>
      <c r="FC80" s="65"/>
      <c r="FD80" s="65"/>
      <c r="FE80" s="65"/>
      <c r="FF80" s="65"/>
      <c r="FG80" s="65"/>
      <c r="FH80" s="65"/>
      <c r="FI80" s="65"/>
      <c r="FJ80" s="65"/>
      <c r="FK80" s="65"/>
      <c r="FL80" s="65"/>
      <c r="FM80" s="65"/>
      <c r="FN80" s="65"/>
      <c r="FO80" s="65"/>
      <c r="FP80" s="65"/>
      <c r="FQ80" s="65"/>
      <c r="FR80" s="65"/>
      <c r="FS80" s="65"/>
      <c r="FT80" s="65"/>
      <c r="FU80" s="65"/>
      <c r="FV80" s="65"/>
      <c r="FW80" s="65"/>
      <c r="FX80" s="65"/>
      <c r="FY80" s="65"/>
      <c r="FZ80" s="65"/>
      <c r="GA80" s="65"/>
      <c r="GB80" s="65"/>
      <c r="GC80" s="65"/>
      <c r="GD80" s="65"/>
      <c r="GE80" s="65"/>
      <c r="GF80" s="65"/>
      <c r="GG80" s="65"/>
      <c r="GH80" s="65"/>
      <c r="GI80" s="65"/>
      <c r="GJ80" s="65"/>
      <c r="GK80" s="65"/>
      <c r="GL80" s="65"/>
      <c r="GM80" s="65"/>
      <c r="GN80" s="65"/>
      <c r="GO80" s="65"/>
      <c r="GP80" s="65"/>
      <c r="GQ80" s="65"/>
      <c r="GR80" s="65"/>
      <c r="GS80" s="65"/>
      <c r="GT80" s="65"/>
      <c r="GU80" s="65"/>
      <c r="GV80" s="65"/>
      <c r="GW80" s="65"/>
      <c r="GX80" s="65"/>
      <c r="GY80" s="65"/>
      <c r="GZ80" s="65"/>
      <c r="HA80" s="65"/>
      <c r="HB80" s="65"/>
      <c r="HC80" s="65"/>
      <c r="HD80" s="65"/>
      <c r="HE80" s="65"/>
      <c r="HF80" s="65"/>
      <c r="HG80" s="65"/>
      <c r="HH80" s="65"/>
      <c r="HI80" s="65"/>
      <c r="HJ80" s="65"/>
      <c r="HK80" s="65"/>
      <c r="HL80" s="65"/>
      <c r="HM80" s="65"/>
      <c r="HN80" s="65"/>
      <c r="HO80" s="65"/>
    </row>
    <row r="81" spans="1:223" s="78" customFormat="1" ht="34.5" customHeight="1" x14ac:dyDescent="0.25">
      <c r="A81" s="353">
        <v>2025</v>
      </c>
      <c r="B81" s="354">
        <v>6</v>
      </c>
      <c r="C81" s="353">
        <v>22795</v>
      </c>
      <c r="D81" s="273">
        <v>45828</v>
      </c>
      <c r="E81" s="81" t="s">
        <v>233</v>
      </c>
      <c r="F81" s="81" t="s">
        <v>1099</v>
      </c>
      <c r="G81" s="78" t="s">
        <v>143</v>
      </c>
      <c r="H81" s="78">
        <v>3006194380</v>
      </c>
      <c r="I81" s="78">
        <v>3006194380</v>
      </c>
      <c r="J81" s="66">
        <v>45835</v>
      </c>
      <c r="K81" s="78" t="s">
        <v>88</v>
      </c>
      <c r="L81" s="79" t="s">
        <v>2156</v>
      </c>
      <c r="M81" s="78" t="s">
        <v>136</v>
      </c>
      <c r="N81" s="78">
        <v>6884</v>
      </c>
      <c r="O81" s="78" t="s">
        <v>136</v>
      </c>
      <c r="P81" s="78" t="s">
        <v>136</v>
      </c>
      <c r="Q81" s="78" t="s">
        <v>136</v>
      </c>
      <c r="R81" s="78" t="s">
        <v>134</v>
      </c>
      <c r="S81" s="78" t="s">
        <v>136</v>
      </c>
      <c r="T81" s="78" t="s">
        <v>134</v>
      </c>
      <c r="U81" s="78" t="s">
        <v>136</v>
      </c>
      <c r="V81" s="81" t="s">
        <v>119</v>
      </c>
      <c r="X81" s="66"/>
      <c r="Z81" s="80" t="s">
        <v>114</v>
      </c>
      <c r="AA81" s="371">
        <v>0</v>
      </c>
      <c r="AC81" s="228">
        <v>0</v>
      </c>
      <c r="AD81" s="228">
        <f t="shared" si="1"/>
        <v>0</v>
      </c>
      <c r="AE81" s="303">
        <v>0</v>
      </c>
      <c r="AG81" s="210"/>
      <c r="AH81" s="241"/>
      <c r="AI81" s="66">
        <v>45828</v>
      </c>
      <c r="AJ81" s="78" t="s">
        <v>1705</v>
      </c>
      <c r="AL81" s="65"/>
      <c r="AM81" s="65"/>
      <c r="AN81" s="65"/>
      <c r="AO81" s="65"/>
      <c r="AP81" s="65"/>
      <c r="AQ81" s="65"/>
      <c r="AR81" s="65"/>
      <c r="AS81" s="65"/>
      <c r="AT81" s="65"/>
      <c r="AU81" s="65"/>
      <c r="AV81" s="65"/>
      <c r="AW81" s="65"/>
      <c r="AX81" s="65"/>
      <c r="AY81" s="65"/>
      <c r="AZ81" s="65"/>
      <c r="BA81" s="65"/>
      <c r="BB81" s="65"/>
      <c r="BC81" s="65"/>
      <c r="BD81" s="65"/>
      <c r="BE81" s="65"/>
      <c r="BF81" s="65"/>
      <c r="BG81" s="65"/>
      <c r="BH81" s="65"/>
      <c r="BI81" s="65"/>
      <c r="BJ81" s="65"/>
      <c r="BK81" s="65"/>
      <c r="BL81" s="65"/>
      <c r="BM81" s="65"/>
      <c r="BN81" s="65"/>
      <c r="BO81" s="65"/>
      <c r="BP81" s="65"/>
      <c r="BQ81" s="65"/>
      <c r="BR81" s="65"/>
      <c r="BS81" s="65"/>
      <c r="BT81" s="65"/>
      <c r="BU81" s="65"/>
      <c r="BV81" s="65"/>
      <c r="BW81" s="65"/>
      <c r="BX81" s="65"/>
      <c r="BY81" s="65"/>
      <c r="BZ81" s="65"/>
      <c r="CA81" s="65"/>
      <c r="CB81" s="65"/>
      <c r="CC81" s="65"/>
      <c r="CD81" s="65"/>
      <c r="CE81" s="65"/>
      <c r="CF81" s="65"/>
      <c r="CG81" s="65"/>
      <c r="CH81" s="65"/>
      <c r="CI81" s="65"/>
      <c r="CJ81" s="65"/>
      <c r="CK81" s="65"/>
      <c r="CL81" s="65"/>
      <c r="CM81" s="65"/>
      <c r="CN81" s="65"/>
      <c r="CO81" s="65"/>
      <c r="CP81" s="65"/>
      <c r="CQ81" s="65"/>
      <c r="CR81" s="65"/>
      <c r="CS81" s="65"/>
      <c r="CT81" s="65"/>
      <c r="CU81" s="65"/>
      <c r="CV81" s="65"/>
      <c r="CW81" s="65"/>
      <c r="CX81" s="65"/>
      <c r="CY81" s="65"/>
      <c r="CZ81" s="65"/>
      <c r="DA81" s="65"/>
      <c r="DB81" s="65"/>
      <c r="DC81" s="65"/>
      <c r="DD81" s="65"/>
      <c r="DE81" s="65"/>
      <c r="DF81" s="65"/>
      <c r="DG81" s="65"/>
      <c r="DH81" s="65"/>
      <c r="DI81" s="65"/>
      <c r="DJ81" s="65"/>
      <c r="DK81" s="65"/>
      <c r="DL81" s="65"/>
      <c r="DM81" s="65"/>
      <c r="DN81" s="65"/>
      <c r="DO81" s="65"/>
      <c r="DP81" s="65"/>
      <c r="DQ81" s="65"/>
      <c r="DR81" s="65"/>
      <c r="DS81" s="65"/>
      <c r="DT81" s="65"/>
      <c r="DU81" s="65"/>
      <c r="DV81" s="65"/>
      <c r="DW81" s="65"/>
      <c r="DX81" s="65"/>
      <c r="DY81" s="65"/>
      <c r="DZ81" s="65"/>
      <c r="EA81" s="65"/>
      <c r="EB81" s="65"/>
      <c r="EC81" s="65"/>
      <c r="ED81" s="65"/>
      <c r="EE81" s="65"/>
      <c r="EF81" s="65"/>
      <c r="EG81" s="65"/>
      <c r="EH81" s="65"/>
      <c r="EI81" s="65"/>
      <c r="EJ81" s="65"/>
      <c r="EK81" s="65"/>
      <c r="EL81" s="65"/>
      <c r="EM81" s="65"/>
      <c r="EN81" s="65"/>
      <c r="EO81" s="65"/>
      <c r="EP81" s="65"/>
      <c r="EQ81" s="65"/>
      <c r="ER81" s="65"/>
      <c r="ES81" s="65"/>
      <c r="ET81" s="65"/>
      <c r="EU81" s="65"/>
      <c r="EV81" s="65"/>
      <c r="EW81" s="65"/>
      <c r="EX81" s="65"/>
      <c r="EY81" s="65"/>
      <c r="EZ81" s="65"/>
      <c r="FA81" s="65"/>
      <c r="FB81" s="65"/>
      <c r="FC81" s="65"/>
      <c r="FD81" s="65"/>
      <c r="FE81" s="65"/>
      <c r="FF81" s="65"/>
      <c r="FG81" s="65"/>
      <c r="FH81" s="65"/>
      <c r="FI81" s="65"/>
      <c r="FJ81" s="65"/>
      <c r="FK81" s="65"/>
      <c r="FL81" s="65"/>
      <c r="FM81" s="65"/>
      <c r="FN81" s="65"/>
      <c r="FO81" s="65"/>
      <c r="FP81" s="65"/>
      <c r="FQ81" s="65"/>
      <c r="FR81" s="65"/>
      <c r="FS81" s="65"/>
      <c r="FT81" s="65"/>
      <c r="FU81" s="65"/>
      <c r="FV81" s="65"/>
      <c r="FW81" s="65"/>
      <c r="FX81" s="65"/>
      <c r="FY81" s="65"/>
      <c r="FZ81" s="65"/>
      <c r="GA81" s="65"/>
      <c r="GB81" s="65"/>
      <c r="GC81" s="65"/>
      <c r="GD81" s="65"/>
      <c r="GE81" s="65"/>
      <c r="GF81" s="65"/>
      <c r="GG81" s="65"/>
      <c r="GH81" s="65"/>
      <c r="GI81" s="65"/>
      <c r="GJ81" s="65"/>
      <c r="GK81" s="65"/>
      <c r="GL81" s="65"/>
      <c r="GM81" s="65"/>
      <c r="GN81" s="65"/>
      <c r="GO81" s="65"/>
      <c r="GP81" s="65"/>
      <c r="GQ81" s="65"/>
      <c r="GR81" s="65"/>
      <c r="GS81" s="65"/>
      <c r="GT81" s="65"/>
      <c r="GU81" s="65"/>
      <c r="GV81" s="65"/>
      <c r="GW81" s="65"/>
      <c r="GX81" s="65"/>
      <c r="GY81" s="65"/>
      <c r="GZ81" s="65"/>
      <c r="HA81" s="65"/>
      <c r="HB81" s="65"/>
      <c r="HC81" s="65"/>
      <c r="HD81" s="65"/>
      <c r="HE81" s="65"/>
      <c r="HF81" s="65"/>
      <c r="HG81" s="65"/>
      <c r="HH81" s="65"/>
      <c r="HI81" s="65"/>
      <c r="HJ81" s="65"/>
      <c r="HK81" s="65"/>
      <c r="HL81" s="65"/>
      <c r="HM81" s="65"/>
      <c r="HN81" s="65"/>
      <c r="HO81" s="65"/>
    </row>
    <row r="82" spans="1:223" s="78" customFormat="1" ht="54" customHeight="1" x14ac:dyDescent="0.25">
      <c r="A82" s="353">
        <v>2025</v>
      </c>
      <c r="B82" s="354">
        <v>6</v>
      </c>
      <c r="C82" s="355">
        <v>22796</v>
      </c>
      <c r="D82" s="273">
        <v>45828</v>
      </c>
      <c r="E82" s="81" t="s">
        <v>2170</v>
      </c>
      <c r="F82" s="81" t="s">
        <v>2170</v>
      </c>
      <c r="G82" s="78" t="s">
        <v>143</v>
      </c>
      <c r="H82" s="78">
        <v>3104351705</v>
      </c>
      <c r="I82" s="78">
        <v>3104351705</v>
      </c>
      <c r="J82" s="66">
        <v>45834</v>
      </c>
      <c r="K82" s="78" t="s">
        <v>84</v>
      </c>
      <c r="L82" s="79" t="s">
        <v>2171</v>
      </c>
      <c r="M82" s="78" t="s">
        <v>136</v>
      </c>
      <c r="N82" s="78" t="s">
        <v>136</v>
      </c>
      <c r="O82" s="78">
        <v>6883</v>
      </c>
      <c r="P82" s="78" t="s">
        <v>136</v>
      </c>
      <c r="Q82" s="78" t="s">
        <v>136</v>
      </c>
      <c r="R82" s="78" t="s">
        <v>134</v>
      </c>
      <c r="S82" s="78" t="s">
        <v>134</v>
      </c>
      <c r="T82" s="78" t="s">
        <v>134</v>
      </c>
      <c r="U82" s="78" t="s">
        <v>136</v>
      </c>
      <c r="V82" s="81" t="s">
        <v>119</v>
      </c>
      <c r="W82" s="435">
        <v>45833</v>
      </c>
      <c r="X82" s="66">
        <v>45832</v>
      </c>
      <c r="Z82" s="80" t="s">
        <v>92</v>
      </c>
      <c r="AA82" s="371">
        <v>0</v>
      </c>
      <c r="AC82" s="228">
        <v>420168</v>
      </c>
      <c r="AD82" s="228">
        <f t="shared" si="1"/>
        <v>499999.92</v>
      </c>
      <c r="AE82" s="303">
        <v>250000</v>
      </c>
      <c r="AG82" s="210" t="s">
        <v>2100</v>
      </c>
      <c r="AH82" s="241"/>
      <c r="AI82" s="66">
        <v>45833</v>
      </c>
      <c r="AJ82" s="78" t="s">
        <v>1705</v>
      </c>
      <c r="AL82" s="65"/>
      <c r="AM82" s="65"/>
      <c r="AN82" s="65"/>
      <c r="AO82" s="65"/>
      <c r="AP82" s="65"/>
      <c r="AQ82" s="65"/>
      <c r="AR82" s="65"/>
      <c r="AS82" s="65"/>
      <c r="AT82" s="65"/>
      <c r="AU82" s="65"/>
      <c r="AV82" s="65"/>
      <c r="AW82" s="65"/>
      <c r="AX82" s="65"/>
      <c r="AY82" s="65"/>
      <c r="AZ82" s="65"/>
      <c r="BA82" s="65"/>
      <c r="BB82" s="65"/>
      <c r="BC82" s="65"/>
      <c r="BD82" s="65"/>
      <c r="BE82" s="65"/>
      <c r="BF82" s="65"/>
      <c r="BG82" s="65"/>
      <c r="BH82" s="65"/>
      <c r="BI82" s="65"/>
      <c r="BJ82" s="65"/>
      <c r="BK82" s="65"/>
      <c r="BL82" s="65"/>
      <c r="BM82" s="65"/>
      <c r="BN82" s="65"/>
      <c r="BO82" s="65"/>
      <c r="BP82" s="65"/>
      <c r="BQ82" s="65"/>
      <c r="BR82" s="65"/>
      <c r="BS82" s="65"/>
      <c r="BT82" s="65"/>
      <c r="BU82" s="65"/>
      <c r="BV82" s="65"/>
      <c r="BW82" s="65"/>
      <c r="BX82" s="65"/>
      <c r="BY82" s="65"/>
      <c r="BZ82" s="65"/>
      <c r="CA82" s="65"/>
      <c r="CB82" s="65"/>
      <c r="CC82" s="65"/>
      <c r="CD82" s="65"/>
      <c r="CE82" s="65"/>
      <c r="CF82" s="65"/>
      <c r="CG82" s="65"/>
      <c r="CH82" s="65"/>
      <c r="CI82" s="65"/>
      <c r="CJ82" s="65"/>
      <c r="CK82" s="65"/>
      <c r="CL82" s="65"/>
      <c r="CM82" s="65"/>
      <c r="CN82" s="65"/>
      <c r="CO82" s="65"/>
      <c r="CP82" s="65"/>
      <c r="CQ82" s="65"/>
      <c r="CR82" s="65"/>
      <c r="CS82" s="65"/>
      <c r="CT82" s="65"/>
      <c r="CU82" s="65"/>
      <c r="CV82" s="65"/>
      <c r="CW82" s="65"/>
      <c r="CX82" s="65"/>
      <c r="CY82" s="65"/>
      <c r="CZ82" s="65"/>
      <c r="DA82" s="65"/>
      <c r="DB82" s="65"/>
      <c r="DC82" s="65"/>
      <c r="DD82" s="65"/>
      <c r="DE82" s="65"/>
      <c r="DF82" s="65"/>
      <c r="DG82" s="65"/>
      <c r="DH82" s="65"/>
      <c r="DI82" s="65"/>
      <c r="DJ82" s="65"/>
      <c r="DK82" s="65"/>
      <c r="DL82" s="65"/>
      <c r="DM82" s="65"/>
      <c r="DN82" s="65"/>
      <c r="DO82" s="65"/>
      <c r="DP82" s="65"/>
      <c r="DQ82" s="65"/>
      <c r="DR82" s="65"/>
      <c r="DS82" s="65"/>
      <c r="DT82" s="65"/>
      <c r="DU82" s="65"/>
      <c r="DV82" s="65"/>
      <c r="DW82" s="65"/>
      <c r="DX82" s="65"/>
      <c r="DY82" s="65"/>
      <c r="DZ82" s="65"/>
      <c r="EA82" s="65"/>
      <c r="EB82" s="65"/>
      <c r="EC82" s="65"/>
      <c r="ED82" s="65"/>
      <c r="EE82" s="65"/>
      <c r="EF82" s="65"/>
      <c r="EG82" s="65"/>
      <c r="EH82" s="65"/>
      <c r="EI82" s="65"/>
      <c r="EJ82" s="65"/>
      <c r="EK82" s="65"/>
      <c r="EL82" s="65"/>
      <c r="EM82" s="65"/>
      <c r="EN82" s="65"/>
      <c r="EO82" s="65"/>
      <c r="EP82" s="65"/>
      <c r="EQ82" s="65"/>
      <c r="ER82" s="65"/>
      <c r="ES82" s="65"/>
      <c r="ET82" s="65"/>
      <c r="EU82" s="65"/>
      <c r="EV82" s="65"/>
      <c r="EW82" s="65"/>
      <c r="EX82" s="65"/>
      <c r="EY82" s="65"/>
      <c r="EZ82" s="65"/>
      <c r="FA82" s="65"/>
      <c r="FB82" s="65"/>
      <c r="FC82" s="65"/>
      <c r="FD82" s="65"/>
      <c r="FE82" s="65"/>
      <c r="FF82" s="65"/>
      <c r="FG82" s="65"/>
      <c r="FH82" s="65"/>
      <c r="FI82" s="65"/>
      <c r="FJ82" s="65"/>
      <c r="FK82" s="65"/>
      <c r="FL82" s="65"/>
      <c r="FM82" s="65"/>
      <c r="FN82" s="65"/>
      <c r="FO82" s="65"/>
      <c r="FP82" s="65"/>
      <c r="FQ82" s="65"/>
      <c r="FR82" s="65"/>
      <c r="FS82" s="65"/>
      <c r="FT82" s="65"/>
      <c r="FU82" s="65"/>
      <c r="FV82" s="65"/>
      <c r="FW82" s="65"/>
      <c r="FX82" s="65"/>
      <c r="FY82" s="65"/>
      <c r="FZ82" s="65"/>
      <c r="GA82" s="65"/>
      <c r="GB82" s="65"/>
      <c r="GC82" s="65"/>
      <c r="GD82" s="65"/>
      <c r="GE82" s="65"/>
      <c r="GF82" s="65"/>
      <c r="GG82" s="65"/>
      <c r="GH82" s="65"/>
      <c r="GI82" s="65"/>
      <c r="GJ82" s="65"/>
      <c r="GK82" s="65"/>
      <c r="GL82" s="65"/>
      <c r="GM82" s="65"/>
      <c r="GN82" s="65"/>
      <c r="GO82" s="65"/>
      <c r="GP82" s="65"/>
      <c r="GQ82" s="65"/>
      <c r="GR82" s="65"/>
      <c r="GS82" s="65"/>
      <c r="GT82" s="65"/>
      <c r="GU82" s="65"/>
      <c r="GV82" s="65"/>
      <c r="GW82" s="65"/>
      <c r="GX82" s="65"/>
      <c r="GY82" s="65"/>
      <c r="GZ82" s="65"/>
      <c r="HA82" s="65"/>
      <c r="HB82" s="65"/>
      <c r="HC82" s="65"/>
      <c r="HD82" s="65"/>
      <c r="HE82" s="65"/>
      <c r="HF82" s="65"/>
      <c r="HG82" s="65"/>
      <c r="HH82" s="65"/>
      <c r="HI82" s="65"/>
      <c r="HJ82" s="65"/>
      <c r="HK82" s="65"/>
      <c r="HL82" s="65"/>
      <c r="HM82" s="65"/>
      <c r="HN82" s="65"/>
      <c r="HO82" s="65"/>
    </row>
    <row r="83" spans="1:223" s="78" customFormat="1" ht="34.5" customHeight="1" x14ac:dyDescent="0.25">
      <c r="A83" s="353">
        <v>2025</v>
      </c>
      <c r="B83" s="354">
        <v>6</v>
      </c>
      <c r="C83" s="353">
        <v>22797</v>
      </c>
      <c r="D83" s="273">
        <v>45828</v>
      </c>
      <c r="E83" s="81" t="s">
        <v>2329</v>
      </c>
      <c r="F83" s="81"/>
      <c r="I83" s="78">
        <v>6045188</v>
      </c>
      <c r="K83" s="78" t="s">
        <v>88</v>
      </c>
      <c r="L83" s="79" t="s">
        <v>2330</v>
      </c>
      <c r="M83" s="78" t="s">
        <v>136</v>
      </c>
      <c r="N83" s="78">
        <v>6078</v>
      </c>
      <c r="O83" s="78" t="s">
        <v>136</v>
      </c>
      <c r="P83" s="78">
        <v>9083</v>
      </c>
      <c r="Q83" s="78" t="s">
        <v>136</v>
      </c>
      <c r="R83" s="78" t="s">
        <v>136</v>
      </c>
      <c r="S83" s="78" t="s">
        <v>134</v>
      </c>
      <c r="T83" s="78" t="s">
        <v>134</v>
      </c>
      <c r="U83" s="78" t="s">
        <v>136</v>
      </c>
      <c r="V83" s="81" t="s">
        <v>89</v>
      </c>
      <c r="W83" s="435">
        <v>45852</v>
      </c>
      <c r="X83" s="66"/>
      <c r="Z83" s="80" t="s">
        <v>90</v>
      </c>
      <c r="AA83" s="371">
        <v>647019</v>
      </c>
      <c r="AB83" s="78">
        <v>5984</v>
      </c>
      <c r="AC83" s="228">
        <v>647019</v>
      </c>
      <c r="AD83" s="228">
        <f t="shared" si="1"/>
        <v>769952.61</v>
      </c>
      <c r="AE83" s="303">
        <v>0</v>
      </c>
      <c r="AG83" s="210"/>
      <c r="AH83" s="403">
        <v>45833</v>
      </c>
      <c r="AI83" s="66">
        <v>45852</v>
      </c>
      <c r="AJ83" s="78" t="s">
        <v>1705</v>
      </c>
      <c r="AL83" s="65"/>
      <c r="AM83" s="65"/>
      <c r="AN83" s="65"/>
      <c r="AO83" s="65"/>
      <c r="AP83" s="65"/>
      <c r="AQ83" s="65"/>
      <c r="AR83" s="65"/>
      <c r="AS83" s="65"/>
      <c r="AT83" s="65"/>
      <c r="AU83" s="65"/>
      <c r="AV83" s="65"/>
      <c r="AW83" s="65"/>
      <c r="AX83" s="65"/>
      <c r="AY83" s="65"/>
      <c r="AZ83" s="65"/>
      <c r="BA83" s="65"/>
      <c r="BB83" s="65"/>
      <c r="BC83" s="65"/>
      <c r="BD83" s="65"/>
      <c r="BE83" s="65"/>
      <c r="BF83" s="65"/>
      <c r="BG83" s="65"/>
      <c r="BH83" s="65"/>
      <c r="BI83" s="65"/>
      <c r="BJ83" s="65"/>
      <c r="BK83" s="65"/>
      <c r="BL83" s="65"/>
      <c r="BM83" s="65"/>
      <c r="BN83" s="65"/>
      <c r="BO83" s="65"/>
      <c r="BP83" s="65"/>
      <c r="BQ83" s="65"/>
      <c r="BR83" s="65"/>
      <c r="BS83" s="65"/>
      <c r="BT83" s="65"/>
      <c r="BU83" s="65"/>
      <c r="BV83" s="65"/>
      <c r="BW83" s="65"/>
      <c r="BX83" s="65"/>
      <c r="BY83" s="65"/>
      <c r="BZ83" s="65"/>
      <c r="CA83" s="65"/>
      <c r="CB83" s="65"/>
      <c r="CC83" s="65"/>
      <c r="CD83" s="65"/>
      <c r="CE83" s="65"/>
      <c r="CF83" s="65"/>
      <c r="CG83" s="65"/>
      <c r="CH83" s="65"/>
      <c r="CI83" s="65"/>
      <c r="CJ83" s="65"/>
      <c r="CK83" s="65"/>
      <c r="CL83" s="65"/>
      <c r="CM83" s="65"/>
      <c r="CN83" s="65"/>
      <c r="CO83" s="65"/>
      <c r="CP83" s="65"/>
      <c r="CQ83" s="65"/>
      <c r="CR83" s="65"/>
      <c r="CS83" s="65"/>
      <c r="CT83" s="65"/>
      <c r="CU83" s="65"/>
      <c r="CV83" s="65"/>
      <c r="CW83" s="65"/>
      <c r="CX83" s="65"/>
      <c r="CY83" s="65"/>
      <c r="CZ83" s="65"/>
      <c r="DA83" s="65"/>
      <c r="DB83" s="65"/>
      <c r="DC83" s="65"/>
      <c r="DD83" s="65"/>
      <c r="DE83" s="65"/>
      <c r="DF83" s="65"/>
      <c r="DG83" s="65"/>
      <c r="DH83" s="65"/>
      <c r="DI83" s="65"/>
      <c r="DJ83" s="65"/>
      <c r="DK83" s="65"/>
      <c r="DL83" s="65"/>
      <c r="DM83" s="65"/>
      <c r="DN83" s="65"/>
      <c r="DO83" s="65"/>
      <c r="DP83" s="65"/>
      <c r="DQ83" s="65"/>
      <c r="DR83" s="65"/>
      <c r="DS83" s="65"/>
      <c r="DT83" s="65"/>
      <c r="DU83" s="65"/>
      <c r="DV83" s="65"/>
      <c r="DW83" s="65"/>
      <c r="DX83" s="65"/>
      <c r="DY83" s="65"/>
      <c r="DZ83" s="65"/>
      <c r="EA83" s="65"/>
      <c r="EB83" s="65"/>
      <c r="EC83" s="65"/>
      <c r="ED83" s="65"/>
      <c r="EE83" s="65"/>
      <c r="EF83" s="65"/>
      <c r="EG83" s="65"/>
      <c r="EH83" s="65"/>
      <c r="EI83" s="65"/>
      <c r="EJ83" s="65"/>
      <c r="EK83" s="65"/>
      <c r="EL83" s="65"/>
      <c r="EM83" s="65"/>
      <c r="EN83" s="65"/>
      <c r="EO83" s="65"/>
      <c r="EP83" s="65"/>
      <c r="EQ83" s="65"/>
      <c r="ER83" s="65"/>
      <c r="ES83" s="65"/>
      <c r="ET83" s="65"/>
      <c r="EU83" s="65"/>
      <c r="EV83" s="65"/>
      <c r="EW83" s="65"/>
      <c r="EX83" s="65"/>
      <c r="EY83" s="65"/>
      <c r="EZ83" s="65"/>
      <c r="FA83" s="65"/>
      <c r="FB83" s="65"/>
      <c r="FC83" s="65"/>
      <c r="FD83" s="65"/>
      <c r="FE83" s="65"/>
      <c r="FF83" s="65"/>
      <c r="FG83" s="65"/>
      <c r="FH83" s="65"/>
      <c r="FI83" s="65"/>
      <c r="FJ83" s="65"/>
      <c r="FK83" s="65"/>
      <c r="FL83" s="65"/>
      <c r="FM83" s="65"/>
      <c r="FN83" s="65"/>
      <c r="FO83" s="65"/>
      <c r="FP83" s="65"/>
      <c r="FQ83" s="65"/>
      <c r="FR83" s="65"/>
      <c r="FS83" s="65"/>
      <c r="FT83" s="65"/>
      <c r="FU83" s="65"/>
      <c r="FV83" s="65"/>
      <c r="FW83" s="65"/>
      <c r="FX83" s="65"/>
      <c r="FY83" s="65"/>
      <c r="FZ83" s="65"/>
      <c r="GA83" s="65"/>
      <c r="GB83" s="65"/>
      <c r="GC83" s="65"/>
      <c r="GD83" s="65"/>
      <c r="GE83" s="65"/>
      <c r="GF83" s="65"/>
      <c r="GG83" s="65"/>
      <c r="GH83" s="65"/>
      <c r="GI83" s="65"/>
      <c r="GJ83" s="65"/>
      <c r="GK83" s="65"/>
      <c r="GL83" s="65"/>
      <c r="GM83" s="65"/>
      <c r="GN83" s="65"/>
      <c r="GO83" s="65"/>
      <c r="GP83" s="65"/>
      <c r="GQ83" s="65"/>
      <c r="GR83" s="65"/>
      <c r="GS83" s="65"/>
      <c r="GT83" s="65"/>
      <c r="GU83" s="65"/>
      <c r="GV83" s="65"/>
      <c r="GW83" s="65"/>
      <c r="GX83" s="65"/>
      <c r="GY83" s="65"/>
      <c r="GZ83" s="65"/>
      <c r="HA83" s="65"/>
      <c r="HB83" s="65"/>
      <c r="HC83" s="65"/>
      <c r="HD83" s="65"/>
      <c r="HE83" s="65"/>
      <c r="HF83" s="65"/>
      <c r="HG83" s="65"/>
      <c r="HH83" s="65"/>
      <c r="HI83" s="65"/>
      <c r="HJ83" s="65"/>
      <c r="HK83" s="65"/>
      <c r="HL83" s="65"/>
      <c r="HM83" s="65"/>
      <c r="HN83" s="65"/>
      <c r="HO83" s="65"/>
    </row>
    <row r="84" spans="1:223" s="78" customFormat="1" ht="34.5" customHeight="1" x14ac:dyDescent="0.25">
      <c r="A84" s="353">
        <v>2025</v>
      </c>
      <c r="B84" s="354">
        <v>6</v>
      </c>
      <c r="C84" s="353">
        <v>22798</v>
      </c>
      <c r="D84" s="273">
        <v>45829</v>
      </c>
      <c r="E84" s="81" t="s">
        <v>1967</v>
      </c>
      <c r="F84" s="81" t="s">
        <v>1967</v>
      </c>
      <c r="H84" s="78">
        <v>3016756303</v>
      </c>
      <c r="I84" s="78">
        <v>3016756303</v>
      </c>
      <c r="J84" s="435">
        <v>45841</v>
      </c>
      <c r="K84" s="78" t="s">
        <v>2188</v>
      </c>
      <c r="L84" s="79" t="s">
        <v>2189</v>
      </c>
      <c r="M84" s="78" t="s">
        <v>136</v>
      </c>
      <c r="N84" s="78">
        <v>6048</v>
      </c>
      <c r="O84" s="78" t="s">
        <v>136</v>
      </c>
      <c r="P84" s="78">
        <v>9322</v>
      </c>
      <c r="Q84" s="78" t="s">
        <v>136</v>
      </c>
      <c r="R84" s="78" t="s">
        <v>136</v>
      </c>
      <c r="S84" s="78" t="s">
        <v>136</v>
      </c>
      <c r="T84" s="78" t="s">
        <v>136</v>
      </c>
      <c r="U84" s="78" t="s">
        <v>136</v>
      </c>
      <c r="V84" s="81" t="s">
        <v>87</v>
      </c>
      <c r="X84" s="66"/>
      <c r="Z84" s="80" t="s">
        <v>114</v>
      </c>
      <c r="AA84" s="371">
        <v>0</v>
      </c>
      <c r="AC84" s="228"/>
      <c r="AD84" s="228">
        <f t="shared" si="1"/>
        <v>0</v>
      </c>
      <c r="AE84" s="303">
        <v>0</v>
      </c>
      <c r="AG84" s="210"/>
      <c r="AH84" s="241"/>
      <c r="AI84" s="66">
        <v>45835</v>
      </c>
      <c r="AJ84" s="78" t="s">
        <v>1705</v>
      </c>
      <c r="AL84" s="65"/>
      <c r="AM84" s="65"/>
      <c r="AN84" s="65"/>
      <c r="AO84" s="65"/>
      <c r="AP84" s="65"/>
      <c r="AQ84" s="65"/>
      <c r="AR84" s="65"/>
      <c r="AS84" s="65"/>
      <c r="AT84" s="65"/>
      <c r="AU84" s="65"/>
      <c r="AV84" s="65"/>
      <c r="AW84" s="65"/>
      <c r="AX84" s="65"/>
      <c r="AY84" s="65"/>
      <c r="AZ84" s="65"/>
      <c r="BA84" s="65"/>
      <c r="BB84" s="65"/>
      <c r="BC84" s="65"/>
      <c r="BD84" s="65"/>
      <c r="BE84" s="65"/>
      <c r="BF84" s="65"/>
      <c r="BG84" s="65"/>
      <c r="BH84" s="65"/>
      <c r="BI84" s="65"/>
      <c r="BJ84" s="65"/>
      <c r="BK84" s="65"/>
      <c r="BL84" s="65"/>
      <c r="BM84" s="65"/>
      <c r="BN84" s="65"/>
      <c r="BO84" s="65"/>
      <c r="BP84" s="65"/>
      <c r="BQ84" s="65"/>
      <c r="BR84" s="65"/>
      <c r="BS84" s="65"/>
      <c r="BT84" s="65"/>
      <c r="BU84" s="65"/>
      <c r="BV84" s="65"/>
      <c r="BW84" s="65"/>
      <c r="BX84" s="65"/>
      <c r="BY84" s="65"/>
      <c r="BZ84" s="65"/>
      <c r="CA84" s="65"/>
      <c r="CB84" s="65"/>
      <c r="CC84" s="65"/>
      <c r="CD84" s="65"/>
      <c r="CE84" s="65"/>
      <c r="CF84" s="65"/>
      <c r="CG84" s="65"/>
      <c r="CH84" s="65"/>
      <c r="CI84" s="65"/>
      <c r="CJ84" s="65"/>
      <c r="CK84" s="65"/>
      <c r="CL84" s="65"/>
      <c r="CM84" s="65"/>
      <c r="CN84" s="65"/>
      <c r="CO84" s="65"/>
      <c r="CP84" s="65"/>
      <c r="CQ84" s="65"/>
      <c r="CR84" s="65"/>
      <c r="CS84" s="65"/>
      <c r="CT84" s="65"/>
      <c r="CU84" s="65"/>
      <c r="CV84" s="65"/>
      <c r="CW84" s="65"/>
      <c r="CX84" s="65"/>
      <c r="CY84" s="65"/>
      <c r="CZ84" s="65"/>
      <c r="DA84" s="65"/>
      <c r="DB84" s="65"/>
      <c r="DC84" s="65"/>
      <c r="DD84" s="65"/>
      <c r="DE84" s="65"/>
      <c r="DF84" s="65"/>
      <c r="DG84" s="65"/>
      <c r="DH84" s="65"/>
      <c r="DI84" s="65"/>
      <c r="DJ84" s="65"/>
      <c r="DK84" s="65"/>
      <c r="DL84" s="65"/>
      <c r="DM84" s="65"/>
      <c r="DN84" s="65"/>
      <c r="DO84" s="65"/>
      <c r="DP84" s="65"/>
      <c r="DQ84" s="65"/>
      <c r="DR84" s="65"/>
      <c r="DS84" s="65"/>
      <c r="DT84" s="65"/>
      <c r="DU84" s="65"/>
      <c r="DV84" s="65"/>
      <c r="DW84" s="65"/>
      <c r="DX84" s="65"/>
      <c r="DY84" s="65"/>
      <c r="DZ84" s="65"/>
      <c r="EA84" s="65"/>
      <c r="EB84" s="65"/>
      <c r="EC84" s="65"/>
      <c r="ED84" s="65"/>
      <c r="EE84" s="65"/>
      <c r="EF84" s="65"/>
      <c r="EG84" s="65"/>
      <c r="EH84" s="65"/>
      <c r="EI84" s="65"/>
      <c r="EJ84" s="65"/>
      <c r="EK84" s="65"/>
      <c r="EL84" s="65"/>
      <c r="EM84" s="65"/>
      <c r="EN84" s="65"/>
      <c r="EO84" s="65"/>
      <c r="EP84" s="65"/>
      <c r="EQ84" s="65"/>
      <c r="ER84" s="65"/>
      <c r="ES84" s="65"/>
      <c r="ET84" s="65"/>
      <c r="EU84" s="65"/>
      <c r="EV84" s="65"/>
      <c r="EW84" s="65"/>
      <c r="EX84" s="65"/>
      <c r="EY84" s="65"/>
      <c r="EZ84" s="65"/>
      <c r="FA84" s="65"/>
      <c r="FB84" s="65"/>
      <c r="FC84" s="65"/>
      <c r="FD84" s="65"/>
      <c r="FE84" s="65"/>
      <c r="FF84" s="65"/>
      <c r="FG84" s="65"/>
      <c r="FH84" s="65"/>
      <c r="FI84" s="65"/>
      <c r="FJ84" s="65"/>
      <c r="FK84" s="65"/>
      <c r="FL84" s="65"/>
      <c r="FM84" s="65"/>
      <c r="FN84" s="65"/>
      <c r="FO84" s="65"/>
      <c r="FP84" s="65"/>
      <c r="FQ84" s="65"/>
      <c r="FR84" s="65"/>
      <c r="FS84" s="65"/>
      <c r="FT84" s="65"/>
      <c r="FU84" s="65"/>
      <c r="FV84" s="65"/>
      <c r="FW84" s="65"/>
      <c r="FX84" s="65"/>
      <c r="FY84" s="65"/>
      <c r="FZ84" s="65"/>
      <c r="GA84" s="65"/>
      <c r="GB84" s="65"/>
      <c r="GC84" s="65"/>
      <c r="GD84" s="65"/>
      <c r="GE84" s="65"/>
      <c r="GF84" s="65"/>
      <c r="GG84" s="65"/>
      <c r="GH84" s="65"/>
      <c r="GI84" s="65"/>
      <c r="GJ84" s="65"/>
      <c r="GK84" s="65"/>
      <c r="GL84" s="65"/>
      <c r="GM84" s="65"/>
      <c r="GN84" s="65"/>
      <c r="GO84" s="65"/>
      <c r="GP84" s="65"/>
      <c r="GQ84" s="65"/>
      <c r="GR84" s="65"/>
      <c r="GS84" s="65"/>
      <c r="GT84" s="65"/>
      <c r="GU84" s="65"/>
      <c r="GV84" s="65"/>
      <c r="GW84" s="65"/>
      <c r="GX84" s="65"/>
      <c r="GY84" s="65"/>
      <c r="GZ84" s="65"/>
      <c r="HA84" s="65"/>
      <c r="HB84" s="65"/>
      <c r="HC84" s="65"/>
      <c r="HD84" s="65"/>
      <c r="HE84" s="65"/>
      <c r="HF84" s="65"/>
      <c r="HG84" s="65"/>
      <c r="HH84" s="65"/>
      <c r="HI84" s="65"/>
      <c r="HJ84" s="65"/>
      <c r="HK84" s="65"/>
      <c r="HL84" s="65"/>
      <c r="HM84" s="65"/>
      <c r="HN84" s="65"/>
      <c r="HO84" s="65"/>
    </row>
    <row r="85" spans="1:223" s="78" customFormat="1" ht="134.25" customHeight="1" x14ac:dyDescent="0.25">
      <c r="A85" s="353">
        <v>2025</v>
      </c>
      <c r="B85" s="354">
        <v>6</v>
      </c>
      <c r="C85" s="355">
        <v>22799</v>
      </c>
      <c r="D85" s="273">
        <v>45832</v>
      </c>
      <c r="E85" s="81" t="s">
        <v>2255</v>
      </c>
      <c r="F85" s="81" t="s">
        <v>2258</v>
      </c>
      <c r="G85" s="78" t="s">
        <v>143</v>
      </c>
      <c r="H85" s="78">
        <v>3007057847</v>
      </c>
      <c r="I85" s="78">
        <v>3206937303</v>
      </c>
      <c r="J85" s="439">
        <v>45849</v>
      </c>
      <c r="K85" s="78" t="s">
        <v>88</v>
      </c>
      <c r="L85" s="79" t="s">
        <v>2256</v>
      </c>
      <c r="M85" s="78" t="s">
        <v>136</v>
      </c>
      <c r="N85" s="78">
        <v>6058</v>
      </c>
      <c r="O85" s="78">
        <v>6893</v>
      </c>
      <c r="P85" s="78">
        <v>9317</v>
      </c>
      <c r="Q85" s="78">
        <v>5623</v>
      </c>
      <c r="R85" s="78" t="s">
        <v>134</v>
      </c>
      <c r="S85" s="78" t="s">
        <v>134</v>
      </c>
      <c r="T85" s="78" t="s">
        <v>134</v>
      </c>
      <c r="U85" s="78" t="s">
        <v>136</v>
      </c>
      <c r="V85" s="81" t="s">
        <v>119</v>
      </c>
      <c r="W85" s="435">
        <v>45847</v>
      </c>
      <c r="X85" s="66">
        <v>45853</v>
      </c>
      <c r="Z85" s="80" t="s">
        <v>85</v>
      </c>
      <c r="AA85" s="371">
        <v>0</v>
      </c>
      <c r="AB85" s="78">
        <v>6013</v>
      </c>
      <c r="AC85" s="228">
        <v>7497621</v>
      </c>
      <c r="AD85" s="228">
        <f t="shared" si="1"/>
        <v>8922168.9900000002</v>
      </c>
      <c r="AE85" s="303">
        <v>4461534</v>
      </c>
      <c r="AG85" s="210" t="s">
        <v>2432</v>
      </c>
      <c r="AH85" s="403">
        <v>45852</v>
      </c>
      <c r="AI85" s="66">
        <v>45859</v>
      </c>
      <c r="AJ85" s="78" t="s">
        <v>1705</v>
      </c>
      <c r="AK85" s="434"/>
      <c r="AL85" s="65"/>
      <c r="AM85" s="65"/>
      <c r="AN85" s="65"/>
      <c r="AO85" s="65"/>
      <c r="AP85" s="65"/>
      <c r="AQ85" s="65"/>
      <c r="AR85" s="65"/>
      <c r="AS85" s="65"/>
      <c r="AT85" s="65"/>
      <c r="AU85" s="65"/>
      <c r="AV85" s="65"/>
      <c r="AW85" s="65"/>
      <c r="AX85" s="65"/>
      <c r="AY85" s="65"/>
      <c r="AZ85" s="65"/>
      <c r="BA85" s="65"/>
      <c r="BB85" s="65"/>
      <c r="BC85" s="65"/>
      <c r="BD85" s="65"/>
      <c r="BE85" s="65"/>
      <c r="BF85" s="65"/>
      <c r="BG85" s="65"/>
      <c r="BH85" s="65"/>
      <c r="BI85" s="65"/>
      <c r="BJ85" s="65"/>
      <c r="BK85" s="65"/>
      <c r="BL85" s="65"/>
      <c r="BM85" s="65"/>
      <c r="BN85" s="65"/>
      <c r="BO85" s="65"/>
      <c r="BP85" s="65"/>
      <c r="BQ85" s="65"/>
      <c r="BR85" s="65"/>
      <c r="BS85" s="65"/>
      <c r="BT85" s="65"/>
      <c r="BU85" s="65"/>
      <c r="BV85" s="65"/>
      <c r="BW85" s="65"/>
      <c r="BX85" s="65"/>
      <c r="BY85" s="65"/>
      <c r="BZ85" s="65"/>
      <c r="CA85" s="65"/>
      <c r="CB85" s="65"/>
      <c r="CC85" s="65"/>
      <c r="CD85" s="65"/>
      <c r="CE85" s="65"/>
      <c r="CF85" s="65"/>
      <c r="CG85" s="65"/>
      <c r="CH85" s="65"/>
      <c r="CI85" s="65"/>
      <c r="CJ85" s="65"/>
      <c r="CK85" s="65"/>
      <c r="CL85" s="65"/>
      <c r="CM85" s="65"/>
      <c r="CN85" s="65"/>
      <c r="CO85" s="65"/>
      <c r="CP85" s="65"/>
      <c r="CQ85" s="65"/>
      <c r="CR85" s="65"/>
      <c r="CS85" s="65"/>
      <c r="CT85" s="65"/>
      <c r="CU85" s="65"/>
      <c r="CV85" s="65"/>
      <c r="CW85" s="65"/>
      <c r="CX85" s="65"/>
      <c r="CY85" s="65"/>
      <c r="CZ85" s="65"/>
      <c r="DA85" s="65"/>
      <c r="DB85" s="65"/>
      <c r="DC85" s="65"/>
      <c r="DD85" s="65"/>
      <c r="DE85" s="65"/>
      <c r="DF85" s="65"/>
      <c r="DG85" s="65"/>
      <c r="DH85" s="65"/>
      <c r="DI85" s="65"/>
      <c r="DJ85" s="65"/>
      <c r="DK85" s="65"/>
      <c r="DL85" s="65"/>
      <c r="DM85" s="65"/>
      <c r="DN85" s="65"/>
      <c r="DO85" s="65"/>
      <c r="DP85" s="65"/>
      <c r="DQ85" s="65"/>
      <c r="DR85" s="65"/>
      <c r="DS85" s="65"/>
      <c r="DT85" s="65"/>
      <c r="DU85" s="65"/>
      <c r="DV85" s="65"/>
      <c r="DW85" s="65"/>
      <c r="DX85" s="65"/>
      <c r="DY85" s="65"/>
      <c r="DZ85" s="65"/>
      <c r="EA85" s="65"/>
      <c r="EB85" s="65"/>
      <c r="EC85" s="65"/>
      <c r="ED85" s="65"/>
      <c r="EE85" s="65"/>
      <c r="EF85" s="65"/>
      <c r="EG85" s="65"/>
      <c r="EH85" s="65"/>
      <c r="EI85" s="65"/>
      <c r="EJ85" s="65"/>
      <c r="EK85" s="65"/>
      <c r="EL85" s="65"/>
      <c r="EM85" s="65"/>
      <c r="EN85" s="65"/>
      <c r="EO85" s="65"/>
      <c r="EP85" s="65"/>
      <c r="EQ85" s="65"/>
      <c r="ER85" s="65"/>
      <c r="ES85" s="65"/>
      <c r="ET85" s="65"/>
      <c r="EU85" s="65"/>
      <c r="EV85" s="65"/>
      <c r="EW85" s="65"/>
      <c r="EX85" s="65"/>
      <c r="EY85" s="65"/>
      <c r="EZ85" s="65"/>
      <c r="FA85" s="65"/>
      <c r="FB85" s="65"/>
      <c r="FC85" s="65"/>
      <c r="FD85" s="65"/>
      <c r="FE85" s="65"/>
      <c r="FF85" s="65"/>
      <c r="FG85" s="65"/>
      <c r="FH85" s="65"/>
      <c r="FI85" s="65"/>
      <c r="FJ85" s="65"/>
      <c r="FK85" s="65"/>
      <c r="FL85" s="65"/>
      <c r="FM85" s="65"/>
      <c r="FN85" s="65"/>
      <c r="FO85" s="65"/>
      <c r="FP85" s="65"/>
      <c r="FQ85" s="65"/>
      <c r="FR85" s="65"/>
      <c r="FS85" s="65"/>
      <c r="FT85" s="65"/>
      <c r="FU85" s="65"/>
      <c r="FV85" s="65"/>
      <c r="FW85" s="65"/>
      <c r="FX85" s="65"/>
      <c r="FY85" s="65"/>
      <c r="FZ85" s="65"/>
      <c r="GA85" s="65"/>
      <c r="GB85" s="65"/>
      <c r="GC85" s="65"/>
      <c r="GD85" s="65"/>
      <c r="GE85" s="65"/>
      <c r="GF85" s="65"/>
      <c r="GG85" s="65"/>
      <c r="GH85" s="65"/>
      <c r="GI85" s="65"/>
      <c r="GJ85" s="65"/>
      <c r="GK85" s="65"/>
      <c r="GL85" s="65"/>
      <c r="GM85" s="65"/>
      <c r="GN85" s="65"/>
      <c r="GO85" s="65"/>
      <c r="GP85" s="65"/>
      <c r="GQ85" s="65"/>
      <c r="GR85" s="65"/>
      <c r="GS85" s="65"/>
      <c r="GT85" s="65"/>
      <c r="GU85" s="65"/>
      <c r="GV85" s="65"/>
      <c r="GW85" s="65"/>
      <c r="GX85" s="65"/>
      <c r="GY85" s="65"/>
      <c r="GZ85" s="65"/>
      <c r="HA85" s="65"/>
      <c r="HB85" s="65"/>
      <c r="HC85" s="65"/>
      <c r="HD85" s="65"/>
      <c r="HE85" s="65"/>
      <c r="HF85" s="65"/>
      <c r="HG85" s="65"/>
      <c r="HH85" s="65"/>
      <c r="HI85" s="65"/>
      <c r="HJ85" s="65"/>
      <c r="HK85" s="65"/>
      <c r="HL85" s="65"/>
      <c r="HM85" s="65"/>
      <c r="HN85" s="65"/>
      <c r="HO85" s="65"/>
    </row>
    <row r="86" spans="1:223" s="78" customFormat="1" ht="61.5" customHeight="1" x14ac:dyDescent="0.25">
      <c r="A86" s="353">
        <v>2025</v>
      </c>
      <c r="B86" s="354">
        <v>6</v>
      </c>
      <c r="C86" s="353">
        <v>22800</v>
      </c>
      <c r="D86" s="273">
        <v>45833</v>
      </c>
      <c r="E86" s="81" t="s">
        <v>2203</v>
      </c>
      <c r="F86" s="81" t="s">
        <v>2203</v>
      </c>
      <c r="G86" s="78" t="s">
        <v>206</v>
      </c>
      <c r="H86" s="78">
        <v>3136789894</v>
      </c>
      <c r="I86" s="78">
        <v>3136789894</v>
      </c>
      <c r="J86" s="435">
        <v>45846</v>
      </c>
      <c r="K86" s="78" t="s">
        <v>88</v>
      </c>
      <c r="L86" s="79" t="s">
        <v>2152</v>
      </c>
      <c r="M86" s="78" t="s">
        <v>136</v>
      </c>
      <c r="N86" s="78">
        <v>6052</v>
      </c>
      <c r="O86" s="78">
        <v>6888</v>
      </c>
      <c r="P86" s="78">
        <v>9256</v>
      </c>
      <c r="Q86" s="78" t="s">
        <v>136</v>
      </c>
      <c r="R86" s="78" t="s">
        <v>134</v>
      </c>
      <c r="S86" s="78" t="s">
        <v>134</v>
      </c>
      <c r="T86" s="78" t="s">
        <v>134</v>
      </c>
      <c r="U86" s="78" t="s">
        <v>136</v>
      </c>
      <c r="V86" s="81" t="s">
        <v>119</v>
      </c>
      <c r="W86" s="435">
        <v>45849</v>
      </c>
      <c r="X86" s="66">
        <v>45849</v>
      </c>
      <c r="Z86" s="80" t="s">
        <v>97</v>
      </c>
      <c r="AA86" s="371">
        <v>0</v>
      </c>
      <c r="AB86" s="78">
        <v>6042</v>
      </c>
      <c r="AC86" s="228">
        <v>4313729</v>
      </c>
      <c r="AD86" s="228">
        <f t="shared" si="1"/>
        <v>5133337.51</v>
      </c>
      <c r="AE86" s="303">
        <v>3000000</v>
      </c>
      <c r="AG86" s="210" t="s">
        <v>1987</v>
      </c>
      <c r="AH86" s="241"/>
      <c r="AI86" s="66">
        <v>45849</v>
      </c>
      <c r="AJ86" s="78" t="s">
        <v>1705</v>
      </c>
      <c r="AL86" s="65"/>
      <c r="AM86" s="65"/>
      <c r="AN86" s="65"/>
      <c r="AO86" s="65"/>
      <c r="AP86" s="65"/>
      <c r="AQ86" s="65"/>
      <c r="AR86" s="65"/>
      <c r="AS86" s="65"/>
      <c r="AT86" s="65"/>
      <c r="AU86" s="65"/>
      <c r="AV86" s="65"/>
      <c r="AW86" s="65"/>
      <c r="AX86" s="65"/>
      <c r="AY86" s="65"/>
      <c r="AZ86" s="65"/>
      <c r="BA86" s="65"/>
      <c r="BB86" s="65"/>
      <c r="BC86" s="65"/>
      <c r="BD86" s="65"/>
      <c r="BE86" s="65"/>
      <c r="BF86" s="65"/>
      <c r="BG86" s="65"/>
      <c r="BH86" s="65"/>
      <c r="BI86" s="65"/>
      <c r="BJ86" s="65"/>
      <c r="BK86" s="65"/>
      <c r="BL86" s="65"/>
      <c r="BM86" s="65"/>
      <c r="BN86" s="65"/>
      <c r="BO86" s="65"/>
      <c r="BP86" s="65"/>
      <c r="BQ86" s="65"/>
      <c r="BR86" s="65"/>
      <c r="BS86" s="65"/>
      <c r="BT86" s="65"/>
      <c r="BU86" s="65"/>
      <c r="BV86" s="65"/>
      <c r="BW86" s="65"/>
      <c r="BX86" s="65"/>
      <c r="BY86" s="65"/>
      <c r="BZ86" s="65"/>
      <c r="CA86" s="65"/>
      <c r="CB86" s="65"/>
      <c r="CC86" s="65"/>
      <c r="CD86" s="65"/>
      <c r="CE86" s="65"/>
      <c r="CF86" s="65"/>
      <c r="CG86" s="65"/>
      <c r="CH86" s="65"/>
      <c r="CI86" s="65"/>
      <c r="CJ86" s="65"/>
      <c r="CK86" s="65"/>
      <c r="CL86" s="65"/>
      <c r="CM86" s="65"/>
      <c r="CN86" s="65"/>
      <c r="CO86" s="65"/>
      <c r="CP86" s="65"/>
      <c r="CQ86" s="65"/>
      <c r="CR86" s="65"/>
      <c r="CS86" s="65"/>
      <c r="CT86" s="65"/>
      <c r="CU86" s="65"/>
      <c r="CV86" s="65"/>
      <c r="CW86" s="65"/>
      <c r="CX86" s="65"/>
      <c r="CY86" s="65"/>
      <c r="CZ86" s="65"/>
      <c r="DA86" s="65"/>
      <c r="DB86" s="65"/>
      <c r="DC86" s="65"/>
      <c r="DD86" s="65"/>
      <c r="DE86" s="65"/>
      <c r="DF86" s="65"/>
      <c r="DG86" s="65"/>
      <c r="DH86" s="65"/>
      <c r="DI86" s="65"/>
      <c r="DJ86" s="65"/>
      <c r="DK86" s="65"/>
      <c r="DL86" s="65"/>
      <c r="DM86" s="65"/>
      <c r="DN86" s="65"/>
      <c r="DO86" s="65"/>
      <c r="DP86" s="65"/>
      <c r="DQ86" s="65"/>
      <c r="DR86" s="65"/>
      <c r="DS86" s="65"/>
      <c r="DT86" s="65"/>
      <c r="DU86" s="65"/>
      <c r="DV86" s="65"/>
      <c r="DW86" s="65"/>
      <c r="DX86" s="65"/>
      <c r="DY86" s="65"/>
      <c r="DZ86" s="65"/>
      <c r="EA86" s="65"/>
      <c r="EB86" s="65"/>
      <c r="EC86" s="65"/>
      <c r="ED86" s="65"/>
      <c r="EE86" s="65"/>
      <c r="EF86" s="65"/>
      <c r="EG86" s="65"/>
      <c r="EH86" s="65"/>
      <c r="EI86" s="65"/>
      <c r="EJ86" s="65"/>
      <c r="EK86" s="65"/>
      <c r="EL86" s="65"/>
      <c r="EM86" s="65"/>
      <c r="EN86" s="65"/>
      <c r="EO86" s="65"/>
      <c r="EP86" s="65"/>
      <c r="EQ86" s="65"/>
      <c r="ER86" s="65"/>
      <c r="ES86" s="65"/>
      <c r="ET86" s="65"/>
      <c r="EU86" s="65"/>
      <c r="EV86" s="65"/>
      <c r="EW86" s="65"/>
      <c r="EX86" s="65"/>
      <c r="EY86" s="65"/>
      <c r="EZ86" s="65"/>
      <c r="FA86" s="65"/>
      <c r="FB86" s="65"/>
      <c r="FC86" s="65"/>
      <c r="FD86" s="65"/>
      <c r="FE86" s="65"/>
      <c r="FF86" s="65"/>
      <c r="FG86" s="65"/>
      <c r="FH86" s="65"/>
      <c r="FI86" s="65"/>
      <c r="FJ86" s="65"/>
      <c r="FK86" s="65"/>
      <c r="FL86" s="65"/>
      <c r="FM86" s="65"/>
      <c r="FN86" s="65"/>
      <c r="FO86" s="65"/>
      <c r="FP86" s="65"/>
      <c r="FQ86" s="65"/>
      <c r="FR86" s="65"/>
      <c r="FS86" s="65"/>
      <c r="FT86" s="65"/>
      <c r="FU86" s="65"/>
      <c r="FV86" s="65"/>
      <c r="FW86" s="65"/>
      <c r="FX86" s="65"/>
      <c r="FY86" s="65"/>
      <c r="FZ86" s="65"/>
      <c r="GA86" s="65"/>
      <c r="GB86" s="65"/>
      <c r="GC86" s="65"/>
      <c r="GD86" s="65"/>
      <c r="GE86" s="65"/>
      <c r="GF86" s="65"/>
      <c r="GG86" s="65"/>
      <c r="GH86" s="65"/>
      <c r="GI86" s="65"/>
      <c r="GJ86" s="65"/>
      <c r="GK86" s="65"/>
      <c r="GL86" s="65"/>
      <c r="GM86" s="65"/>
      <c r="GN86" s="65"/>
      <c r="GO86" s="65"/>
      <c r="GP86" s="65"/>
      <c r="GQ86" s="65"/>
      <c r="GR86" s="65"/>
      <c r="GS86" s="65"/>
      <c r="GT86" s="65"/>
      <c r="GU86" s="65"/>
      <c r="GV86" s="65"/>
      <c r="GW86" s="65"/>
      <c r="GX86" s="65"/>
      <c r="GY86" s="65"/>
      <c r="GZ86" s="65"/>
      <c r="HA86" s="65"/>
      <c r="HB86" s="65"/>
      <c r="HC86" s="65"/>
      <c r="HD86" s="65"/>
      <c r="HE86" s="65"/>
      <c r="HF86" s="65"/>
      <c r="HG86" s="65"/>
      <c r="HH86" s="65"/>
      <c r="HI86" s="65"/>
      <c r="HJ86" s="65"/>
      <c r="HK86" s="65"/>
      <c r="HL86" s="65"/>
      <c r="HM86" s="65"/>
      <c r="HN86" s="65"/>
      <c r="HO86" s="65"/>
    </row>
    <row r="87" spans="1:223" s="78" customFormat="1" ht="90" x14ac:dyDescent="0.25">
      <c r="A87" s="353">
        <v>2025</v>
      </c>
      <c r="B87" s="354">
        <v>6</v>
      </c>
      <c r="C87" s="353">
        <v>22801</v>
      </c>
      <c r="D87" s="273">
        <v>45833</v>
      </c>
      <c r="E87" s="81" t="s">
        <v>2178</v>
      </c>
      <c r="F87" s="81" t="s">
        <v>2179</v>
      </c>
      <c r="G87" s="78" t="s">
        <v>2180</v>
      </c>
      <c r="H87" s="78">
        <v>3118344221</v>
      </c>
      <c r="I87" s="78">
        <v>3128344221</v>
      </c>
      <c r="J87" s="435">
        <v>45845</v>
      </c>
      <c r="K87" s="78" t="s">
        <v>84</v>
      </c>
      <c r="L87" s="79" t="s">
        <v>2181</v>
      </c>
      <c r="M87" s="78" t="s">
        <v>136</v>
      </c>
      <c r="N87" s="78">
        <v>6051</v>
      </c>
      <c r="O87" s="78">
        <v>6886</v>
      </c>
      <c r="P87" s="78">
        <v>9318</v>
      </c>
      <c r="Q87" s="78">
        <v>5618</v>
      </c>
      <c r="R87" s="78" t="s">
        <v>136</v>
      </c>
      <c r="S87" s="78" t="s">
        <v>134</v>
      </c>
      <c r="T87" s="78" t="s">
        <v>134</v>
      </c>
      <c r="U87" s="78" t="s">
        <v>136</v>
      </c>
      <c r="V87" s="81" t="s">
        <v>119</v>
      </c>
      <c r="W87" s="435">
        <v>45847</v>
      </c>
      <c r="X87" s="66">
        <v>45852</v>
      </c>
      <c r="Z87" s="80" t="s">
        <v>85</v>
      </c>
      <c r="AA87" s="371">
        <v>0</v>
      </c>
      <c r="AB87" s="78">
        <v>6044</v>
      </c>
      <c r="AC87" s="228">
        <v>2726402</v>
      </c>
      <c r="AD87" s="228">
        <f t="shared" si="1"/>
        <v>3244418.38</v>
      </c>
      <c r="AE87" s="303">
        <v>1622209</v>
      </c>
      <c r="AG87" s="210" t="s">
        <v>2097</v>
      </c>
      <c r="AH87" s="403">
        <v>45849</v>
      </c>
      <c r="AI87" s="66">
        <v>45859</v>
      </c>
      <c r="AJ87" s="78" t="s">
        <v>1705</v>
      </c>
      <c r="AL87" s="65"/>
      <c r="AM87" s="65"/>
      <c r="AN87" s="65"/>
      <c r="AO87" s="65"/>
      <c r="AP87" s="65"/>
      <c r="AQ87" s="65"/>
      <c r="AR87" s="65"/>
      <c r="AS87" s="65"/>
      <c r="AT87" s="65"/>
      <c r="AU87" s="65"/>
      <c r="AV87" s="65"/>
      <c r="AW87" s="65"/>
      <c r="AX87" s="65"/>
      <c r="AY87" s="65"/>
      <c r="AZ87" s="65"/>
      <c r="BA87" s="65"/>
      <c r="BB87" s="65"/>
      <c r="BC87" s="65"/>
      <c r="BD87" s="65"/>
      <c r="BE87" s="65"/>
      <c r="BF87" s="65"/>
      <c r="BG87" s="65"/>
      <c r="BH87" s="65"/>
      <c r="BI87" s="65"/>
      <c r="BJ87" s="65"/>
      <c r="BK87" s="65"/>
      <c r="BL87" s="65"/>
      <c r="BM87" s="65"/>
      <c r="BN87" s="65"/>
      <c r="BO87" s="65"/>
      <c r="BP87" s="65"/>
      <c r="BQ87" s="65"/>
      <c r="BR87" s="65"/>
      <c r="BS87" s="65"/>
      <c r="BT87" s="65"/>
      <c r="BU87" s="65"/>
      <c r="BV87" s="65"/>
      <c r="BW87" s="65"/>
      <c r="BX87" s="65"/>
      <c r="BY87" s="65"/>
      <c r="BZ87" s="65"/>
      <c r="CA87" s="65"/>
      <c r="CB87" s="65"/>
      <c r="CC87" s="65"/>
      <c r="CD87" s="65"/>
      <c r="CE87" s="65"/>
      <c r="CF87" s="65"/>
      <c r="CG87" s="65"/>
      <c r="CH87" s="65"/>
      <c r="CI87" s="65"/>
      <c r="CJ87" s="65"/>
      <c r="CK87" s="65"/>
      <c r="CL87" s="65"/>
      <c r="CM87" s="65"/>
      <c r="CN87" s="65"/>
      <c r="CO87" s="65"/>
      <c r="CP87" s="65"/>
      <c r="CQ87" s="65"/>
      <c r="CR87" s="65"/>
      <c r="CS87" s="65"/>
      <c r="CT87" s="65"/>
      <c r="CU87" s="65"/>
      <c r="CV87" s="65"/>
      <c r="CW87" s="65"/>
      <c r="CX87" s="65"/>
      <c r="CY87" s="65"/>
      <c r="CZ87" s="65"/>
      <c r="DA87" s="65"/>
      <c r="DB87" s="65"/>
      <c r="DC87" s="65"/>
      <c r="DD87" s="65"/>
      <c r="DE87" s="65"/>
      <c r="DF87" s="65"/>
      <c r="DG87" s="65"/>
      <c r="DH87" s="65"/>
      <c r="DI87" s="65"/>
      <c r="DJ87" s="65"/>
      <c r="DK87" s="65"/>
      <c r="DL87" s="65"/>
      <c r="DM87" s="65"/>
      <c r="DN87" s="65"/>
      <c r="DO87" s="65"/>
      <c r="DP87" s="65"/>
      <c r="DQ87" s="65"/>
      <c r="DR87" s="65"/>
      <c r="DS87" s="65"/>
      <c r="DT87" s="65"/>
      <c r="DU87" s="65"/>
      <c r="DV87" s="65"/>
      <c r="DW87" s="65"/>
      <c r="DX87" s="65"/>
      <c r="DY87" s="65"/>
      <c r="DZ87" s="65"/>
      <c r="EA87" s="65"/>
      <c r="EB87" s="65"/>
      <c r="EC87" s="65"/>
      <c r="ED87" s="65"/>
      <c r="EE87" s="65"/>
      <c r="EF87" s="65"/>
      <c r="EG87" s="65"/>
      <c r="EH87" s="65"/>
      <c r="EI87" s="65"/>
      <c r="EJ87" s="65"/>
      <c r="EK87" s="65"/>
      <c r="EL87" s="65"/>
      <c r="EM87" s="65"/>
      <c r="EN87" s="65"/>
      <c r="EO87" s="65"/>
      <c r="EP87" s="65"/>
      <c r="EQ87" s="65"/>
      <c r="ER87" s="65"/>
      <c r="ES87" s="65"/>
      <c r="ET87" s="65"/>
      <c r="EU87" s="65"/>
      <c r="EV87" s="65"/>
      <c r="EW87" s="65"/>
      <c r="EX87" s="65"/>
      <c r="EY87" s="65"/>
      <c r="EZ87" s="65"/>
      <c r="FA87" s="65"/>
      <c r="FB87" s="65"/>
      <c r="FC87" s="65"/>
      <c r="FD87" s="65"/>
      <c r="FE87" s="65"/>
      <c r="FF87" s="65"/>
      <c r="FG87" s="65"/>
      <c r="FH87" s="65"/>
      <c r="FI87" s="65"/>
      <c r="FJ87" s="65"/>
      <c r="FK87" s="65"/>
      <c r="FL87" s="65"/>
      <c r="FM87" s="65"/>
      <c r="FN87" s="65"/>
      <c r="FO87" s="65"/>
      <c r="FP87" s="65"/>
      <c r="FQ87" s="65"/>
      <c r="FR87" s="65"/>
      <c r="FS87" s="65"/>
      <c r="FT87" s="65"/>
      <c r="FU87" s="65"/>
      <c r="FV87" s="65"/>
      <c r="FW87" s="65"/>
      <c r="FX87" s="65"/>
      <c r="FY87" s="65"/>
      <c r="FZ87" s="65"/>
      <c r="GA87" s="65"/>
      <c r="GB87" s="65"/>
      <c r="GC87" s="65"/>
      <c r="GD87" s="65"/>
      <c r="GE87" s="65"/>
      <c r="GF87" s="65"/>
      <c r="GG87" s="65"/>
      <c r="GH87" s="65"/>
      <c r="GI87" s="65"/>
      <c r="GJ87" s="65"/>
      <c r="GK87" s="65"/>
      <c r="GL87" s="65"/>
      <c r="GM87" s="65"/>
      <c r="GN87" s="65"/>
      <c r="GO87" s="65"/>
      <c r="GP87" s="65"/>
      <c r="GQ87" s="65"/>
      <c r="GR87" s="65"/>
      <c r="GS87" s="65"/>
      <c r="GT87" s="65"/>
      <c r="GU87" s="65"/>
      <c r="GV87" s="65"/>
      <c r="GW87" s="65"/>
      <c r="GX87" s="65"/>
      <c r="GY87" s="65"/>
      <c r="GZ87" s="65"/>
      <c r="HA87" s="65"/>
      <c r="HB87" s="65"/>
      <c r="HC87" s="65"/>
      <c r="HD87" s="65"/>
      <c r="HE87" s="65"/>
      <c r="HF87" s="65"/>
      <c r="HG87" s="65"/>
      <c r="HH87" s="65"/>
      <c r="HI87" s="65"/>
      <c r="HJ87" s="65"/>
      <c r="HK87" s="65"/>
      <c r="HL87" s="65"/>
      <c r="HM87" s="65"/>
      <c r="HN87" s="65"/>
      <c r="HO87" s="65"/>
    </row>
    <row r="88" spans="1:223" s="78" customFormat="1" ht="34.5" customHeight="1" x14ac:dyDescent="0.25">
      <c r="A88" s="353">
        <v>2025</v>
      </c>
      <c r="B88" s="354">
        <v>6</v>
      </c>
      <c r="C88" s="355">
        <v>22802</v>
      </c>
      <c r="D88" s="273">
        <v>45834</v>
      </c>
      <c r="E88" s="81" t="s">
        <v>2261</v>
      </c>
      <c r="F88" s="81" t="s">
        <v>2261</v>
      </c>
      <c r="G88" s="78" t="s">
        <v>143</v>
      </c>
      <c r="H88" s="78">
        <v>3023550714</v>
      </c>
      <c r="I88" s="78">
        <v>3023550714</v>
      </c>
      <c r="J88" s="435">
        <v>45848</v>
      </c>
      <c r="K88" s="78" t="s">
        <v>84</v>
      </c>
      <c r="L88" s="79" t="s">
        <v>2342</v>
      </c>
      <c r="M88" s="78" t="s">
        <v>136</v>
      </c>
      <c r="N88" s="78">
        <v>6060</v>
      </c>
      <c r="O88" s="78">
        <v>6895</v>
      </c>
      <c r="P88" s="78" t="s">
        <v>136</v>
      </c>
      <c r="Q88" s="78" t="s">
        <v>136</v>
      </c>
      <c r="R88" s="78" t="s">
        <v>134</v>
      </c>
      <c r="S88" s="78" t="s">
        <v>134</v>
      </c>
      <c r="T88" s="78" t="s">
        <v>2065</v>
      </c>
      <c r="U88" s="78" t="s">
        <v>136</v>
      </c>
      <c r="V88" s="81" t="s">
        <v>119</v>
      </c>
      <c r="W88" s="435">
        <v>45847</v>
      </c>
      <c r="X88" s="66">
        <v>45850</v>
      </c>
      <c r="Z88" s="80" t="s">
        <v>85</v>
      </c>
      <c r="AA88" s="371">
        <v>0</v>
      </c>
      <c r="AB88" s="78">
        <v>6046</v>
      </c>
      <c r="AC88" s="228">
        <v>378151</v>
      </c>
      <c r="AD88" s="228">
        <f t="shared" si="1"/>
        <v>449999.69</v>
      </c>
      <c r="AE88" s="303">
        <v>225000</v>
      </c>
      <c r="AG88" s="210" t="s">
        <v>2099</v>
      </c>
      <c r="AH88" s="403">
        <v>45850</v>
      </c>
      <c r="AI88" s="66">
        <v>45852</v>
      </c>
      <c r="AJ88" s="78" t="s">
        <v>1705</v>
      </c>
      <c r="AL88" s="65"/>
      <c r="AM88" s="65"/>
      <c r="AN88" s="65"/>
      <c r="AO88" s="65"/>
      <c r="AP88" s="65"/>
      <c r="AQ88" s="65"/>
      <c r="AR88" s="65"/>
      <c r="AS88" s="65"/>
      <c r="AT88" s="65"/>
      <c r="AU88" s="65"/>
      <c r="AV88" s="65"/>
      <c r="AW88" s="65"/>
      <c r="AX88" s="65"/>
      <c r="AY88" s="65"/>
      <c r="AZ88" s="65"/>
      <c r="BA88" s="65"/>
      <c r="BB88" s="65"/>
      <c r="BC88" s="65"/>
      <c r="BD88" s="65"/>
      <c r="BE88" s="65"/>
      <c r="BF88" s="65"/>
      <c r="BG88" s="65"/>
      <c r="BH88" s="65"/>
      <c r="BI88" s="65"/>
      <c r="BJ88" s="65"/>
      <c r="BK88" s="65"/>
      <c r="BL88" s="65"/>
      <c r="BM88" s="65"/>
      <c r="BN88" s="65"/>
      <c r="BO88" s="65"/>
      <c r="BP88" s="65"/>
      <c r="BQ88" s="65"/>
      <c r="BR88" s="65"/>
      <c r="BS88" s="65"/>
      <c r="BT88" s="65"/>
      <c r="BU88" s="65"/>
      <c r="BV88" s="65"/>
      <c r="BW88" s="65"/>
      <c r="BX88" s="65"/>
      <c r="BY88" s="65"/>
      <c r="BZ88" s="65"/>
      <c r="CA88" s="65"/>
      <c r="CB88" s="65"/>
      <c r="CC88" s="65"/>
      <c r="CD88" s="65"/>
      <c r="CE88" s="65"/>
      <c r="CF88" s="65"/>
      <c r="CG88" s="65"/>
      <c r="CH88" s="65"/>
      <c r="CI88" s="65"/>
      <c r="CJ88" s="65"/>
      <c r="CK88" s="65"/>
      <c r="CL88" s="65"/>
      <c r="CM88" s="65"/>
      <c r="CN88" s="65"/>
      <c r="CO88" s="65"/>
      <c r="CP88" s="65"/>
      <c r="CQ88" s="65"/>
      <c r="CR88" s="65"/>
      <c r="CS88" s="65"/>
      <c r="CT88" s="65"/>
      <c r="CU88" s="65"/>
      <c r="CV88" s="65"/>
      <c r="CW88" s="65"/>
      <c r="CX88" s="65"/>
      <c r="CY88" s="65"/>
      <c r="CZ88" s="65"/>
      <c r="DA88" s="65"/>
      <c r="DB88" s="65"/>
      <c r="DC88" s="65"/>
      <c r="DD88" s="65"/>
      <c r="DE88" s="65"/>
      <c r="DF88" s="65"/>
      <c r="DG88" s="65"/>
      <c r="DH88" s="65"/>
      <c r="DI88" s="65"/>
      <c r="DJ88" s="65"/>
      <c r="DK88" s="65"/>
      <c r="DL88" s="65"/>
      <c r="DM88" s="65"/>
      <c r="DN88" s="65"/>
      <c r="DO88" s="65"/>
      <c r="DP88" s="65"/>
      <c r="DQ88" s="65"/>
      <c r="DR88" s="65"/>
      <c r="DS88" s="65"/>
      <c r="DT88" s="65"/>
      <c r="DU88" s="65"/>
      <c r="DV88" s="65"/>
      <c r="DW88" s="65"/>
      <c r="DX88" s="65"/>
      <c r="DY88" s="65"/>
      <c r="DZ88" s="65"/>
      <c r="EA88" s="65"/>
      <c r="EB88" s="65"/>
      <c r="EC88" s="65"/>
      <c r="ED88" s="65"/>
      <c r="EE88" s="65"/>
      <c r="EF88" s="65"/>
      <c r="EG88" s="65"/>
      <c r="EH88" s="65"/>
      <c r="EI88" s="65"/>
      <c r="EJ88" s="65"/>
      <c r="EK88" s="65"/>
      <c r="EL88" s="65"/>
      <c r="EM88" s="65"/>
      <c r="EN88" s="65"/>
      <c r="EO88" s="65"/>
      <c r="EP88" s="65"/>
      <c r="EQ88" s="65"/>
      <c r="ER88" s="65"/>
      <c r="ES88" s="65"/>
      <c r="ET88" s="65"/>
      <c r="EU88" s="65"/>
      <c r="EV88" s="65"/>
      <c r="EW88" s="65"/>
      <c r="EX88" s="65"/>
      <c r="EY88" s="65"/>
      <c r="EZ88" s="65"/>
      <c r="FA88" s="65"/>
      <c r="FB88" s="65"/>
      <c r="FC88" s="65"/>
      <c r="FD88" s="65"/>
      <c r="FE88" s="65"/>
      <c r="FF88" s="65"/>
      <c r="FG88" s="65"/>
      <c r="FH88" s="65"/>
      <c r="FI88" s="65"/>
      <c r="FJ88" s="65"/>
      <c r="FK88" s="65"/>
      <c r="FL88" s="65"/>
      <c r="FM88" s="65"/>
      <c r="FN88" s="65"/>
      <c r="FO88" s="65"/>
      <c r="FP88" s="65"/>
      <c r="FQ88" s="65"/>
      <c r="FR88" s="65"/>
      <c r="FS88" s="65"/>
      <c r="FT88" s="65"/>
      <c r="FU88" s="65"/>
      <c r="FV88" s="65"/>
      <c r="FW88" s="65"/>
      <c r="FX88" s="65"/>
      <c r="FY88" s="65"/>
      <c r="FZ88" s="65"/>
      <c r="GA88" s="65"/>
      <c r="GB88" s="65"/>
      <c r="GC88" s="65"/>
      <c r="GD88" s="65"/>
      <c r="GE88" s="65"/>
      <c r="GF88" s="65"/>
      <c r="GG88" s="65"/>
      <c r="GH88" s="65"/>
      <c r="GI88" s="65"/>
      <c r="GJ88" s="65"/>
      <c r="GK88" s="65"/>
      <c r="GL88" s="65"/>
      <c r="GM88" s="65"/>
      <c r="GN88" s="65"/>
      <c r="GO88" s="65"/>
      <c r="GP88" s="65"/>
      <c r="GQ88" s="65"/>
      <c r="GR88" s="65"/>
      <c r="GS88" s="65"/>
      <c r="GT88" s="65"/>
      <c r="GU88" s="65"/>
      <c r="GV88" s="65"/>
      <c r="GW88" s="65"/>
      <c r="GX88" s="65"/>
      <c r="GY88" s="65"/>
      <c r="GZ88" s="65"/>
      <c r="HA88" s="65"/>
      <c r="HB88" s="65"/>
      <c r="HC88" s="65"/>
      <c r="HD88" s="65"/>
      <c r="HE88" s="65"/>
      <c r="HF88" s="65"/>
      <c r="HG88" s="65"/>
      <c r="HH88" s="65"/>
      <c r="HI88" s="65"/>
      <c r="HJ88" s="65"/>
      <c r="HK88" s="65"/>
      <c r="HL88" s="65"/>
      <c r="HM88" s="65"/>
      <c r="HN88" s="65"/>
      <c r="HO88" s="65"/>
    </row>
    <row r="89" spans="1:223" s="78" customFormat="1" ht="34.5" customHeight="1" x14ac:dyDescent="0.25">
      <c r="A89" s="353">
        <v>2025</v>
      </c>
      <c r="B89" s="354">
        <v>6</v>
      </c>
      <c r="C89" s="353">
        <v>22803</v>
      </c>
      <c r="D89" s="273">
        <v>45832</v>
      </c>
      <c r="E89" s="81" t="s">
        <v>2185</v>
      </c>
      <c r="F89" s="81" t="s">
        <v>2185</v>
      </c>
      <c r="H89" s="78">
        <v>3105279049</v>
      </c>
      <c r="I89" s="78">
        <v>3105279049</v>
      </c>
      <c r="J89" s="435">
        <v>45842</v>
      </c>
      <c r="L89" s="79" t="s">
        <v>2186</v>
      </c>
      <c r="M89" s="78" t="s">
        <v>136</v>
      </c>
      <c r="N89" s="78">
        <v>6049</v>
      </c>
      <c r="O89" s="78" t="s">
        <v>136</v>
      </c>
      <c r="P89" s="78" t="s">
        <v>136</v>
      </c>
      <c r="Q89" s="78" t="s">
        <v>136</v>
      </c>
      <c r="R89" s="78" t="s">
        <v>136</v>
      </c>
      <c r="S89" s="78" t="s">
        <v>136</v>
      </c>
      <c r="T89" s="78" t="s">
        <v>136</v>
      </c>
      <c r="U89" s="78" t="s">
        <v>136</v>
      </c>
      <c r="V89" s="81" t="s">
        <v>87</v>
      </c>
      <c r="W89" s="435">
        <v>45841</v>
      </c>
      <c r="X89" s="66">
        <v>45847</v>
      </c>
      <c r="Z89" s="80" t="s">
        <v>85</v>
      </c>
      <c r="AA89" s="371">
        <v>112000</v>
      </c>
      <c r="AB89" s="78">
        <v>6030</v>
      </c>
      <c r="AC89" s="228">
        <v>94117</v>
      </c>
      <c r="AD89" s="228">
        <f t="shared" si="1"/>
        <v>111999.23</v>
      </c>
      <c r="AE89" s="303">
        <v>0</v>
      </c>
      <c r="AG89" s="210" t="s">
        <v>2135</v>
      </c>
      <c r="AH89" s="403">
        <v>45830</v>
      </c>
      <c r="AI89" s="66">
        <v>45847</v>
      </c>
      <c r="AJ89" s="78" t="s">
        <v>1705</v>
      </c>
      <c r="AL89" s="65"/>
      <c r="AM89" s="65"/>
      <c r="AN89" s="65"/>
      <c r="AO89" s="65"/>
      <c r="AP89" s="65"/>
      <c r="AQ89" s="65"/>
      <c r="AR89" s="65"/>
      <c r="AS89" s="65"/>
      <c r="AT89" s="65"/>
      <c r="AU89" s="65"/>
      <c r="AV89" s="65"/>
      <c r="AW89" s="65"/>
      <c r="AX89" s="65"/>
      <c r="AY89" s="65"/>
      <c r="AZ89" s="65"/>
      <c r="BA89" s="65"/>
      <c r="BB89" s="65"/>
      <c r="BC89" s="65"/>
      <c r="BD89" s="65"/>
      <c r="BE89" s="65"/>
      <c r="BF89" s="65"/>
      <c r="BG89" s="65"/>
      <c r="BH89" s="65"/>
      <c r="BI89" s="65"/>
      <c r="BJ89" s="65"/>
      <c r="BK89" s="65"/>
      <c r="BL89" s="65"/>
      <c r="BM89" s="65"/>
      <c r="BN89" s="65"/>
      <c r="BO89" s="65"/>
      <c r="BP89" s="65"/>
      <c r="BQ89" s="65"/>
      <c r="BR89" s="65"/>
      <c r="BS89" s="65"/>
      <c r="BT89" s="65"/>
      <c r="BU89" s="65"/>
      <c r="BV89" s="65"/>
      <c r="BW89" s="65"/>
      <c r="BX89" s="65"/>
      <c r="BY89" s="65"/>
      <c r="BZ89" s="65"/>
      <c r="CA89" s="65"/>
      <c r="CB89" s="65"/>
      <c r="CC89" s="65"/>
      <c r="CD89" s="65"/>
      <c r="CE89" s="65"/>
      <c r="CF89" s="65"/>
      <c r="CG89" s="65"/>
      <c r="CH89" s="65"/>
      <c r="CI89" s="65"/>
      <c r="CJ89" s="65"/>
      <c r="CK89" s="65"/>
      <c r="CL89" s="65"/>
      <c r="CM89" s="65"/>
      <c r="CN89" s="65"/>
      <c r="CO89" s="65"/>
      <c r="CP89" s="65"/>
      <c r="CQ89" s="65"/>
      <c r="CR89" s="65"/>
      <c r="CS89" s="65"/>
      <c r="CT89" s="65"/>
      <c r="CU89" s="65"/>
      <c r="CV89" s="65"/>
      <c r="CW89" s="65"/>
      <c r="CX89" s="65"/>
      <c r="CY89" s="65"/>
      <c r="CZ89" s="65"/>
      <c r="DA89" s="65"/>
      <c r="DB89" s="65"/>
      <c r="DC89" s="65"/>
      <c r="DD89" s="65"/>
      <c r="DE89" s="65"/>
      <c r="DF89" s="65"/>
      <c r="DG89" s="65"/>
      <c r="DH89" s="65"/>
      <c r="DI89" s="65"/>
      <c r="DJ89" s="65"/>
      <c r="DK89" s="65"/>
      <c r="DL89" s="65"/>
      <c r="DM89" s="65"/>
      <c r="DN89" s="65"/>
      <c r="DO89" s="65"/>
      <c r="DP89" s="65"/>
      <c r="DQ89" s="65"/>
      <c r="DR89" s="65"/>
      <c r="DS89" s="65"/>
      <c r="DT89" s="65"/>
      <c r="DU89" s="65"/>
      <c r="DV89" s="65"/>
      <c r="DW89" s="65"/>
      <c r="DX89" s="65"/>
      <c r="DY89" s="65"/>
      <c r="DZ89" s="65"/>
      <c r="EA89" s="65"/>
      <c r="EB89" s="65"/>
      <c r="EC89" s="65"/>
      <c r="ED89" s="65"/>
      <c r="EE89" s="65"/>
      <c r="EF89" s="65"/>
      <c r="EG89" s="65"/>
      <c r="EH89" s="65"/>
      <c r="EI89" s="65"/>
      <c r="EJ89" s="65"/>
      <c r="EK89" s="65"/>
      <c r="EL89" s="65"/>
      <c r="EM89" s="65"/>
      <c r="EN89" s="65"/>
      <c r="EO89" s="65"/>
      <c r="EP89" s="65"/>
      <c r="EQ89" s="65"/>
      <c r="ER89" s="65"/>
      <c r="ES89" s="65"/>
      <c r="ET89" s="65"/>
      <c r="EU89" s="65"/>
      <c r="EV89" s="65"/>
      <c r="EW89" s="65"/>
      <c r="EX89" s="65"/>
      <c r="EY89" s="65"/>
      <c r="EZ89" s="65"/>
      <c r="FA89" s="65"/>
      <c r="FB89" s="65"/>
      <c r="FC89" s="65"/>
      <c r="FD89" s="65"/>
      <c r="FE89" s="65"/>
      <c r="FF89" s="65"/>
      <c r="FG89" s="65"/>
      <c r="FH89" s="65"/>
      <c r="FI89" s="65"/>
      <c r="FJ89" s="65"/>
      <c r="FK89" s="65"/>
      <c r="FL89" s="65"/>
      <c r="FM89" s="65"/>
      <c r="FN89" s="65"/>
      <c r="FO89" s="65"/>
      <c r="FP89" s="65"/>
      <c r="FQ89" s="65"/>
      <c r="FR89" s="65"/>
      <c r="FS89" s="65"/>
      <c r="FT89" s="65"/>
      <c r="FU89" s="65"/>
      <c r="FV89" s="65"/>
      <c r="FW89" s="65"/>
      <c r="FX89" s="65"/>
      <c r="FY89" s="65"/>
      <c r="FZ89" s="65"/>
      <c r="GA89" s="65"/>
      <c r="GB89" s="65"/>
      <c r="GC89" s="65"/>
      <c r="GD89" s="65"/>
      <c r="GE89" s="65"/>
      <c r="GF89" s="65"/>
      <c r="GG89" s="65"/>
      <c r="GH89" s="65"/>
      <c r="GI89" s="65"/>
      <c r="GJ89" s="65"/>
      <c r="GK89" s="65"/>
      <c r="GL89" s="65"/>
      <c r="GM89" s="65"/>
      <c r="GN89" s="65"/>
      <c r="GO89" s="65"/>
      <c r="GP89" s="65"/>
      <c r="GQ89" s="65"/>
      <c r="GR89" s="65"/>
      <c r="GS89" s="65"/>
      <c r="GT89" s="65"/>
      <c r="GU89" s="65"/>
      <c r="GV89" s="65"/>
      <c r="GW89" s="65"/>
      <c r="GX89" s="65"/>
      <c r="GY89" s="65"/>
      <c r="GZ89" s="65"/>
      <c r="HA89" s="65"/>
      <c r="HB89" s="65"/>
      <c r="HC89" s="65"/>
      <c r="HD89" s="65"/>
      <c r="HE89" s="65"/>
      <c r="HF89" s="65"/>
      <c r="HG89" s="65"/>
      <c r="HH89" s="65"/>
      <c r="HI89" s="65"/>
      <c r="HJ89" s="65"/>
      <c r="HK89" s="65"/>
      <c r="HL89" s="65"/>
      <c r="HM89" s="65"/>
      <c r="HN89" s="65"/>
      <c r="HO89" s="65"/>
    </row>
    <row r="90" spans="1:223" s="78" customFormat="1" ht="45" x14ac:dyDescent="0.25">
      <c r="A90" s="353">
        <v>2025</v>
      </c>
      <c r="B90" s="354">
        <v>6</v>
      </c>
      <c r="C90" s="353">
        <v>22804</v>
      </c>
      <c r="D90" s="273">
        <v>45833</v>
      </c>
      <c r="E90" s="81" t="s">
        <v>2222</v>
      </c>
      <c r="F90" s="81" t="s">
        <v>2223</v>
      </c>
      <c r="G90" s="78" t="s">
        <v>173</v>
      </c>
      <c r="H90" s="78" t="s">
        <v>2224</v>
      </c>
      <c r="J90" s="439">
        <v>45834</v>
      </c>
      <c r="K90" s="78" t="s">
        <v>88</v>
      </c>
      <c r="L90" s="79" t="s">
        <v>2225</v>
      </c>
      <c r="M90" s="78" t="s">
        <v>136</v>
      </c>
      <c r="N90" s="78" t="s">
        <v>136</v>
      </c>
      <c r="O90" s="78" t="s">
        <v>136</v>
      </c>
      <c r="P90" s="78">
        <v>9328</v>
      </c>
      <c r="Q90" s="78" t="s">
        <v>136</v>
      </c>
      <c r="R90" s="78" t="s">
        <v>136</v>
      </c>
      <c r="S90" s="78" t="s">
        <v>136</v>
      </c>
      <c r="T90" s="78" t="s">
        <v>136</v>
      </c>
      <c r="U90" s="78" t="s">
        <v>134</v>
      </c>
      <c r="V90" s="81" t="s">
        <v>87</v>
      </c>
      <c r="W90" s="439">
        <v>45833</v>
      </c>
      <c r="X90" s="66">
        <v>45834</v>
      </c>
      <c r="Z90" s="80" t="s">
        <v>85</v>
      </c>
      <c r="AA90" s="371">
        <v>0</v>
      </c>
      <c r="AB90" s="78">
        <v>5997</v>
      </c>
      <c r="AC90" s="228">
        <v>250000</v>
      </c>
      <c r="AD90" s="228">
        <f t="shared" si="1"/>
        <v>297500</v>
      </c>
      <c r="AE90" s="303">
        <v>40000</v>
      </c>
      <c r="AG90" s="210" t="s">
        <v>2226</v>
      </c>
      <c r="AH90" s="438">
        <v>45833</v>
      </c>
      <c r="AI90" s="66">
        <v>45836</v>
      </c>
      <c r="AJ90" s="78" t="s">
        <v>2227</v>
      </c>
      <c r="AL90" s="65"/>
      <c r="AM90" s="65"/>
      <c r="AN90" s="65"/>
      <c r="AO90" s="65"/>
      <c r="AP90" s="65"/>
      <c r="AQ90" s="65"/>
      <c r="AR90" s="65"/>
      <c r="AS90" s="65"/>
      <c r="AT90" s="65"/>
      <c r="AU90" s="65"/>
      <c r="AV90" s="65"/>
      <c r="AW90" s="65"/>
      <c r="AX90" s="65"/>
      <c r="AY90" s="65"/>
      <c r="AZ90" s="65"/>
      <c r="BA90" s="65"/>
      <c r="BB90" s="65"/>
      <c r="BC90" s="65"/>
      <c r="BD90" s="65"/>
      <c r="BE90" s="65"/>
      <c r="BF90" s="65"/>
      <c r="BG90" s="65"/>
      <c r="BH90" s="65"/>
      <c r="BI90" s="65"/>
      <c r="BJ90" s="65"/>
      <c r="BK90" s="65"/>
      <c r="BL90" s="65"/>
      <c r="BM90" s="65"/>
      <c r="BN90" s="65"/>
      <c r="BO90" s="65"/>
      <c r="BP90" s="65"/>
      <c r="BQ90" s="65"/>
      <c r="BR90" s="65"/>
      <c r="BS90" s="65"/>
      <c r="BT90" s="65"/>
      <c r="BU90" s="65"/>
      <c r="BV90" s="65"/>
      <c r="BW90" s="65"/>
      <c r="BX90" s="65"/>
      <c r="BY90" s="65"/>
      <c r="BZ90" s="65"/>
      <c r="CA90" s="65"/>
      <c r="CB90" s="65"/>
      <c r="CC90" s="65"/>
      <c r="CD90" s="65"/>
      <c r="CE90" s="65"/>
      <c r="CF90" s="65"/>
      <c r="CG90" s="65"/>
      <c r="CH90" s="65"/>
      <c r="CI90" s="65"/>
      <c r="CJ90" s="65"/>
      <c r="CK90" s="65"/>
      <c r="CL90" s="65"/>
      <c r="CM90" s="65"/>
      <c r="CN90" s="65"/>
      <c r="CO90" s="65"/>
      <c r="CP90" s="65"/>
      <c r="CQ90" s="65"/>
      <c r="CR90" s="65"/>
      <c r="CS90" s="65"/>
      <c r="CT90" s="65"/>
      <c r="CU90" s="65"/>
      <c r="CV90" s="65"/>
      <c r="CW90" s="65"/>
      <c r="CX90" s="65"/>
      <c r="CY90" s="65"/>
      <c r="CZ90" s="65"/>
      <c r="DA90" s="65"/>
      <c r="DB90" s="65"/>
      <c r="DC90" s="65"/>
      <c r="DD90" s="65"/>
      <c r="DE90" s="65"/>
      <c r="DF90" s="65"/>
      <c r="DG90" s="65"/>
      <c r="DH90" s="65"/>
      <c r="DI90" s="65"/>
      <c r="DJ90" s="65"/>
      <c r="DK90" s="65"/>
      <c r="DL90" s="65"/>
      <c r="DM90" s="65"/>
      <c r="DN90" s="65"/>
      <c r="DO90" s="65"/>
      <c r="DP90" s="65"/>
      <c r="DQ90" s="65"/>
      <c r="DR90" s="65"/>
      <c r="DS90" s="65"/>
      <c r="DT90" s="65"/>
      <c r="DU90" s="65"/>
      <c r="DV90" s="65"/>
      <c r="DW90" s="65"/>
      <c r="DX90" s="65"/>
      <c r="DY90" s="65"/>
      <c r="DZ90" s="65"/>
      <c r="EA90" s="65"/>
      <c r="EB90" s="65"/>
      <c r="EC90" s="65"/>
      <c r="ED90" s="65"/>
      <c r="EE90" s="65"/>
      <c r="EF90" s="65"/>
      <c r="EG90" s="65"/>
      <c r="EH90" s="65"/>
      <c r="EI90" s="65"/>
      <c r="EJ90" s="65"/>
      <c r="EK90" s="65"/>
      <c r="EL90" s="65"/>
      <c r="EM90" s="65"/>
      <c r="EN90" s="65"/>
      <c r="EO90" s="65"/>
      <c r="EP90" s="65"/>
      <c r="EQ90" s="65"/>
      <c r="ER90" s="65"/>
      <c r="ES90" s="65"/>
      <c r="ET90" s="65"/>
      <c r="EU90" s="65"/>
      <c r="EV90" s="65"/>
      <c r="EW90" s="65"/>
      <c r="EX90" s="65"/>
      <c r="EY90" s="65"/>
      <c r="EZ90" s="65"/>
      <c r="FA90" s="65"/>
      <c r="FB90" s="65"/>
      <c r="FC90" s="65"/>
      <c r="FD90" s="65"/>
      <c r="FE90" s="65"/>
      <c r="FF90" s="65"/>
      <c r="FG90" s="65"/>
      <c r="FH90" s="65"/>
      <c r="FI90" s="65"/>
      <c r="FJ90" s="65"/>
      <c r="FK90" s="65"/>
      <c r="FL90" s="65"/>
      <c r="FM90" s="65"/>
      <c r="FN90" s="65"/>
      <c r="FO90" s="65"/>
      <c r="FP90" s="65"/>
      <c r="FQ90" s="65"/>
      <c r="FR90" s="65"/>
      <c r="FS90" s="65"/>
      <c r="FT90" s="65"/>
      <c r="FU90" s="65"/>
      <c r="FV90" s="65"/>
      <c r="FW90" s="65"/>
      <c r="FX90" s="65"/>
      <c r="FY90" s="65"/>
      <c r="FZ90" s="65"/>
      <c r="GA90" s="65"/>
      <c r="GB90" s="65"/>
      <c r="GC90" s="65"/>
      <c r="GD90" s="65"/>
      <c r="GE90" s="65"/>
      <c r="GF90" s="65"/>
      <c r="GG90" s="65"/>
      <c r="GH90" s="65"/>
      <c r="GI90" s="65"/>
      <c r="GJ90" s="65"/>
      <c r="GK90" s="65"/>
      <c r="GL90" s="65"/>
      <c r="GM90" s="65"/>
      <c r="GN90" s="65"/>
      <c r="GO90" s="65"/>
      <c r="GP90" s="65"/>
      <c r="GQ90" s="65"/>
      <c r="GR90" s="65"/>
      <c r="GS90" s="65"/>
      <c r="GT90" s="65"/>
      <c r="GU90" s="65"/>
      <c r="GV90" s="65"/>
      <c r="GW90" s="65"/>
      <c r="GX90" s="65"/>
      <c r="GY90" s="65"/>
      <c r="GZ90" s="65"/>
      <c r="HA90" s="65"/>
      <c r="HB90" s="65"/>
      <c r="HC90" s="65"/>
      <c r="HD90" s="65"/>
      <c r="HE90" s="65"/>
      <c r="HF90" s="65"/>
      <c r="HG90" s="65"/>
      <c r="HH90" s="65"/>
      <c r="HI90" s="65"/>
      <c r="HJ90" s="65"/>
      <c r="HK90" s="65"/>
      <c r="HL90" s="65"/>
      <c r="HM90" s="65"/>
      <c r="HN90" s="65"/>
      <c r="HO90" s="65"/>
    </row>
    <row r="91" spans="1:223" s="78" customFormat="1" ht="34.5" customHeight="1" x14ac:dyDescent="0.25">
      <c r="A91" s="353">
        <v>2025</v>
      </c>
      <c r="B91" s="354">
        <v>6</v>
      </c>
      <c r="C91" s="355">
        <v>22805</v>
      </c>
      <c r="D91" s="273">
        <v>45834</v>
      </c>
      <c r="E91" s="81" t="s">
        <v>2262</v>
      </c>
      <c r="F91" s="81" t="s">
        <v>2262</v>
      </c>
      <c r="G91" s="78" t="s">
        <v>143</v>
      </c>
      <c r="H91" s="78">
        <v>3166707013</v>
      </c>
      <c r="I91" s="78">
        <v>3166707013</v>
      </c>
      <c r="J91" s="435">
        <v>45846</v>
      </c>
      <c r="K91" s="78" t="s">
        <v>84</v>
      </c>
      <c r="L91" s="79" t="s">
        <v>2263</v>
      </c>
      <c r="M91" s="78" t="s">
        <v>136</v>
      </c>
      <c r="N91" s="78">
        <v>6061</v>
      </c>
      <c r="O91" s="78" t="s">
        <v>136</v>
      </c>
      <c r="P91" s="78" t="s">
        <v>136</v>
      </c>
      <c r="Q91" s="78" t="s">
        <v>136</v>
      </c>
      <c r="R91" s="78" t="s">
        <v>136</v>
      </c>
      <c r="S91" s="78" t="s">
        <v>134</v>
      </c>
      <c r="T91" s="78" t="s">
        <v>2065</v>
      </c>
      <c r="U91" s="78" t="s">
        <v>136</v>
      </c>
      <c r="V91" s="81" t="s">
        <v>119</v>
      </c>
      <c r="W91" s="435">
        <v>45847</v>
      </c>
      <c r="X91" s="66">
        <v>45847</v>
      </c>
      <c r="Z91" s="80" t="s">
        <v>85</v>
      </c>
      <c r="AA91" s="371">
        <v>160000</v>
      </c>
      <c r="AB91" s="78">
        <v>6047</v>
      </c>
      <c r="AC91" s="228">
        <v>134454</v>
      </c>
      <c r="AD91" s="228">
        <f t="shared" si="1"/>
        <v>160000.25999999998</v>
      </c>
      <c r="AE91" s="303">
        <v>0</v>
      </c>
      <c r="AG91" s="210" t="s">
        <v>2099</v>
      </c>
      <c r="AH91" s="403">
        <v>45843</v>
      </c>
      <c r="AI91" s="66">
        <v>45849</v>
      </c>
      <c r="AJ91" s="78" t="s">
        <v>1705</v>
      </c>
      <c r="AL91" s="65"/>
      <c r="AM91" s="65"/>
      <c r="AN91" s="65"/>
      <c r="AO91" s="65"/>
      <c r="AP91" s="65"/>
      <c r="AQ91" s="65"/>
      <c r="AR91" s="65"/>
      <c r="AS91" s="65"/>
      <c r="AT91" s="65"/>
      <c r="AU91" s="65"/>
      <c r="AV91" s="65"/>
      <c r="AW91" s="65"/>
      <c r="AX91" s="65"/>
      <c r="AY91" s="65"/>
      <c r="AZ91" s="65"/>
      <c r="BA91" s="65"/>
      <c r="BB91" s="65"/>
      <c r="BC91" s="65"/>
      <c r="BD91" s="65"/>
      <c r="BE91" s="65"/>
      <c r="BF91" s="65"/>
      <c r="BG91" s="65"/>
      <c r="BH91" s="65"/>
      <c r="BI91" s="65"/>
      <c r="BJ91" s="65"/>
      <c r="BK91" s="65"/>
      <c r="BL91" s="65"/>
      <c r="BM91" s="65"/>
      <c r="BN91" s="65"/>
      <c r="BO91" s="65"/>
      <c r="BP91" s="65"/>
      <c r="BQ91" s="65"/>
      <c r="BR91" s="65"/>
      <c r="BS91" s="65"/>
      <c r="BT91" s="65"/>
      <c r="BU91" s="65"/>
      <c r="BV91" s="65"/>
      <c r="BW91" s="65"/>
      <c r="BX91" s="65"/>
      <c r="BY91" s="65"/>
      <c r="BZ91" s="65"/>
      <c r="CA91" s="65"/>
      <c r="CB91" s="65"/>
      <c r="CC91" s="65"/>
      <c r="CD91" s="65"/>
      <c r="CE91" s="65"/>
      <c r="CF91" s="65"/>
      <c r="CG91" s="65"/>
      <c r="CH91" s="65"/>
      <c r="CI91" s="65"/>
      <c r="CJ91" s="65"/>
      <c r="CK91" s="65"/>
      <c r="CL91" s="65"/>
      <c r="CM91" s="65"/>
      <c r="CN91" s="65"/>
      <c r="CO91" s="65"/>
      <c r="CP91" s="65"/>
      <c r="CQ91" s="65"/>
      <c r="CR91" s="65"/>
      <c r="CS91" s="65"/>
      <c r="CT91" s="65"/>
      <c r="CU91" s="65"/>
      <c r="CV91" s="65"/>
      <c r="CW91" s="65"/>
      <c r="CX91" s="65"/>
      <c r="CY91" s="65"/>
      <c r="CZ91" s="65"/>
      <c r="DA91" s="65"/>
      <c r="DB91" s="65"/>
      <c r="DC91" s="65"/>
      <c r="DD91" s="65"/>
      <c r="DE91" s="65"/>
      <c r="DF91" s="65"/>
      <c r="DG91" s="65"/>
      <c r="DH91" s="65"/>
      <c r="DI91" s="65"/>
      <c r="DJ91" s="65"/>
      <c r="DK91" s="65"/>
      <c r="DL91" s="65"/>
      <c r="DM91" s="65"/>
      <c r="DN91" s="65"/>
      <c r="DO91" s="65"/>
      <c r="DP91" s="65"/>
      <c r="DQ91" s="65"/>
      <c r="DR91" s="65"/>
      <c r="DS91" s="65"/>
      <c r="DT91" s="65"/>
      <c r="DU91" s="65"/>
      <c r="DV91" s="65"/>
      <c r="DW91" s="65"/>
      <c r="DX91" s="65"/>
      <c r="DY91" s="65"/>
      <c r="DZ91" s="65"/>
      <c r="EA91" s="65"/>
      <c r="EB91" s="65"/>
      <c r="EC91" s="65"/>
      <c r="ED91" s="65"/>
      <c r="EE91" s="65"/>
      <c r="EF91" s="65"/>
      <c r="EG91" s="65"/>
      <c r="EH91" s="65"/>
      <c r="EI91" s="65"/>
      <c r="EJ91" s="65"/>
      <c r="EK91" s="65"/>
      <c r="EL91" s="65"/>
      <c r="EM91" s="65"/>
      <c r="EN91" s="65"/>
      <c r="EO91" s="65"/>
      <c r="EP91" s="65"/>
      <c r="EQ91" s="65"/>
      <c r="ER91" s="65"/>
      <c r="ES91" s="65"/>
      <c r="ET91" s="65"/>
      <c r="EU91" s="65"/>
      <c r="EV91" s="65"/>
      <c r="EW91" s="65"/>
      <c r="EX91" s="65"/>
      <c r="EY91" s="65"/>
      <c r="EZ91" s="65"/>
      <c r="FA91" s="65"/>
      <c r="FB91" s="65"/>
      <c r="FC91" s="65"/>
      <c r="FD91" s="65"/>
      <c r="FE91" s="65"/>
      <c r="FF91" s="65"/>
      <c r="FG91" s="65"/>
      <c r="FH91" s="65"/>
      <c r="FI91" s="65"/>
      <c r="FJ91" s="65"/>
      <c r="FK91" s="65"/>
      <c r="FL91" s="65"/>
      <c r="FM91" s="65"/>
      <c r="FN91" s="65"/>
      <c r="FO91" s="65"/>
      <c r="FP91" s="65"/>
      <c r="FQ91" s="65"/>
      <c r="FR91" s="65"/>
      <c r="FS91" s="65"/>
      <c r="FT91" s="65"/>
      <c r="FU91" s="65"/>
      <c r="FV91" s="65"/>
      <c r="FW91" s="65"/>
      <c r="FX91" s="65"/>
      <c r="FY91" s="65"/>
      <c r="FZ91" s="65"/>
      <c r="GA91" s="65"/>
      <c r="GB91" s="65"/>
      <c r="GC91" s="65"/>
      <c r="GD91" s="65"/>
      <c r="GE91" s="65"/>
      <c r="GF91" s="65"/>
      <c r="GG91" s="65"/>
      <c r="GH91" s="65"/>
      <c r="GI91" s="65"/>
      <c r="GJ91" s="65"/>
      <c r="GK91" s="65"/>
      <c r="GL91" s="65"/>
      <c r="GM91" s="65"/>
      <c r="GN91" s="65"/>
      <c r="GO91" s="65"/>
      <c r="GP91" s="65"/>
      <c r="GQ91" s="65"/>
      <c r="GR91" s="65"/>
      <c r="GS91" s="65"/>
      <c r="GT91" s="65"/>
      <c r="GU91" s="65"/>
      <c r="GV91" s="65"/>
      <c r="GW91" s="65"/>
      <c r="GX91" s="65"/>
      <c r="GY91" s="65"/>
      <c r="GZ91" s="65"/>
      <c r="HA91" s="65"/>
      <c r="HB91" s="65"/>
      <c r="HC91" s="65"/>
      <c r="HD91" s="65"/>
      <c r="HE91" s="65"/>
      <c r="HF91" s="65"/>
      <c r="HG91" s="65"/>
      <c r="HH91" s="65"/>
      <c r="HI91" s="65"/>
      <c r="HJ91" s="65"/>
      <c r="HK91" s="65"/>
      <c r="HL91" s="65"/>
      <c r="HM91" s="65"/>
      <c r="HN91" s="65"/>
      <c r="HO91" s="65"/>
    </row>
    <row r="92" spans="1:223" s="78" customFormat="1" ht="34.5" customHeight="1" x14ac:dyDescent="0.25">
      <c r="A92" s="353">
        <v>2025</v>
      </c>
      <c r="B92" s="354">
        <v>6</v>
      </c>
      <c r="C92" s="353">
        <v>22806</v>
      </c>
      <c r="D92" s="273">
        <v>45834</v>
      </c>
      <c r="E92" s="81" t="s">
        <v>2264</v>
      </c>
      <c r="F92" s="81" t="s">
        <v>2265</v>
      </c>
      <c r="G92" s="78" t="s">
        <v>143</v>
      </c>
      <c r="H92" s="78">
        <v>3162909476</v>
      </c>
      <c r="I92" s="78">
        <v>6042691680</v>
      </c>
      <c r="J92" s="435">
        <v>45847</v>
      </c>
      <c r="K92" s="78" t="s">
        <v>84</v>
      </c>
      <c r="L92" s="79" t="s">
        <v>2266</v>
      </c>
      <c r="M92" s="78" t="s">
        <v>281</v>
      </c>
      <c r="N92" s="78" t="s">
        <v>136</v>
      </c>
      <c r="O92" s="78">
        <v>6897</v>
      </c>
      <c r="P92" s="78">
        <v>8948</v>
      </c>
      <c r="Q92" s="78">
        <v>5619</v>
      </c>
      <c r="R92" s="78" t="s">
        <v>136</v>
      </c>
      <c r="S92" s="78" t="s">
        <v>134</v>
      </c>
      <c r="T92" s="78" t="s">
        <v>134</v>
      </c>
      <c r="U92" s="78" t="s">
        <v>136</v>
      </c>
      <c r="V92" s="81" t="s">
        <v>119</v>
      </c>
      <c r="W92" s="435">
        <v>45847</v>
      </c>
      <c r="X92" s="66">
        <v>45847</v>
      </c>
      <c r="Z92" s="80" t="s">
        <v>85</v>
      </c>
      <c r="AA92" s="371">
        <v>0</v>
      </c>
      <c r="AB92" s="78">
        <v>6035</v>
      </c>
      <c r="AC92" s="228">
        <v>662464</v>
      </c>
      <c r="AD92" s="228">
        <f t="shared" si="1"/>
        <v>788332.15999999992</v>
      </c>
      <c r="AE92" s="303">
        <v>394167</v>
      </c>
      <c r="AG92" s="210" t="s">
        <v>2098</v>
      </c>
      <c r="AH92" s="403">
        <v>45847</v>
      </c>
      <c r="AI92" s="66">
        <v>45852</v>
      </c>
      <c r="AJ92" s="78" t="s">
        <v>1705</v>
      </c>
      <c r="AL92" s="65"/>
      <c r="AM92" s="65"/>
      <c r="AN92" s="65"/>
      <c r="AO92" s="65"/>
      <c r="AP92" s="65"/>
      <c r="AQ92" s="65"/>
      <c r="AR92" s="65"/>
      <c r="AS92" s="65"/>
      <c r="AT92" s="65"/>
      <c r="AU92" s="65"/>
      <c r="AV92" s="65"/>
      <c r="AW92" s="65"/>
      <c r="AX92" s="65"/>
      <c r="AY92" s="65"/>
      <c r="AZ92" s="65"/>
      <c r="BA92" s="65"/>
      <c r="BB92" s="65"/>
      <c r="BC92" s="65"/>
      <c r="BD92" s="65"/>
      <c r="BE92" s="65"/>
      <c r="BF92" s="65"/>
      <c r="BG92" s="65"/>
      <c r="BH92" s="65"/>
      <c r="BI92" s="65"/>
      <c r="BJ92" s="65"/>
      <c r="BK92" s="65"/>
      <c r="BL92" s="65"/>
      <c r="BM92" s="65"/>
      <c r="BN92" s="65"/>
      <c r="BO92" s="65"/>
      <c r="BP92" s="65"/>
      <c r="BQ92" s="65"/>
      <c r="BR92" s="65"/>
      <c r="BS92" s="65"/>
      <c r="BT92" s="65"/>
      <c r="BU92" s="65"/>
      <c r="BV92" s="65"/>
      <c r="BW92" s="65"/>
      <c r="BX92" s="65"/>
      <c r="BY92" s="65"/>
      <c r="BZ92" s="65"/>
      <c r="CA92" s="65"/>
      <c r="CB92" s="65"/>
      <c r="CC92" s="65"/>
      <c r="CD92" s="65"/>
      <c r="CE92" s="65"/>
      <c r="CF92" s="65"/>
      <c r="CG92" s="65"/>
      <c r="CH92" s="65"/>
      <c r="CI92" s="65"/>
      <c r="CJ92" s="65"/>
      <c r="CK92" s="65"/>
      <c r="CL92" s="65"/>
      <c r="CM92" s="65"/>
      <c r="CN92" s="65"/>
      <c r="CO92" s="65"/>
      <c r="CP92" s="65"/>
      <c r="CQ92" s="65"/>
      <c r="CR92" s="65"/>
      <c r="CS92" s="65"/>
      <c r="CT92" s="65"/>
      <c r="CU92" s="65"/>
      <c r="CV92" s="65"/>
      <c r="CW92" s="65"/>
      <c r="CX92" s="65"/>
      <c r="CY92" s="65"/>
      <c r="CZ92" s="65"/>
      <c r="DA92" s="65"/>
      <c r="DB92" s="65"/>
      <c r="DC92" s="65"/>
      <c r="DD92" s="65"/>
      <c r="DE92" s="65"/>
      <c r="DF92" s="65"/>
      <c r="DG92" s="65"/>
      <c r="DH92" s="65"/>
      <c r="DI92" s="65"/>
      <c r="DJ92" s="65"/>
      <c r="DK92" s="65"/>
      <c r="DL92" s="65"/>
      <c r="DM92" s="65"/>
      <c r="DN92" s="65"/>
      <c r="DO92" s="65"/>
      <c r="DP92" s="65"/>
      <c r="DQ92" s="65"/>
      <c r="DR92" s="65"/>
      <c r="DS92" s="65"/>
      <c r="DT92" s="65"/>
      <c r="DU92" s="65"/>
      <c r="DV92" s="65"/>
      <c r="DW92" s="65"/>
      <c r="DX92" s="65"/>
      <c r="DY92" s="65"/>
      <c r="DZ92" s="65"/>
      <c r="EA92" s="65"/>
      <c r="EB92" s="65"/>
      <c r="EC92" s="65"/>
      <c r="ED92" s="65"/>
      <c r="EE92" s="65"/>
      <c r="EF92" s="65"/>
      <c r="EG92" s="65"/>
      <c r="EH92" s="65"/>
      <c r="EI92" s="65"/>
      <c r="EJ92" s="65"/>
      <c r="EK92" s="65"/>
      <c r="EL92" s="65"/>
      <c r="EM92" s="65"/>
      <c r="EN92" s="65"/>
      <c r="EO92" s="65"/>
      <c r="EP92" s="65"/>
      <c r="EQ92" s="65"/>
      <c r="ER92" s="65"/>
      <c r="ES92" s="65"/>
      <c r="ET92" s="65"/>
      <c r="EU92" s="65"/>
      <c r="EV92" s="65"/>
      <c r="EW92" s="65"/>
      <c r="EX92" s="65"/>
      <c r="EY92" s="65"/>
      <c r="EZ92" s="65"/>
      <c r="FA92" s="65"/>
      <c r="FB92" s="65"/>
      <c r="FC92" s="65"/>
      <c r="FD92" s="65"/>
      <c r="FE92" s="65"/>
      <c r="FF92" s="65"/>
      <c r="FG92" s="65"/>
      <c r="FH92" s="65"/>
      <c r="FI92" s="65"/>
      <c r="FJ92" s="65"/>
      <c r="FK92" s="65"/>
      <c r="FL92" s="65"/>
      <c r="FM92" s="65"/>
      <c r="FN92" s="65"/>
      <c r="FO92" s="65"/>
      <c r="FP92" s="65"/>
      <c r="FQ92" s="65"/>
      <c r="FR92" s="65"/>
      <c r="FS92" s="65"/>
      <c r="FT92" s="65"/>
      <c r="FU92" s="65"/>
      <c r="FV92" s="65"/>
      <c r="FW92" s="65"/>
      <c r="FX92" s="65"/>
      <c r="FY92" s="65"/>
      <c r="FZ92" s="65"/>
      <c r="GA92" s="65"/>
      <c r="GB92" s="65"/>
      <c r="GC92" s="65"/>
      <c r="GD92" s="65"/>
      <c r="GE92" s="65"/>
      <c r="GF92" s="65"/>
      <c r="GG92" s="65"/>
      <c r="GH92" s="65"/>
      <c r="GI92" s="65"/>
      <c r="GJ92" s="65"/>
      <c r="GK92" s="65"/>
      <c r="GL92" s="65"/>
      <c r="GM92" s="65"/>
      <c r="GN92" s="65"/>
      <c r="GO92" s="65"/>
      <c r="GP92" s="65"/>
      <c r="GQ92" s="65"/>
      <c r="GR92" s="65"/>
      <c r="GS92" s="65"/>
      <c r="GT92" s="65"/>
      <c r="GU92" s="65"/>
      <c r="GV92" s="65"/>
      <c r="GW92" s="65"/>
      <c r="GX92" s="65"/>
      <c r="GY92" s="65"/>
      <c r="GZ92" s="65"/>
      <c r="HA92" s="65"/>
      <c r="HB92" s="65"/>
      <c r="HC92" s="65"/>
      <c r="HD92" s="65"/>
      <c r="HE92" s="65"/>
      <c r="HF92" s="65"/>
      <c r="HG92" s="65"/>
      <c r="HH92" s="65"/>
      <c r="HI92" s="65"/>
      <c r="HJ92" s="65"/>
      <c r="HK92" s="65"/>
      <c r="HL92" s="65"/>
      <c r="HM92" s="65"/>
      <c r="HN92" s="65"/>
      <c r="HO92" s="65"/>
    </row>
    <row r="93" spans="1:223" s="78" customFormat="1" ht="34.5" customHeight="1" x14ac:dyDescent="0.25">
      <c r="A93" s="353">
        <v>2025</v>
      </c>
      <c r="B93" s="354">
        <v>6</v>
      </c>
      <c r="C93" s="353">
        <v>22807</v>
      </c>
      <c r="D93" s="273">
        <v>45834</v>
      </c>
      <c r="E93" s="81" t="s">
        <v>2360</v>
      </c>
      <c r="F93" s="81" t="s">
        <v>2361</v>
      </c>
      <c r="G93" s="78" t="s">
        <v>98</v>
      </c>
      <c r="H93" s="78">
        <v>3176014020</v>
      </c>
      <c r="I93" s="78">
        <v>3176014020</v>
      </c>
      <c r="J93" s="435">
        <v>45846</v>
      </c>
      <c r="K93" s="78" t="s">
        <v>88</v>
      </c>
      <c r="L93" s="79" t="s">
        <v>2362</v>
      </c>
      <c r="M93" s="78" t="s">
        <v>136</v>
      </c>
      <c r="N93" s="78">
        <v>6059</v>
      </c>
      <c r="O93" s="78" t="s">
        <v>136</v>
      </c>
      <c r="P93" s="78" t="s">
        <v>136</v>
      </c>
      <c r="Q93" s="78" t="s">
        <v>136</v>
      </c>
      <c r="R93" s="78" t="s">
        <v>136</v>
      </c>
      <c r="S93" s="78" t="s">
        <v>134</v>
      </c>
      <c r="T93" s="78" t="s">
        <v>2065</v>
      </c>
      <c r="U93" s="78" t="s">
        <v>136</v>
      </c>
      <c r="V93" s="81" t="s">
        <v>119</v>
      </c>
      <c r="X93" s="66">
        <v>45845</v>
      </c>
      <c r="Z93" s="80" t="s">
        <v>85</v>
      </c>
      <c r="AA93" s="371">
        <v>0</v>
      </c>
      <c r="AB93" s="78">
        <v>6034</v>
      </c>
      <c r="AC93" s="228">
        <v>701681</v>
      </c>
      <c r="AD93" s="228">
        <f t="shared" si="1"/>
        <v>835000.39</v>
      </c>
      <c r="AE93" s="303">
        <v>0</v>
      </c>
      <c r="AG93" s="210" t="s">
        <v>2099</v>
      </c>
      <c r="AH93" s="403">
        <v>45845</v>
      </c>
      <c r="AI93" s="66">
        <v>45852</v>
      </c>
      <c r="AJ93" s="78" t="s">
        <v>1705</v>
      </c>
      <c r="AL93" s="65"/>
      <c r="AM93" s="65"/>
      <c r="AN93" s="65"/>
      <c r="AO93" s="65"/>
      <c r="AP93" s="65"/>
      <c r="AQ93" s="65"/>
      <c r="AR93" s="65"/>
      <c r="AS93" s="65"/>
      <c r="AT93" s="65"/>
      <c r="AU93" s="65"/>
      <c r="AV93" s="65"/>
      <c r="AW93" s="65"/>
      <c r="AX93" s="65"/>
      <c r="AY93" s="65"/>
      <c r="AZ93" s="65"/>
      <c r="BA93" s="65"/>
      <c r="BB93" s="65"/>
      <c r="BC93" s="65"/>
      <c r="BD93" s="65"/>
      <c r="BE93" s="65"/>
      <c r="BF93" s="65"/>
      <c r="BG93" s="65"/>
      <c r="BH93" s="65"/>
      <c r="BI93" s="65"/>
      <c r="BJ93" s="65"/>
      <c r="BK93" s="65"/>
      <c r="BL93" s="65"/>
      <c r="BM93" s="65"/>
      <c r="BN93" s="65"/>
      <c r="BO93" s="65"/>
      <c r="BP93" s="65"/>
      <c r="BQ93" s="65"/>
      <c r="BR93" s="65"/>
      <c r="BS93" s="65"/>
      <c r="BT93" s="65"/>
      <c r="BU93" s="65"/>
      <c r="BV93" s="65"/>
      <c r="BW93" s="65"/>
      <c r="BX93" s="65"/>
      <c r="BY93" s="65"/>
      <c r="BZ93" s="65"/>
      <c r="CA93" s="65"/>
      <c r="CB93" s="65"/>
      <c r="CC93" s="65"/>
      <c r="CD93" s="65"/>
      <c r="CE93" s="65"/>
      <c r="CF93" s="65"/>
      <c r="CG93" s="65"/>
      <c r="CH93" s="65"/>
      <c r="CI93" s="65"/>
      <c r="CJ93" s="65"/>
      <c r="CK93" s="65"/>
      <c r="CL93" s="65"/>
      <c r="CM93" s="65"/>
      <c r="CN93" s="65"/>
      <c r="CO93" s="65"/>
      <c r="CP93" s="65"/>
      <c r="CQ93" s="65"/>
      <c r="CR93" s="65"/>
      <c r="CS93" s="65"/>
      <c r="CT93" s="65"/>
      <c r="CU93" s="65"/>
      <c r="CV93" s="65"/>
      <c r="CW93" s="65"/>
      <c r="CX93" s="65"/>
      <c r="CY93" s="65"/>
      <c r="CZ93" s="65"/>
      <c r="DA93" s="65"/>
      <c r="DB93" s="65"/>
      <c r="DC93" s="65"/>
      <c r="DD93" s="65"/>
      <c r="DE93" s="65"/>
      <c r="DF93" s="65"/>
      <c r="DG93" s="65"/>
      <c r="DH93" s="65"/>
      <c r="DI93" s="65"/>
      <c r="DJ93" s="65"/>
      <c r="DK93" s="65"/>
      <c r="DL93" s="65"/>
      <c r="DM93" s="65"/>
      <c r="DN93" s="65"/>
      <c r="DO93" s="65"/>
      <c r="DP93" s="65"/>
      <c r="DQ93" s="65"/>
      <c r="DR93" s="65"/>
      <c r="DS93" s="65"/>
      <c r="DT93" s="65"/>
      <c r="DU93" s="65"/>
      <c r="DV93" s="65"/>
      <c r="DW93" s="65"/>
      <c r="DX93" s="65"/>
      <c r="DY93" s="65"/>
      <c r="DZ93" s="65"/>
      <c r="EA93" s="65"/>
      <c r="EB93" s="65"/>
      <c r="EC93" s="65"/>
      <c r="ED93" s="65"/>
      <c r="EE93" s="65"/>
      <c r="EF93" s="65"/>
      <c r="EG93" s="65"/>
      <c r="EH93" s="65"/>
      <c r="EI93" s="65"/>
      <c r="EJ93" s="65"/>
      <c r="EK93" s="65"/>
      <c r="EL93" s="65"/>
      <c r="EM93" s="65"/>
      <c r="EN93" s="65"/>
      <c r="EO93" s="65"/>
      <c r="EP93" s="65"/>
      <c r="EQ93" s="65"/>
      <c r="ER93" s="65"/>
      <c r="ES93" s="65"/>
      <c r="ET93" s="65"/>
      <c r="EU93" s="65"/>
      <c r="EV93" s="65"/>
      <c r="EW93" s="65"/>
      <c r="EX93" s="65"/>
      <c r="EY93" s="65"/>
      <c r="EZ93" s="65"/>
      <c r="FA93" s="65"/>
      <c r="FB93" s="65"/>
      <c r="FC93" s="65"/>
      <c r="FD93" s="65"/>
      <c r="FE93" s="65"/>
      <c r="FF93" s="65"/>
      <c r="FG93" s="65"/>
      <c r="FH93" s="65"/>
      <c r="FI93" s="65"/>
      <c r="FJ93" s="65"/>
      <c r="FK93" s="65"/>
      <c r="FL93" s="65"/>
      <c r="FM93" s="65"/>
      <c r="FN93" s="65"/>
      <c r="FO93" s="65"/>
      <c r="FP93" s="65"/>
      <c r="FQ93" s="65"/>
      <c r="FR93" s="65"/>
      <c r="FS93" s="65"/>
      <c r="FT93" s="65"/>
      <c r="FU93" s="65"/>
      <c r="FV93" s="65"/>
      <c r="FW93" s="65"/>
      <c r="FX93" s="65"/>
      <c r="FY93" s="65"/>
      <c r="FZ93" s="65"/>
      <c r="GA93" s="65"/>
      <c r="GB93" s="65"/>
      <c r="GC93" s="65"/>
      <c r="GD93" s="65"/>
      <c r="GE93" s="65"/>
      <c r="GF93" s="65"/>
      <c r="GG93" s="65"/>
      <c r="GH93" s="65"/>
      <c r="GI93" s="65"/>
      <c r="GJ93" s="65"/>
      <c r="GK93" s="65"/>
      <c r="GL93" s="65"/>
      <c r="GM93" s="65"/>
      <c r="GN93" s="65"/>
      <c r="GO93" s="65"/>
      <c r="GP93" s="65"/>
      <c r="GQ93" s="65"/>
      <c r="GR93" s="65"/>
      <c r="GS93" s="65"/>
      <c r="GT93" s="65"/>
      <c r="GU93" s="65"/>
      <c r="GV93" s="65"/>
      <c r="GW93" s="65"/>
      <c r="GX93" s="65"/>
      <c r="GY93" s="65"/>
      <c r="GZ93" s="65"/>
      <c r="HA93" s="65"/>
      <c r="HB93" s="65"/>
      <c r="HC93" s="65"/>
      <c r="HD93" s="65"/>
      <c r="HE93" s="65"/>
      <c r="HF93" s="65"/>
      <c r="HG93" s="65"/>
      <c r="HH93" s="65"/>
      <c r="HI93" s="65"/>
      <c r="HJ93" s="65"/>
      <c r="HK93" s="65"/>
      <c r="HL93" s="65"/>
      <c r="HM93" s="65"/>
      <c r="HN93" s="65"/>
      <c r="HO93" s="65"/>
    </row>
    <row r="94" spans="1:223" s="78" customFormat="1" ht="34.5" customHeight="1" x14ac:dyDescent="0.25">
      <c r="A94" s="353">
        <v>2025</v>
      </c>
      <c r="B94" s="354">
        <v>6</v>
      </c>
      <c r="C94" s="355">
        <v>22808</v>
      </c>
      <c r="D94" s="273">
        <v>45834</v>
      </c>
      <c r="E94" s="81" t="s">
        <v>2249</v>
      </c>
      <c r="F94" s="81" t="s">
        <v>222</v>
      </c>
      <c r="G94" s="78" t="s">
        <v>173</v>
      </c>
      <c r="H94" s="78">
        <v>3023998725</v>
      </c>
      <c r="I94" s="78">
        <v>54516616</v>
      </c>
      <c r="J94" s="435">
        <v>45843</v>
      </c>
      <c r="K94" s="78" t="s">
        <v>88</v>
      </c>
      <c r="L94" s="79" t="s">
        <v>2250</v>
      </c>
      <c r="M94" s="78" t="s">
        <v>136</v>
      </c>
      <c r="N94" s="78" t="s">
        <v>136</v>
      </c>
      <c r="O94" s="78">
        <v>6898</v>
      </c>
      <c r="P94" s="78">
        <v>9262</v>
      </c>
      <c r="Q94" s="78" t="s">
        <v>136</v>
      </c>
      <c r="R94" s="78" t="s">
        <v>136</v>
      </c>
      <c r="S94" s="78" t="s">
        <v>136</v>
      </c>
      <c r="T94" s="78" t="s">
        <v>134</v>
      </c>
      <c r="U94" s="78" t="s">
        <v>136</v>
      </c>
      <c r="V94" s="81" t="s">
        <v>119</v>
      </c>
      <c r="W94" s="435">
        <v>45841</v>
      </c>
      <c r="X94" s="66">
        <v>45842</v>
      </c>
      <c r="Z94" s="80" t="s">
        <v>85</v>
      </c>
      <c r="AA94" s="371">
        <v>0</v>
      </c>
      <c r="AB94" s="78">
        <v>6024</v>
      </c>
      <c r="AC94" s="228">
        <v>203000</v>
      </c>
      <c r="AD94" s="228">
        <f t="shared" si="1"/>
        <v>241570</v>
      </c>
      <c r="AE94" s="303">
        <v>0</v>
      </c>
      <c r="AG94" s="210" t="s">
        <v>2100</v>
      </c>
      <c r="AH94" s="403">
        <v>45857</v>
      </c>
      <c r="AI94" s="66">
        <v>45859</v>
      </c>
      <c r="AJ94" s="78" t="s">
        <v>1705</v>
      </c>
      <c r="AL94" s="65"/>
      <c r="AM94" s="65"/>
      <c r="AN94" s="65"/>
      <c r="AO94" s="65"/>
      <c r="AP94" s="65"/>
      <c r="AQ94" s="65"/>
      <c r="AR94" s="65"/>
      <c r="AS94" s="65"/>
      <c r="AT94" s="65"/>
      <c r="AU94" s="65"/>
      <c r="AV94" s="65"/>
      <c r="AW94" s="65"/>
      <c r="AX94" s="65"/>
      <c r="AY94" s="65"/>
      <c r="AZ94" s="65"/>
      <c r="BA94" s="65"/>
      <c r="BB94" s="65"/>
      <c r="BC94" s="65"/>
      <c r="BD94" s="65"/>
      <c r="BE94" s="65"/>
      <c r="BF94" s="65"/>
      <c r="BG94" s="65"/>
      <c r="BH94" s="65"/>
      <c r="BI94" s="65"/>
      <c r="BJ94" s="65"/>
      <c r="BK94" s="65"/>
      <c r="BL94" s="65"/>
      <c r="BM94" s="65"/>
      <c r="BN94" s="65"/>
      <c r="BO94" s="65"/>
      <c r="BP94" s="65"/>
      <c r="BQ94" s="65"/>
      <c r="BR94" s="65"/>
      <c r="BS94" s="65"/>
      <c r="BT94" s="65"/>
      <c r="BU94" s="65"/>
      <c r="BV94" s="65"/>
      <c r="BW94" s="65"/>
      <c r="BX94" s="65"/>
      <c r="BY94" s="65"/>
      <c r="BZ94" s="65"/>
      <c r="CA94" s="65"/>
      <c r="CB94" s="65"/>
      <c r="CC94" s="65"/>
      <c r="CD94" s="65"/>
      <c r="CE94" s="65"/>
      <c r="CF94" s="65"/>
      <c r="CG94" s="65"/>
      <c r="CH94" s="65"/>
      <c r="CI94" s="65"/>
      <c r="CJ94" s="65"/>
      <c r="CK94" s="65"/>
      <c r="CL94" s="65"/>
      <c r="CM94" s="65"/>
      <c r="CN94" s="65"/>
      <c r="CO94" s="65"/>
      <c r="CP94" s="65"/>
      <c r="CQ94" s="65"/>
      <c r="CR94" s="65"/>
      <c r="CS94" s="65"/>
      <c r="CT94" s="65"/>
      <c r="CU94" s="65"/>
      <c r="CV94" s="65"/>
      <c r="CW94" s="65"/>
      <c r="CX94" s="65"/>
      <c r="CY94" s="65"/>
      <c r="CZ94" s="65"/>
      <c r="DA94" s="65"/>
      <c r="DB94" s="65"/>
      <c r="DC94" s="65"/>
      <c r="DD94" s="65"/>
      <c r="DE94" s="65"/>
      <c r="DF94" s="65"/>
      <c r="DG94" s="65"/>
      <c r="DH94" s="65"/>
      <c r="DI94" s="65"/>
      <c r="DJ94" s="65"/>
      <c r="DK94" s="65"/>
      <c r="DL94" s="65"/>
      <c r="DM94" s="65"/>
      <c r="DN94" s="65"/>
      <c r="DO94" s="65"/>
      <c r="DP94" s="65"/>
      <c r="DQ94" s="65"/>
      <c r="DR94" s="65"/>
      <c r="DS94" s="65"/>
      <c r="DT94" s="65"/>
      <c r="DU94" s="65"/>
      <c r="DV94" s="65"/>
      <c r="DW94" s="65"/>
      <c r="DX94" s="65"/>
      <c r="DY94" s="65"/>
      <c r="DZ94" s="65"/>
      <c r="EA94" s="65"/>
      <c r="EB94" s="65"/>
      <c r="EC94" s="65"/>
      <c r="ED94" s="65"/>
      <c r="EE94" s="65"/>
      <c r="EF94" s="65"/>
      <c r="EG94" s="65"/>
      <c r="EH94" s="65"/>
      <c r="EI94" s="65"/>
      <c r="EJ94" s="65"/>
      <c r="EK94" s="65"/>
      <c r="EL94" s="65"/>
      <c r="EM94" s="65"/>
      <c r="EN94" s="65"/>
      <c r="EO94" s="65"/>
      <c r="EP94" s="65"/>
      <c r="EQ94" s="65"/>
      <c r="ER94" s="65"/>
      <c r="ES94" s="65"/>
      <c r="ET94" s="65"/>
      <c r="EU94" s="65"/>
      <c r="EV94" s="65"/>
      <c r="EW94" s="65"/>
      <c r="EX94" s="65"/>
      <c r="EY94" s="65"/>
      <c r="EZ94" s="65"/>
      <c r="FA94" s="65"/>
      <c r="FB94" s="65"/>
      <c r="FC94" s="65"/>
      <c r="FD94" s="65"/>
      <c r="FE94" s="65"/>
      <c r="FF94" s="65"/>
      <c r="FG94" s="65"/>
      <c r="FH94" s="65"/>
      <c r="FI94" s="65"/>
      <c r="FJ94" s="65"/>
      <c r="FK94" s="65"/>
      <c r="FL94" s="65"/>
      <c r="FM94" s="65"/>
      <c r="FN94" s="65"/>
      <c r="FO94" s="65"/>
      <c r="FP94" s="65"/>
      <c r="FQ94" s="65"/>
      <c r="FR94" s="65"/>
      <c r="FS94" s="65"/>
      <c r="FT94" s="65"/>
      <c r="FU94" s="65"/>
      <c r="FV94" s="65"/>
      <c r="FW94" s="65"/>
      <c r="FX94" s="65"/>
      <c r="FY94" s="65"/>
      <c r="FZ94" s="65"/>
      <c r="GA94" s="65"/>
      <c r="GB94" s="65"/>
      <c r="GC94" s="65"/>
      <c r="GD94" s="65"/>
      <c r="GE94" s="65"/>
      <c r="GF94" s="65"/>
      <c r="GG94" s="65"/>
      <c r="GH94" s="65"/>
      <c r="GI94" s="65"/>
      <c r="GJ94" s="65"/>
      <c r="GK94" s="65"/>
      <c r="GL94" s="65"/>
      <c r="GM94" s="65"/>
      <c r="GN94" s="65"/>
      <c r="GO94" s="65"/>
      <c r="GP94" s="65"/>
      <c r="GQ94" s="65"/>
      <c r="GR94" s="65"/>
      <c r="GS94" s="65"/>
      <c r="GT94" s="65"/>
      <c r="GU94" s="65"/>
      <c r="GV94" s="65"/>
      <c r="GW94" s="65"/>
      <c r="GX94" s="65"/>
      <c r="GY94" s="65"/>
      <c r="GZ94" s="65"/>
      <c r="HA94" s="65"/>
      <c r="HB94" s="65"/>
      <c r="HC94" s="65"/>
      <c r="HD94" s="65"/>
      <c r="HE94" s="65"/>
      <c r="HF94" s="65"/>
      <c r="HG94" s="65"/>
      <c r="HH94" s="65"/>
      <c r="HI94" s="65"/>
      <c r="HJ94" s="65"/>
      <c r="HK94" s="65"/>
      <c r="HL94" s="65"/>
      <c r="HM94" s="65"/>
      <c r="HN94" s="65"/>
      <c r="HO94" s="65"/>
    </row>
    <row r="95" spans="1:223" s="78" customFormat="1" ht="34.5" customHeight="1" x14ac:dyDescent="0.25">
      <c r="A95" s="353">
        <v>2025</v>
      </c>
      <c r="B95" s="354">
        <v>6</v>
      </c>
      <c r="C95" s="353">
        <v>22809</v>
      </c>
      <c r="D95" s="273">
        <v>45836</v>
      </c>
      <c r="E95" s="81" t="s">
        <v>712</v>
      </c>
      <c r="F95" s="81" t="s">
        <v>712</v>
      </c>
      <c r="H95" s="78">
        <v>3103706402</v>
      </c>
      <c r="I95" s="78">
        <v>6045902430</v>
      </c>
      <c r="K95" s="78" t="s">
        <v>88</v>
      </c>
      <c r="L95" s="79" t="s">
        <v>2344</v>
      </c>
      <c r="V95" s="81"/>
      <c r="X95" s="66"/>
      <c r="Z95" s="80"/>
      <c r="AA95" s="371">
        <v>0</v>
      </c>
      <c r="AC95" s="228">
        <v>0</v>
      </c>
      <c r="AD95" s="228">
        <f t="shared" si="1"/>
        <v>0</v>
      </c>
      <c r="AE95" s="303">
        <v>0</v>
      </c>
      <c r="AG95" s="210"/>
      <c r="AH95" s="241"/>
      <c r="AI95" s="66"/>
      <c r="AL95" s="65"/>
      <c r="AM95" s="65"/>
      <c r="AN95" s="65"/>
      <c r="AO95" s="65"/>
      <c r="AP95" s="65"/>
      <c r="AQ95" s="65"/>
      <c r="AR95" s="65"/>
      <c r="AS95" s="65"/>
      <c r="AT95" s="65"/>
      <c r="AU95" s="65"/>
      <c r="AV95" s="65"/>
      <c r="AW95" s="65"/>
      <c r="AX95" s="65"/>
      <c r="AY95" s="65"/>
      <c r="AZ95" s="65"/>
      <c r="BA95" s="65"/>
      <c r="BB95" s="65"/>
      <c r="BC95" s="65"/>
      <c r="BD95" s="65"/>
      <c r="BE95" s="65"/>
      <c r="BF95" s="65"/>
      <c r="BG95" s="65"/>
      <c r="BH95" s="65"/>
      <c r="BI95" s="65"/>
      <c r="BJ95" s="65"/>
      <c r="BK95" s="65"/>
      <c r="BL95" s="65"/>
      <c r="BM95" s="65"/>
      <c r="BN95" s="65"/>
      <c r="BO95" s="65"/>
      <c r="BP95" s="65"/>
      <c r="BQ95" s="65"/>
      <c r="BR95" s="65"/>
      <c r="BS95" s="65"/>
      <c r="BT95" s="65"/>
      <c r="BU95" s="65"/>
      <c r="BV95" s="65"/>
      <c r="BW95" s="65"/>
      <c r="BX95" s="65"/>
      <c r="BY95" s="65"/>
      <c r="BZ95" s="65"/>
      <c r="CA95" s="65"/>
      <c r="CB95" s="65"/>
      <c r="CC95" s="65"/>
      <c r="CD95" s="65"/>
      <c r="CE95" s="65"/>
      <c r="CF95" s="65"/>
      <c r="CG95" s="65"/>
      <c r="CH95" s="65"/>
      <c r="CI95" s="65"/>
      <c r="CJ95" s="65"/>
      <c r="CK95" s="65"/>
      <c r="CL95" s="65"/>
      <c r="CM95" s="65"/>
      <c r="CN95" s="65"/>
      <c r="CO95" s="65"/>
      <c r="CP95" s="65"/>
      <c r="CQ95" s="65"/>
      <c r="CR95" s="65"/>
      <c r="CS95" s="65"/>
      <c r="CT95" s="65"/>
      <c r="CU95" s="65"/>
      <c r="CV95" s="65"/>
      <c r="CW95" s="65"/>
      <c r="CX95" s="65"/>
      <c r="CY95" s="65"/>
      <c r="CZ95" s="65"/>
      <c r="DA95" s="65"/>
      <c r="DB95" s="65"/>
      <c r="DC95" s="65"/>
      <c r="DD95" s="65"/>
      <c r="DE95" s="65"/>
      <c r="DF95" s="65"/>
      <c r="DG95" s="65"/>
      <c r="DH95" s="65"/>
      <c r="DI95" s="65"/>
      <c r="DJ95" s="65"/>
      <c r="DK95" s="65"/>
      <c r="DL95" s="65"/>
      <c r="DM95" s="65"/>
      <c r="DN95" s="65"/>
      <c r="DO95" s="65"/>
      <c r="DP95" s="65"/>
      <c r="DQ95" s="65"/>
      <c r="DR95" s="65"/>
      <c r="DS95" s="65"/>
      <c r="DT95" s="65"/>
      <c r="DU95" s="65"/>
      <c r="DV95" s="65"/>
      <c r="DW95" s="65"/>
      <c r="DX95" s="65"/>
      <c r="DY95" s="65"/>
      <c r="DZ95" s="65"/>
      <c r="EA95" s="65"/>
      <c r="EB95" s="65"/>
      <c r="EC95" s="65"/>
      <c r="ED95" s="65"/>
      <c r="EE95" s="65"/>
      <c r="EF95" s="65"/>
      <c r="EG95" s="65"/>
      <c r="EH95" s="65"/>
      <c r="EI95" s="65"/>
      <c r="EJ95" s="65"/>
      <c r="EK95" s="65"/>
      <c r="EL95" s="65"/>
      <c r="EM95" s="65"/>
      <c r="EN95" s="65"/>
      <c r="EO95" s="65"/>
      <c r="EP95" s="65"/>
      <c r="EQ95" s="65"/>
      <c r="ER95" s="65"/>
      <c r="ES95" s="65"/>
      <c r="ET95" s="65"/>
      <c r="EU95" s="65"/>
      <c r="EV95" s="65"/>
      <c r="EW95" s="65"/>
      <c r="EX95" s="65"/>
      <c r="EY95" s="65"/>
      <c r="EZ95" s="65"/>
      <c r="FA95" s="65"/>
      <c r="FB95" s="65"/>
      <c r="FC95" s="65"/>
      <c r="FD95" s="65"/>
      <c r="FE95" s="65"/>
      <c r="FF95" s="65"/>
      <c r="FG95" s="65"/>
      <c r="FH95" s="65"/>
      <c r="FI95" s="65"/>
      <c r="FJ95" s="65"/>
      <c r="FK95" s="65"/>
      <c r="FL95" s="65"/>
      <c r="FM95" s="65"/>
      <c r="FN95" s="65"/>
      <c r="FO95" s="65"/>
      <c r="FP95" s="65"/>
      <c r="FQ95" s="65"/>
      <c r="FR95" s="65"/>
      <c r="FS95" s="65"/>
      <c r="FT95" s="65"/>
      <c r="FU95" s="65"/>
      <c r="FV95" s="65"/>
      <c r="FW95" s="65"/>
      <c r="FX95" s="65"/>
      <c r="FY95" s="65"/>
      <c r="FZ95" s="65"/>
      <c r="GA95" s="65"/>
      <c r="GB95" s="65"/>
      <c r="GC95" s="65"/>
      <c r="GD95" s="65"/>
      <c r="GE95" s="65"/>
      <c r="GF95" s="65"/>
      <c r="GG95" s="65"/>
      <c r="GH95" s="65"/>
      <c r="GI95" s="65"/>
      <c r="GJ95" s="65"/>
      <c r="GK95" s="65"/>
      <c r="GL95" s="65"/>
      <c r="GM95" s="65"/>
      <c r="GN95" s="65"/>
      <c r="GO95" s="65"/>
      <c r="GP95" s="65"/>
      <c r="GQ95" s="65"/>
      <c r="GR95" s="65"/>
      <c r="GS95" s="65"/>
      <c r="GT95" s="65"/>
      <c r="GU95" s="65"/>
      <c r="GV95" s="65"/>
      <c r="GW95" s="65"/>
      <c r="GX95" s="65"/>
      <c r="GY95" s="65"/>
      <c r="GZ95" s="65"/>
      <c r="HA95" s="65"/>
      <c r="HB95" s="65"/>
      <c r="HC95" s="65"/>
      <c r="HD95" s="65"/>
      <c r="HE95" s="65"/>
      <c r="HF95" s="65"/>
      <c r="HG95" s="65"/>
      <c r="HH95" s="65"/>
      <c r="HI95" s="65"/>
      <c r="HJ95" s="65"/>
      <c r="HK95" s="65"/>
      <c r="HL95" s="65"/>
      <c r="HM95" s="65"/>
      <c r="HN95" s="65"/>
      <c r="HO95" s="65"/>
    </row>
    <row r="96" spans="1:223" s="78" customFormat="1" ht="34.5" customHeight="1" x14ac:dyDescent="0.25">
      <c r="A96" s="353">
        <v>2025</v>
      </c>
      <c r="B96" s="354">
        <v>6</v>
      </c>
      <c r="C96" s="353">
        <v>22810</v>
      </c>
      <c r="D96" s="273">
        <v>45835</v>
      </c>
      <c r="E96" s="81" t="s">
        <v>2053</v>
      </c>
      <c r="F96" s="81" t="s">
        <v>2053</v>
      </c>
      <c r="G96" s="78" t="s">
        <v>143</v>
      </c>
      <c r="H96" s="78">
        <v>31750100735</v>
      </c>
      <c r="I96" s="78">
        <v>31750100735</v>
      </c>
      <c r="J96" s="435">
        <v>45847</v>
      </c>
      <c r="K96" s="78" t="s">
        <v>88</v>
      </c>
      <c r="L96" s="79" t="s">
        <v>2204</v>
      </c>
      <c r="M96" s="78" t="s">
        <v>136</v>
      </c>
      <c r="N96" s="78">
        <v>6057</v>
      </c>
      <c r="O96" s="78" t="s">
        <v>136</v>
      </c>
      <c r="P96" s="78" t="s">
        <v>136</v>
      </c>
      <c r="Q96" s="78" t="s">
        <v>136</v>
      </c>
      <c r="R96" s="78" t="s">
        <v>136</v>
      </c>
      <c r="S96" s="78" t="s">
        <v>134</v>
      </c>
      <c r="T96" s="78" t="s">
        <v>134</v>
      </c>
      <c r="U96" s="78" t="s">
        <v>136</v>
      </c>
      <c r="V96" s="81" t="s">
        <v>119</v>
      </c>
      <c r="W96" s="435">
        <v>45845</v>
      </c>
      <c r="X96" s="66">
        <v>45847</v>
      </c>
      <c r="Z96" s="80" t="s">
        <v>85</v>
      </c>
      <c r="AA96" s="371">
        <v>350000</v>
      </c>
      <c r="AB96" s="78">
        <v>6050</v>
      </c>
      <c r="AC96" s="228">
        <v>294117</v>
      </c>
      <c r="AD96" s="228">
        <f t="shared" ref="AD96:AD108" si="2">AC96*1.19</f>
        <v>349999.23</v>
      </c>
      <c r="AE96" s="303">
        <v>0</v>
      </c>
      <c r="AG96" s="210" t="s">
        <v>2343</v>
      </c>
      <c r="AH96" s="403">
        <v>45848</v>
      </c>
      <c r="AI96" s="66">
        <v>45849</v>
      </c>
      <c r="AJ96" s="78" t="s">
        <v>1705</v>
      </c>
      <c r="AL96" s="65"/>
      <c r="AM96" s="65"/>
      <c r="AN96" s="65"/>
      <c r="AO96" s="65"/>
      <c r="AP96" s="65"/>
      <c r="AQ96" s="65"/>
      <c r="AR96" s="65"/>
      <c r="AS96" s="65"/>
      <c r="AT96" s="65"/>
      <c r="AU96" s="65"/>
      <c r="AV96" s="65"/>
      <c r="AW96" s="65"/>
      <c r="AX96" s="65"/>
      <c r="AY96" s="65"/>
      <c r="AZ96" s="65"/>
      <c r="BA96" s="65"/>
      <c r="BB96" s="65"/>
      <c r="BC96" s="65"/>
      <c r="BD96" s="65"/>
      <c r="BE96" s="65"/>
      <c r="BF96" s="65"/>
      <c r="BG96" s="65"/>
      <c r="BH96" s="65"/>
      <c r="BI96" s="65"/>
      <c r="BJ96" s="65"/>
      <c r="BK96" s="65"/>
      <c r="BL96" s="65"/>
      <c r="BM96" s="65"/>
      <c r="BN96" s="65"/>
      <c r="BO96" s="65"/>
      <c r="BP96" s="65"/>
      <c r="BQ96" s="65"/>
      <c r="BR96" s="65"/>
      <c r="BS96" s="65"/>
      <c r="BT96" s="65"/>
      <c r="BU96" s="65"/>
      <c r="BV96" s="65"/>
      <c r="BW96" s="65"/>
      <c r="BX96" s="65"/>
      <c r="BY96" s="65"/>
      <c r="BZ96" s="65"/>
      <c r="CA96" s="65"/>
      <c r="CB96" s="65"/>
      <c r="CC96" s="65"/>
      <c r="CD96" s="65"/>
      <c r="CE96" s="65"/>
      <c r="CF96" s="65"/>
      <c r="CG96" s="65"/>
      <c r="CH96" s="65"/>
      <c r="CI96" s="65"/>
      <c r="CJ96" s="65"/>
      <c r="CK96" s="65"/>
      <c r="CL96" s="65"/>
      <c r="CM96" s="65"/>
      <c r="CN96" s="65"/>
      <c r="CO96" s="65"/>
      <c r="CP96" s="65"/>
      <c r="CQ96" s="65"/>
      <c r="CR96" s="65"/>
      <c r="CS96" s="65"/>
      <c r="CT96" s="65"/>
      <c r="CU96" s="65"/>
      <c r="CV96" s="65"/>
      <c r="CW96" s="65"/>
      <c r="CX96" s="65"/>
      <c r="CY96" s="65"/>
      <c r="CZ96" s="65"/>
      <c r="DA96" s="65"/>
      <c r="DB96" s="65"/>
      <c r="DC96" s="65"/>
      <c r="DD96" s="65"/>
      <c r="DE96" s="65"/>
      <c r="DF96" s="65"/>
      <c r="DG96" s="65"/>
      <c r="DH96" s="65"/>
      <c r="DI96" s="65"/>
      <c r="DJ96" s="65"/>
      <c r="DK96" s="65"/>
      <c r="DL96" s="65"/>
      <c r="DM96" s="65"/>
      <c r="DN96" s="65"/>
      <c r="DO96" s="65"/>
      <c r="DP96" s="65"/>
      <c r="DQ96" s="65"/>
      <c r="DR96" s="65"/>
      <c r="DS96" s="65"/>
      <c r="DT96" s="65"/>
      <c r="DU96" s="65"/>
      <c r="DV96" s="65"/>
      <c r="DW96" s="65"/>
      <c r="DX96" s="65"/>
      <c r="DY96" s="65"/>
      <c r="DZ96" s="65"/>
      <c r="EA96" s="65"/>
      <c r="EB96" s="65"/>
      <c r="EC96" s="65"/>
      <c r="ED96" s="65"/>
      <c r="EE96" s="65"/>
      <c r="EF96" s="65"/>
      <c r="EG96" s="65"/>
      <c r="EH96" s="65"/>
      <c r="EI96" s="65"/>
      <c r="EJ96" s="65"/>
      <c r="EK96" s="65"/>
      <c r="EL96" s="65"/>
      <c r="EM96" s="65"/>
      <c r="EN96" s="65"/>
      <c r="EO96" s="65"/>
      <c r="EP96" s="65"/>
      <c r="EQ96" s="65"/>
      <c r="ER96" s="65"/>
      <c r="ES96" s="65"/>
      <c r="ET96" s="65"/>
      <c r="EU96" s="65"/>
      <c r="EV96" s="65"/>
      <c r="EW96" s="65"/>
      <c r="EX96" s="65"/>
      <c r="EY96" s="65"/>
      <c r="EZ96" s="65"/>
      <c r="FA96" s="65"/>
      <c r="FB96" s="65"/>
      <c r="FC96" s="65"/>
      <c r="FD96" s="65"/>
      <c r="FE96" s="65"/>
      <c r="FF96" s="65"/>
      <c r="FG96" s="65"/>
      <c r="FH96" s="65"/>
      <c r="FI96" s="65"/>
      <c r="FJ96" s="65"/>
      <c r="FK96" s="65"/>
      <c r="FL96" s="65"/>
      <c r="FM96" s="65"/>
      <c r="FN96" s="65"/>
      <c r="FO96" s="65"/>
      <c r="FP96" s="65"/>
      <c r="FQ96" s="65"/>
      <c r="FR96" s="65"/>
      <c r="FS96" s="65"/>
      <c r="FT96" s="65"/>
      <c r="FU96" s="65"/>
      <c r="FV96" s="65"/>
      <c r="FW96" s="65"/>
      <c r="FX96" s="65"/>
      <c r="FY96" s="65"/>
      <c r="FZ96" s="65"/>
      <c r="GA96" s="65"/>
      <c r="GB96" s="65"/>
      <c r="GC96" s="65"/>
      <c r="GD96" s="65"/>
      <c r="GE96" s="65"/>
      <c r="GF96" s="65"/>
      <c r="GG96" s="65"/>
      <c r="GH96" s="65"/>
      <c r="GI96" s="65"/>
      <c r="GJ96" s="65"/>
      <c r="GK96" s="65"/>
      <c r="GL96" s="65"/>
      <c r="GM96" s="65"/>
      <c r="GN96" s="65"/>
      <c r="GO96" s="65"/>
      <c r="GP96" s="65"/>
      <c r="GQ96" s="65"/>
      <c r="GR96" s="65"/>
      <c r="GS96" s="65"/>
      <c r="GT96" s="65"/>
      <c r="GU96" s="65"/>
      <c r="GV96" s="65"/>
      <c r="GW96" s="65"/>
      <c r="GX96" s="65"/>
      <c r="GY96" s="65"/>
      <c r="GZ96" s="65"/>
      <c r="HA96" s="65"/>
      <c r="HB96" s="65"/>
      <c r="HC96" s="65"/>
      <c r="HD96" s="65"/>
      <c r="HE96" s="65"/>
      <c r="HF96" s="65"/>
      <c r="HG96" s="65"/>
      <c r="HH96" s="65"/>
      <c r="HI96" s="65"/>
      <c r="HJ96" s="65"/>
      <c r="HK96" s="65"/>
      <c r="HL96" s="65"/>
      <c r="HM96" s="65"/>
      <c r="HN96" s="65"/>
      <c r="HO96" s="65"/>
    </row>
    <row r="97" spans="1:223" s="78" customFormat="1" ht="34.5" customHeight="1" x14ac:dyDescent="0.25">
      <c r="A97" s="353">
        <v>2025</v>
      </c>
      <c r="B97" s="354">
        <v>6</v>
      </c>
      <c r="C97" s="353">
        <v>22811</v>
      </c>
      <c r="D97" s="273">
        <v>45836</v>
      </c>
      <c r="E97" s="81" t="s">
        <v>2267</v>
      </c>
      <c r="F97" s="81" t="s">
        <v>2268</v>
      </c>
      <c r="G97" s="78" t="s">
        <v>143</v>
      </c>
      <c r="H97" s="78">
        <v>3146823043</v>
      </c>
      <c r="I97" s="78">
        <v>3146823043</v>
      </c>
      <c r="J97" s="435">
        <v>45848</v>
      </c>
      <c r="K97" s="78" t="s">
        <v>84</v>
      </c>
      <c r="L97" s="79" t="s">
        <v>2269</v>
      </c>
      <c r="M97" s="78" t="s">
        <v>136</v>
      </c>
      <c r="N97" s="78">
        <v>6071</v>
      </c>
      <c r="O97" s="78">
        <v>6900</v>
      </c>
      <c r="P97" s="78">
        <v>9320</v>
      </c>
      <c r="Q97" s="78" t="s">
        <v>136</v>
      </c>
      <c r="R97" s="78" t="s">
        <v>136</v>
      </c>
      <c r="S97" s="78" t="s">
        <v>134</v>
      </c>
      <c r="T97" s="78" t="s">
        <v>2065</v>
      </c>
      <c r="U97" s="78" t="s">
        <v>136</v>
      </c>
      <c r="V97" s="81" t="s">
        <v>119</v>
      </c>
      <c r="W97" s="435">
        <v>45857</v>
      </c>
      <c r="X97" s="66">
        <v>45859</v>
      </c>
      <c r="Z97" s="80" t="s">
        <v>85</v>
      </c>
      <c r="AA97" s="371">
        <v>0</v>
      </c>
      <c r="AB97" s="78">
        <v>6071</v>
      </c>
      <c r="AC97" s="228">
        <v>4175089</v>
      </c>
      <c r="AD97" s="228">
        <f t="shared" si="2"/>
        <v>4968355.91</v>
      </c>
      <c r="AE97" s="303">
        <v>2500000</v>
      </c>
      <c r="AG97" s="210" t="s">
        <v>2099</v>
      </c>
      <c r="AH97" s="403">
        <v>45856</v>
      </c>
      <c r="AI97" s="66">
        <v>45861</v>
      </c>
      <c r="AJ97" s="78" t="s">
        <v>1705</v>
      </c>
      <c r="AL97" s="65"/>
      <c r="AM97" s="65"/>
      <c r="AN97" s="65"/>
      <c r="AO97" s="65"/>
      <c r="AP97" s="65"/>
      <c r="AQ97" s="65"/>
      <c r="AR97" s="65"/>
      <c r="AS97" s="65"/>
      <c r="AT97" s="65"/>
      <c r="AU97" s="65"/>
      <c r="AV97" s="65"/>
      <c r="AW97" s="65"/>
      <c r="AX97" s="65"/>
      <c r="AY97" s="65"/>
      <c r="AZ97" s="65"/>
      <c r="BA97" s="65"/>
      <c r="BB97" s="65"/>
      <c r="BC97" s="65"/>
      <c r="BD97" s="65"/>
      <c r="BE97" s="65"/>
      <c r="BF97" s="65"/>
      <c r="BG97" s="65"/>
      <c r="BH97" s="65"/>
      <c r="BI97" s="65"/>
      <c r="BJ97" s="65"/>
      <c r="BK97" s="65"/>
      <c r="BL97" s="65"/>
      <c r="BM97" s="65"/>
      <c r="BN97" s="65"/>
      <c r="BO97" s="65"/>
      <c r="BP97" s="65"/>
      <c r="BQ97" s="65"/>
      <c r="BR97" s="65"/>
      <c r="BS97" s="65"/>
      <c r="BT97" s="65"/>
      <c r="BU97" s="65"/>
      <c r="BV97" s="65"/>
      <c r="BW97" s="65"/>
      <c r="BX97" s="65"/>
      <c r="BY97" s="65"/>
      <c r="BZ97" s="65"/>
      <c r="CA97" s="65"/>
      <c r="CB97" s="65"/>
      <c r="CC97" s="65"/>
      <c r="CD97" s="65"/>
      <c r="CE97" s="65"/>
      <c r="CF97" s="65"/>
      <c r="CG97" s="65"/>
      <c r="CH97" s="65"/>
      <c r="CI97" s="65"/>
      <c r="CJ97" s="65"/>
      <c r="CK97" s="65"/>
      <c r="CL97" s="65"/>
      <c r="CM97" s="65"/>
      <c r="CN97" s="65"/>
      <c r="CO97" s="65"/>
      <c r="CP97" s="65"/>
      <c r="CQ97" s="65"/>
      <c r="CR97" s="65"/>
      <c r="CS97" s="65"/>
      <c r="CT97" s="65"/>
      <c r="CU97" s="65"/>
      <c r="CV97" s="65"/>
      <c r="CW97" s="65"/>
      <c r="CX97" s="65"/>
      <c r="CY97" s="65"/>
      <c r="CZ97" s="65"/>
      <c r="DA97" s="65"/>
      <c r="DB97" s="65"/>
      <c r="DC97" s="65"/>
      <c r="DD97" s="65"/>
      <c r="DE97" s="65"/>
      <c r="DF97" s="65"/>
      <c r="DG97" s="65"/>
      <c r="DH97" s="65"/>
      <c r="DI97" s="65"/>
      <c r="DJ97" s="65"/>
      <c r="DK97" s="65"/>
      <c r="DL97" s="65"/>
      <c r="DM97" s="65"/>
      <c r="DN97" s="65"/>
      <c r="DO97" s="65"/>
      <c r="DP97" s="65"/>
      <c r="DQ97" s="65"/>
      <c r="DR97" s="65"/>
      <c r="DS97" s="65"/>
      <c r="DT97" s="65"/>
      <c r="DU97" s="65"/>
      <c r="DV97" s="65"/>
      <c r="DW97" s="65"/>
      <c r="DX97" s="65"/>
      <c r="DY97" s="65"/>
      <c r="DZ97" s="65"/>
      <c r="EA97" s="65"/>
      <c r="EB97" s="65"/>
      <c r="EC97" s="65"/>
      <c r="ED97" s="65"/>
      <c r="EE97" s="65"/>
      <c r="EF97" s="65"/>
      <c r="EG97" s="65"/>
      <c r="EH97" s="65"/>
      <c r="EI97" s="65"/>
      <c r="EJ97" s="65"/>
      <c r="EK97" s="65"/>
      <c r="EL97" s="65"/>
      <c r="EM97" s="65"/>
      <c r="EN97" s="65"/>
      <c r="EO97" s="65"/>
      <c r="EP97" s="65"/>
      <c r="EQ97" s="65"/>
      <c r="ER97" s="65"/>
      <c r="ES97" s="65"/>
      <c r="ET97" s="65"/>
      <c r="EU97" s="65"/>
      <c r="EV97" s="65"/>
      <c r="EW97" s="65"/>
      <c r="EX97" s="65"/>
      <c r="EY97" s="65"/>
      <c r="EZ97" s="65"/>
      <c r="FA97" s="65"/>
      <c r="FB97" s="65"/>
      <c r="FC97" s="65"/>
      <c r="FD97" s="65"/>
      <c r="FE97" s="65"/>
      <c r="FF97" s="65"/>
      <c r="FG97" s="65"/>
      <c r="FH97" s="65"/>
      <c r="FI97" s="65"/>
      <c r="FJ97" s="65"/>
      <c r="FK97" s="65"/>
      <c r="FL97" s="65"/>
      <c r="FM97" s="65"/>
      <c r="FN97" s="65"/>
      <c r="FO97" s="65"/>
      <c r="FP97" s="65"/>
      <c r="FQ97" s="65"/>
      <c r="FR97" s="65"/>
      <c r="FS97" s="65"/>
      <c r="FT97" s="65"/>
      <c r="FU97" s="65"/>
      <c r="FV97" s="65"/>
      <c r="FW97" s="65"/>
      <c r="FX97" s="65"/>
      <c r="FY97" s="65"/>
      <c r="FZ97" s="65"/>
      <c r="GA97" s="65"/>
      <c r="GB97" s="65"/>
      <c r="GC97" s="65"/>
      <c r="GD97" s="65"/>
      <c r="GE97" s="65"/>
      <c r="GF97" s="65"/>
      <c r="GG97" s="65"/>
      <c r="GH97" s="65"/>
      <c r="GI97" s="65"/>
      <c r="GJ97" s="65"/>
      <c r="GK97" s="65"/>
      <c r="GL97" s="65"/>
      <c r="GM97" s="65"/>
      <c r="GN97" s="65"/>
      <c r="GO97" s="65"/>
      <c r="GP97" s="65"/>
      <c r="GQ97" s="65"/>
      <c r="GR97" s="65"/>
      <c r="GS97" s="65"/>
      <c r="GT97" s="65"/>
      <c r="GU97" s="65"/>
      <c r="GV97" s="65"/>
      <c r="GW97" s="65"/>
      <c r="GX97" s="65"/>
      <c r="GY97" s="65"/>
      <c r="GZ97" s="65"/>
      <c r="HA97" s="65"/>
      <c r="HB97" s="65"/>
      <c r="HC97" s="65"/>
      <c r="HD97" s="65"/>
      <c r="HE97" s="65"/>
      <c r="HF97" s="65"/>
      <c r="HG97" s="65"/>
      <c r="HH97" s="65"/>
      <c r="HI97" s="65"/>
      <c r="HJ97" s="65"/>
      <c r="HK97" s="65"/>
      <c r="HL97" s="65"/>
      <c r="HM97" s="65"/>
      <c r="HN97" s="65"/>
      <c r="HO97" s="65"/>
    </row>
    <row r="98" spans="1:223" s="78" customFormat="1" ht="60" customHeight="1" x14ac:dyDescent="0.25">
      <c r="A98" s="353">
        <v>2025</v>
      </c>
      <c r="B98" s="354">
        <v>6</v>
      </c>
      <c r="C98" s="355">
        <v>22812</v>
      </c>
      <c r="D98" s="273">
        <v>45834</v>
      </c>
      <c r="E98" s="81" t="s">
        <v>2270</v>
      </c>
      <c r="F98" s="81" t="s">
        <v>2271</v>
      </c>
      <c r="G98" s="78" t="s">
        <v>143</v>
      </c>
      <c r="H98" s="78">
        <v>3154165050</v>
      </c>
      <c r="I98" s="78">
        <v>3154165050</v>
      </c>
      <c r="J98" s="435">
        <v>45848</v>
      </c>
      <c r="K98" s="78" t="s">
        <v>84</v>
      </c>
      <c r="L98" s="79" t="s">
        <v>2272</v>
      </c>
      <c r="M98" s="78" t="s">
        <v>136</v>
      </c>
      <c r="N98" s="78">
        <v>6063</v>
      </c>
      <c r="O98" s="78">
        <v>6896</v>
      </c>
      <c r="P98" s="78">
        <v>9273</v>
      </c>
      <c r="Q98" s="78" t="s">
        <v>136</v>
      </c>
      <c r="R98" s="78" t="s">
        <v>134</v>
      </c>
      <c r="S98" s="78" t="s">
        <v>134</v>
      </c>
      <c r="T98" s="78" t="s">
        <v>134</v>
      </c>
      <c r="U98" s="78" t="s">
        <v>136</v>
      </c>
      <c r="V98" s="81" t="s">
        <v>119</v>
      </c>
      <c r="W98" s="435">
        <v>45847</v>
      </c>
      <c r="X98" s="66">
        <v>45849</v>
      </c>
      <c r="Z98" s="80" t="s">
        <v>85</v>
      </c>
      <c r="AA98" s="371">
        <v>0</v>
      </c>
      <c r="AB98" s="78">
        <v>6483</v>
      </c>
      <c r="AC98" s="228">
        <v>2646590</v>
      </c>
      <c r="AD98" s="228">
        <f t="shared" si="2"/>
        <v>3149442.0999999996</v>
      </c>
      <c r="AE98" s="303">
        <v>1700000</v>
      </c>
      <c r="AG98" s="210" t="s">
        <v>2428</v>
      </c>
      <c r="AH98" s="403">
        <v>45849</v>
      </c>
      <c r="AI98" s="66">
        <v>45856</v>
      </c>
      <c r="AJ98" s="78" t="s">
        <v>1705</v>
      </c>
      <c r="AL98" s="65"/>
      <c r="AM98" s="65"/>
      <c r="AN98" s="65"/>
      <c r="AO98" s="65"/>
      <c r="AP98" s="65"/>
      <c r="AQ98" s="65"/>
      <c r="AR98" s="65"/>
      <c r="AS98" s="65"/>
      <c r="AT98" s="65"/>
      <c r="AU98" s="65"/>
      <c r="AV98" s="65"/>
      <c r="AW98" s="65"/>
      <c r="AX98" s="65"/>
      <c r="AY98" s="65"/>
      <c r="AZ98" s="65"/>
      <c r="BA98" s="65"/>
      <c r="BB98" s="65"/>
      <c r="BC98" s="65"/>
      <c r="BD98" s="65"/>
      <c r="BE98" s="65"/>
      <c r="BF98" s="65"/>
      <c r="BG98" s="65"/>
      <c r="BH98" s="65"/>
      <c r="BI98" s="65"/>
      <c r="BJ98" s="65"/>
      <c r="BK98" s="65"/>
      <c r="BL98" s="65"/>
      <c r="BM98" s="65"/>
      <c r="BN98" s="65"/>
      <c r="BO98" s="65"/>
      <c r="BP98" s="65"/>
      <c r="BQ98" s="65"/>
      <c r="BR98" s="65"/>
      <c r="BS98" s="65"/>
      <c r="BT98" s="65"/>
      <c r="BU98" s="65"/>
      <c r="BV98" s="65"/>
      <c r="BW98" s="65"/>
      <c r="BX98" s="65"/>
      <c r="BY98" s="65"/>
      <c r="BZ98" s="65"/>
      <c r="CA98" s="65"/>
      <c r="CB98" s="65"/>
      <c r="CC98" s="65"/>
      <c r="CD98" s="65"/>
      <c r="CE98" s="65"/>
      <c r="CF98" s="65"/>
      <c r="CG98" s="65"/>
      <c r="CH98" s="65"/>
      <c r="CI98" s="65"/>
      <c r="CJ98" s="65"/>
      <c r="CK98" s="65"/>
      <c r="CL98" s="65"/>
      <c r="CM98" s="65"/>
      <c r="CN98" s="65"/>
      <c r="CO98" s="65"/>
      <c r="CP98" s="65"/>
      <c r="CQ98" s="65"/>
      <c r="CR98" s="65"/>
      <c r="CS98" s="65"/>
      <c r="CT98" s="65"/>
      <c r="CU98" s="65"/>
      <c r="CV98" s="65"/>
      <c r="CW98" s="65"/>
      <c r="CX98" s="65"/>
      <c r="CY98" s="65"/>
      <c r="CZ98" s="65"/>
      <c r="DA98" s="65"/>
      <c r="DB98" s="65"/>
      <c r="DC98" s="65"/>
      <c r="DD98" s="65"/>
      <c r="DE98" s="65"/>
      <c r="DF98" s="65"/>
      <c r="DG98" s="65"/>
      <c r="DH98" s="65"/>
      <c r="DI98" s="65"/>
      <c r="DJ98" s="65"/>
      <c r="DK98" s="65"/>
      <c r="DL98" s="65"/>
      <c r="DM98" s="65"/>
      <c r="DN98" s="65"/>
      <c r="DO98" s="65"/>
      <c r="DP98" s="65"/>
      <c r="DQ98" s="65"/>
      <c r="DR98" s="65"/>
      <c r="DS98" s="65"/>
      <c r="DT98" s="65"/>
      <c r="DU98" s="65"/>
      <c r="DV98" s="65"/>
      <c r="DW98" s="65"/>
      <c r="DX98" s="65"/>
      <c r="DY98" s="65"/>
      <c r="DZ98" s="65"/>
      <c r="EA98" s="65"/>
      <c r="EB98" s="65"/>
      <c r="EC98" s="65"/>
      <c r="ED98" s="65"/>
      <c r="EE98" s="65"/>
      <c r="EF98" s="65"/>
      <c r="EG98" s="65"/>
      <c r="EH98" s="65"/>
      <c r="EI98" s="65"/>
      <c r="EJ98" s="65"/>
      <c r="EK98" s="65"/>
      <c r="EL98" s="65"/>
      <c r="EM98" s="65"/>
      <c r="EN98" s="65"/>
      <c r="EO98" s="65"/>
      <c r="EP98" s="65"/>
      <c r="EQ98" s="65"/>
      <c r="ER98" s="65"/>
      <c r="ES98" s="65"/>
      <c r="ET98" s="65"/>
      <c r="EU98" s="65"/>
      <c r="EV98" s="65"/>
      <c r="EW98" s="65"/>
      <c r="EX98" s="65"/>
      <c r="EY98" s="65"/>
      <c r="EZ98" s="65"/>
      <c r="FA98" s="65"/>
      <c r="FB98" s="65"/>
      <c r="FC98" s="65"/>
      <c r="FD98" s="65"/>
      <c r="FE98" s="65"/>
      <c r="FF98" s="65"/>
      <c r="FG98" s="65"/>
      <c r="FH98" s="65"/>
      <c r="FI98" s="65"/>
      <c r="FJ98" s="65"/>
      <c r="FK98" s="65"/>
      <c r="FL98" s="65"/>
      <c r="FM98" s="65"/>
      <c r="FN98" s="65"/>
      <c r="FO98" s="65"/>
      <c r="FP98" s="65"/>
      <c r="FQ98" s="65"/>
      <c r="FR98" s="65"/>
      <c r="FS98" s="65"/>
      <c r="FT98" s="65"/>
      <c r="FU98" s="65"/>
      <c r="FV98" s="65"/>
      <c r="FW98" s="65"/>
      <c r="FX98" s="65"/>
      <c r="FY98" s="65"/>
      <c r="FZ98" s="65"/>
      <c r="GA98" s="65"/>
      <c r="GB98" s="65"/>
      <c r="GC98" s="65"/>
      <c r="GD98" s="65"/>
      <c r="GE98" s="65"/>
      <c r="GF98" s="65"/>
      <c r="GG98" s="65"/>
      <c r="GH98" s="65"/>
      <c r="GI98" s="65"/>
      <c r="GJ98" s="65"/>
      <c r="GK98" s="65"/>
      <c r="GL98" s="65"/>
      <c r="GM98" s="65"/>
      <c r="GN98" s="65"/>
      <c r="GO98" s="65"/>
      <c r="GP98" s="65"/>
      <c r="GQ98" s="65"/>
      <c r="GR98" s="65"/>
      <c r="GS98" s="65"/>
      <c r="GT98" s="65"/>
      <c r="GU98" s="65"/>
      <c r="GV98" s="65"/>
      <c r="GW98" s="65"/>
      <c r="GX98" s="65"/>
      <c r="GY98" s="65"/>
      <c r="GZ98" s="65"/>
      <c r="HA98" s="65"/>
      <c r="HB98" s="65"/>
      <c r="HC98" s="65"/>
      <c r="HD98" s="65"/>
      <c r="HE98" s="65"/>
      <c r="HF98" s="65"/>
      <c r="HG98" s="65"/>
      <c r="HH98" s="65"/>
      <c r="HI98" s="65"/>
      <c r="HJ98" s="65"/>
      <c r="HK98" s="65"/>
      <c r="HL98" s="65"/>
      <c r="HM98" s="65"/>
      <c r="HN98" s="65"/>
      <c r="HO98" s="65"/>
    </row>
    <row r="99" spans="1:223" s="78" customFormat="1" ht="34.5" customHeight="1" x14ac:dyDescent="0.25">
      <c r="A99" s="353">
        <v>2025</v>
      </c>
      <c r="B99" s="354">
        <v>6</v>
      </c>
      <c r="C99" s="353">
        <v>22813</v>
      </c>
      <c r="D99" s="273">
        <v>45834</v>
      </c>
      <c r="E99" s="81" t="s">
        <v>2094</v>
      </c>
      <c r="F99" s="81" t="s">
        <v>2183</v>
      </c>
      <c r="G99" s="78" t="s">
        <v>143</v>
      </c>
      <c r="I99" s="78">
        <v>2664620</v>
      </c>
      <c r="J99" s="435">
        <v>45836</v>
      </c>
      <c r="K99" s="78" t="s">
        <v>88</v>
      </c>
      <c r="L99" s="79" t="s">
        <v>2184</v>
      </c>
      <c r="M99" s="78" t="s">
        <v>136</v>
      </c>
      <c r="N99" s="78" t="s">
        <v>136</v>
      </c>
      <c r="O99" s="78">
        <v>6887</v>
      </c>
      <c r="P99" s="78">
        <v>9333</v>
      </c>
      <c r="Q99" s="78" t="s">
        <v>136</v>
      </c>
      <c r="R99" s="78" t="s">
        <v>136</v>
      </c>
      <c r="S99" s="78" t="s">
        <v>136</v>
      </c>
      <c r="T99" s="78" t="s">
        <v>134</v>
      </c>
      <c r="U99" s="78" t="s">
        <v>136</v>
      </c>
      <c r="V99" s="81" t="s">
        <v>89</v>
      </c>
      <c r="X99" s="66"/>
      <c r="Z99" s="80" t="s">
        <v>114</v>
      </c>
      <c r="AA99" s="371">
        <v>0</v>
      </c>
      <c r="AC99" s="228">
        <v>445000</v>
      </c>
      <c r="AD99" s="228">
        <f t="shared" si="2"/>
        <v>529550</v>
      </c>
      <c r="AE99" s="303">
        <v>0</v>
      </c>
      <c r="AG99" s="210"/>
      <c r="AH99" s="241"/>
      <c r="AI99" s="66">
        <v>45835</v>
      </c>
      <c r="AJ99" s="78" t="s">
        <v>1705</v>
      </c>
      <c r="AL99" s="65"/>
      <c r="AM99" s="65"/>
      <c r="AN99" s="65"/>
      <c r="AO99" s="65"/>
      <c r="AP99" s="65"/>
      <c r="AQ99" s="65"/>
      <c r="AR99" s="65"/>
      <c r="AS99" s="65"/>
      <c r="AT99" s="65"/>
      <c r="AU99" s="65"/>
      <c r="AV99" s="65"/>
      <c r="AW99" s="65"/>
      <c r="AX99" s="65"/>
      <c r="AY99" s="65"/>
      <c r="AZ99" s="65"/>
      <c r="BA99" s="65"/>
      <c r="BB99" s="65"/>
      <c r="BC99" s="65"/>
      <c r="BD99" s="65"/>
      <c r="BE99" s="65"/>
      <c r="BF99" s="65"/>
      <c r="BG99" s="65"/>
      <c r="BH99" s="65"/>
      <c r="BI99" s="65"/>
      <c r="BJ99" s="65"/>
      <c r="BK99" s="65"/>
      <c r="BL99" s="65"/>
      <c r="BM99" s="65"/>
      <c r="BN99" s="65"/>
      <c r="BO99" s="65"/>
      <c r="BP99" s="65"/>
      <c r="BQ99" s="65"/>
      <c r="BR99" s="65"/>
      <c r="BS99" s="65"/>
      <c r="BT99" s="65"/>
      <c r="BU99" s="65"/>
      <c r="BV99" s="65"/>
      <c r="BW99" s="65"/>
      <c r="BX99" s="65"/>
      <c r="BY99" s="65"/>
      <c r="BZ99" s="65"/>
      <c r="CA99" s="65"/>
      <c r="CB99" s="65"/>
      <c r="CC99" s="65"/>
      <c r="CD99" s="65"/>
      <c r="CE99" s="65"/>
      <c r="CF99" s="65"/>
      <c r="CG99" s="65"/>
      <c r="CH99" s="65"/>
      <c r="CI99" s="65"/>
      <c r="CJ99" s="65"/>
      <c r="CK99" s="65"/>
      <c r="CL99" s="65"/>
      <c r="CM99" s="65"/>
      <c r="CN99" s="65"/>
      <c r="CO99" s="65"/>
      <c r="CP99" s="65"/>
      <c r="CQ99" s="65"/>
      <c r="CR99" s="65"/>
      <c r="CS99" s="65"/>
      <c r="CT99" s="65"/>
      <c r="CU99" s="65"/>
      <c r="CV99" s="65"/>
      <c r="CW99" s="65"/>
      <c r="CX99" s="65"/>
      <c r="CY99" s="65"/>
      <c r="CZ99" s="65"/>
      <c r="DA99" s="65"/>
      <c r="DB99" s="65"/>
      <c r="DC99" s="65"/>
      <c r="DD99" s="65"/>
      <c r="DE99" s="65"/>
      <c r="DF99" s="65"/>
      <c r="DG99" s="65"/>
      <c r="DH99" s="65"/>
      <c r="DI99" s="65"/>
      <c r="DJ99" s="65"/>
      <c r="DK99" s="65"/>
      <c r="DL99" s="65"/>
      <c r="DM99" s="65"/>
      <c r="DN99" s="65"/>
      <c r="DO99" s="65"/>
      <c r="DP99" s="65"/>
      <c r="DQ99" s="65"/>
      <c r="DR99" s="65"/>
      <c r="DS99" s="65"/>
      <c r="DT99" s="65"/>
      <c r="DU99" s="65"/>
      <c r="DV99" s="65"/>
      <c r="DW99" s="65"/>
      <c r="DX99" s="65"/>
      <c r="DY99" s="65"/>
      <c r="DZ99" s="65"/>
      <c r="EA99" s="65"/>
      <c r="EB99" s="65"/>
      <c r="EC99" s="65"/>
      <c r="ED99" s="65"/>
      <c r="EE99" s="65"/>
      <c r="EF99" s="65"/>
      <c r="EG99" s="65"/>
      <c r="EH99" s="65"/>
      <c r="EI99" s="65"/>
      <c r="EJ99" s="65"/>
      <c r="EK99" s="65"/>
      <c r="EL99" s="65"/>
      <c r="EM99" s="65"/>
      <c r="EN99" s="65"/>
      <c r="EO99" s="65"/>
      <c r="EP99" s="65"/>
      <c r="EQ99" s="65"/>
      <c r="ER99" s="65"/>
      <c r="ES99" s="65"/>
      <c r="ET99" s="65"/>
      <c r="EU99" s="65"/>
      <c r="EV99" s="65"/>
      <c r="EW99" s="65"/>
      <c r="EX99" s="65"/>
      <c r="EY99" s="65"/>
      <c r="EZ99" s="65"/>
      <c r="FA99" s="65"/>
      <c r="FB99" s="65"/>
      <c r="FC99" s="65"/>
      <c r="FD99" s="65"/>
      <c r="FE99" s="65"/>
      <c r="FF99" s="65"/>
      <c r="FG99" s="65"/>
      <c r="FH99" s="65"/>
      <c r="FI99" s="65"/>
      <c r="FJ99" s="65"/>
      <c r="FK99" s="65"/>
      <c r="FL99" s="65"/>
      <c r="FM99" s="65"/>
      <c r="FN99" s="65"/>
      <c r="FO99" s="65"/>
      <c r="FP99" s="65"/>
      <c r="FQ99" s="65"/>
      <c r="FR99" s="65"/>
      <c r="FS99" s="65"/>
      <c r="FT99" s="65"/>
      <c r="FU99" s="65"/>
      <c r="FV99" s="65"/>
      <c r="FW99" s="65"/>
      <c r="FX99" s="65"/>
      <c r="FY99" s="65"/>
      <c r="FZ99" s="65"/>
      <c r="GA99" s="65"/>
      <c r="GB99" s="65"/>
      <c r="GC99" s="65"/>
      <c r="GD99" s="65"/>
      <c r="GE99" s="65"/>
      <c r="GF99" s="65"/>
      <c r="GG99" s="65"/>
      <c r="GH99" s="65"/>
      <c r="GI99" s="65"/>
      <c r="GJ99" s="65"/>
      <c r="GK99" s="65"/>
      <c r="GL99" s="65"/>
      <c r="GM99" s="65"/>
      <c r="GN99" s="65"/>
      <c r="GO99" s="65"/>
      <c r="GP99" s="65"/>
      <c r="GQ99" s="65"/>
      <c r="GR99" s="65"/>
      <c r="GS99" s="65"/>
      <c r="GT99" s="65"/>
      <c r="GU99" s="65"/>
      <c r="GV99" s="65"/>
      <c r="GW99" s="65"/>
      <c r="GX99" s="65"/>
      <c r="GY99" s="65"/>
      <c r="GZ99" s="65"/>
      <c r="HA99" s="65"/>
      <c r="HB99" s="65"/>
      <c r="HC99" s="65"/>
      <c r="HD99" s="65"/>
      <c r="HE99" s="65"/>
      <c r="HF99" s="65"/>
      <c r="HG99" s="65"/>
      <c r="HH99" s="65"/>
      <c r="HI99" s="65"/>
      <c r="HJ99" s="65"/>
      <c r="HK99" s="65"/>
      <c r="HL99" s="65"/>
      <c r="HM99" s="65"/>
      <c r="HN99" s="65"/>
      <c r="HO99" s="65"/>
    </row>
    <row r="100" spans="1:223" s="78" customFormat="1" ht="34.5" customHeight="1" x14ac:dyDescent="0.25">
      <c r="A100" s="353">
        <v>2025</v>
      </c>
      <c r="B100" s="354">
        <v>6</v>
      </c>
      <c r="C100" s="353">
        <v>22814</v>
      </c>
      <c r="D100" s="273">
        <v>45834</v>
      </c>
      <c r="E100" s="81" t="s">
        <v>2087</v>
      </c>
      <c r="F100" s="81" t="s">
        <v>2087</v>
      </c>
      <c r="G100" s="78" t="s">
        <v>143</v>
      </c>
      <c r="H100" s="78">
        <v>3104194750</v>
      </c>
      <c r="I100" s="78">
        <v>3104194750</v>
      </c>
      <c r="J100" s="435">
        <v>45847</v>
      </c>
      <c r="K100" s="78" t="s">
        <v>84</v>
      </c>
      <c r="L100" s="79" t="s">
        <v>2202</v>
      </c>
      <c r="M100" s="78" t="s">
        <v>136</v>
      </c>
      <c r="N100" s="78">
        <v>6053</v>
      </c>
      <c r="O100" s="78" t="s">
        <v>136</v>
      </c>
      <c r="P100" s="78" t="s">
        <v>136</v>
      </c>
      <c r="Q100" s="78">
        <v>5601</v>
      </c>
      <c r="R100" s="78" t="s">
        <v>136</v>
      </c>
      <c r="S100" s="78" t="s">
        <v>134</v>
      </c>
      <c r="T100" s="78" t="s">
        <v>134</v>
      </c>
      <c r="U100" s="78" t="s">
        <v>136</v>
      </c>
      <c r="V100" s="81" t="s">
        <v>89</v>
      </c>
      <c r="X100" s="66"/>
      <c r="Z100" s="80" t="s">
        <v>114</v>
      </c>
      <c r="AA100" s="371">
        <v>0</v>
      </c>
      <c r="AC100" s="228">
        <v>0</v>
      </c>
      <c r="AD100" s="228">
        <f t="shared" si="2"/>
        <v>0</v>
      </c>
      <c r="AE100" s="303">
        <v>0</v>
      </c>
      <c r="AG100" s="210"/>
      <c r="AH100" s="241"/>
      <c r="AI100" s="66">
        <v>45835</v>
      </c>
      <c r="AJ100" s="78" t="s">
        <v>1705</v>
      </c>
      <c r="AL100" s="65"/>
      <c r="AM100" s="65"/>
      <c r="AN100" s="65"/>
      <c r="AO100" s="65"/>
      <c r="AP100" s="65"/>
      <c r="AQ100" s="65"/>
      <c r="AR100" s="65"/>
      <c r="AS100" s="65"/>
      <c r="AT100" s="65"/>
      <c r="AU100" s="65"/>
      <c r="AV100" s="65"/>
      <c r="AW100" s="65"/>
      <c r="AX100" s="65"/>
      <c r="AY100" s="65"/>
      <c r="AZ100" s="65"/>
      <c r="BA100" s="65"/>
      <c r="BB100" s="65"/>
      <c r="BC100" s="65"/>
      <c r="BD100" s="65"/>
      <c r="BE100" s="65"/>
      <c r="BF100" s="65"/>
      <c r="BG100" s="65"/>
      <c r="BH100" s="65"/>
      <c r="BI100" s="65"/>
      <c r="BJ100" s="65"/>
      <c r="BK100" s="65"/>
      <c r="BL100" s="65"/>
      <c r="BM100" s="65"/>
      <c r="BN100" s="65"/>
      <c r="BO100" s="65"/>
      <c r="BP100" s="65"/>
      <c r="BQ100" s="65"/>
      <c r="BR100" s="65"/>
      <c r="BS100" s="65"/>
      <c r="BT100" s="65"/>
      <c r="BU100" s="65"/>
      <c r="BV100" s="65"/>
      <c r="BW100" s="65"/>
      <c r="BX100" s="65"/>
      <c r="BY100" s="65"/>
      <c r="BZ100" s="65"/>
      <c r="CA100" s="65"/>
      <c r="CB100" s="65"/>
      <c r="CC100" s="65"/>
      <c r="CD100" s="65"/>
      <c r="CE100" s="65"/>
      <c r="CF100" s="65"/>
      <c r="CG100" s="65"/>
      <c r="CH100" s="65"/>
      <c r="CI100" s="65"/>
      <c r="CJ100" s="65"/>
      <c r="CK100" s="65"/>
      <c r="CL100" s="65"/>
      <c r="CM100" s="65"/>
      <c r="CN100" s="65"/>
      <c r="CO100" s="65"/>
      <c r="CP100" s="65"/>
      <c r="CQ100" s="65"/>
      <c r="CR100" s="65"/>
      <c r="CS100" s="65"/>
      <c r="CT100" s="65"/>
      <c r="CU100" s="65"/>
      <c r="CV100" s="65"/>
      <c r="CW100" s="65"/>
      <c r="CX100" s="65"/>
      <c r="CY100" s="65"/>
      <c r="CZ100" s="65"/>
      <c r="DA100" s="65"/>
      <c r="DB100" s="65"/>
      <c r="DC100" s="65"/>
      <c r="DD100" s="65"/>
      <c r="DE100" s="65"/>
      <c r="DF100" s="65"/>
      <c r="DG100" s="65"/>
      <c r="DH100" s="65"/>
      <c r="DI100" s="65"/>
      <c r="DJ100" s="65"/>
      <c r="DK100" s="65"/>
      <c r="DL100" s="65"/>
      <c r="DM100" s="65"/>
      <c r="DN100" s="65"/>
      <c r="DO100" s="65"/>
      <c r="DP100" s="65"/>
      <c r="DQ100" s="65"/>
      <c r="DR100" s="65"/>
      <c r="DS100" s="65"/>
      <c r="DT100" s="65"/>
      <c r="DU100" s="65"/>
      <c r="DV100" s="65"/>
      <c r="DW100" s="65"/>
      <c r="DX100" s="65"/>
      <c r="DY100" s="65"/>
      <c r="DZ100" s="65"/>
      <c r="EA100" s="65"/>
      <c r="EB100" s="65"/>
      <c r="EC100" s="65"/>
      <c r="ED100" s="65"/>
      <c r="EE100" s="65"/>
      <c r="EF100" s="65"/>
      <c r="EG100" s="65"/>
      <c r="EH100" s="65"/>
      <c r="EI100" s="65"/>
      <c r="EJ100" s="65"/>
      <c r="EK100" s="65"/>
      <c r="EL100" s="65"/>
      <c r="EM100" s="65"/>
      <c r="EN100" s="65"/>
      <c r="EO100" s="65"/>
      <c r="EP100" s="65"/>
      <c r="EQ100" s="65"/>
      <c r="ER100" s="65"/>
      <c r="ES100" s="65"/>
      <c r="ET100" s="65"/>
      <c r="EU100" s="65"/>
      <c r="EV100" s="65"/>
      <c r="EW100" s="65"/>
      <c r="EX100" s="65"/>
      <c r="EY100" s="65"/>
      <c r="EZ100" s="65"/>
      <c r="FA100" s="65"/>
      <c r="FB100" s="65"/>
      <c r="FC100" s="65"/>
      <c r="FD100" s="65"/>
      <c r="FE100" s="65"/>
      <c r="FF100" s="65"/>
      <c r="FG100" s="65"/>
      <c r="FH100" s="65"/>
      <c r="FI100" s="65"/>
      <c r="FJ100" s="65"/>
      <c r="FK100" s="65"/>
      <c r="FL100" s="65"/>
      <c r="FM100" s="65"/>
      <c r="FN100" s="65"/>
      <c r="FO100" s="65"/>
      <c r="FP100" s="65"/>
      <c r="FQ100" s="65"/>
      <c r="FR100" s="65"/>
      <c r="FS100" s="65"/>
      <c r="FT100" s="65"/>
      <c r="FU100" s="65"/>
      <c r="FV100" s="65"/>
      <c r="FW100" s="65"/>
      <c r="FX100" s="65"/>
      <c r="FY100" s="65"/>
      <c r="FZ100" s="65"/>
      <c r="GA100" s="65"/>
      <c r="GB100" s="65"/>
      <c r="GC100" s="65"/>
      <c r="GD100" s="65"/>
      <c r="GE100" s="65"/>
      <c r="GF100" s="65"/>
      <c r="GG100" s="65"/>
      <c r="GH100" s="65"/>
      <c r="GI100" s="65"/>
      <c r="GJ100" s="65"/>
      <c r="GK100" s="65"/>
      <c r="GL100" s="65"/>
      <c r="GM100" s="65"/>
      <c r="GN100" s="65"/>
      <c r="GO100" s="65"/>
      <c r="GP100" s="65"/>
      <c r="GQ100" s="65"/>
      <c r="GR100" s="65"/>
      <c r="GS100" s="65"/>
      <c r="GT100" s="65"/>
      <c r="GU100" s="65"/>
      <c r="GV100" s="65"/>
      <c r="GW100" s="65"/>
      <c r="GX100" s="65"/>
      <c r="GY100" s="65"/>
      <c r="GZ100" s="65"/>
      <c r="HA100" s="65"/>
      <c r="HB100" s="65"/>
      <c r="HC100" s="65"/>
      <c r="HD100" s="65"/>
      <c r="HE100" s="65"/>
      <c r="HF100" s="65"/>
      <c r="HG100" s="65"/>
      <c r="HH100" s="65"/>
      <c r="HI100" s="65"/>
      <c r="HJ100" s="65"/>
      <c r="HK100" s="65"/>
      <c r="HL100" s="65"/>
      <c r="HM100" s="65"/>
      <c r="HN100" s="65"/>
      <c r="HO100" s="65"/>
    </row>
    <row r="101" spans="1:223" s="78" customFormat="1" ht="34.5" customHeight="1" x14ac:dyDescent="0.25">
      <c r="A101" s="353">
        <v>2025</v>
      </c>
      <c r="B101" s="354">
        <v>6</v>
      </c>
      <c r="C101" s="353">
        <v>22815</v>
      </c>
      <c r="D101" s="273">
        <v>45834</v>
      </c>
      <c r="E101" s="81" t="s">
        <v>2251</v>
      </c>
      <c r="F101" s="81" t="s">
        <v>2252</v>
      </c>
      <c r="G101" s="78" t="s">
        <v>98</v>
      </c>
      <c r="H101" s="78">
        <v>3133370101</v>
      </c>
      <c r="I101" s="78">
        <v>3104637503</v>
      </c>
      <c r="J101" s="435">
        <v>45840</v>
      </c>
      <c r="K101" s="78" t="s">
        <v>88</v>
      </c>
      <c r="L101" s="79" t="s">
        <v>2253</v>
      </c>
      <c r="M101" s="78" t="s">
        <v>136</v>
      </c>
      <c r="N101" s="78" t="s">
        <v>136</v>
      </c>
      <c r="O101" s="78">
        <v>6889</v>
      </c>
      <c r="P101" s="78" t="s">
        <v>136</v>
      </c>
      <c r="Q101" s="78" t="s">
        <v>136</v>
      </c>
      <c r="R101" s="78" t="s">
        <v>134</v>
      </c>
      <c r="S101" s="78" t="s">
        <v>134</v>
      </c>
      <c r="T101" s="78" t="s">
        <v>134</v>
      </c>
      <c r="U101" s="78" t="s">
        <v>136</v>
      </c>
      <c r="V101" s="81" t="s">
        <v>119</v>
      </c>
      <c r="W101" s="435">
        <v>45839</v>
      </c>
      <c r="X101" s="66">
        <v>45839</v>
      </c>
      <c r="Z101" s="80" t="s">
        <v>85</v>
      </c>
      <c r="AA101" s="371">
        <v>450000</v>
      </c>
      <c r="AB101" s="78">
        <v>6010</v>
      </c>
      <c r="AC101" s="228">
        <v>378151</v>
      </c>
      <c r="AD101" s="228">
        <f t="shared" si="2"/>
        <v>449999.69</v>
      </c>
      <c r="AE101" s="303">
        <v>0</v>
      </c>
      <c r="AG101" s="210" t="s">
        <v>1987</v>
      </c>
      <c r="AH101" s="403">
        <v>45835</v>
      </c>
      <c r="AI101" s="66">
        <v>45842</v>
      </c>
      <c r="AJ101" s="78" t="s">
        <v>1705</v>
      </c>
      <c r="AL101" s="65"/>
      <c r="AM101" s="65"/>
      <c r="AN101" s="65"/>
      <c r="AO101" s="65"/>
      <c r="AP101" s="65"/>
      <c r="AQ101" s="65"/>
      <c r="AR101" s="65"/>
      <c r="AS101" s="65"/>
      <c r="AT101" s="65"/>
      <c r="AU101" s="65"/>
      <c r="AV101" s="65"/>
      <c r="AW101" s="65"/>
      <c r="AX101" s="65"/>
      <c r="AY101" s="65"/>
      <c r="AZ101" s="65"/>
      <c r="BA101" s="65"/>
      <c r="BB101" s="65"/>
      <c r="BC101" s="65"/>
      <c r="BD101" s="65"/>
      <c r="BE101" s="65"/>
      <c r="BF101" s="65"/>
      <c r="BG101" s="65"/>
      <c r="BH101" s="65"/>
      <c r="BI101" s="65"/>
      <c r="BJ101" s="65"/>
      <c r="BK101" s="65"/>
      <c r="BL101" s="65"/>
      <c r="BM101" s="65"/>
      <c r="BN101" s="65"/>
      <c r="BO101" s="65"/>
      <c r="BP101" s="65"/>
      <c r="BQ101" s="65"/>
      <c r="BR101" s="65"/>
      <c r="BS101" s="65"/>
      <c r="BT101" s="65"/>
      <c r="BU101" s="65"/>
      <c r="BV101" s="65"/>
      <c r="BW101" s="65"/>
      <c r="BX101" s="65"/>
      <c r="BY101" s="65"/>
      <c r="BZ101" s="65"/>
      <c r="CA101" s="65"/>
      <c r="CB101" s="65"/>
      <c r="CC101" s="65"/>
      <c r="CD101" s="65"/>
      <c r="CE101" s="65"/>
      <c r="CF101" s="65"/>
      <c r="CG101" s="65"/>
      <c r="CH101" s="65"/>
      <c r="CI101" s="65"/>
      <c r="CJ101" s="65"/>
      <c r="CK101" s="65"/>
      <c r="CL101" s="65"/>
      <c r="CM101" s="65"/>
      <c r="CN101" s="65"/>
      <c r="CO101" s="65"/>
      <c r="CP101" s="65"/>
      <c r="CQ101" s="65"/>
      <c r="CR101" s="65"/>
      <c r="CS101" s="65"/>
      <c r="CT101" s="65"/>
      <c r="CU101" s="65"/>
      <c r="CV101" s="65"/>
      <c r="CW101" s="65"/>
      <c r="CX101" s="65"/>
      <c r="CY101" s="65"/>
      <c r="CZ101" s="65"/>
      <c r="DA101" s="65"/>
      <c r="DB101" s="65"/>
      <c r="DC101" s="65"/>
      <c r="DD101" s="65"/>
      <c r="DE101" s="65"/>
      <c r="DF101" s="65"/>
      <c r="DG101" s="65"/>
      <c r="DH101" s="65"/>
      <c r="DI101" s="65"/>
      <c r="DJ101" s="65"/>
      <c r="DK101" s="65"/>
      <c r="DL101" s="65"/>
      <c r="DM101" s="65"/>
      <c r="DN101" s="65"/>
      <c r="DO101" s="65"/>
      <c r="DP101" s="65"/>
      <c r="DQ101" s="65"/>
      <c r="DR101" s="65"/>
      <c r="DS101" s="65"/>
      <c r="DT101" s="65"/>
      <c r="DU101" s="65"/>
      <c r="DV101" s="65"/>
      <c r="DW101" s="65"/>
      <c r="DX101" s="65"/>
      <c r="DY101" s="65"/>
      <c r="DZ101" s="65"/>
      <c r="EA101" s="65"/>
      <c r="EB101" s="65"/>
      <c r="EC101" s="65"/>
      <c r="ED101" s="65"/>
      <c r="EE101" s="65"/>
      <c r="EF101" s="65"/>
      <c r="EG101" s="65"/>
      <c r="EH101" s="65"/>
      <c r="EI101" s="65"/>
      <c r="EJ101" s="65"/>
      <c r="EK101" s="65"/>
      <c r="EL101" s="65"/>
      <c r="EM101" s="65"/>
      <c r="EN101" s="65"/>
      <c r="EO101" s="65"/>
      <c r="EP101" s="65"/>
      <c r="EQ101" s="65"/>
      <c r="ER101" s="65"/>
      <c r="ES101" s="65"/>
      <c r="ET101" s="65"/>
      <c r="EU101" s="65"/>
      <c r="EV101" s="65"/>
      <c r="EW101" s="65"/>
      <c r="EX101" s="65"/>
      <c r="EY101" s="65"/>
      <c r="EZ101" s="65"/>
      <c r="FA101" s="65"/>
      <c r="FB101" s="65"/>
      <c r="FC101" s="65"/>
      <c r="FD101" s="65"/>
      <c r="FE101" s="65"/>
      <c r="FF101" s="65"/>
      <c r="FG101" s="65"/>
      <c r="FH101" s="65"/>
      <c r="FI101" s="65"/>
      <c r="FJ101" s="65"/>
      <c r="FK101" s="65"/>
      <c r="FL101" s="65"/>
      <c r="FM101" s="65"/>
      <c r="FN101" s="65"/>
      <c r="FO101" s="65"/>
      <c r="FP101" s="65"/>
      <c r="FQ101" s="65"/>
      <c r="FR101" s="65"/>
      <c r="FS101" s="65"/>
      <c r="FT101" s="65"/>
      <c r="FU101" s="65"/>
      <c r="FV101" s="65"/>
      <c r="FW101" s="65"/>
      <c r="FX101" s="65"/>
      <c r="FY101" s="65"/>
      <c r="FZ101" s="65"/>
      <c r="GA101" s="65"/>
      <c r="GB101" s="65"/>
      <c r="GC101" s="65"/>
      <c r="GD101" s="65"/>
      <c r="GE101" s="65"/>
      <c r="GF101" s="65"/>
      <c r="GG101" s="65"/>
      <c r="GH101" s="65"/>
      <c r="GI101" s="65"/>
      <c r="GJ101" s="65"/>
      <c r="GK101" s="65"/>
      <c r="GL101" s="65"/>
      <c r="GM101" s="65"/>
      <c r="GN101" s="65"/>
      <c r="GO101" s="65"/>
      <c r="GP101" s="65"/>
      <c r="GQ101" s="65"/>
      <c r="GR101" s="65"/>
      <c r="GS101" s="65"/>
      <c r="GT101" s="65"/>
      <c r="GU101" s="65"/>
      <c r="GV101" s="65"/>
      <c r="GW101" s="65"/>
      <c r="GX101" s="65"/>
      <c r="GY101" s="65"/>
      <c r="GZ101" s="65"/>
      <c r="HA101" s="65"/>
      <c r="HB101" s="65"/>
      <c r="HC101" s="65"/>
      <c r="HD101" s="65"/>
      <c r="HE101" s="65"/>
      <c r="HF101" s="65"/>
      <c r="HG101" s="65"/>
      <c r="HH101" s="65"/>
      <c r="HI101" s="65"/>
      <c r="HJ101" s="65"/>
      <c r="HK101" s="65"/>
      <c r="HL101" s="65"/>
      <c r="HM101" s="65"/>
      <c r="HN101" s="65"/>
      <c r="HO101" s="65"/>
    </row>
    <row r="102" spans="1:223" s="78" customFormat="1" ht="34.5" customHeight="1" x14ac:dyDescent="0.25">
      <c r="A102" s="353">
        <v>2025</v>
      </c>
      <c r="B102" s="354">
        <v>6</v>
      </c>
      <c r="C102" s="353">
        <v>22816</v>
      </c>
      <c r="D102" s="273">
        <v>45834</v>
      </c>
      <c r="E102" s="81" t="s">
        <v>2273</v>
      </c>
      <c r="F102" s="81" t="s">
        <v>2274</v>
      </c>
      <c r="I102" s="78">
        <v>6048442029</v>
      </c>
      <c r="J102" s="435">
        <v>45848</v>
      </c>
      <c r="K102" s="78" t="s">
        <v>88</v>
      </c>
      <c r="L102" s="79" t="s">
        <v>2275</v>
      </c>
      <c r="M102" s="78" t="s">
        <v>281</v>
      </c>
      <c r="N102" s="78" t="s">
        <v>136</v>
      </c>
      <c r="O102" s="78">
        <v>6899</v>
      </c>
      <c r="P102" s="78">
        <v>9332</v>
      </c>
      <c r="Q102" s="78">
        <v>5622</v>
      </c>
      <c r="R102" s="78" t="s">
        <v>134</v>
      </c>
      <c r="S102" s="78" t="s">
        <v>134</v>
      </c>
      <c r="T102" s="78" t="s">
        <v>134</v>
      </c>
      <c r="U102" s="78" t="s">
        <v>136</v>
      </c>
      <c r="V102" s="81" t="s">
        <v>89</v>
      </c>
      <c r="X102" s="66"/>
      <c r="Z102" s="80" t="s">
        <v>114</v>
      </c>
      <c r="AA102" s="371">
        <v>1700103</v>
      </c>
      <c r="AB102" s="78">
        <v>6011</v>
      </c>
      <c r="AC102" s="228">
        <v>1478350</v>
      </c>
      <c r="AD102" s="228">
        <f t="shared" si="2"/>
        <v>1759236.5</v>
      </c>
      <c r="AE102" s="303">
        <v>0</v>
      </c>
      <c r="AG102" s="210"/>
      <c r="AH102" s="241"/>
      <c r="AI102" s="66">
        <v>45845</v>
      </c>
      <c r="AJ102" s="78" t="s">
        <v>1705</v>
      </c>
      <c r="AL102" s="65"/>
      <c r="AM102" s="65"/>
      <c r="AN102" s="65"/>
      <c r="AO102" s="65"/>
      <c r="AP102" s="65"/>
      <c r="AQ102" s="65"/>
      <c r="AR102" s="65"/>
      <c r="AS102" s="65"/>
      <c r="AT102" s="65"/>
      <c r="AU102" s="65"/>
      <c r="AV102" s="65"/>
      <c r="AW102" s="65"/>
      <c r="AX102" s="65"/>
      <c r="AY102" s="65"/>
      <c r="AZ102" s="65"/>
      <c r="BA102" s="65"/>
      <c r="BB102" s="65"/>
      <c r="BC102" s="65"/>
      <c r="BD102" s="65"/>
      <c r="BE102" s="65"/>
      <c r="BF102" s="65"/>
      <c r="BG102" s="65"/>
      <c r="BH102" s="65"/>
      <c r="BI102" s="65"/>
      <c r="BJ102" s="65"/>
      <c r="BK102" s="65"/>
      <c r="BL102" s="65"/>
      <c r="BM102" s="65"/>
      <c r="BN102" s="65"/>
      <c r="BO102" s="65"/>
      <c r="BP102" s="65"/>
      <c r="BQ102" s="65"/>
      <c r="BR102" s="65"/>
      <c r="BS102" s="65"/>
      <c r="BT102" s="65"/>
      <c r="BU102" s="65"/>
      <c r="BV102" s="65"/>
      <c r="BW102" s="65"/>
      <c r="BX102" s="65"/>
      <c r="BY102" s="65"/>
      <c r="BZ102" s="65"/>
      <c r="CA102" s="65"/>
      <c r="CB102" s="65"/>
      <c r="CC102" s="65"/>
      <c r="CD102" s="65"/>
      <c r="CE102" s="65"/>
      <c r="CF102" s="65"/>
      <c r="CG102" s="65"/>
      <c r="CH102" s="65"/>
      <c r="CI102" s="65"/>
      <c r="CJ102" s="65"/>
      <c r="CK102" s="65"/>
      <c r="CL102" s="65"/>
      <c r="CM102" s="65"/>
      <c r="CN102" s="65"/>
      <c r="CO102" s="65"/>
      <c r="CP102" s="65"/>
      <c r="CQ102" s="65"/>
      <c r="CR102" s="65"/>
      <c r="CS102" s="65"/>
      <c r="CT102" s="65"/>
      <c r="CU102" s="65"/>
      <c r="CV102" s="65"/>
      <c r="CW102" s="65"/>
      <c r="CX102" s="65"/>
      <c r="CY102" s="65"/>
      <c r="CZ102" s="65"/>
      <c r="DA102" s="65"/>
      <c r="DB102" s="65"/>
      <c r="DC102" s="65"/>
      <c r="DD102" s="65"/>
      <c r="DE102" s="65"/>
      <c r="DF102" s="65"/>
      <c r="DG102" s="65"/>
      <c r="DH102" s="65"/>
      <c r="DI102" s="65"/>
      <c r="DJ102" s="65"/>
      <c r="DK102" s="65"/>
      <c r="DL102" s="65"/>
      <c r="DM102" s="65"/>
      <c r="DN102" s="65"/>
      <c r="DO102" s="65"/>
      <c r="DP102" s="65"/>
      <c r="DQ102" s="65"/>
      <c r="DR102" s="65"/>
      <c r="DS102" s="65"/>
      <c r="DT102" s="65"/>
      <c r="DU102" s="65"/>
      <c r="DV102" s="65"/>
      <c r="DW102" s="65"/>
      <c r="DX102" s="65"/>
      <c r="DY102" s="65"/>
      <c r="DZ102" s="65"/>
      <c r="EA102" s="65"/>
      <c r="EB102" s="65"/>
      <c r="EC102" s="65"/>
      <c r="ED102" s="65"/>
      <c r="EE102" s="65"/>
      <c r="EF102" s="65"/>
      <c r="EG102" s="65"/>
      <c r="EH102" s="65"/>
      <c r="EI102" s="65"/>
      <c r="EJ102" s="65"/>
      <c r="EK102" s="65"/>
      <c r="EL102" s="65"/>
      <c r="EM102" s="65"/>
      <c r="EN102" s="65"/>
      <c r="EO102" s="65"/>
      <c r="EP102" s="65"/>
      <c r="EQ102" s="65"/>
      <c r="ER102" s="65"/>
      <c r="ES102" s="65"/>
      <c r="ET102" s="65"/>
      <c r="EU102" s="65"/>
      <c r="EV102" s="65"/>
      <c r="EW102" s="65"/>
      <c r="EX102" s="65"/>
      <c r="EY102" s="65"/>
      <c r="EZ102" s="65"/>
      <c r="FA102" s="65"/>
      <c r="FB102" s="65"/>
      <c r="FC102" s="65"/>
      <c r="FD102" s="65"/>
      <c r="FE102" s="65"/>
      <c r="FF102" s="65"/>
      <c r="FG102" s="65"/>
      <c r="FH102" s="65"/>
      <c r="FI102" s="65"/>
      <c r="FJ102" s="65"/>
      <c r="FK102" s="65"/>
      <c r="FL102" s="65"/>
      <c r="FM102" s="65"/>
      <c r="FN102" s="65"/>
      <c r="FO102" s="65"/>
      <c r="FP102" s="65"/>
      <c r="FQ102" s="65"/>
      <c r="FR102" s="65"/>
      <c r="FS102" s="65"/>
      <c r="FT102" s="65"/>
      <c r="FU102" s="65"/>
      <c r="FV102" s="65"/>
      <c r="FW102" s="65"/>
      <c r="FX102" s="65"/>
      <c r="FY102" s="65"/>
      <c r="FZ102" s="65"/>
      <c r="GA102" s="65"/>
      <c r="GB102" s="65"/>
      <c r="GC102" s="65"/>
      <c r="GD102" s="65"/>
      <c r="GE102" s="65"/>
      <c r="GF102" s="65"/>
      <c r="GG102" s="65"/>
      <c r="GH102" s="65"/>
      <c r="GI102" s="65"/>
      <c r="GJ102" s="65"/>
      <c r="GK102" s="65"/>
      <c r="GL102" s="65"/>
      <c r="GM102" s="65"/>
      <c r="GN102" s="65"/>
      <c r="GO102" s="65"/>
      <c r="GP102" s="65"/>
      <c r="GQ102" s="65"/>
      <c r="GR102" s="65"/>
      <c r="GS102" s="65"/>
      <c r="GT102" s="65"/>
      <c r="GU102" s="65"/>
      <c r="GV102" s="65"/>
      <c r="GW102" s="65"/>
      <c r="GX102" s="65"/>
      <c r="GY102" s="65"/>
      <c r="GZ102" s="65"/>
      <c r="HA102" s="65"/>
      <c r="HB102" s="65"/>
      <c r="HC102" s="65"/>
      <c r="HD102" s="65"/>
      <c r="HE102" s="65"/>
      <c r="HF102" s="65"/>
      <c r="HG102" s="65"/>
      <c r="HH102" s="65"/>
      <c r="HI102" s="65"/>
      <c r="HJ102" s="65"/>
      <c r="HK102" s="65"/>
      <c r="HL102" s="65"/>
      <c r="HM102" s="65"/>
      <c r="HN102" s="65"/>
      <c r="HO102" s="65"/>
    </row>
    <row r="103" spans="1:223" s="78" customFormat="1" ht="34.5" customHeight="1" x14ac:dyDescent="0.25">
      <c r="A103" s="353">
        <v>2025</v>
      </c>
      <c r="B103" s="354">
        <v>6</v>
      </c>
      <c r="C103" s="353">
        <v>22817</v>
      </c>
      <c r="D103" s="273">
        <v>45828</v>
      </c>
      <c r="E103" s="81" t="s">
        <v>2087</v>
      </c>
      <c r="F103" s="81" t="s">
        <v>2087</v>
      </c>
      <c r="G103" s="78" t="s">
        <v>143</v>
      </c>
      <c r="H103" s="78">
        <v>3104194750</v>
      </c>
      <c r="I103" s="78">
        <v>3104194750</v>
      </c>
      <c r="J103" s="435">
        <v>45847</v>
      </c>
      <c r="K103" s="78" t="s">
        <v>84</v>
      </c>
      <c r="L103" s="79" t="s">
        <v>2201</v>
      </c>
      <c r="M103" s="78" t="s">
        <v>136</v>
      </c>
      <c r="N103" s="78">
        <v>6054</v>
      </c>
      <c r="O103" s="78">
        <v>6890</v>
      </c>
      <c r="P103" s="78" t="s">
        <v>136</v>
      </c>
      <c r="Q103" s="78" t="s">
        <v>136</v>
      </c>
      <c r="R103" s="78" t="s">
        <v>136</v>
      </c>
      <c r="S103" s="78" t="s">
        <v>134</v>
      </c>
      <c r="T103" s="78" t="s">
        <v>134</v>
      </c>
      <c r="U103" s="78" t="s">
        <v>136</v>
      </c>
      <c r="V103" s="81" t="s">
        <v>89</v>
      </c>
      <c r="X103" s="66"/>
      <c r="Z103" s="80" t="s">
        <v>114</v>
      </c>
      <c r="AA103" s="371">
        <v>0</v>
      </c>
      <c r="AC103" s="228">
        <v>957983</v>
      </c>
      <c r="AD103" s="228">
        <f t="shared" si="2"/>
        <v>1139999.77</v>
      </c>
      <c r="AE103" s="303">
        <v>600000</v>
      </c>
      <c r="AG103" s="210"/>
      <c r="AH103" s="241"/>
      <c r="AI103" s="66">
        <v>45835</v>
      </c>
      <c r="AJ103" s="78" t="s">
        <v>1705</v>
      </c>
      <c r="AL103" s="65"/>
      <c r="AM103" s="65"/>
      <c r="AN103" s="65"/>
      <c r="AO103" s="65"/>
      <c r="AP103" s="65"/>
      <c r="AQ103" s="65"/>
      <c r="AR103" s="65"/>
      <c r="AS103" s="65"/>
      <c r="AT103" s="65"/>
      <c r="AU103" s="65"/>
      <c r="AV103" s="65"/>
      <c r="AW103" s="65"/>
      <c r="AX103" s="65"/>
      <c r="AY103" s="65"/>
      <c r="AZ103" s="65"/>
      <c r="BA103" s="65"/>
      <c r="BB103" s="65"/>
      <c r="BC103" s="65"/>
      <c r="BD103" s="65"/>
      <c r="BE103" s="65"/>
      <c r="BF103" s="65"/>
      <c r="BG103" s="65"/>
      <c r="BH103" s="65"/>
      <c r="BI103" s="65"/>
      <c r="BJ103" s="65"/>
      <c r="BK103" s="65"/>
      <c r="BL103" s="65"/>
      <c r="BM103" s="65"/>
      <c r="BN103" s="65"/>
      <c r="BO103" s="65"/>
      <c r="BP103" s="65"/>
      <c r="BQ103" s="65"/>
      <c r="BR103" s="65"/>
      <c r="BS103" s="65"/>
      <c r="BT103" s="65"/>
      <c r="BU103" s="65"/>
      <c r="BV103" s="65"/>
      <c r="BW103" s="65"/>
      <c r="BX103" s="65"/>
      <c r="BY103" s="65"/>
      <c r="BZ103" s="65"/>
      <c r="CA103" s="65"/>
      <c r="CB103" s="65"/>
      <c r="CC103" s="65"/>
      <c r="CD103" s="65"/>
      <c r="CE103" s="65"/>
      <c r="CF103" s="65"/>
      <c r="CG103" s="65"/>
      <c r="CH103" s="65"/>
      <c r="CI103" s="65"/>
      <c r="CJ103" s="65"/>
      <c r="CK103" s="65"/>
      <c r="CL103" s="65"/>
      <c r="CM103" s="65"/>
      <c r="CN103" s="65"/>
      <c r="CO103" s="65"/>
      <c r="CP103" s="65"/>
      <c r="CQ103" s="65"/>
      <c r="CR103" s="65"/>
      <c r="CS103" s="65"/>
      <c r="CT103" s="65"/>
      <c r="CU103" s="65"/>
      <c r="CV103" s="65"/>
      <c r="CW103" s="65"/>
      <c r="CX103" s="65"/>
      <c r="CY103" s="65"/>
      <c r="CZ103" s="65"/>
      <c r="DA103" s="65"/>
      <c r="DB103" s="65"/>
      <c r="DC103" s="65"/>
      <c r="DD103" s="65"/>
      <c r="DE103" s="65"/>
      <c r="DF103" s="65"/>
      <c r="DG103" s="65"/>
      <c r="DH103" s="65"/>
      <c r="DI103" s="65"/>
      <c r="DJ103" s="65"/>
      <c r="DK103" s="65"/>
      <c r="DL103" s="65"/>
      <c r="DM103" s="65"/>
      <c r="DN103" s="65"/>
      <c r="DO103" s="65"/>
      <c r="DP103" s="65"/>
      <c r="DQ103" s="65"/>
      <c r="DR103" s="65"/>
      <c r="DS103" s="65"/>
      <c r="DT103" s="65"/>
      <c r="DU103" s="65"/>
      <c r="DV103" s="65"/>
      <c r="DW103" s="65"/>
      <c r="DX103" s="65"/>
      <c r="DY103" s="65"/>
      <c r="DZ103" s="65"/>
      <c r="EA103" s="65"/>
      <c r="EB103" s="65"/>
      <c r="EC103" s="65"/>
      <c r="ED103" s="65"/>
      <c r="EE103" s="65"/>
      <c r="EF103" s="65"/>
      <c r="EG103" s="65"/>
      <c r="EH103" s="65"/>
      <c r="EI103" s="65"/>
      <c r="EJ103" s="65"/>
      <c r="EK103" s="65"/>
      <c r="EL103" s="65"/>
      <c r="EM103" s="65"/>
      <c r="EN103" s="65"/>
      <c r="EO103" s="65"/>
      <c r="EP103" s="65"/>
      <c r="EQ103" s="65"/>
      <c r="ER103" s="65"/>
      <c r="ES103" s="65"/>
      <c r="ET103" s="65"/>
      <c r="EU103" s="65"/>
      <c r="EV103" s="65"/>
      <c r="EW103" s="65"/>
      <c r="EX103" s="65"/>
      <c r="EY103" s="65"/>
      <c r="EZ103" s="65"/>
      <c r="FA103" s="65"/>
      <c r="FB103" s="65"/>
      <c r="FC103" s="65"/>
      <c r="FD103" s="65"/>
      <c r="FE103" s="65"/>
      <c r="FF103" s="65"/>
      <c r="FG103" s="65"/>
      <c r="FH103" s="65"/>
      <c r="FI103" s="65"/>
      <c r="FJ103" s="65"/>
      <c r="FK103" s="65"/>
      <c r="FL103" s="65"/>
      <c r="FM103" s="65"/>
      <c r="FN103" s="65"/>
      <c r="FO103" s="65"/>
      <c r="FP103" s="65"/>
      <c r="FQ103" s="65"/>
      <c r="FR103" s="65"/>
      <c r="FS103" s="65"/>
      <c r="FT103" s="65"/>
      <c r="FU103" s="65"/>
      <c r="FV103" s="65"/>
      <c r="FW103" s="65"/>
      <c r="FX103" s="65"/>
      <c r="FY103" s="65"/>
      <c r="FZ103" s="65"/>
      <c r="GA103" s="65"/>
      <c r="GB103" s="65"/>
      <c r="GC103" s="65"/>
      <c r="GD103" s="65"/>
      <c r="GE103" s="65"/>
      <c r="GF103" s="65"/>
      <c r="GG103" s="65"/>
      <c r="GH103" s="65"/>
      <c r="GI103" s="65"/>
      <c r="GJ103" s="65"/>
      <c r="GK103" s="65"/>
      <c r="GL103" s="65"/>
      <c r="GM103" s="65"/>
      <c r="GN103" s="65"/>
      <c r="GO103" s="65"/>
      <c r="GP103" s="65"/>
      <c r="GQ103" s="65"/>
      <c r="GR103" s="65"/>
      <c r="GS103" s="65"/>
      <c r="GT103" s="65"/>
      <c r="GU103" s="65"/>
      <c r="GV103" s="65"/>
      <c r="GW103" s="65"/>
      <c r="GX103" s="65"/>
      <c r="GY103" s="65"/>
      <c r="GZ103" s="65"/>
      <c r="HA103" s="65"/>
      <c r="HB103" s="65"/>
      <c r="HC103" s="65"/>
      <c r="HD103" s="65"/>
      <c r="HE103" s="65"/>
      <c r="HF103" s="65"/>
      <c r="HG103" s="65"/>
      <c r="HH103" s="65"/>
      <c r="HI103" s="65"/>
      <c r="HJ103" s="65"/>
      <c r="HK103" s="65"/>
      <c r="HL103" s="65"/>
      <c r="HM103" s="65"/>
      <c r="HN103" s="65"/>
      <c r="HO103" s="65"/>
    </row>
    <row r="104" spans="1:223" s="78" customFormat="1" ht="34.5" customHeight="1" x14ac:dyDescent="0.25">
      <c r="A104" s="353">
        <v>2025</v>
      </c>
      <c r="B104" s="354">
        <v>6</v>
      </c>
      <c r="C104" s="353">
        <v>22818</v>
      </c>
      <c r="D104" s="273">
        <v>45835</v>
      </c>
      <c r="E104" s="81" t="s">
        <v>2205</v>
      </c>
      <c r="F104" s="81" t="s">
        <v>2206</v>
      </c>
      <c r="I104" s="78">
        <v>4442322</v>
      </c>
      <c r="J104" s="435">
        <v>45835</v>
      </c>
      <c r="K104" s="78" t="s">
        <v>88</v>
      </c>
      <c r="L104" s="79" t="s">
        <v>2207</v>
      </c>
      <c r="M104" s="78" t="s">
        <v>136</v>
      </c>
      <c r="N104" s="78" t="s">
        <v>136</v>
      </c>
      <c r="O104" s="78" t="s">
        <v>136</v>
      </c>
      <c r="P104" s="78" t="s">
        <v>136</v>
      </c>
      <c r="Q104" s="78" t="s">
        <v>136</v>
      </c>
      <c r="R104" s="78" t="s">
        <v>136</v>
      </c>
      <c r="S104" s="78" t="s">
        <v>136</v>
      </c>
      <c r="T104" s="78" t="s">
        <v>134</v>
      </c>
      <c r="U104" s="78" t="s">
        <v>136</v>
      </c>
      <c r="V104" s="81" t="s">
        <v>89</v>
      </c>
      <c r="X104" s="66">
        <v>45833</v>
      </c>
      <c r="Z104" s="80" t="s">
        <v>85</v>
      </c>
      <c r="AA104" s="371">
        <v>142800</v>
      </c>
      <c r="AB104" s="78">
        <v>6012</v>
      </c>
      <c r="AC104" s="228">
        <v>120000</v>
      </c>
      <c r="AD104" s="228">
        <f t="shared" si="2"/>
        <v>142800</v>
      </c>
      <c r="AE104" s="303">
        <v>0</v>
      </c>
      <c r="AG104" s="210" t="s">
        <v>2208</v>
      </c>
      <c r="AH104" s="403">
        <v>45834</v>
      </c>
      <c r="AI104" s="66">
        <v>45835</v>
      </c>
      <c r="AJ104" s="78" t="s">
        <v>1705</v>
      </c>
      <c r="AL104" s="65"/>
      <c r="AM104" s="65"/>
      <c r="AN104" s="65"/>
      <c r="AO104" s="65"/>
      <c r="AP104" s="65"/>
      <c r="AQ104" s="65"/>
      <c r="AR104" s="65"/>
      <c r="AS104" s="65"/>
      <c r="AT104" s="65"/>
      <c r="AU104" s="65"/>
      <c r="AV104" s="65"/>
      <c r="AW104" s="65"/>
      <c r="AX104" s="65"/>
      <c r="AY104" s="65"/>
      <c r="AZ104" s="65"/>
      <c r="BA104" s="65"/>
      <c r="BB104" s="65"/>
      <c r="BC104" s="65"/>
      <c r="BD104" s="65"/>
      <c r="BE104" s="65"/>
      <c r="BF104" s="65"/>
      <c r="BG104" s="65"/>
      <c r="BH104" s="65"/>
      <c r="BI104" s="65"/>
      <c r="BJ104" s="65"/>
      <c r="BK104" s="65"/>
      <c r="BL104" s="65"/>
      <c r="BM104" s="65"/>
      <c r="BN104" s="65"/>
      <c r="BO104" s="65"/>
      <c r="BP104" s="65"/>
      <c r="BQ104" s="65"/>
      <c r="BR104" s="65"/>
      <c r="BS104" s="65"/>
      <c r="BT104" s="65"/>
      <c r="BU104" s="65"/>
      <c r="BV104" s="65"/>
      <c r="BW104" s="65"/>
      <c r="BX104" s="65"/>
      <c r="BY104" s="65"/>
      <c r="BZ104" s="65"/>
      <c r="CA104" s="65"/>
      <c r="CB104" s="65"/>
      <c r="CC104" s="65"/>
      <c r="CD104" s="65"/>
      <c r="CE104" s="65"/>
      <c r="CF104" s="65"/>
      <c r="CG104" s="65"/>
      <c r="CH104" s="65"/>
      <c r="CI104" s="65"/>
      <c r="CJ104" s="65"/>
      <c r="CK104" s="65"/>
      <c r="CL104" s="65"/>
      <c r="CM104" s="65"/>
      <c r="CN104" s="65"/>
      <c r="CO104" s="65"/>
      <c r="CP104" s="65"/>
      <c r="CQ104" s="65"/>
      <c r="CR104" s="65"/>
      <c r="CS104" s="65"/>
      <c r="CT104" s="65"/>
      <c r="CU104" s="65"/>
      <c r="CV104" s="65"/>
      <c r="CW104" s="65"/>
      <c r="CX104" s="65"/>
      <c r="CY104" s="65"/>
      <c r="CZ104" s="65"/>
      <c r="DA104" s="65"/>
      <c r="DB104" s="65"/>
      <c r="DC104" s="65"/>
      <c r="DD104" s="65"/>
      <c r="DE104" s="65"/>
      <c r="DF104" s="65"/>
      <c r="DG104" s="65"/>
      <c r="DH104" s="65"/>
      <c r="DI104" s="65"/>
      <c r="DJ104" s="65"/>
      <c r="DK104" s="65"/>
      <c r="DL104" s="65"/>
      <c r="DM104" s="65"/>
      <c r="DN104" s="65"/>
      <c r="DO104" s="65"/>
      <c r="DP104" s="65"/>
      <c r="DQ104" s="65"/>
      <c r="DR104" s="65"/>
      <c r="DS104" s="65"/>
      <c r="DT104" s="65"/>
      <c r="DU104" s="65"/>
      <c r="DV104" s="65"/>
      <c r="DW104" s="65"/>
      <c r="DX104" s="65"/>
      <c r="DY104" s="65"/>
      <c r="DZ104" s="65"/>
      <c r="EA104" s="65"/>
      <c r="EB104" s="65"/>
      <c r="EC104" s="65"/>
      <c r="ED104" s="65"/>
      <c r="EE104" s="65"/>
      <c r="EF104" s="65"/>
      <c r="EG104" s="65"/>
      <c r="EH104" s="65"/>
      <c r="EI104" s="65"/>
      <c r="EJ104" s="65"/>
      <c r="EK104" s="65"/>
      <c r="EL104" s="65"/>
      <c r="EM104" s="65"/>
      <c r="EN104" s="65"/>
      <c r="EO104" s="65"/>
      <c r="EP104" s="65"/>
      <c r="EQ104" s="65"/>
      <c r="ER104" s="65"/>
      <c r="ES104" s="65"/>
      <c r="ET104" s="65"/>
      <c r="EU104" s="65"/>
      <c r="EV104" s="65"/>
      <c r="EW104" s="65"/>
      <c r="EX104" s="65"/>
      <c r="EY104" s="65"/>
      <c r="EZ104" s="65"/>
      <c r="FA104" s="65"/>
      <c r="FB104" s="65"/>
      <c r="FC104" s="65"/>
      <c r="FD104" s="65"/>
      <c r="FE104" s="65"/>
      <c r="FF104" s="65"/>
      <c r="FG104" s="65"/>
      <c r="FH104" s="65"/>
      <c r="FI104" s="65"/>
      <c r="FJ104" s="65"/>
      <c r="FK104" s="65"/>
      <c r="FL104" s="65"/>
      <c r="FM104" s="65"/>
      <c r="FN104" s="65"/>
      <c r="FO104" s="65"/>
      <c r="FP104" s="65"/>
      <c r="FQ104" s="65"/>
      <c r="FR104" s="65"/>
      <c r="FS104" s="65"/>
      <c r="FT104" s="65"/>
      <c r="FU104" s="65"/>
      <c r="FV104" s="65"/>
      <c r="FW104" s="65"/>
      <c r="FX104" s="65"/>
      <c r="FY104" s="65"/>
      <c r="FZ104" s="65"/>
      <c r="GA104" s="65"/>
      <c r="GB104" s="65"/>
      <c r="GC104" s="65"/>
      <c r="GD104" s="65"/>
      <c r="GE104" s="65"/>
      <c r="GF104" s="65"/>
      <c r="GG104" s="65"/>
      <c r="GH104" s="65"/>
      <c r="GI104" s="65"/>
      <c r="GJ104" s="65"/>
      <c r="GK104" s="65"/>
      <c r="GL104" s="65"/>
      <c r="GM104" s="65"/>
      <c r="GN104" s="65"/>
      <c r="GO104" s="65"/>
      <c r="GP104" s="65"/>
      <c r="GQ104" s="65"/>
      <c r="GR104" s="65"/>
      <c r="GS104" s="65"/>
      <c r="GT104" s="65"/>
      <c r="GU104" s="65"/>
      <c r="GV104" s="65"/>
      <c r="GW104" s="65"/>
      <c r="GX104" s="65"/>
      <c r="GY104" s="65"/>
      <c r="GZ104" s="65"/>
      <c r="HA104" s="65"/>
      <c r="HB104" s="65"/>
      <c r="HC104" s="65"/>
      <c r="HD104" s="65"/>
      <c r="HE104" s="65"/>
      <c r="HF104" s="65"/>
      <c r="HG104" s="65"/>
      <c r="HH104" s="65"/>
      <c r="HI104" s="65"/>
      <c r="HJ104" s="65"/>
      <c r="HK104" s="65"/>
      <c r="HL104" s="65"/>
      <c r="HM104" s="65"/>
      <c r="HN104" s="65"/>
      <c r="HO104" s="65"/>
    </row>
    <row r="105" spans="1:223" s="78" customFormat="1" ht="34.5" customHeight="1" x14ac:dyDescent="0.25">
      <c r="A105" s="353">
        <v>2025</v>
      </c>
      <c r="B105" s="354">
        <v>6</v>
      </c>
      <c r="C105" s="353">
        <v>22819</v>
      </c>
      <c r="D105" s="273">
        <v>45839</v>
      </c>
      <c r="E105" s="81" t="s">
        <v>2309</v>
      </c>
      <c r="F105" s="81" t="s">
        <v>2310</v>
      </c>
      <c r="G105" s="81" t="s">
        <v>2311</v>
      </c>
      <c r="H105" s="78">
        <v>3126882859</v>
      </c>
      <c r="I105" s="78">
        <v>4442580</v>
      </c>
      <c r="K105" s="78" t="s">
        <v>88</v>
      </c>
      <c r="L105" s="79" t="s">
        <v>2312</v>
      </c>
      <c r="M105" s="78" t="s">
        <v>136</v>
      </c>
      <c r="N105" s="78" t="s">
        <v>136</v>
      </c>
      <c r="O105" s="78">
        <v>6901</v>
      </c>
      <c r="P105" s="78">
        <v>9278</v>
      </c>
      <c r="Q105" s="78">
        <v>5609</v>
      </c>
      <c r="R105" s="78" t="s">
        <v>136</v>
      </c>
      <c r="S105" s="78" t="s">
        <v>136</v>
      </c>
      <c r="T105" s="78" t="s">
        <v>134</v>
      </c>
      <c r="U105" s="78" t="s">
        <v>134</v>
      </c>
      <c r="V105" s="81" t="s">
        <v>119</v>
      </c>
      <c r="X105" s="66"/>
      <c r="Z105" s="80" t="s">
        <v>114</v>
      </c>
      <c r="AA105" s="371">
        <v>2530000</v>
      </c>
      <c r="AB105" s="78">
        <v>6023</v>
      </c>
      <c r="AC105" s="228">
        <v>2200000</v>
      </c>
      <c r="AD105" s="228">
        <f t="shared" si="2"/>
        <v>2618000</v>
      </c>
      <c r="AE105" s="303">
        <v>0</v>
      </c>
      <c r="AG105" s="210" t="s">
        <v>2313</v>
      </c>
      <c r="AH105" s="241"/>
      <c r="AI105" s="66">
        <v>45847</v>
      </c>
      <c r="AJ105" s="78" t="s">
        <v>2257</v>
      </c>
      <c r="AL105" s="65"/>
      <c r="AM105" s="65"/>
      <c r="AN105" s="65"/>
      <c r="AO105" s="65"/>
      <c r="AP105" s="65"/>
      <c r="AQ105" s="65"/>
      <c r="AR105" s="65"/>
      <c r="AS105" s="65"/>
      <c r="AT105" s="65"/>
      <c r="AU105" s="65"/>
      <c r="AV105" s="65"/>
      <c r="AW105" s="65"/>
      <c r="AX105" s="65"/>
      <c r="AY105" s="65"/>
      <c r="AZ105" s="65"/>
      <c r="BA105" s="65"/>
      <c r="BB105" s="65"/>
      <c r="BC105" s="65"/>
      <c r="BD105" s="65"/>
      <c r="BE105" s="65"/>
      <c r="BF105" s="65"/>
      <c r="BG105" s="65"/>
      <c r="BH105" s="65"/>
      <c r="BI105" s="65"/>
      <c r="BJ105" s="65"/>
      <c r="BK105" s="65"/>
      <c r="BL105" s="65"/>
      <c r="BM105" s="65"/>
      <c r="BN105" s="65"/>
      <c r="BO105" s="65"/>
      <c r="BP105" s="65"/>
      <c r="BQ105" s="65"/>
      <c r="BR105" s="65"/>
      <c r="BS105" s="65"/>
      <c r="BT105" s="65"/>
      <c r="BU105" s="65"/>
      <c r="BV105" s="65"/>
      <c r="BW105" s="65"/>
      <c r="BX105" s="65"/>
      <c r="BY105" s="65"/>
      <c r="BZ105" s="65"/>
      <c r="CA105" s="65"/>
      <c r="CB105" s="65"/>
      <c r="CC105" s="65"/>
      <c r="CD105" s="65"/>
      <c r="CE105" s="65"/>
      <c r="CF105" s="65"/>
      <c r="CG105" s="65"/>
      <c r="CH105" s="65"/>
      <c r="CI105" s="65"/>
      <c r="CJ105" s="65"/>
      <c r="CK105" s="65"/>
      <c r="CL105" s="65"/>
      <c r="CM105" s="65"/>
      <c r="CN105" s="65"/>
      <c r="CO105" s="65"/>
      <c r="CP105" s="65"/>
      <c r="CQ105" s="65"/>
      <c r="CR105" s="65"/>
      <c r="CS105" s="65"/>
      <c r="CT105" s="65"/>
      <c r="CU105" s="65"/>
      <c r="CV105" s="65"/>
      <c r="CW105" s="65"/>
      <c r="CX105" s="65"/>
      <c r="CY105" s="65"/>
      <c r="CZ105" s="65"/>
      <c r="DA105" s="65"/>
      <c r="DB105" s="65"/>
      <c r="DC105" s="65"/>
      <c r="DD105" s="65"/>
      <c r="DE105" s="65"/>
      <c r="DF105" s="65"/>
      <c r="DG105" s="65"/>
      <c r="DH105" s="65"/>
      <c r="DI105" s="65"/>
      <c r="DJ105" s="65"/>
      <c r="DK105" s="65"/>
      <c r="DL105" s="65"/>
      <c r="DM105" s="65"/>
      <c r="DN105" s="65"/>
      <c r="DO105" s="65"/>
      <c r="DP105" s="65"/>
      <c r="DQ105" s="65"/>
      <c r="DR105" s="65"/>
      <c r="DS105" s="65"/>
      <c r="DT105" s="65"/>
      <c r="DU105" s="65"/>
      <c r="DV105" s="65"/>
      <c r="DW105" s="65"/>
      <c r="DX105" s="65"/>
      <c r="DY105" s="65"/>
      <c r="DZ105" s="65"/>
      <c r="EA105" s="65"/>
      <c r="EB105" s="65"/>
      <c r="EC105" s="65"/>
      <c r="ED105" s="65"/>
      <c r="EE105" s="65"/>
      <c r="EF105" s="65"/>
      <c r="EG105" s="65"/>
      <c r="EH105" s="65"/>
      <c r="EI105" s="65"/>
      <c r="EJ105" s="65"/>
      <c r="EK105" s="65"/>
      <c r="EL105" s="65"/>
      <c r="EM105" s="65"/>
      <c r="EN105" s="65"/>
      <c r="EO105" s="65"/>
      <c r="EP105" s="65"/>
      <c r="EQ105" s="65"/>
      <c r="ER105" s="65"/>
      <c r="ES105" s="65"/>
      <c r="ET105" s="65"/>
      <c r="EU105" s="65"/>
      <c r="EV105" s="65"/>
      <c r="EW105" s="65"/>
      <c r="EX105" s="65"/>
      <c r="EY105" s="65"/>
      <c r="EZ105" s="65"/>
      <c r="FA105" s="65"/>
      <c r="FB105" s="65"/>
      <c r="FC105" s="65"/>
      <c r="FD105" s="65"/>
      <c r="FE105" s="65"/>
      <c r="FF105" s="65"/>
      <c r="FG105" s="65"/>
      <c r="FH105" s="65"/>
      <c r="FI105" s="65"/>
      <c r="FJ105" s="65"/>
      <c r="FK105" s="65"/>
      <c r="FL105" s="65"/>
      <c r="FM105" s="65"/>
      <c r="FN105" s="65"/>
      <c r="FO105" s="65"/>
      <c r="FP105" s="65"/>
      <c r="FQ105" s="65"/>
      <c r="FR105" s="65"/>
      <c r="FS105" s="65"/>
      <c r="FT105" s="65"/>
      <c r="FU105" s="65"/>
      <c r="FV105" s="65"/>
      <c r="FW105" s="65"/>
      <c r="FX105" s="65"/>
      <c r="FY105" s="65"/>
      <c r="FZ105" s="65"/>
      <c r="GA105" s="65"/>
      <c r="GB105" s="65"/>
      <c r="GC105" s="65"/>
      <c r="GD105" s="65"/>
      <c r="GE105" s="65"/>
      <c r="GF105" s="65"/>
      <c r="GG105" s="65"/>
      <c r="GH105" s="65"/>
      <c r="GI105" s="65"/>
      <c r="GJ105" s="65"/>
      <c r="GK105" s="65"/>
      <c r="GL105" s="65"/>
      <c r="GM105" s="65"/>
      <c r="GN105" s="65"/>
      <c r="GO105" s="65"/>
      <c r="GP105" s="65"/>
      <c r="GQ105" s="65"/>
      <c r="GR105" s="65"/>
      <c r="GS105" s="65"/>
      <c r="GT105" s="65"/>
      <c r="GU105" s="65"/>
      <c r="GV105" s="65"/>
      <c r="GW105" s="65"/>
      <c r="GX105" s="65"/>
      <c r="GY105" s="65"/>
      <c r="GZ105" s="65"/>
      <c r="HA105" s="65"/>
      <c r="HB105" s="65"/>
      <c r="HC105" s="65"/>
      <c r="HD105" s="65"/>
      <c r="HE105" s="65"/>
      <c r="HF105" s="65"/>
      <c r="HG105" s="65"/>
      <c r="HH105" s="65"/>
      <c r="HI105" s="65"/>
      <c r="HJ105" s="65"/>
      <c r="HK105" s="65"/>
      <c r="HL105" s="65"/>
      <c r="HM105" s="65"/>
      <c r="HN105" s="65"/>
      <c r="HO105" s="65"/>
    </row>
    <row r="106" spans="1:223" s="78" customFormat="1" ht="34.5" customHeight="1" x14ac:dyDescent="0.25">
      <c r="A106" s="353">
        <v>2025</v>
      </c>
      <c r="B106" s="354">
        <v>6</v>
      </c>
      <c r="C106" s="353">
        <v>22820</v>
      </c>
      <c r="D106" s="273">
        <v>45839</v>
      </c>
      <c r="E106" s="81" t="s">
        <v>2309</v>
      </c>
      <c r="F106" s="81" t="s">
        <v>2310</v>
      </c>
      <c r="G106" s="81" t="s">
        <v>2311</v>
      </c>
      <c r="H106" s="78">
        <v>3126882859</v>
      </c>
      <c r="I106" s="78">
        <v>4442580</v>
      </c>
      <c r="K106" s="78" t="s">
        <v>88</v>
      </c>
      <c r="L106" s="79" t="s">
        <v>2314</v>
      </c>
      <c r="M106" s="78" t="s">
        <v>136</v>
      </c>
      <c r="O106" s="78" t="s">
        <v>136</v>
      </c>
      <c r="P106" s="78">
        <v>9279</v>
      </c>
      <c r="Q106" s="78">
        <v>5609</v>
      </c>
      <c r="R106" s="78" t="s">
        <v>134</v>
      </c>
      <c r="S106" s="78" t="s">
        <v>134</v>
      </c>
      <c r="T106" s="78" t="s">
        <v>134</v>
      </c>
      <c r="U106" s="78" t="s">
        <v>136</v>
      </c>
      <c r="V106" s="81" t="s">
        <v>119</v>
      </c>
      <c r="X106" s="66"/>
      <c r="Z106" s="80" t="s">
        <v>21</v>
      </c>
      <c r="AA106" s="371">
        <v>0</v>
      </c>
      <c r="AB106" s="78">
        <v>6022</v>
      </c>
      <c r="AC106" s="228">
        <v>602780</v>
      </c>
      <c r="AD106" s="228">
        <f t="shared" si="2"/>
        <v>717308.2</v>
      </c>
      <c r="AE106" s="303">
        <v>0</v>
      </c>
      <c r="AG106" s="210" t="s">
        <v>2313</v>
      </c>
      <c r="AH106" s="403"/>
      <c r="AI106" s="66">
        <v>45847</v>
      </c>
      <c r="AJ106" s="78" t="s">
        <v>2257</v>
      </c>
      <c r="AL106" s="65"/>
      <c r="AM106" s="65"/>
      <c r="AN106" s="65"/>
      <c r="AO106" s="65"/>
      <c r="AP106" s="65"/>
      <c r="AQ106" s="65"/>
      <c r="AR106" s="65"/>
      <c r="AS106" s="65"/>
      <c r="AT106" s="65"/>
      <c r="AU106" s="65"/>
      <c r="AV106" s="65"/>
      <c r="AW106" s="65"/>
      <c r="AX106" s="65"/>
      <c r="AY106" s="65"/>
      <c r="AZ106" s="65"/>
      <c r="BA106" s="65"/>
      <c r="BB106" s="65"/>
      <c r="BC106" s="65"/>
      <c r="BD106" s="65"/>
      <c r="BE106" s="65"/>
      <c r="BF106" s="65"/>
      <c r="BG106" s="65"/>
      <c r="BH106" s="65"/>
      <c r="BI106" s="65"/>
      <c r="BJ106" s="65"/>
      <c r="BK106" s="65"/>
      <c r="BL106" s="65"/>
      <c r="BM106" s="65"/>
      <c r="BN106" s="65"/>
      <c r="BO106" s="65"/>
      <c r="BP106" s="65"/>
      <c r="BQ106" s="65"/>
      <c r="BR106" s="65"/>
      <c r="BS106" s="65"/>
      <c r="BT106" s="65"/>
      <c r="BU106" s="65"/>
      <c r="BV106" s="65"/>
      <c r="BW106" s="65"/>
      <c r="BX106" s="65"/>
      <c r="BY106" s="65"/>
      <c r="BZ106" s="65"/>
      <c r="CA106" s="65"/>
      <c r="CB106" s="65"/>
      <c r="CC106" s="65"/>
      <c r="CD106" s="65"/>
      <c r="CE106" s="65"/>
      <c r="CF106" s="65"/>
      <c r="CG106" s="65"/>
      <c r="CH106" s="65"/>
      <c r="CI106" s="65"/>
      <c r="CJ106" s="65"/>
      <c r="CK106" s="65"/>
      <c r="CL106" s="65"/>
      <c r="CM106" s="65"/>
      <c r="CN106" s="65"/>
      <c r="CO106" s="65"/>
      <c r="CP106" s="65"/>
      <c r="CQ106" s="65"/>
      <c r="CR106" s="65"/>
      <c r="CS106" s="65"/>
      <c r="CT106" s="65"/>
      <c r="CU106" s="65"/>
      <c r="CV106" s="65"/>
      <c r="CW106" s="65"/>
      <c r="CX106" s="65"/>
      <c r="CY106" s="65"/>
      <c r="CZ106" s="65"/>
      <c r="DA106" s="65"/>
      <c r="DB106" s="65"/>
      <c r="DC106" s="65"/>
      <c r="DD106" s="65"/>
      <c r="DE106" s="65"/>
      <c r="DF106" s="65"/>
      <c r="DG106" s="65"/>
      <c r="DH106" s="65"/>
      <c r="DI106" s="65"/>
      <c r="DJ106" s="65"/>
      <c r="DK106" s="65"/>
      <c r="DL106" s="65"/>
      <c r="DM106" s="65"/>
      <c r="DN106" s="65"/>
      <c r="DO106" s="65"/>
      <c r="DP106" s="65"/>
      <c r="DQ106" s="65"/>
      <c r="DR106" s="65"/>
      <c r="DS106" s="65"/>
      <c r="DT106" s="65"/>
      <c r="DU106" s="65"/>
      <c r="DV106" s="65"/>
      <c r="DW106" s="65"/>
      <c r="DX106" s="65"/>
      <c r="DY106" s="65"/>
      <c r="DZ106" s="65"/>
      <c r="EA106" s="65"/>
      <c r="EB106" s="65"/>
      <c r="EC106" s="65"/>
      <c r="ED106" s="65"/>
      <c r="EE106" s="65"/>
      <c r="EF106" s="65"/>
      <c r="EG106" s="65"/>
      <c r="EH106" s="65"/>
      <c r="EI106" s="65"/>
      <c r="EJ106" s="65"/>
      <c r="EK106" s="65"/>
      <c r="EL106" s="65"/>
      <c r="EM106" s="65"/>
      <c r="EN106" s="65"/>
      <c r="EO106" s="65"/>
      <c r="EP106" s="65"/>
      <c r="EQ106" s="65"/>
      <c r="ER106" s="65"/>
      <c r="ES106" s="65"/>
      <c r="ET106" s="65"/>
      <c r="EU106" s="65"/>
      <c r="EV106" s="65"/>
      <c r="EW106" s="65"/>
      <c r="EX106" s="65"/>
      <c r="EY106" s="65"/>
      <c r="EZ106" s="65"/>
      <c r="FA106" s="65"/>
      <c r="FB106" s="65"/>
      <c r="FC106" s="65"/>
      <c r="FD106" s="65"/>
      <c r="FE106" s="65"/>
      <c r="FF106" s="65"/>
      <c r="FG106" s="65"/>
      <c r="FH106" s="65"/>
      <c r="FI106" s="65"/>
      <c r="FJ106" s="65"/>
      <c r="FK106" s="65"/>
      <c r="FL106" s="65"/>
      <c r="FM106" s="65"/>
      <c r="FN106" s="65"/>
      <c r="FO106" s="65"/>
      <c r="FP106" s="65"/>
      <c r="FQ106" s="65"/>
      <c r="FR106" s="65"/>
      <c r="FS106" s="65"/>
      <c r="FT106" s="65"/>
      <c r="FU106" s="65"/>
      <c r="FV106" s="65"/>
      <c r="FW106" s="65"/>
      <c r="FX106" s="65"/>
      <c r="FY106" s="65"/>
      <c r="FZ106" s="65"/>
      <c r="GA106" s="65"/>
      <c r="GB106" s="65"/>
      <c r="GC106" s="65"/>
      <c r="GD106" s="65"/>
      <c r="GE106" s="65"/>
      <c r="GF106" s="65"/>
      <c r="GG106" s="65"/>
      <c r="GH106" s="65"/>
      <c r="GI106" s="65"/>
      <c r="GJ106" s="65"/>
      <c r="GK106" s="65"/>
      <c r="GL106" s="65"/>
      <c r="GM106" s="65"/>
      <c r="GN106" s="65"/>
      <c r="GO106" s="65"/>
      <c r="GP106" s="65"/>
      <c r="GQ106" s="65"/>
      <c r="GR106" s="65"/>
      <c r="GS106" s="65"/>
      <c r="GT106" s="65"/>
      <c r="GU106" s="65"/>
      <c r="GV106" s="65"/>
      <c r="GW106" s="65"/>
      <c r="GX106" s="65"/>
      <c r="GY106" s="65"/>
      <c r="GZ106" s="65"/>
      <c r="HA106" s="65"/>
      <c r="HB106" s="65"/>
      <c r="HC106" s="65"/>
      <c r="HD106" s="65"/>
      <c r="HE106" s="65"/>
      <c r="HF106" s="65"/>
      <c r="HG106" s="65"/>
      <c r="HH106" s="65"/>
      <c r="HI106" s="65"/>
      <c r="HJ106" s="65"/>
      <c r="HK106" s="65"/>
      <c r="HL106" s="65"/>
      <c r="HM106" s="65"/>
      <c r="HN106" s="65"/>
      <c r="HO106" s="65"/>
    </row>
    <row r="107" spans="1:223" s="78" customFormat="1" ht="34.5" customHeight="1" x14ac:dyDescent="0.25">
      <c r="A107" s="353">
        <v>2025</v>
      </c>
      <c r="B107" s="354">
        <v>6</v>
      </c>
      <c r="C107" s="353">
        <v>22821</v>
      </c>
      <c r="D107" s="273">
        <v>45835</v>
      </c>
      <c r="E107" s="81" t="s">
        <v>2276</v>
      </c>
      <c r="F107" s="81" t="s">
        <v>2277</v>
      </c>
      <c r="G107" s="78" t="s">
        <v>143</v>
      </c>
      <c r="H107" s="78">
        <v>3137867158</v>
      </c>
      <c r="I107" s="78">
        <v>3137867158</v>
      </c>
      <c r="J107" s="435">
        <v>45849</v>
      </c>
      <c r="K107" s="78" t="s">
        <v>84</v>
      </c>
      <c r="L107" s="79" t="s">
        <v>2278</v>
      </c>
      <c r="M107" s="78" t="s">
        <v>136</v>
      </c>
      <c r="N107" s="78">
        <v>6067</v>
      </c>
      <c r="O107" s="78">
        <v>6894</v>
      </c>
      <c r="P107" s="78">
        <v>9338</v>
      </c>
      <c r="Q107" s="78">
        <v>5634</v>
      </c>
      <c r="R107" s="78" t="s">
        <v>136</v>
      </c>
      <c r="S107" s="78" t="s">
        <v>134</v>
      </c>
      <c r="T107" s="78" t="s">
        <v>134</v>
      </c>
      <c r="U107" s="78" t="s">
        <v>136</v>
      </c>
      <c r="V107" s="81" t="s">
        <v>87</v>
      </c>
      <c r="W107" s="435">
        <v>45852</v>
      </c>
      <c r="X107" s="66">
        <v>45852</v>
      </c>
      <c r="Z107" s="80" t="s">
        <v>85</v>
      </c>
      <c r="AA107" s="371">
        <v>0</v>
      </c>
      <c r="AB107" s="78">
        <v>6059</v>
      </c>
      <c r="AC107" s="228">
        <v>973109</v>
      </c>
      <c r="AD107" s="228">
        <f t="shared" si="2"/>
        <v>1157999.71</v>
      </c>
      <c r="AE107" s="303">
        <v>580000</v>
      </c>
      <c r="AG107" s="210" t="s">
        <v>2097</v>
      </c>
      <c r="AH107" s="403">
        <v>45849</v>
      </c>
      <c r="AI107" s="435">
        <v>45859</v>
      </c>
      <c r="AJ107" s="78" t="s">
        <v>1705</v>
      </c>
      <c r="AL107" s="65"/>
      <c r="AM107" s="65"/>
      <c r="AN107" s="65"/>
      <c r="AO107" s="65"/>
      <c r="AP107" s="65"/>
      <c r="AQ107" s="65"/>
      <c r="AR107" s="65"/>
      <c r="AS107" s="65"/>
      <c r="AT107" s="65"/>
      <c r="AU107" s="65"/>
      <c r="AV107" s="65"/>
      <c r="AW107" s="65"/>
      <c r="AX107" s="65"/>
      <c r="AY107" s="65"/>
      <c r="AZ107" s="65"/>
      <c r="BA107" s="65"/>
      <c r="BB107" s="65"/>
      <c r="BC107" s="65"/>
      <c r="BD107" s="65"/>
      <c r="BE107" s="65"/>
      <c r="BF107" s="65"/>
      <c r="BG107" s="65"/>
      <c r="BH107" s="65"/>
      <c r="BI107" s="65"/>
      <c r="BJ107" s="65"/>
      <c r="BK107" s="65"/>
      <c r="BL107" s="65"/>
      <c r="BM107" s="65"/>
      <c r="BN107" s="65"/>
      <c r="BO107" s="65"/>
      <c r="BP107" s="65"/>
      <c r="BQ107" s="65"/>
      <c r="BR107" s="65"/>
      <c r="BS107" s="65"/>
      <c r="BT107" s="65"/>
      <c r="BU107" s="65"/>
      <c r="BV107" s="65"/>
      <c r="BW107" s="65"/>
      <c r="BX107" s="65"/>
      <c r="BY107" s="65"/>
      <c r="BZ107" s="65"/>
      <c r="CA107" s="65"/>
      <c r="CB107" s="65"/>
      <c r="CC107" s="65"/>
      <c r="CD107" s="65"/>
      <c r="CE107" s="65"/>
      <c r="CF107" s="65"/>
      <c r="CG107" s="65"/>
      <c r="CH107" s="65"/>
      <c r="CI107" s="65"/>
      <c r="CJ107" s="65"/>
      <c r="CK107" s="65"/>
      <c r="CL107" s="65"/>
      <c r="CM107" s="65"/>
      <c r="CN107" s="65"/>
      <c r="CO107" s="65"/>
      <c r="CP107" s="65"/>
      <c r="CQ107" s="65"/>
      <c r="CR107" s="65"/>
      <c r="CS107" s="65"/>
      <c r="CT107" s="65"/>
      <c r="CU107" s="65"/>
      <c r="CV107" s="65"/>
      <c r="CW107" s="65"/>
      <c r="CX107" s="65"/>
      <c r="CY107" s="65"/>
      <c r="CZ107" s="65"/>
      <c r="DA107" s="65"/>
      <c r="DB107" s="65"/>
      <c r="DC107" s="65"/>
      <c r="DD107" s="65"/>
      <c r="DE107" s="65"/>
      <c r="DF107" s="65"/>
      <c r="DG107" s="65"/>
      <c r="DH107" s="65"/>
      <c r="DI107" s="65"/>
      <c r="DJ107" s="65"/>
      <c r="DK107" s="65"/>
      <c r="DL107" s="65"/>
      <c r="DM107" s="65"/>
      <c r="DN107" s="65"/>
      <c r="DO107" s="65"/>
      <c r="DP107" s="65"/>
      <c r="DQ107" s="65"/>
      <c r="DR107" s="65"/>
      <c r="DS107" s="65"/>
      <c r="DT107" s="65"/>
      <c r="DU107" s="65"/>
      <c r="DV107" s="65"/>
      <c r="DW107" s="65"/>
      <c r="DX107" s="65"/>
      <c r="DY107" s="65"/>
      <c r="DZ107" s="65"/>
      <c r="EA107" s="65"/>
      <c r="EB107" s="65"/>
      <c r="EC107" s="65"/>
      <c r="ED107" s="65"/>
      <c r="EE107" s="65"/>
      <c r="EF107" s="65"/>
      <c r="EG107" s="65"/>
      <c r="EH107" s="65"/>
      <c r="EI107" s="65"/>
      <c r="EJ107" s="65"/>
      <c r="EK107" s="65"/>
      <c r="EL107" s="65"/>
      <c r="EM107" s="65"/>
      <c r="EN107" s="65"/>
      <c r="EO107" s="65"/>
      <c r="EP107" s="65"/>
      <c r="EQ107" s="65"/>
      <c r="ER107" s="65"/>
      <c r="ES107" s="65"/>
      <c r="ET107" s="65"/>
      <c r="EU107" s="65"/>
      <c r="EV107" s="65"/>
      <c r="EW107" s="65"/>
      <c r="EX107" s="65"/>
      <c r="EY107" s="65"/>
      <c r="EZ107" s="65"/>
      <c r="FA107" s="65"/>
      <c r="FB107" s="65"/>
      <c r="FC107" s="65"/>
      <c r="FD107" s="65"/>
      <c r="FE107" s="65"/>
      <c r="FF107" s="65"/>
      <c r="FG107" s="65"/>
      <c r="FH107" s="65"/>
      <c r="FI107" s="65"/>
      <c r="FJ107" s="65"/>
      <c r="FK107" s="65"/>
      <c r="FL107" s="65"/>
      <c r="FM107" s="65"/>
      <c r="FN107" s="65"/>
      <c r="FO107" s="65"/>
      <c r="FP107" s="65"/>
      <c r="FQ107" s="65"/>
      <c r="FR107" s="65"/>
      <c r="FS107" s="65"/>
      <c r="FT107" s="65"/>
      <c r="FU107" s="65"/>
      <c r="FV107" s="65"/>
      <c r="FW107" s="65"/>
      <c r="FX107" s="65"/>
      <c r="FY107" s="65"/>
      <c r="FZ107" s="65"/>
      <c r="GA107" s="65"/>
      <c r="GB107" s="65"/>
      <c r="GC107" s="65"/>
      <c r="GD107" s="65"/>
      <c r="GE107" s="65"/>
      <c r="GF107" s="65"/>
      <c r="GG107" s="65"/>
      <c r="GH107" s="65"/>
      <c r="GI107" s="65"/>
      <c r="GJ107" s="65"/>
      <c r="GK107" s="65"/>
      <c r="GL107" s="65"/>
      <c r="GM107" s="65"/>
      <c r="GN107" s="65"/>
      <c r="GO107" s="65"/>
      <c r="GP107" s="65"/>
      <c r="GQ107" s="65"/>
      <c r="GR107" s="65"/>
      <c r="GS107" s="65"/>
      <c r="GT107" s="65"/>
      <c r="GU107" s="65"/>
      <c r="GV107" s="65"/>
      <c r="GW107" s="65"/>
      <c r="GX107" s="65"/>
      <c r="GY107" s="65"/>
      <c r="GZ107" s="65"/>
      <c r="HA107" s="65"/>
      <c r="HB107" s="65"/>
      <c r="HC107" s="65"/>
      <c r="HD107" s="65"/>
      <c r="HE107" s="65"/>
      <c r="HF107" s="65"/>
      <c r="HG107" s="65"/>
      <c r="HH107" s="65"/>
      <c r="HI107" s="65"/>
      <c r="HJ107" s="65"/>
      <c r="HK107" s="65"/>
      <c r="HL107" s="65"/>
      <c r="HM107" s="65"/>
      <c r="HN107" s="65"/>
      <c r="HO107" s="65"/>
    </row>
    <row r="108" spans="1:223" s="78" customFormat="1" ht="34.5" customHeight="1" x14ac:dyDescent="0.25">
      <c r="A108" s="353">
        <v>2025</v>
      </c>
      <c r="B108" s="354">
        <v>6</v>
      </c>
      <c r="C108" s="353">
        <v>22822</v>
      </c>
      <c r="D108" s="273">
        <v>45835</v>
      </c>
      <c r="E108" s="81" t="s">
        <v>235</v>
      </c>
      <c r="F108" s="81" t="s">
        <v>2029</v>
      </c>
      <c r="H108" s="78">
        <v>3004657333</v>
      </c>
      <c r="I108" s="78">
        <v>6046796985</v>
      </c>
      <c r="J108" s="435">
        <v>45843</v>
      </c>
      <c r="K108" s="78" t="s">
        <v>95</v>
      </c>
      <c r="L108" s="79" t="s">
        <v>2254</v>
      </c>
      <c r="M108" s="78" t="s">
        <v>282</v>
      </c>
      <c r="N108" s="78" t="s">
        <v>136</v>
      </c>
      <c r="O108" s="78">
        <v>6892</v>
      </c>
      <c r="P108" s="78" t="s">
        <v>136</v>
      </c>
      <c r="Q108" s="78" t="s">
        <v>136</v>
      </c>
      <c r="R108" s="78" t="s">
        <v>136</v>
      </c>
      <c r="S108" s="78" t="s">
        <v>134</v>
      </c>
      <c r="T108" s="78" t="s">
        <v>134</v>
      </c>
      <c r="U108" s="78" t="s">
        <v>136</v>
      </c>
      <c r="V108" s="81" t="s">
        <v>89</v>
      </c>
      <c r="W108" s="435">
        <v>45839</v>
      </c>
      <c r="X108" s="66">
        <v>45842</v>
      </c>
      <c r="Z108" s="80" t="s">
        <v>97</v>
      </c>
      <c r="AA108" s="371">
        <v>0</v>
      </c>
      <c r="AC108" s="228">
        <v>0</v>
      </c>
      <c r="AD108" s="228">
        <f t="shared" si="2"/>
        <v>0</v>
      </c>
      <c r="AE108" s="303">
        <v>0</v>
      </c>
      <c r="AG108" s="210" t="s">
        <v>2097</v>
      </c>
      <c r="AH108" s="241"/>
      <c r="AI108" s="435">
        <v>45847</v>
      </c>
      <c r="AJ108" s="78" t="s">
        <v>1705</v>
      </c>
      <c r="AL108" s="65"/>
      <c r="AM108" s="65"/>
      <c r="AN108" s="65"/>
      <c r="AO108" s="65"/>
      <c r="AP108" s="65"/>
      <c r="AQ108" s="65"/>
      <c r="AR108" s="65"/>
      <c r="AS108" s="65"/>
      <c r="AT108" s="65"/>
      <c r="AU108" s="65"/>
      <c r="AV108" s="65"/>
      <c r="AW108" s="65"/>
      <c r="AX108" s="65"/>
      <c r="AY108" s="65"/>
      <c r="AZ108" s="65"/>
      <c r="BA108" s="65"/>
      <c r="BB108" s="65"/>
      <c r="BC108" s="65"/>
      <c r="BD108" s="65"/>
      <c r="BE108" s="65"/>
      <c r="BF108" s="65"/>
      <c r="BG108" s="65"/>
      <c r="BH108" s="65"/>
      <c r="BI108" s="65"/>
      <c r="BJ108" s="65"/>
      <c r="BK108" s="65"/>
      <c r="BL108" s="65"/>
      <c r="BM108" s="65"/>
      <c r="BN108" s="65"/>
      <c r="BO108" s="65"/>
      <c r="BP108" s="65"/>
      <c r="BQ108" s="65"/>
      <c r="BR108" s="65"/>
      <c r="BS108" s="65"/>
      <c r="BT108" s="65"/>
      <c r="BU108" s="65"/>
      <c r="BV108" s="65"/>
      <c r="BW108" s="65"/>
      <c r="BX108" s="65"/>
      <c r="BY108" s="65"/>
      <c r="BZ108" s="65"/>
      <c r="CA108" s="65"/>
      <c r="CB108" s="65"/>
      <c r="CC108" s="65"/>
      <c r="CD108" s="65"/>
      <c r="CE108" s="65"/>
      <c r="CF108" s="65"/>
      <c r="CG108" s="65"/>
      <c r="CH108" s="65"/>
      <c r="CI108" s="65"/>
      <c r="CJ108" s="65"/>
      <c r="CK108" s="65"/>
      <c r="CL108" s="65"/>
      <c r="CM108" s="65"/>
      <c r="CN108" s="65"/>
      <c r="CO108" s="65"/>
      <c r="CP108" s="65"/>
      <c r="CQ108" s="65"/>
      <c r="CR108" s="65"/>
      <c r="CS108" s="65"/>
      <c r="CT108" s="65"/>
      <c r="CU108" s="65"/>
      <c r="CV108" s="65"/>
      <c r="CW108" s="65"/>
      <c r="CX108" s="65"/>
      <c r="CY108" s="65"/>
      <c r="CZ108" s="65"/>
      <c r="DA108" s="65"/>
      <c r="DB108" s="65"/>
      <c r="DC108" s="65"/>
      <c r="DD108" s="65"/>
      <c r="DE108" s="65"/>
      <c r="DF108" s="65"/>
      <c r="DG108" s="65"/>
      <c r="DH108" s="65"/>
      <c r="DI108" s="65"/>
      <c r="DJ108" s="65"/>
      <c r="DK108" s="65"/>
      <c r="DL108" s="65"/>
      <c r="DM108" s="65"/>
      <c r="DN108" s="65"/>
      <c r="DO108" s="65"/>
      <c r="DP108" s="65"/>
      <c r="DQ108" s="65"/>
      <c r="DR108" s="65"/>
      <c r="DS108" s="65"/>
      <c r="DT108" s="65"/>
      <c r="DU108" s="65"/>
      <c r="DV108" s="65"/>
      <c r="DW108" s="65"/>
      <c r="DX108" s="65"/>
      <c r="DY108" s="65"/>
      <c r="DZ108" s="65"/>
      <c r="EA108" s="65"/>
      <c r="EB108" s="65"/>
      <c r="EC108" s="65"/>
      <c r="ED108" s="65"/>
      <c r="EE108" s="65"/>
      <c r="EF108" s="65"/>
      <c r="EG108" s="65"/>
      <c r="EH108" s="65"/>
      <c r="EI108" s="65"/>
      <c r="EJ108" s="65"/>
      <c r="EK108" s="65"/>
      <c r="EL108" s="65"/>
      <c r="EM108" s="65"/>
      <c r="EN108" s="65"/>
      <c r="EO108" s="65"/>
      <c r="EP108" s="65"/>
      <c r="EQ108" s="65"/>
      <c r="ER108" s="65"/>
      <c r="ES108" s="65"/>
      <c r="ET108" s="65"/>
      <c r="EU108" s="65"/>
      <c r="EV108" s="65"/>
      <c r="EW108" s="65"/>
      <c r="EX108" s="65"/>
      <c r="EY108" s="65"/>
      <c r="EZ108" s="65"/>
      <c r="FA108" s="65"/>
      <c r="FB108" s="65"/>
      <c r="FC108" s="65"/>
      <c r="FD108" s="65"/>
      <c r="FE108" s="65"/>
      <c r="FF108" s="65"/>
      <c r="FG108" s="65"/>
      <c r="FH108" s="65"/>
      <c r="FI108" s="65"/>
      <c r="FJ108" s="65"/>
      <c r="FK108" s="65"/>
      <c r="FL108" s="65"/>
      <c r="FM108" s="65"/>
      <c r="FN108" s="65"/>
      <c r="FO108" s="65"/>
      <c r="FP108" s="65"/>
      <c r="FQ108" s="65"/>
      <c r="FR108" s="65"/>
      <c r="FS108" s="65"/>
      <c r="FT108" s="65"/>
      <c r="FU108" s="65"/>
      <c r="FV108" s="65"/>
      <c r="FW108" s="65"/>
      <c r="FX108" s="65"/>
      <c r="FY108" s="65"/>
      <c r="FZ108" s="65"/>
      <c r="GA108" s="65"/>
      <c r="GB108" s="65"/>
      <c r="GC108" s="65"/>
      <c r="GD108" s="65"/>
      <c r="GE108" s="65"/>
      <c r="GF108" s="65"/>
      <c r="GG108" s="65"/>
      <c r="GH108" s="65"/>
      <c r="GI108" s="65"/>
      <c r="GJ108" s="65"/>
      <c r="GK108" s="65"/>
      <c r="GL108" s="65"/>
      <c r="GM108" s="65"/>
      <c r="GN108" s="65"/>
      <c r="GO108" s="65"/>
      <c r="GP108" s="65"/>
      <c r="GQ108" s="65"/>
      <c r="GR108" s="65"/>
      <c r="GS108" s="65"/>
      <c r="GT108" s="65"/>
      <c r="GU108" s="65"/>
      <c r="GV108" s="65"/>
      <c r="GW108" s="65"/>
      <c r="GX108" s="65"/>
      <c r="GY108" s="65"/>
      <c r="GZ108" s="65"/>
      <c r="HA108" s="65"/>
      <c r="HB108" s="65"/>
      <c r="HC108" s="65"/>
      <c r="HD108" s="65"/>
      <c r="HE108" s="65"/>
      <c r="HF108" s="65"/>
      <c r="HG108" s="65"/>
      <c r="HH108" s="65"/>
      <c r="HI108" s="65"/>
      <c r="HJ108" s="65"/>
      <c r="HK108" s="65"/>
      <c r="HL108" s="65"/>
      <c r="HM108" s="65"/>
      <c r="HN108" s="65"/>
      <c r="HO108" s="65"/>
    </row>
    <row r="109" spans="1:223" s="78" customFormat="1" ht="34.5" customHeight="1" x14ac:dyDescent="0.25">
      <c r="A109" s="353">
        <v>2025</v>
      </c>
      <c r="B109" s="354">
        <v>6</v>
      </c>
      <c r="C109" s="353">
        <v>22823</v>
      </c>
      <c r="D109" s="273">
        <v>45836</v>
      </c>
      <c r="E109" s="81" t="s">
        <v>1756</v>
      </c>
      <c r="F109" s="81" t="s">
        <v>183</v>
      </c>
      <c r="G109" s="78" t="s">
        <v>98</v>
      </c>
      <c r="H109" s="78">
        <v>3206699358</v>
      </c>
      <c r="I109" s="78">
        <v>6044488600</v>
      </c>
      <c r="J109" s="435">
        <v>45853</v>
      </c>
      <c r="K109" s="78" t="s">
        <v>88</v>
      </c>
      <c r="L109" s="79" t="s">
        <v>2279</v>
      </c>
      <c r="M109" s="78" t="s">
        <v>136</v>
      </c>
      <c r="N109" s="78">
        <v>6062</v>
      </c>
      <c r="O109" s="78" t="s">
        <v>136</v>
      </c>
      <c r="P109" s="78">
        <v>9347</v>
      </c>
      <c r="Q109" s="78" t="s">
        <v>136</v>
      </c>
      <c r="R109" s="78" t="s">
        <v>136</v>
      </c>
      <c r="S109" s="78" t="s">
        <v>136</v>
      </c>
      <c r="T109" s="78" t="s">
        <v>2065</v>
      </c>
      <c r="U109" s="78" t="s">
        <v>136</v>
      </c>
      <c r="V109" s="81" t="s">
        <v>119</v>
      </c>
      <c r="W109" s="435">
        <v>45856</v>
      </c>
      <c r="X109" s="66">
        <v>45859</v>
      </c>
      <c r="Z109" s="80" t="s">
        <v>85</v>
      </c>
      <c r="AA109" s="371">
        <v>0</v>
      </c>
      <c r="AB109" s="78">
        <v>6079</v>
      </c>
      <c r="AC109" s="228">
        <v>585714</v>
      </c>
      <c r="AD109" s="228">
        <f t="shared" ref="AD109" si="3">AC109*1.19</f>
        <v>696999.65999999992</v>
      </c>
      <c r="AE109" s="303">
        <v>350000</v>
      </c>
      <c r="AG109" s="210" t="s">
        <v>2139</v>
      </c>
      <c r="AH109" s="403">
        <v>45859</v>
      </c>
      <c r="AI109" s="435">
        <v>45861</v>
      </c>
      <c r="AJ109" s="78" t="s">
        <v>1705</v>
      </c>
      <c r="AL109" s="65"/>
      <c r="AM109" s="65"/>
      <c r="AN109" s="65"/>
      <c r="AO109" s="65"/>
      <c r="AP109" s="65"/>
      <c r="AQ109" s="65"/>
      <c r="AR109" s="65"/>
      <c r="AS109" s="65"/>
      <c r="AT109" s="65"/>
      <c r="AU109" s="65"/>
      <c r="AV109" s="65"/>
      <c r="AW109" s="65"/>
      <c r="AX109" s="65"/>
      <c r="AY109" s="65"/>
      <c r="AZ109" s="65"/>
      <c r="BA109" s="65"/>
      <c r="BB109" s="65"/>
      <c r="BC109" s="65"/>
      <c r="BD109" s="65"/>
      <c r="BE109" s="65"/>
      <c r="BF109" s="65"/>
      <c r="BG109" s="65"/>
      <c r="BH109" s="65"/>
      <c r="BI109" s="65"/>
      <c r="BJ109" s="65"/>
      <c r="BK109" s="65"/>
      <c r="BL109" s="65"/>
      <c r="BM109" s="65"/>
      <c r="BN109" s="65"/>
      <c r="BO109" s="65"/>
      <c r="BP109" s="65"/>
      <c r="BQ109" s="65"/>
      <c r="BR109" s="65"/>
      <c r="BS109" s="65"/>
      <c r="BT109" s="65"/>
      <c r="BU109" s="65"/>
      <c r="BV109" s="65"/>
      <c r="BW109" s="65"/>
      <c r="BX109" s="65"/>
      <c r="BY109" s="65"/>
      <c r="BZ109" s="65"/>
      <c r="CA109" s="65"/>
      <c r="CB109" s="65"/>
      <c r="CC109" s="65"/>
      <c r="CD109" s="65"/>
      <c r="CE109" s="65"/>
      <c r="CF109" s="65"/>
      <c r="CG109" s="65"/>
      <c r="CH109" s="65"/>
      <c r="CI109" s="65"/>
      <c r="CJ109" s="65"/>
      <c r="CK109" s="65"/>
      <c r="CL109" s="65"/>
      <c r="CM109" s="65"/>
      <c r="CN109" s="65"/>
      <c r="CO109" s="65"/>
      <c r="CP109" s="65"/>
      <c r="CQ109" s="65"/>
      <c r="CR109" s="65"/>
      <c r="CS109" s="65"/>
      <c r="CT109" s="65"/>
      <c r="CU109" s="65"/>
      <c r="CV109" s="65"/>
      <c r="CW109" s="65"/>
      <c r="CX109" s="65"/>
      <c r="CY109" s="65"/>
      <c r="CZ109" s="65"/>
      <c r="DA109" s="65"/>
      <c r="DB109" s="65"/>
      <c r="DC109" s="65"/>
      <c r="DD109" s="65"/>
      <c r="DE109" s="65"/>
      <c r="DF109" s="65"/>
      <c r="DG109" s="65"/>
      <c r="DH109" s="65"/>
      <c r="DI109" s="65"/>
      <c r="DJ109" s="65"/>
      <c r="DK109" s="65"/>
      <c r="DL109" s="65"/>
      <c r="DM109" s="65"/>
      <c r="DN109" s="65"/>
      <c r="DO109" s="65"/>
      <c r="DP109" s="65"/>
      <c r="DQ109" s="65"/>
      <c r="DR109" s="65"/>
      <c r="DS109" s="65"/>
      <c r="DT109" s="65"/>
      <c r="DU109" s="65"/>
      <c r="DV109" s="65"/>
      <c r="DW109" s="65"/>
      <c r="DX109" s="65"/>
      <c r="DY109" s="65"/>
      <c r="DZ109" s="65"/>
      <c r="EA109" s="65"/>
      <c r="EB109" s="65"/>
      <c r="EC109" s="65"/>
      <c r="ED109" s="65"/>
      <c r="EE109" s="65"/>
      <c r="EF109" s="65"/>
      <c r="EG109" s="65"/>
      <c r="EH109" s="65"/>
      <c r="EI109" s="65"/>
      <c r="EJ109" s="65"/>
      <c r="EK109" s="65"/>
      <c r="EL109" s="65"/>
      <c r="EM109" s="65"/>
      <c r="EN109" s="65"/>
      <c r="EO109" s="65"/>
      <c r="EP109" s="65"/>
      <c r="EQ109" s="65"/>
      <c r="ER109" s="65"/>
      <c r="ES109" s="65"/>
      <c r="ET109" s="65"/>
      <c r="EU109" s="65"/>
      <c r="EV109" s="65"/>
      <c r="EW109" s="65"/>
      <c r="EX109" s="65"/>
      <c r="EY109" s="65"/>
      <c r="EZ109" s="65"/>
      <c r="FA109" s="65"/>
      <c r="FB109" s="65"/>
      <c r="FC109" s="65"/>
      <c r="FD109" s="65"/>
      <c r="FE109" s="65"/>
      <c r="FF109" s="65"/>
      <c r="FG109" s="65"/>
      <c r="FH109" s="65"/>
      <c r="FI109" s="65"/>
      <c r="FJ109" s="65"/>
      <c r="FK109" s="65"/>
      <c r="FL109" s="65"/>
      <c r="FM109" s="65"/>
      <c r="FN109" s="65"/>
      <c r="FO109" s="65"/>
      <c r="FP109" s="65"/>
      <c r="FQ109" s="65"/>
      <c r="FR109" s="65"/>
      <c r="FS109" s="65"/>
      <c r="FT109" s="65"/>
      <c r="FU109" s="65"/>
      <c r="FV109" s="65"/>
      <c r="FW109" s="65"/>
      <c r="FX109" s="65"/>
      <c r="FY109" s="65"/>
      <c r="FZ109" s="65"/>
      <c r="GA109" s="65"/>
      <c r="GB109" s="65"/>
      <c r="GC109" s="65"/>
      <c r="GD109" s="65"/>
      <c r="GE109" s="65"/>
      <c r="GF109" s="65"/>
      <c r="GG109" s="65"/>
      <c r="GH109" s="65"/>
      <c r="GI109" s="65"/>
      <c r="GJ109" s="65"/>
      <c r="GK109" s="65"/>
      <c r="GL109" s="65"/>
      <c r="GM109" s="65"/>
      <c r="GN109" s="65"/>
      <c r="GO109" s="65"/>
      <c r="GP109" s="65"/>
      <c r="GQ109" s="65"/>
      <c r="GR109" s="65"/>
      <c r="GS109" s="65"/>
      <c r="GT109" s="65"/>
      <c r="GU109" s="65"/>
      <c r="GV109" s="65"/>
      <c r="GW109" s="65"/>
      <c r="GX109" s="65"/>
      <c r="GY109" s="65"/>
      <c r="GZ109" s="65"/>
      <c r="HA109" s="65"/>
      <c r="HB109" s="65"/>
      <c r="HC109" s="65"/>
      <c r="HD109" s="65"/>
      <c r="HE109" s="65"/>
      <c r="HF109" s="65"/>
      <c r="HG109" s="65"/>
      <c r="HH109" s="65"/>
      <c r="HI109" s="65"/>
      <c r="HJ109" s="65"/>
      <c r="HK109" s="65"/>
      <c r="HL109" s="65"/>
      <c r="HM109" s="65"/>
      <c r="HN109" s="65"/>
      <c r="HO109" s="65"/>
    </row>
    <row r="110" spans="1:223" ht="34.5" customHeight="1" x14ac:dyDescent="0.25">
      <c r="C110" s="359"/>
    </row>
    <row r="111" spans="1:223" ht="34.5" customHeight="1" x14ac:dyDescent="0.25">
      <c r="C111" s="359"/>
    </row>
    <row r="112" spans="1:223" ht="34.5" customHeight="1" x14ac:dyDescent="0.25">
      <c r="C112" s="359"/>
    </row>
    <row r="113" spans="3:3" ht="34.5" customHeight="1" x14ac:dyDescent="0.25">
      <c r="C113" s="359"/>
    </row>
    <row r="114" spans="3:3" ht="34.5" customHeight="1" x14ac:dyDescent="0.25">
      <c r="C114" s="359"/>
    </row>
    <row r="115" spans="3:3" ht="34.5" customHeight="1" x14ac:dyDescent="0.25">
      <c r="C115" s="359"/>
    </row>
    <row r="116" spans="3:3" ht="34.5" customHeight="1" x14ac:dyDescent="0.25">
      <c r="C116" s="359"/>
    </row>
    <row r="117" spans="3:3" ht="34.5" customHeight="1" x14ac:dyDescent="0.25">
      <c r="C117" s="359"/>
    </row>
    <row r="118" spans="3:3" ht="34.5" customHeight="1" x14ac:dyDescent="0.25">
      <c r="C118" s="359"/>
    </row>
    <row r="119" spans="3:3" ht="34.5" customHeight="1" x14ac:dyDescent="0.25">
      <c r="C119" s="359"/>
    </row>
    <row r="120" spans="3:3" ht="34.5" customHeight="1" x14ac:dyDescent="0.25">
      <c r="C120" s="359"/>
    </row>
    <row r="121" spans="3:3" ht="34.5" customHeight="1" x14ac:dyDescent="0.25">
      <c r="C121" s="359"/>
    </row>
    <row r="122" spans="3:3" ht="34.5" customHeight="1" x14ac:dyDescent="0.25">
      <c r="C122" s="359"/>
    </row>
    <row r="123" spans="3:3" ht="34.5" customHeight="1" x14ac:dyDescent="0.25">
      <c r="C123" s="359"/>
    </row>
    <row r="124" spans="3:3" ht="34.5" customHeight="1" x14ac:dyDescent="0.25">
      <c r="C124" s="359"/>
    </row>
    <row r="125" spans="3:3" ht="34.5" customHeight="1" x14ac:dyDescent="0.25">
      <c r="C125" s="359"/>
    </row>
    <row r="126" spans="3:3" ht="34.5" customHeight="1" x14ac:dyDescent="0.25">
      <c r="C126" s="359"/>
    </row>
    <row r="127" spans="3:3" ht="34.5" customHeight="1" x14ac:dyDescent="0.25">
      <c r="C127" s="359"/>
    </row>
    <row r="128" spans="3:3" ht="34.5" customHeight="1" x14ac:dyDescent="0.25">
      <c r="C128" s="359"/>
    </row>
    <row r="129" spans="3:3" ht="34.5" customHeight="1" x14ac:dyDescent="0.25">
      <c r="C129" s="359"/>
    </row>
    <row r="130" spans="3:3" ht="34.5" customHeight="1" x14ac:dyDescent="0.25">
      <c r="C130" s="359"/>
    </row>
    <row r="131" spans="3:3" ht="34.5" customHeight="1" x14ac:dyDescent="0.25">
      <c r="C131" s="359"/>
    </row>
    <row r="132" spans="3:3" ht="34.5" customHeight="1" x14ac:dyDescent="0.25">
      <c r="C132" s="359"/>
    </row>
    <row r="133" spans="3:3" ht="34.5" customHeight="1" x14ac:dyDescent="0.25">
      <c r="C133" s="359"/>
    </row>
    <row r="134" spans="3:3" ht="34.5" customHeight="1" x14ac:dyDescent="0.25">
      <c r="C134" s="359"/>
    </row>
    <row r="135" spans="3:3" ht="34.5" customHeight="1" x14ac:dyDescent="0.25">
      <c r="C135" s="359"/>
    </row>
    <row r="136" spans="3:3" ht="34.5" customHeight="1" x14ac:dyDescent="0.25">
      <c r="C136" s="359"/>
    </row>
    <row r="137" spans="3:3" ht="34.5" customHeight="1" x14ac:dyDescent="0.25">
      <c r="C137" s="359"/>
    </row>
    <row r="138" spans="3:3" ht="34.5" customHeight="1" x14ac:dyDescent="0.25">
      <c r="C138" s="359"/>
    </row>
    <row r="139" spans="3:3" ht="34.5" customHeight="1" x14ac:dyDescent="0.25">
      <c r="C139" s="359"/>
    </row>
    <row r="140" spans="3:3" ht="34.5" customHeight="1" x14ac:dyDescent="0.25">
      <c r="C140" s="359"/>
    </row>
    <row r="141" spans="3:3" ht="34.5" customHeight="1" x14ac:dyDescent="0.25">
      <c r="C141" s="359"/>
    </row>
    <row r="142" spans="3:3" ht="34.5" customHeight="1" x14ac:dyDescent="0.25">
      <c r="C142" s="359"/>
    </row>
    <row r="143" spans="3:3" ht="34.5" customHeight="1" x14ac:dyDescent="0.25">
      <c r="C143" s="359"/>
    </row>
    <row r="144" spans="3:3" ht="34.5" customHeight="1" x14ac:dyDescent="0.25">
      <c r="C144" s="359"/>
    </row>
    <row r="145" spans="3:3" ht="34.5" customHeight="1" x14ac:dyDescent="0.25">
      <c r="C145" s="359"/>
    </row>
    <row r="146" spans="3:3" ht="34.5" customHeight="1" x14ac:dyDescent="0.25">
      <c r="C146" s="359"/>
    </row>
    <row r="147" spans="3:3" ht="34.5" customHeight="1" x14ac:dyDescent="0.25">
      <c r="C147" s="359"/>
    </row>
    <row r="148" spans="3:3" ht="34.5" customHeight="1" x14ac:dyDescent="0.25">
      <c r="C148" s="359"/>
    </row>
    <row r="149" spans="3:3" ht="34.5" customHeight="1" x14ac:dyDescent="0.25">
      <c r="C149" s="359"/>
    </row>
    <row r="150" spans="3:3" ht="34.5" customHeight="1" x14ac:dyDescent="0.25">
      <c r="C150" s="359"/>
    </row>
    <row r="151" spans="3:3" ht="34.5" customHeight="1" x14ac:dyDescent="0.25">
      <c r="C151" s="359"/>
    </row>
    <row r="152" spans="3:3" ht="34.5" customHeight="1" x14ac:dyDescent="0.25">
      <c r="C152" s="359"/>
    </row>
    <row r="153" spans="3:3" ht="34.5" customHeight="1" x14ac:dyDescent="0.25">
      <c r="C153" s="359"/>
    </row>
    <row r="154" spans="3:3" ht="34.5" customHeight="1" x14ac:dyDescent="0.25">
      <c r="C154" s="359"/>
    </row>
    <row r="155" spans="3:3" ht="34.5" customHeight="1" x14ac:dyDescent="0.25">
      <c r="C155" s="359"/>
    </row>
    <row r="156" spans="3:3" ht="34.5" customHeight="1" x14ac:dyDescent="0.25">
      <c r="C156" s="359"/>
    </row>
    <row r="157" spans="3:3" ht="34.5" customHeight="1" x14ac:dyDescent="0.25">
      <c r="C157" s="359"/>
    </row>
    <row r="158" spans="3:3" ht="34.5" customHeight="1" x14ac:dyDescent="0.25">
      <c r="C158" s="359"/>
    </row>
    <row r="159" spans="3:3" ht="34.5" customHeight="1" x14ac:dyDescent="0.25">
      <c r="C159" s="359"/>
    </row>
    <row r="160" spans="3:3" ht="34.5" customHeight="1" x14ac:dyDescent="0.25">
      <c r="C160" s="359"/>
    </row>
    <row r="161" spans="3:3" ht="34.5" customHeight="1" x14ac:dyDescent="0.25">
      <c r="C161" s="359"/>
    </row>
    <row r="162" spans="3:3" ht="34.5" customHeight="1" x14ac:dyDescent="0.25">
      <c r="C162" s="359"/>
    </row>
    <row r="163" spans="3:3" ht="34.5" customHeight="1" x14ac:dyDescent="0.25">
      <c r="C163" s="359"/>
    </row>
    <row r="164" spans="3:3" ht="34.5" customHeight="1" x14ac:dyDescent="0.25">
      <c r="C164" s="359"/>
    </row>
    <row r="165" spans="3:3" ht="34.5" customHeight="1" x14ac:dyDescent="0.25">
      <c r="C165" s="359"/>
    </row>
    <row r="166" spans="3:3" ht="34.5" customHeight="1" x14ac:dyDescent="0.25">
      <c r="C166" s="359"/>
    </row>
    <row r="167" spans="3:3" ht="34.5" customHeight="1" x14ac:dyDescent="0.25">
      <c r="C167" s="359"/>
    </row>
    <row r="168" spans="3:3" ht="34.5" customHeight="1" x14ac:dyDescent="0.25">
      <c r="C168" s="359"/>
    </row>
    <row r="169" spans="3:3" ht="34.5" customHeight="1" x14ac:dyDescent="0.25">
      <c r="C169" s="359"/>
    </row>
    <row r="170" spans="3:3" ht="34.5" customHeight="1" x14ac:dyDescent="0.25">
      <c r="C170" s="359"/>
    </row>
    <row r="171" spans="3:3" ht="34.5" customHeight="1" x14ac:dyDescent="0.25">
      <c r="C171" s="359"/>
    </row>
    <row r="172" spans="3:3" ht="34.5" customHeight="1" x14ac:dyDescent="0.25">
      <c r="C172" s="359"/>
    </row>
    <row r="173" spans="3:3" ht="34.5" customHeight="1" x14ac:dyDescent="0.25">
      <c r="C173" s="359"/>
    </row>
    <row r="174" spans="3:3" ht="34.5" customHeight="1" x14ac:dyDescent="0.25">
      <c r="C174" s="359"/>
    </row>
    <row r="175" spans="3:3" ht="34.5" customHeight="1" x14ac:dyDescent="0.25">
      <c r="C175" s="359"/>
    </row>
    <row r="176" spans="3:3" ht="34.5" customHeight="1" x14ac:dyDescent="0.25">
      <c r="C176" s="359"/>
    </row>
    <row r="177" spans="3:3" ht="34.5" customHeight="1" x14ac:dyDescent="0.25">
      <c r="C177" s="359"/>
    </row>
    <row r="178" spans="3:3" ht="34.5" customHeight="1" x14ac:dyDescent="0.25">
      <c r="C178" s="359"/>
    </row>
    <row r="179" spans="3:3" ht="34.5" customHeight="1" x14ac:dyDescent="0.25">
      <c r="C179" s="359"/>
    </row>
    <row r="180" spans="3:3" ht="34.5" customHeight="1" x14ac:dyDescent="0.25">
      <c r="C180" s="359"/>
    </row>
    <row r="181" spans="3:3" ht="34.5" customHeight="1" x14ac:dyDescent="0.25">
      <c r="C181" s="359"/>
    </row>
    <row r="182" spans="3:3" ht="34.5" customHeight="1" x14ac:dyDescent="0.25">
      <c r="C182" s="359"/>
    </row>
    <row r="183" spans="3:3" ht="34.5" customHeight="1" x14ac:dyDescent="0.25">
      <c r="C183" s="359"/>
    </row>
    <row r="184" spans="3:3" ht="34.5" customHeight="1" x14ac:dyDescent="0.25">
      <c r="C184" s="359"/>
    </row>
    <row r="185" spans="3:3" ht="34.5" customHeight="1" x14ac:dyDescent="0.25">
      <c r="C185" s="359"/>
    </row>
    <row r="186" spans="3:3" ht="34.5" customHeight="1" x14ac:dyDescent="0.25">
      <c r="C186" s="359"/>
    </row>
    <row r="187" spans="3:3" ht="34.5" customHeight="1" x14ac:dyDescent="0.25">
      <c r="C187" s="359"/>
    </row>
    <row r="188" spans="3:3" ht="34.5" customHeight="1" x14ac:dyDescent="0.25">
      <c r="C188" s="359"/>
    </row>
    <row r="189" spans="3:3" ht="34.5" customHeight="1" x14ac:dyDescent="0.25">
      <c r="C189" s="359"/>
    </row>
    <row r="190" spans="3:3" ht="34.5" customHeight="1" x14ac:dyDescent="0.25">
      <c r="C190" s="359"/>
    </row>
    <row r="191" spans="3:3" ht="34.5" customHeight="1" x14ac:dyDescent="0.25">
      <c r="C191" s="359"/>
    </row>
    <row r="192" spans="3:3" ht="34.5" customHeight="1" x14ac:dyDescent="0.25">
      <c r="C192" s="359"/>
    </row>
    <row r="193" spans="3:3" ht="34.5" customHeight="1" x14ac:dyDescent="0.25">
      <c r="C193" s="359"/>
    </row>
    <row r="194" spans="3:3" ht="34.5" customHeight="1" x14ac:dyDescent="0.25">
      <c r="C194" s="359"/>
    </row>
    <row r="195" spans="3:3" ht="34.5" customHeight="1" x14ac:dyDescent="0.25">
      <c r="C195" s="359"/>
    </row>
    <row r="196" spans="3:3" ht="34.5" customHeight="1" x14ac:dyDescent="0.25">
      <c r="C196" s="359"/>
    </row>
    <row r="197" spans="3:3" ht="34.5" customHeight="1" x14ac:dyDescent="0.25">
      <c r="C197" s="359"/>
    </row>
    <row r="198" spans="3:3" ht="34.5" customHeight="1" x14ac:dyDescent="0.25">
      <c r="C198" s="359"/>
    </row>
    <row r="199" spans="3:3" ht="34.5" customHeight="1" x14ac:dyDescent="0.25">
      <c r="C199" s="359"/>
    </row>
    <row r="200" spans="3:3" ht="34.5" customHeight="1" x14ac:dyDescent="0.25">
      <c r="C200" s="359"/>
    </row>
    <row r="201" spans="3:3" ht="34.5" customHeight="1" x14ac:dyDescent="0.25">
      <c r="C201" s="359"/>
    </row>
    <row r="202" spans="3:3" ht="34.5" customHeight="1" x14ac:dyDescent="0.25">
      <c r="C202" s="359"/>
    </row>
    <row r="203" spans="3:3" ht="34.5" customHeight="1" x14ac:dyDescent="0.25">
      <c r="C203" s="359"/>
    </row>
    <row r="204" spans="3:3" ht="34.5" customHeight="1" x14ac:dyDescent="0.25">
      <c r="C204" s="359"/>
    </row>
    <row r="205" spans="3:3" ht="34.5" customHeight="1" x14ac:dyDescent="0.25">
      <c r="C205" s="359"/>
    </row>
    <row r="206" spans="3:3" ht="34.5" customHeight="1" x14ac:dyDescent="0.25">
      <c r="C206" s="359"/>
    </row>
    <row r="207" spans="3:3" ht="34.5" customHeight="1" x14ac:dyDescent="0.25">
      <c r="C207" s="359"/>
    </row>
    <row r="208" spans="3:3" ht="34.5" customHeight="1" x14ac:dyDescent="0.25">
      <c r="C208" s="359"/>
    </row>
    <row r="209" spans="3:3" ht="34.5" customHeight="1" x14ac:dyDescent="0.25">
      <c r="C209" s="359"/>
    </row>
    <row r="210" spans="3:3" ht="34.5" customHeight="1" x14ac:dyDescent="0.25">
      <c r="C210" s="359"/>
    </row>
    <row r="211" spans="3:3" ht="34.5" customHeight="1" x14ac:dyDescent="0.25">
      <c r="C211" s="359"/>
    </row>
    <row r="212" spans="3:3" ht="34.5" customHeight="1" x14ac:dyDescent="0.25">
      <c r="C212" s="359"/>
    </row>
    <row r="213" spans="3:3" ht="34.5" customHeight="1" x14ac:dyDescent="0.25">
      <c r="C213" s="359"/>
    </row>
    <row r="214" spans="3:3" ht="34.5" customHeight="1" x14ac:dyDescent="0.25">
      <c r="C214" s="359"/>
    </row>
    <row r="215" spans="3:3" ht="34.5" customHeight="1" x14ac:dyDescent="0.25">
      <c r="C215" s="359"/>
    </row>
    <row r="216" spans="3:3" ht="34.5" customHeight="1" x14ac:dyDescent="0.25">
      <c r="C216" s="359"/>
    </row>
    <row r="217" spans="3:3" ht="34.5" customHeight="1" x14ac:dyDescent="0.25">
      <c r="C217" s="359"/>
    </row>
    <row r="218" spans="3:3" ht="34.5" customHeight="1" x14ac:dyDescent="0.25">
      <c r="C218" s="359"/>
    </row>
    <row r="219" spans="3:3" ht="34.5" customHeight="1" x14ac:dyDescent="0.25">
      <c r="C219" s="359"/>
    </row>
    <row r="220" spans="3:3" ht="34.5" customHeight="1" x14ac:dyDescent="0.25">
      <c r="C220" s="359"/>
    </row>
    <row r="221" spans="3:3" ht="34.5" customHeight="1" x14ac:dyDescent="0.25">
      <c r="C221" s="359"/>
    </row>
    <row r="222" spans="3:3" ht="34.5" customHeight="1" x14ac:dyDescent="0.25">
      <c r="C222" s="359"/>
    </row>
    <row r="223" spans="3:3" ht="34.5" customHeight="1" x14ac:dyDescent="0.25">
      <c r="C223" s="359"/>
    </row>
    <row r="224" spans="3:3" ht="34.5" customHeight="1" x14ac:dyDescent="0.25">
      <c r="C224" s="359"/>
    </row>
    <row r="225" spans="3:3" ht="34.5" customHeight="1" x14ac:dyDescent="0.25">
      <c r="C225" s="359"/>
    </row>
    <row r="226" spans="3:3" ht="34.5" customHeight="1" x14ac:dyDescent="0.25">
      <c r="C226" s="359"/>
    </row>
    <row r="227" spans="3:3" ht="34.5" customHeight="1" x14ac:dyDescent="0.25">
      <c r="C227" s="359"/>
    </row>
    <row r="228" spans="3:3" ht="34.5" customHeight="1" x14ac:dyDescent="0.25">
      <c r="C228" s="359"/>
    </row>
    <row r="229" spans="3:3" ht="34.5" customHeight="1" x14ac:dyDescent="0.25">
      <c r="C229" s="359"/>
    </row>
    <row r="230" spans="3:3" ht="34.5" customHeight="1" x14ac:dyDescent="0.25">
      <c r="C230" s="359"/>
    </row>
    <row r="231" spans="3:3" ht="34.5" customHeight="1" x14ac:dyDescent="0.25">
      <c r="C231" s="359"/>
    </row>
    <row r="232" spans="3:3" ht="34.5" customHeight="1" x14ac:dyDescent="0.25">
      <c r="C232" s="359"/>
    </row>
    <row r="233" spans="3:3" ht="34.5" customHeight="1" x14ac:dyDescent="0.25">
      <c r="C233" s="359"/>
    </row>
    <row r="234" spans="3:3" ht="34.5" customHeight="1" x14ac:dyDescent="0.25">
      <c r="C234" s="359"/>
    </row>
    <row r="235" spans="3:3" ht="34.5" customHeight="1" x14ac:dyDescent="0.25">
      <c r="C235" s="359"/>
    </row>
    <row r="236" spans="3:3" ht="34.5" customHeight="1" x14ac:dyDescent="0.25">
      <c r="C236" s="359"/>
    </row>
    <row r="237" spans="3:3" ht="34.5" customHeight="1" x14ac:dyDescent="0.25">
      <c r="C237" s="359"/>
    </row>
    <row r="238" spans="3:3" ht="34.5" customHeight="1" x14ac:dyDescent="0.25">
      <c r="C238" s="359"/>
    </row>
    <row r="239" spans="3:3" ht="34.5" customHeight="1" x14ac:dyDescent="0.25">
      <c r="C239" s="359"/>
    </row>
    <row r="240" spans="3:3" ht="34.5" customHeight="1" x14ac:dyDescent="0.25">
      <c r="C240" s="359"/>
    </row>
    <row r="241" spans="3:3" ht="34.5" customHeight="1" x14ac:dyDescent="0.25">
      <c r="C241" s="359"/>
    </row>
    <row r="242" spans="3:3" ht="34.5" customHeight="1" x14ac:dyDescent="0.25">
      <c r="C242" s="359"/>
    </row>
    <row r="243" spans="3:3" ht="34.5" customHeight="1" x14ac:dyDescent="0.25">
      <c r="C243" s="359"/>
    </row>
    <row r="244" spans="3:3" ht="34.5" customHeight="1" x14ac:dyDescent="0.25">
      <c r="C244" s="359"/>
    </row>
    <row r="245" spans="3:3" ht="34.5" customHeight="1" x14ac:dyDescent="0.25">
      <c r="C245" s="359"/>
    </row>
    <row r="246" spans="3:3" ht="34.5" customHeight="1" x14ac:dyDescent="0.25">
      <c r="C246" s="359"/>
    </row>
    <row r="247" spans="3:3" ht="34.5" customHeight="1" x14ac:dyDescent="0.25">
      <c r="C247" s="359"/>
    </row>
    <row r="248" spans="3:3" ht="34.5" customHeight="1" x14ac:dyDescent="0.25">
      <c r="C248" s="359"/>
    </row>
    <row r="249" spans="3:3" ht="34.5" customHeight="1" x14ac:dyDescent="0.25">
      <c r="C249" s="359"/>
    </row>
    <row r="250" spans="3:3" ht="34.5" customHeight="1" x14ac:dyDescent="0.25">
      <c r="C250" s="359"/>
    </row>
    <row r="251" spans="3:3" ht="34.5" customHeight="1" x14ac:dyDescent="0.25">
      <c r="C251" s="359"/>
    </row>
    <row r="252" spans="3:3" ht="34.5" customHeight="1" x14ac:dyDescent="0.25">
      <c r="C252" s="359"/>
    </row>
    <row r="253" spans="3:3" ht="34.5" customHeight="1" x14ac:dyDescent="0.25">
      <c r="C253" s="359"/>
    </row>
    <row r="254" spans="3:3" ht="34.5" customHeight="1" x14ac:dyDescent="0.25">
      <c r="C254" s="359"/>
    </row>
    <row r="255" spans="3:3" ht="34.5" customHeight="1" x14ac:dyDescent="0.25">
      <c r="C255" s="359"/>
    </row>
    <row r="256" spans="3:3" ht="34.5" customHeight="1" x14ac:dyDescent="0.25">
      <c r="C256" s="359"/>
    </row>
    <row r="257" spans="3:3" ht="34.5" customHeight="1" x14ac:dyDescent="0.25">
      <c r="C257" s="359"/>
    </row>
    <row r="258" spans="3:3" ht="34.5" customHeight="1" x14ac:dyDescent="0.25">
      <c r="C258" s="359"/>
    </row>
    <row r="259" spans="3:3" ht="34.5" customHeight="1" x14ac:dyDescent="0.25">
      <c r="C259" s="359"/>
    </row>
    <row r="260" spans="3:3" ht="34.5" customHeight="1" x14ac:dyDescent="0.25">
      <c r="C260" s="359"/>
    </row>
    <row r="261" spans="3:3" ht="34.5" customHeight="1" x14ac:dyDescent="0.25">
      <c r="C261" s="359"/>
    </row>
    <row r="262" spans="3:3" ht="34.5" customHeight="1" x14ac:dyDescent="0.25">
      <c r="C262" s="359"/>
    </row>
    <row r="263" spans="3:3" ht="34.5" customHeight="1" x14ac:dyDescent="0.25">
      <c r="C263" s="359"/>
    </row>
    <row r="264" spans="3:3" ht="34.5" customHeight="1" x14ac:dyDescent="0.25">
      <c r="C264" s="359"/>
    </row>
    <row r="265" spans="3:3" ht="34.5" customHeight="1" x14ac:dyDescent="0.25">
      <c r="C265" s="359"/>
    </row>
    <row r="266" spans="3:3" ht="34.5" customHeight="1" x14ac:dyDescent="0.25">
      <c r="C266" s="359"/>
    </row>
    <row r="267" spans="3:3" ht="34.5" customHeight="1" x14ac:dyDescent="0.25">
      <c r="C267" s="359"/>
    </row>
    <row r="268" spans="3:3" ht="34.5" customHeight="1" x14ac:dyDescent="0.25">
      <c r="C268" s="359"/>
    </row>
    <row r="269" spans="3:3" ht="34.5" customHeight="1" x14ac:dyDescent="0.25">
      <c r="C269" s="359"/>
    </row>
    <row r="270" spans="3:3" ht="34.5" customHeight="1" x14ac:dyDescent="0.25">
      <c r="C270" s="359"/>
    </row>
    <row r="271" spans="3:3" ht="34.5" customHeight="1" x14ac:dyDescent="0.25">
      <c r="C271" s="359"/>
    </row>
    <row r="272" spans="3:3" ht="34.5" customHeight="1" x14ac:dyDescent="0.25">
      <c r="C272" s="359"/>
    </row>
    <row r="273" spans="3:3" ht="34.5" customHeight="1" x14ac:dyDescent="0.25">
      <c r="C273" s="359"/>
    </row>
    <row r="274" spans="3:3" ht="34.5" customHeight="1" x14ac:dyDescent="0.25">
      <c r="C274" s="359"/>
    </row>
    <row r="275" spans="3:3" ht="34.5" customHeight="1" x14ac:dyDescent="0.25">
      <c r="C275" s="359"/>
    </row>
    <row r="276" spans="3:3" ht="34.5" customHeight="1" x14ac:dyDescent="0.25">
      <c r="C276" s="359"/>
    </row>
    <row r="277" spans="3:3" ht="34.5" customHeight="1" x14ac:dyDescent="0.25">
      <c r="C277" s="359"/>
    </row>
    <row r="278" spans="3:3" ht="34.5" customHeight="1" x14ac:dyDescent="0.25">
      <c r="C278" s="359"/>
    </row>
    <row r="279" spans="3:3" ht="34.5" customHeight="1" x14ac:dyDescent="0.25">
      <c r="C279" s="359"/>
    </row>
    <row r="280" spans="3:3" ht="34.5" customHeight="1" x14ac:dyDescent="0.25">
      <c r="C280" s="359"/>
    </row>
    <row r="281" spans="3:3" ht="34.5" customHeight="1" x14ac:dyDescent="0.25">
      <c r="C281" s="359"/>
    </row>
    <row r="282" spans="3:3" ht="34.5" customHeight="1" x14ac:dyDescent="0.25">
      <c r="C282" s="359"/>
    </row>
    <row r="283" spans="3:3" ht="34.5" customHeight="1" x14ac:dyDescent="0.25">
      <c r="C283" s="359"/>
    </row>
    <row r="284" spans="3:3" ht="34.5" customHeight="1" x14ac:dyDescent="0.25">
      <c r="C284" s="359"/>
    </row>
    <row r="285" spans="3:3" ht="34.5" customHeight="1" x14ac:dyDescent="0.25">
      <c r="C285" s="359"/>
    </row>
    <row r="286" spans="3:3" ht="34.5" customHeight="1" x14ac:dyDescent="0.25">
      <c r="C286" s="359"/>
    </row>
    <row r="287" spans="3:3" ht="34.5" customHeight="1" x14ac:dyDescent="0.25">
      <c r="C287" s="359"/>
    </row>
    <row r="288" spans="3:3" ht="34.5" customHeight="1" x14ac:dyDescent="0.25">
      <c r="C288" s="359"/>
    </row>
    <row r="289" spans="3:3" ht="34.5" customHeight="1" x14ac:dyDescent="0.25">
      <c r="C289" s="359"/>
    </row>
    <row r="290" spans="3:3" ht="34.5" customHeight="1" x14ac:dyDescent="0.25">
      <c r="C290" s="359"/>
    </row>
    <row r="291" spans="3:3" ht="34.5" customHeight="1" x14ac:dyDescent="0.25">
      <c r="C291" s="359"/>
    </row>
    <row r="292" spans="3:3" ht="34.5" customHeight="1" x14ac:dyDescent="0.25">
      <c r="C292" s="359"/>
    </row>
    <row r="293" spans="3:3" ht="34.5" customHeight="1" x14ac:dyDescent="0.25">
      <c r="C293" s="359"/>
    </row>
    <row r="294" spans="3:3" ht="34.5" customHeight="1" x14ac:dyDescent="0.25">
      <c r="C294" s="359"/>
    </row>
    <row r="295" spans="3:3" ht="34.5" customHeight="1" x14ac:dyDescent="0.25">
      <c r="C295" s="359"/>
    </row>
    <row r="296" spans="3:3" ht="34.5" customHeight="1" x14ac:dyDescent="0.25">
      <c r="C296" s="359"/>
    </row>
    <row r="297" spans="3:3" ht="34.5" customHeight="1" x14ac:dyDescent="0.25">
      <c r="C297" s="359"/>
    </row>
    <row r="298" spans="3:3" ht="34.5" customHeight="1" x14ac:dyDescent="0.25">
      <c r="C298" s="359"/>
    </row>
    <row r="299" spans="3:3" ht="34.5" customHeight="1" x14ac:dyDescent="0.25">
      <c r="C299" s="359"/>
    </row>
    <row r="300" spans="3:3" ht="34.5" customHeight="1" x14ac:dyDescent="0.25">
      <c r="C300" s="359"/>
    </row>
    <row r="301" spans="3:3" ht="34.5" customHeight="1" x14ac:dyDescent="0.25">
      <c r="C301" s="359"/>
    </row>
    <row r="302" spans="3:3" ht="34.5" customHeight="1" x14ac:dyDescent="0.25">
      <c r="C302" s="359"/>
    </row>
    <row r="303" spans="3:3" ht="34.5" customHeight="1" x14ac:dyDescent="0.25">
      <c r="C303" s="359"/>
    </row>
    <row r="304" spans="3:3" ht="34.5" customHeight="1" x14ac:dyDescent="0.25">
      <c r="C304" s="359"/>
    </row>
    <row r="305" spans="3:3" ht="34.5" customHeight="1" x14ac:dyDescent="0.25">
      <c r="C305" s="359"/>
    </row>
    <row r="306" spans="3:3" ht="34.5" customHeight="1" x14ac:dyDescent="0.25">
      <c r="C306" s="359"/>
    </row>
    <row r="307" spans="3:3" ht="34.5" customHeight="1" x14ac:dyDescent="0.25">
      <c r="C307" s="359"/>
    </row>
    <row r="308" spans="3:3" ht="34.5" customHeight="1" x14ac:dyDescent="0.25">
      <c r="C308" s="359"/>
    </row>
    <row r="309" spans="3:3" ht="34.5" customHeight="1" x14ac:dyDescent="0.25">
      <c r="C309" s="359"/>
    </row>
    <row r="310" spans="3:3" ht="34.5" customHeight="1" x14ac:dyDescent="0.25">
      <c r="C310" s="359"/>
    </row>
    <row r="311" spans="3:3" ht="34.5" customHeight="1" x14ac:dyDescent="0.25">
      <c r="C311" s="359"/>
    </row>
    <row r="312" spans="3:3" ht="34.5" customHeight="1" x14ac:dyDescent="0.25">
      <c r="C312" s="359"/>
    </row>
    <row r="313" spans="3:3" ht="34.5" customHeight="1" x14ac:dyDescent="0.25">
      <c r="C313" s="359"/>
    </row>
    <row r="314" spans="3:3" ht="34.5" customHeight="1" x14ac:dyDescent="0.25">
      <c r="C314" s="359"/>
    </row>
    <row r="315" spans="3:3" ht="34.5" customHeight="1" x14ac:dyDescent="0.25">
      <c r="C315" s="359"/>
    </row>
    <row r="316" spans="3:3" ht="34.5" customHeight="1" x14ac:dyDescent="0.25">
      <c r="C316" s="359"/>
    </row>
    <row r="317" spans="3:3" ht="34.5" customHeight="1" x14ac:dyDescent="0.25">
      <c r="C317" s="359"/>
    </row>
    <row r="318" spans="3:3" ht="34.5" customHeight="1" x14ac:dyDescent="0.25">
      <c r="C318" s="359"/>
    </row>
    <row r="319" spans="3:3" ht="34.5" customHeight="1" x14ac:dyDescent="0.25">
      <c r="C319" s="359"/>
    </row>
    <row r="320" spans="3:3" ht="34.5" customHeight="1" x14ac:dyDescent="0.25">
      <c r="C320" s="359"/>
    </row>
    <row r="321" spans="3:3" ht="34.5" customHeight="1" x14ac:dyDescent="0.25">
      <c r="C321" s="359"/>
    </row>
    <row r="322" spans="3:3" ht="34.5" customHeight="1" x14ac:dyDescent="0.25">
      <c r="C322" s="359"/>
    </row>
    <row r="323" spans="3:3" ht="34.5" customHeight="1" x14ac:dyDescent="0.25">
      <c r="C323" s="359"/>
    </row>
    <row r="324" spans="3:3" ht="34.5" customHeight="1" x14ac:dyDescent="0.25">
      <c r="C324" s="359"/>
    </row>
    <row r="325" spans="3:3" ht="34.5" customHeight="1" x14ac:dyDescent="0.25">
      <c r="C325" s="359"/>
    </row>
    <row r="326" spans="3:3" ht="34.5" customHeight="1" x14ac:dyDescent="0.25">
      <c r="C326" s="359"/>
    </row>
    <row r="327" spans="3:3" ht="34.5" customHeight="1" x14ac:dyDescent="0.25">
      <c r="C327" s="359"/>
    </row>
    <row r="328" spans="3:3" ht="34.5" customHeight="1" x14ac:dyDescent="0.25">
      <c r="C328" s="359"/>
    </row>
    <row r="329" spans="3:3" ht="34.5" customHeight="1" x14ac:dyDescent="0.25">
      <c r="C329" s="359"/>
    </row>
    <row r="330" spans="3:3" ht="34.5" customHeight="1" x14ac:dyDescent="0.25">
      <c r="C330" s="359"/>
    </row>
    <row r="331" spans="3:3" ht="34.5" customHeight="1" x14ac:dyDescent="0.25">
      <c r="C331" s="359"/>
    </row>
    <row r="332" spans="3:3" ht="34.5" customHeight="1" x14ac:dyDescent="0.25">
      <c r="C332" s="359"/>
    </row>
    <row r="333" spans="3:3" ht="34.5" customHeight="1" x14ac:dyDescent="0.25">
      <c r="C333" s="359"/>
    </row>
    <row r="334" spans="3:3" ht="34.5" customHeight="1" x14ac:dyDescent="0.25">
      <c r="C334" s="359"/>
    </row>
    <row r="335" spans="3:3" ht="34.5" customHeight="1" x14ac:dyDescent="0.25">
      <c r="C335" s="359"/>
    </row>
    <row r="336" spans="3:3" ht="34.5" customHeight="1" x14ac:dyDescent="0.25">
      <c r="C336" s="359"/>
    </row>
    <row r="337" spans="3:3" ht="34.5" customHeight="1" x14ac:dyDescent="0.25">
      <c r="C337" s="359"/>
    </row>
    <row r="338" spans="3:3" ht="34.5" customHeight="1" x14ac:dyDescent="0.25">
      <c r="C338" s="359"/>
    </row>
    <row r="339" spans="3:3" ht="34.5" customHeight="1" x14ac:dyDescent="0.25">
      <c r="C339" s="359"/>
    </row>
    <row r="340" spans="3:3" ht="34.5" customHeight="1" x14ac:dyDescent="0.25">
      <c r="C340" s="359"/>
    </row>
    <row r="341" spans="3:3" ht="34.5" customHeight="1" x14ac:dyDescent="0.25">
      <c r="C341" s="359"/>
    </row>
    <row r="342" spans="3:3" ht="34.5" customHeight="1" x14ac:dyDescent="0.25">
      <c r="C342" s="359"/>
    </row>
    <row r="343" spans="3:3" ht="34.5" customHeight="1" x14ac:dyDescent="0.25">
      <c r="C343" s="359"/>
    </row>
    <row r="344" spans="3:3" ht="34.5" customHeight="1" x14ac:dyDescent="0.25">
      <c r="C344" s="359"/>
    </row>
    <row r="345" spans="3:3" ht="34.5" customHeight="1" x14ac:dyDescent="0.25">
      <c r="C345" s="359"/>
    </row>
    <row r="346" spans="3:3" ht="34.5" customHeight="1" x14ac:dyDescent="0.25">
      <c r="C346" s="359"/>
    </row>
    <row r="347" spans="3:3" ht="34.5" customHeight="1" x14ac:dyDescent="0.25">
      <c r="C347" s="359"/>
    </row>
    <row r="348" spans="3:3" ht="34.5" customHeight="1" x14ac:dyDescent="0.25">
      <c r="C348" s="359"/>
    </row>
    <row r="349" spans="3:3" ht="34.5" customHeight="1" x14ac:dyDescent="0.25">
      <c r="C349" s="359"/>
    </row>
    <row r="350" spans="3:3" ht="34.5" customHeight="1" x14ac:dyDescent="0.25">
      <c r="C350" s="359"/>
    </row>
    <row r="351" spans="3:3" ht="34.5" customHeight="1" x14ac:dyDescent="0.25">
      <c r="C351" s="359"/>
    </row>
    <row r="352" spans="3:3" ht="34.5" customHeight="1" x14ac:dyDescent="0.25">
      <c r="C352" s="359"/>
    </row>
    <row r="353" spans="3:3" ht="34.5" customHeight="1" x14ac:dyDescent="0.25">
      <c r="C353" s="359"/>
    </row>
    <row r="354" spans="3:3" ht="34.5" customHeight="1" x14ac:dyDescent="0.25">
      <c r="C354" s="359"/>
    </row>
    <row r="355" spans="3:3" ht="34.5" customHeight="1" x14ac:dyDescent="0.25">
      <c r="C355" s="359"/>
    </row>
    <row r="356" spans="3:3" ht="34.5" customHeight="1" x14ac:dyDescent="0.25">
      <c r="C356" s="359"/>
    </row>
    <row r="357" spans="3:3" ht="34.5" customHeight="1" x14ac:dyDescent="0.25">
      <c r="C357" s="359"/>
    </row>
    <row r="358" spans="3:3" ht="34.5" customHeight="1" x14ac:dyDescent="0.25">
      <c r="C358" s="359"/>
    </row>
    <row r="359" spans="3:3" ht="34.5" customHeight="1" x14ac:dyDescent="0.25">
      <c r="C359" s="359"/>
    </row>
    <row r="360" spans="3:3" ht="34.5" customHeight="1" x14ac:dyDescent="0.25">
      <c r="C360" s="359"/>
    </row>
    <row r="361" spans="3:3" ht="34.5" customHeight="1" x14ac:dyDescent="0.25">
      <c r="C361" s="359"/>
    </row>
    <row r="362" spans="3:3" ht="34.5" customHeight="1" x14ac:dyDescent="0.25">
      <c r="C362" s="359"/>
    </row>
    <row r="363" spans="3:3" ht="34.5" customHeight="1" x14ac:dyDescent="0.25">
      <c r="C363" s="359"/>
    </row>
    <row r="364" spans="3:3" ht="34.5" customHeight="1" x14ac:dyDescent="0.25">
      <c r="C364" s="359"/>
    </row>
    <row r="365" spans="3:3" ht="34.5" customHeight="1" x14ac:dyDescent="0.25">
      <c r="C365" s="359"/>
    </row>
    <row r="366" spans="3:3" ht="34.5" customHeight="1" x14ac:dyDescent="0.25">
      <c r="C366" s="359"/>
    </row>
    <row r="367" spans="3:3" ht="34.5" customHeight="1" x14ac:dyDescent="0.25">
      <c r="C367" s="359"/>
    </row>
    <row r="368" spans="3:3" ht="34.5" customHeight="1" x14ac:dyDescent="0.25">
      <c r="C368" s="359"/>
    </row>
    <row r="369" spans="3:3" ht="34.5" customHeight="1" x14ac:dyDescent="0.25">
      <c r="C369" s="359"/>
    </row>
    <row r="370" spans="3:3" ht="34.5" customHeight="1" x14ac:dyDescent="0.25">
      <c r="C370" s="359"/>
    </row>
    <row r="371" spans="3:3" ht="34.5" customHeight="1" x14ac:dyDescent="0.25">
      <c r="C371" s="359"/>
    </row>
    <row r="372" spans="3:3" ht="34.5" customHeight="1" x14ac:dyDescent="0.25">
      <c r="C372" s="359"/>
    </row>
    <row r="373" spans="3:3" ht="34.5" customHeight="1" x14ac:dyDescent="0.25">
      <c r="C373" s="359"/>
    </row>
    <row r="374" spans="3:3" ht="34.5" customHeight="1" x14ac:dyDescent="0.25">
      <c r="C374" s="359"/>
    </row>
  </sheetData>
  <autoFilter ref="A1:AK109" xr:uid="{00000000-0009-0000-0000-000006000000}"/>
  <conditionalFormatting sqref="A103:F103 H103:AK103 A101:AK102 A100:F100 H100:AK100 A108:F109 H108:M109 O108:AK109 A104:AK107 A2:AK99 A110:AK366">
    <cfRule type="expression" dxfId="11" priority="3">
      <formula>$Z2="FACTURACION"</formula>
    </cfRule>
    <cfRule type="expression" dxfId="10" priority="4">
      <formula>$Z2="CARPETAS FACTURACION"</formula>
    </cfRule>
    <cfRule type="expression" dxfId="9" priority="5">
      <formula>$Z2="PEDIDO DIA"</formula>
    </cfRule>
    <cfRule type="expression" dxfId="8" priority="6">
      <formula>$Z2="ARCHIVADO"</formula>
    </cfRule>
  </conditionalFormatting>
  <conditionalFormatting sqref="A103:F103 H103:AK103 A101:AK102 A100:F100 H100:AK100 A108:F109 H108:M109 O108:AK109 A104:AK107 A2:AK99">
    <cfRule type="expression" dxfId="7" priority="2">
      <formula>$Z2="PROGRAMACION BRYAM"</formula>
    </cfRule>
  </conditionalFormatting>
  <conditionalFormatting sqref="X47:X108 A103:F103 H103:AK103 A101:AK102 A100:F100 H100:AK100 A108:F109 H108:M109 O108:AK109 A104:AK107 A2:AK99">
    <cfRule type="expression" dxfId="6" priority="1">
      <formula>$Z2="ASESOR"</formula>
    </cfRule>
  </conditionalFormatting>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0000000}">
          <x14:formula1>
            <xm:f>LiSTAS!$B$2:$B$7</xm:f>
          </x14:formula1>
          <xm:sqref>K2:K15 K110:K1048576</xm:sqref>
        </x14:dataValidation>
        <x14:dataValidation type="list" allowBlank="1" showInputMessage="1" showErrorMessage="1" xr:uid="{00000000-0002-0000-0600-000001000000}">
          <x14:formula1>
            <xm:f>LiSTAS!$C$2:$C$11</xm:f>
          </x14:formula1>
          <xm:sqref>Z2:Z109</xm:sqref>
        </x14:dataValidation>
        <x14:dataValidation type="list" allowBlank="1" showInputMessage="1" showErrorMessage="1" xr:uid="{00000000-0002-0000-0600-000002000000}">
          <x14:formula1>
            <xm:f>LiSTAS!$A$2:$A$14</xm:f>
          </x14:formula1>
          <xm:sqref>V2:V109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4"/>
  <dimension ref="A1:HO1900"/>
  <sheetViews>
    <sheetView tabSelected="1" zoomScaleNormal="100" workbookViewId="0">
      <pane xSplit="3" ySplit="1" topLeftCell="Z74" activePane="bottomRight" state="frozen"/>
      <selection pane="topRight" activeCell="D1" sqref="D1"/>
      <selection pane="bottomLeft" activeCell="A2" sqref="A2"/>
      <selection pane="bottomRight" activeCell="AK78" sqref="AK78"/>
    </sheetView>
  </sheetViews>
  <sheetFormatPr baseColWidth="10" defaultColWidth="8.85546875" defaultRowHeight="34.5" customHeight="1" x14ac:dyDescent="0.25"/>
  <cols>
    <col min="1" max="1" width="7" style="359" customWidth="1"/>
    <col min="2" max="2" width="4.5703125" style="359" customWidth="1"/>
    <col min="3" max="3" width="7.28515625" style="353" customWidth="1"/>
    <col min="4" max="4" width="13.140625" style="239" customWidth="1"/>
    <col min="5" max="5" width="30" style="193" customWidth="1"/>
    <col min="6" max="6" width="26.7109375" style="193" customWidth="1"/>
    <col min="7" max="7" width="18.85546875" style="65" customWidth="1"/>
    <col min="8" max="8" width="15.140625" style="65" customWidth="1"/>
    <col min="9" max="9" width="13.42578125" style="65" customWidth="1"/>
    <col min="10" max="10" width="10.7109375" style="65" bestFit="1" customWidth="1"/>
    <col min="11" max="11" width="16" style="65" customWidth="1"/>
    <col min="12" max="12" width="52.42578125" style="45" customWidth="1"/>
    <col min="13" max="13" width="5.7109375" style="65" customWidth="1"/>
    <col min="14" max="14" width="5.5703125" style="65" customWidth="1"/>
    <col min="15" max="15" width="5.7109375" style="65" customWidth="1"/>
    <col min="16" max="16" width="6.28515625" style="65" customWidth="1"/>
    <col min="17" max="17" width="5.7109375" style="65" customWidth="1"/>
    <col min="18" max="18" width="3.7109375" style="65" customWidth="1"/>
    <col min="19" max="19" width="4.42578125" style="65" customWidth="1"/>
    <col min="20" max="20" width="3.7109375" style="65" customWidth="1"/>
    <col min="21" max="21" width="3.42578125" style="65" customWidth="1"/>
    <col min="22" max="22" width="13.7109375" style="65" customWidth="1"/>
    <col min="23" max="23" width="11.5703125" style="65" bestFit="1" customWidth="1"/>
    <col min="24" max="24" width="11.42578125" style="65" bestFit="1" customWidth="1"/>
    <col min="25" max="25" width="15.42578125" style="65" hidden="1" customWidth="1"/>
    <col min="26" max="26" width="16.28515625" style="193" customWidth="1"/>
    <col min="27" max="27" width="13.7109375" style="372" customWidth="1"/>
    <col min="28" max="28" width="5.85546875" style="65" customWidth="1"/>
    <col min="29" max="29" width="16" style="65" customWidth="1"/>
    <col min="30" max="30" width="12.42578125" style="65" customWidth="1"/>
    <col min="31" max="31" width="13.7109375" style="65" bestFit="1" customWidth="1"/>
    <col min="32" max="32" width="13.5703125" style="65" hidden="1" customWidth="1"/>
    <col min="33" max="33" width="35.85546875" style="236" customWidth="1"/>
    <col min="34" max="34" width="15.28515625" style="65" customWidth="1"/>
    <col min="35" max="35" width="13.7109375" style="78" bestFit="1" customWidth="1"/>
    <col min="36" max="36" width="8.28515625" style="78" customWidth="1"/>
    <col min="37" max="37" width="9.85546875" style="78" bestFit="1" customWidth="1"/>
    <col min="38" max="16384" width="8.85546875" style="65"/>
  </cols>
  <sheetData>
    <row r="1" spans="1:223" customFormat="1" ht="34.5" customHeight="1" x14ac:dyDescent="0.25">
      <c r="A1" s="1" t="s">
        <v>0</v>
      </c>
      <c r="B1" s="269" t="s">
        <v>1</v>
      </c>
      <c r="C1" s="1" t="s">
        <v>2</v>
      </c>
      <c r="D1" s="272" t="s">
        <v>3</v>
      </c>
      <c r="E1" s="1" t="s">
        <v>4</v>
      </c>
      <c r="F1" s="3" t="s">
        <v>5</v>
      </c>
      <c r="G1" s="3" t="s">
        <v>6</v>
      </c>
      <c r="H1" s="3" t="s">
        <v>7</v>
      </c>
      <c r="I1" s="1" t="s">
        <v>8</v>
      </c>
      <c r="J1" s="2" t="s">
        <v>9</v>
      </c>
      <c r="K1" s="4" t="s">
        <v>115</v>
      </c>
      <c r="L1" s="159" t="s">
        <v>11</v>
      </c>
      <c r="M1" s="6" t="s">
        <v>655</v>
      </c>
      <c r="N1" s="7" t="s">
        <v>13</v>
      </c>
      <c r="O1" s="8" t="s">
        <v>14</v>
      </c>
      <c r="P1" s="8" t="s">
        <v>15</v>
      </c>
      <c r="Q1" s="8" t="s">
        <v>16</v>
      </c>
      <c r="R1" s="9" t="s">
        <v>116</v>
      </c>
      <c r="S1" s="9" t="s">
        <v>330</v>
      </c>
      <c r="T1" s="9" t="s">
        <v>19</v>
      </c>
      <c r="U1" s="9" t="s">
        <v>20</v>
      </c>
      <c r="V1" s="4" t="s">
        <v>21</v>
      </c>
      <c r="W1" s="11" t="s">
        <v>22</v>
      </c>
      <c r="X1" s="2" t="s">
        <v>23</v>
      </c>
      <c r="Y1" s="12" t="s">
        <v>24</v>
      </c>
      <c r="Z1" s="13" t="s">
        <v>25</v>
      </c>
      <c r="AA1" s="367" t="s">
        <v>26</v>
      </c>
      <c r="AB1" s="6" t="s">
        <v>27</v>
      </c>
      <c r="AC1" s="15" t="s">
        <v>28</v>
      </c>
      <c r="AD1" s="15" t="s">
        <v>29</v>
      </c>
      <c r="AE1" s="15" t="s">
        <v>30</v>
      </c>
      <c r="AF1" s="16" t="s">
        <v>31</v>
      </c>
      <c r="AG1" s="86" t="s">
        <v>32</v>
      </c>
      <c r="AH1" s="240" t="s">
        <v>398</v>
      </c>
      <c r="AI1" s="87" t="s">
        <v>33</v>
      </c>
      <c r="AJ1" s="87" t="s">
        <v>34</v>
      </c>
      <c r="AK1" s="88" t="s">
        <v>126</v>
      </c>
    </row>
    <row r="2" spans="1:223" s="78" customFormat="1" ht="34.5" customHeight="1" x14ac:dyDescent="0.25">
      <c r="A2" s="353">
        <v>2025</v>
      </c>
      <c r="B2" s="354">
        <v>7</v>
      </c>
      <c r="C2" s="355">
        <v>22824</v>
      </c>
      <c r="D2" s="279">
        <v>45839</v>
      </c>
      <c r="E2" s="81" t="s">
        <v>2117</v>
      </c>
      <c r="F2" s="81" t="s">
        <v>2280</v>
      </c>
      <c r="G2" s="78" t="s">
        <v>143</v>
      </c>
      <c r="H2" s="78">
        <v>3013160905</v>
      </c>
      <c r="I2" s="78">
        <v>3013160905</v>
      </c>
      <c r="J2" s="66">
        <v>45847</v>
      </c>
      <c r="K2" s="306" t="s">
        <v>84</v>
      </c>
      <c r="L2" s="79" t="s">
        <v>2281</v>
      </c>
      <c r="M2" s="78" t="s">
        <v>136</v>
      </c>
      <c r="N2" s="78">
        <v>6064</v>
      </c>
      <c r="O2" s="78" t="s">
        <v>136</v>
      </c>
      <c r="P2" s="78" t="s">
        <v>136</v>
      </c>
      <c r="Q2" s="78" t="s">
        <v>136</v>
      </c>
      <c r="R2" s="78" t="s">
        <v>136</v>
      </c>
      <c r="S2" s="78" t="s">
        <v>134</v>
      </c>
      <c r="T2" s="78" t="s">
        <v>134</v>
      </c>
      <c r="U2" s="78" t="s">
        <v>136</v>
      </c>
      <c r="V2" s="305" t="s">
        <v>119</v>
      </c>
      <c r="W2" s="66">
        <v>45849</v>
      </c>
      <c r="X2" s="66">
        <v>45848</v>
      </c>
      <c r="Z2" s="80" t="s">
        <v>85</v>
      </c>
      <c r="AA2" s="371"/>
      <c r="AC2" s="228"/>
      <c r="AD2" s="228">
        <f>AC2*1.19</f>
        <v>0</v>
      </c>
      <c r="AE2" s="303"/>
      <c r="AG2" s="210" t="s">
        <v>2353</v>
      </c>
      <c r="AH2" s="403"/>
      <c r="AI2" s="66">
        <v>45849</v>
      </c>
      <c r="AJ2" s="78" t="s">
        <v>1705</v>
      </c>
      <c r="AK2" s="78" t="s">
        <v>2282</v>
      </c>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c r="DN2" s="65"/>
      <c r="DO2" s="65"/>
      <c r="DP2" s="65"/>
      <c r="DQ2" s="65"/>
      <c r="DR2" s="65"/>
      <c r="DS2" s="65"/>
      <c r="DT2" s="65"/>
      <c r="DU2" s="65"/>
      <c r="DV2" s="65"/>
      <c r="DW2" s="65"/>
      <c r="DX2" s="65"/>
      <c r="DY2" s="65"/>
      <c r="DZ2" s="65"/>
      <c r="EA2" s="65"/>
      <c r="EB2" s="65"/>
      <c r="EC2" s="65"/>
      <c r="ED2" s="65"/>
      <c r="EE2" s="65"/>
      <c r="EF2" s="65"/>
      <c r="EG2" s="65"/>
      <c r="EH2" s="65"/>
      <c r="EI2" s="65"/>
      <c r="EJ2" s="65"/>
      <c r="EK2" s="65"/>
      <c r="EL2" s="65"/>
      <c r="EM2" s="65"/>
      <c r="EN2" s="65"/>
      <c r="EO2" s="65"/>
      <c r="EP2" s="65"/>
      <c r="EQ2" s="65"/>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c r="FZ2" s="65"/>
      <c r="GA2" s="65"/>
      <c r="GB2" s="65"/>
      <c r="GC2" s="65"/>
      <c r="GD2" s="65"/>
      <c r="GE2" s="65"/>
      <c r="GF2" s="65"/>
      <c r="GG2" s="65"/>
      <c r="GH2" s="65"/>
      <c r="GI2" s="65"/>
      <c r="GJ2" s="65"/>
      <c r="GK2" s="65"/>
      <c r="GL2" s="65"/>
      <c r="GM2" s="65"/>
      <c r="GN2" s="65"/>
      <c r="GO2" s="65"/>
      <c r="GP2" s="65"/>
      <c r="GQ2" s="65"/>
      <c r="GR2" s="65"/>
      <c r="GS2" s="65"/>
      <c r="GT2" s="65"/>
      <c r="GU2" s="65"/>
      <c r="GV2" s="65"/>
      <c r="GW2" s="65"/>
      <c r="GX2" s="65"/>
      <c r="GY2" s="65"/>
      <c r="GZ2" s="65"/>
      <c r="HA2" s="65"/>
      <c r="HB2" s="65"/>
      <c r="HC2" s="65"/>
      <c r="HD2" s="65"/>
      <c r="HE2" s="65"/>
      <c r="HF2" s="65"/>
      <c r="HG2" s="65"/>
      <c r="HH2" s="65"/>
      <c r="HI2" s="65"/>
      <c r="HJ2" s="65"/>
      <c r="HK2" s="65"/>
      <c r="HL2" s="65"/>
      <c r="HM2" s="65"/>
      <c r="HN2" s="65"/>
      <c r="HO2" s="65"/>
    </row>
    <row r="3" spans="1:223" s="78" customFormat="1" ht="30" customHeight="1" x14ac:dyDescent="0.25">
      <c r="A3" s="353">
        <v>2025</v>
      </c>
      <c r="B3" s="354">
        <v>7</v>
      </c>
      <c r="C3" s="353">
        <v>22825</v>
      </c>
      <c r="D3" s="279">
        <v>45839</v>
      </c>
      <c r="E3" s="81" t="s">
        <v>531</v>
      </c>
      <c r="F3" s="81" t="s">
        <v>2283</v>
      </c>
      <c r="G3" s="78" t="s">
        <v>150</v>
      </c>
      <c r="I3" s="78">
        <v>4483227</v>
      </c>
      <c r="J3" s="66">
        <v>45850</v>
      </c>
      <c r="K3" s="306" t="s">
        <v>88</v>
      </c>
      <c r="L3" s="79" t="s">
        <v>2284</v>
      </c>
      <c r="M3" s="78" t="s">
        <v>136</v>
      </c>
      <c r="N3" s="78" t="s">
        <v>136</v>
      </c>
      <c r="O3" s="78">
        <v>6902</v>
      </c>
      <c r="P3" s="78">
        <v>9264</v>
      </c>
      <c r="Q3" s="78" t="s">
        <v>136</v>
      </c>
      <c r="R3" s="78" t="s">
        <v>136</v>
      </c>
      <c r="S3" s="78" t="s">
        <v>134</v>
      </c>
      <c r="T3" s="78" t="s">
        <v>134</v>
      </c>
      <c r="U3" s="78" t="s">
        <v>136</v>
      </c>
      <c r="V3" s="305" t="s">
        <v>89</v>
      </c>
      <c r="W3" s="66">
        <v>45852</v>
      </c>
      <c r="X3" s="66">
        <v>45854</v>
      </c>
      <c r="Z3" s="80" t="s">
        <v>92</v>
      </c>
      <c r="AA3" s="371"/>
      <c r="AB3" s="78">
        <v>6066</v>
      </c>
      <c r="AC3" s="228">
        <v>2368410</v>
      </c>
      <c r="AD3" s="228">
        <f t="shared" ref="AD3:AD66" si="0">AC3*1.19</f>
        <v>2818407.9</v>
      </c>
      <c r="AE3" s="303"/>
      <c r="AG3" s="210" t="s">
        <v>1987</v>
      </c>
      <c r="AH3" s="403"/>
      <c r="AI3" s="66">
        <v>45856</v>
      </c>
      <c r="AJ3" s="78" t="s">
        <v>1705</v>
      </c>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row>
    <row r="4" spans="1:223" s="78" customFormat="1" ht="40.5" customHeight="1" x14ac:dyDescent="0.25">
      <c r="A4" s="353">
        <v>2025</v>
      </c>
      <c r="B4" s="354">
        <v>7</v>
      </c>
      <c r="C4" s="355">
        <v>22826</v>
      </c>
      <c r="D4" s="279">
        <v>45839</v>
      </c>
      <c r="E4" s="81" t="s">
        <v>2285</v>
      </c>
      <c r="F4" s="81" t="s">
        <v>2285</v>
      </c>
      <c r="G4" s="78" t="s">
        <v>143</v>
      </c>
      <c r="H4" s="78">
        <v>3133610759</v>
      </c>
      <c r="I4" s="78">
        <v>3133610759</v>
      </c>
      <c r="J4" s="66">
        <v>45849</v>
      </c>
      <c r="K4" s="306" t="s">
        <v>84</v>
      </c>
      <c r="L4" s="79" t="s">
        <v>2286</v>
      </c>
      <c r="M4" s="78" t="s">
        <v>136</v>
      </c>
      <c r="N4" s="78">
        <v>6065</v>
      </c>
      <c r="O4" s="78">
        <v>6903</v>
      </c>
      <c r="P4" s="78" t="s">
        <v>136</v>
      </c>
      <c r="Q4" s="78">
        <v>5627</v>
      </c>
      <c r="R4" s="78" t="s">
        <v>136</v>
      </c>
      <c r="S4" s="78" t="s">
        <v>134</v>
      </c>
      <c r="T4" s="78" t="s">
        <v>134</v>
      </c>
      <c r="U4" s="78" t="s">
        <v>136</v>
      </c>
      <c r="V4" s="305" t="s">
        <v>119</v>
      </c>
      <c r="W4" s="66">
        <v>45847</v>
      </c>
      <c r="X4" s="66">
        <v>45850</v>
      </c>
      <c r="Z4" s="80" t="s">
        <v>85</v>
      </c>
      <c r="AA4" s="371"/>
      <c r="AB4" s="78">
        <v>6045</v>
      </c>
      <c r="AC4" s="228">
        <v>268908</v>
      </c>
      <c r="AD4" s="228">
        <f t="shared" si="0"/>
        <v>320000.51999999996</v>
      </c>
      <c r="AE4" s="303">
        <v>160000</v>
      </c>
      <c r="AG4" s="210" t="s">
        <v>2129</v>
      </c>
      <c r="AH4" s="403">
        <v>45850</v>
      </c>
      <c r="AI4" s="66">
        <v>45852</v>
      </c>
      <c r="AJ4" s="78" t="s">
        <v>1705</v>
      </c>
      <c r="AL4" s="65"/>
      <c r="AM4" s="65"/>
      <c r="AN4" s="65"/>
      <c r="AO4" s="65"/>
      <c r="AP4" s="65"/>
      <c r="AQ4" s="65"/>
      <c r="AR4" s="65"/>
      <c r="AS4" s="65"/>
      <c r="AT4" s="65"/>
      <c r="AU4" s="65"/>
      <c r="AV4" s="65"/>
      <c r="AW4" s="65"/>
      <c r="AX4" s="65"/>
      <c r="AY4" s="65"/>
      <c r="AZ4" s="65"/>
      <c r="BA4" s="65"/>
      <c r="BB4" s="65"/>
      <c r="BC4" s="65"/>
      <c r="BD4" s="65"/>
      <c r="BE4" s="65"/>
      <c r="BF4" s="65"/>
      <c r="BG4" s="65"/>
      <c r="BH4" s="65"/>
      <c r="BI4" s="65"/>
      <c r="BJ4" s="65"/>
      <c r="BK4" s="65"/>
      <c r="BL4" s="65"/>
      <c r="BM4" s="65"/>
      <c r="BN4" s="65"/>
      <c r="BO4" s="65"/>
      <c r="BP4" s="65"/>
      <c r="BQ4" s="65"/>
      <c r="BR4" s="65"/>
      <c r="BS4" s="65"/>
      <c r="BT4" s="65"/>
      <c r="BU4" s="65"/>
      <c r="BV4" s="65"/>
      <c r="BW4" s="65"/>
      <c r="BX4" s="65"/>
      <c r="BY4" s="65"/>
      <c r="BZ4" s="65"/>
      <c r="CA4" s="65"/>
      <c r="CB4" s="65"/>
      <c r="CC4" s="65"/>
      <c r="CD4" s="65"/>
      <c r="CE4" s="65"/>
      <c r="CF4" s="65"/>
      <c r="CG4" s="65"/>
      <c r="CH4" s="65"/>
      <c r="CI4" s="65"/>
      <c r="CJ4" s="65"/>
      <c r="CK4" s="65"/>
      <c r="CL4" s="65"/>
      <c r="CM4" s="65"/>
      <c r="CN4" s="65"/>
      <c r="CO4" s="65"/>
      <c r="CP4" s="65"/>
      <c r="CQ4" s="65"/>
      <c r="CR4" s="65"/>
      <c r="CS4" s="65"/>
      <c r="CT4" s="65"/>
      <c r="CU4" s="65"/>
      <c r="CV4" s="65"/>
      <c r="CW4" s="65"/>
      <c r="CX4" s="65"/>
      <c r="CY4" s="65"/>
      <c r="CZ4" s="65"/>
      <c r="DA4" s="65"/>
      <c r="DB4" s="65"/>
      <c r="DC4" s="65"/>
      <c r="DD4" s="65"/>
      <c r="DE4" s="65"/>
      <c r="DF4" s="65"/>
      <c r="DG4" s="65"/>
      <c r="DH4" s="65"/>
      <c r="DI4" s="65"/>
      <c r="DJ4" s="65"/>
      <c r="DK4" s="65"/>
      <c r="DL4" s="65"/>
      <c r="DM4" s="65"/>
      <c r="DN4" s="65"/>
      <c r="DO4" s="65"/>
      <c r="DP4" s="65"/>
      <c r="DQ4" s="65"/>
      <c r="DR4" s="65"/>
      <c r="DS4" s="65"/>
      <c r="DT4" s="65"/>
      <c r="DU4" s="65"/>
      <c r="DV4" s="65"/>
      <c r="DW4" s="65"/>
      <c r="DX4" s="65"/>
      <c r="DY4" s="65"/>
      <c r="DZ4" s="65"/>
      <c r="EA4" s="65"/>
      <c r="EB4" s="65"/>
      <c r="EC4" s="65"/>
      <c r="ED4" s="65"/>
      <c r="EE4" s="65"/>
      <c r="EF4" s="65"/>
      <c r="EG4" s="65"/>
      <c r="EH4" s="65"/>
      <c r="EI4" s="65"/>
      <c r="EJ4" s="65"/>
      <c r="EK4" s="65"/>
      <c r="EL4" s="65"/>
      <c r="EM4" s="65"/>
      <c r="EN4" s="65"/>
      <c r="EO4" s="65"/>
      <c r="EP4" s="65"/>
      <c r="EQ4" s="65"/>
      <c r="ER4" s="65"/>
      <c r="ES4" s="65"/>
      <c r="ET4" s="65"/>
      <c r="EU4" s="65"/>
      <c r="EV4" s="65"/>
      <c r="EW4" s="65"/>
      <c r="EX4" s="65"/>
      <c r="EY4" s="65"/>
      <c r="EZ4" s="65"/>
      <c r="FA4" s="65"/>
      <c r="FB4" s="65"/>
      <c r="FC4" s="65"/>
      <c r="FD4" s="65"/>
      <c r="FE4" s="65"/>
      <c r="FF4" s="65"/>
      <c r="FG4" s="65"/>
      <c r="FH4" s="65"/>
      <c r="FI4" s="65"/>
      <c r="FJ4" s="65"/>
      <c r="FK4" s="65"/>
      <c r="FL4" s="65"/>
      <c r="FM4" s="65"/>
      <c r="FN4" s="65"/>
      <c r="FO4" s="65"/>
      <c r="FP4" s="65"/>
      <c r="FQ4" s="65"/>
      <c r="FR4" s="65"/>
      <c r="FS4" s="65"/>
      <c r="FT4" s="65"/>
      <c r="FU4" s="65"/>
      <c r="FV4" s="65"/>
      <c r="FW4" s="65"/>
      <c r="FX4" s="65"/>
      <c r="FY4" s="65"/>
      <c r="FZ4" s="65"/>
      <c r="GA4" s="65"/>
      <c r="GB4" s="65"/>
      <c r="GC4" s="65"/>
      <c r="GD4" s="65"/>
      <c r="GE4" s="65"/>
      <c r="GF4" s="65"/>
      <c r="GG4" s="65"/>
      <c r="GH4" s="65"/>
      <c r="GI4" s="65"/>
      <c r="GJ4" s="65"/>
      <c r="GK4" s="65"/>
      <c r="GL4" s="65"/>
      <c r="GM4" s="65"/>
      <c r="GN4" s="65"/>
      <c r="GO4" s="65"/>
      <c r="GP4" s="65"/>
      <c r="GQ4" s="65"/>
      <c r="GR4" s="65"/>
      <c r="GS4" s="65"/>
      <c r="GT4" s="65"/>
      <c r="GU4" s="65"/>
      <c r="GV4" s="65"/>
      <c r="GW4" s="65"/>
      <c r="GX4" s="65"/>
      <c r="GY4" s="65"/>
      <c r="GZ4" s="65"/>
      <c r="HA4" s="65"/>
      <c r="HB4" s="65"/>
      <c r="HC4" s="65"/>
      <c r="HD4" s="65"/>
      <c r="HE4" s="65"/>
      <c r="HF4" s="65"/>
      <c r="HG4" s="65"/>
      <c r="HH4" s="65"/>
      <c r="HI4" s="65"/>
      <c r="HJ4" s="65"/>
      <c r="HK4" s="65"/>
      <c r="HL4" s="65"/>
      <c r="HM4" s="65"/>
      <c r="HN4" s="65"/>
      <c r="HO4" s="65"/>
    </row>
    <row r="5" spans="1:223" s="78" customFormat="1" ht="34.5" customHeight="1" x14ac:dyDescent="0.25">
      <c r="A5" s="353">
        <v>2025</v>
      </c>
      <c r="B5" s="354">
        <v>7</v>
      </c>
      <c r="C5" s="353">
        <v>22827</v>
      </c>
      <c r="D5" s="279">
        <v>45840</v>
      </c>
      <c r="E5" s="81" t="s">
        <v>531</v>
      </c>
      <c r="F5" s="81" t="s">
        <v>2283</v>
      </c>
      <c r="G5" s="78" t="s">
        <v>150</v>
      </c>
      <c r="I5" s="78">
        <v>4483227</v>
      </c>
      <c r="J5" s="66">
        <v>45852</v>
      </c>
      <c r="K5" s="306" t="s">
        <v>88</v>
      </c>
      <c r="L5" s="79" t="s">
        <v>2287</v>
      </c>
      <c r="M5" s="78" t="s">
        <v>136</v>
      </c>
      <c r="N5" s="78">
        <v>6068</v>
      </c>
      <c r="O5" s="78" t="s">
        <v>136</v>
      </c>
      <c r="P5" s="78">
        <v>9161</v>
      </c>
      <c r="Q5" s="78">
        <v>5575</v>
      </c>
      <c r="R5" s="78" t="s">
        <v>136</v>
      </c>
      <c r="S5" s="78" t="s">
        <v>134</v>
      </c>
      <c r="T5" s="78" t="s">
        <v>134</v>
      </c>
      <c r="U5" s="78" t="s">
        <v>136</v>
      </c>
      <c r="V5" s="305" t="s">
        <v>89</v>
      </c>
      <c r="W5" s="66">
        <v>45849</v>
      </c>
      <c r="X5" s="66">
        <v>45854</v>
      </c>
      <c r="Z5" s="80" t="s">
        <v>97</v>
      </c>
      <c r="AA5" s="371"/>
      <c r="AB5" s="78">
        <v>6065</v>
      </c>
      <c r="AC5" s="228">
        <v>923070</v>
      </c>
      <c r="AD5" s="228">
        <f t="shared" si="0"/>
        <v>1098453.3</v>
      </c>
      <c r="AE5" s="303"/>
      <c r="AG5" s="210" t="s">
        <v>1987</v>
      </c>
      <c r="AH5" s="241"/>
      <c r="AI5" s="66">
        <v>45856</v>
      </c>
      <c r="AJ5" s="78" t="s">
        <v>1705</v>
      </c>
      <c r="AL5" s="65"/>
      <c r="AM5" s="65"/>
      <c r="AN5" s="65"/>
      <c r="AO5" s="65"/>
      <c r="AP5" s="65"/>
      <c r="AQ5" s="65"/>
      <c r="AR5" s="65"/>
      <c r="AS5" s="65"/>
      <c r="AT5" s="65"/>
      <c r="AU5" s="65"/>
      <c r="AV5" s="65"/>
      <c r="AW5" s="65"/>
      <c r="AX5" s="65"/>
      <c r="AY5" s="65"/>
      <c r="AZ5" s="65"/>
      <c r="BA5" s="65"/>
      <c r="BB5" s="65"/>
      <c r="BC5" s="65"/>
      <c r="BD5" s="65"/>
      <c r="BE5" s="65"/>
      <c r="BF5" s="65"/>
      <c r="BG5" s="65"/>
      <c r="BH5" s="65"/>
      <c r="BI5" s="65"/>
      <c r="BJ5" s="65"/>
      <c r="BK5" s="65"/>
      <c r="BL5" s="65"/>
      <c r="BM5" s="65"/>
      <c r="BN5" s="65"/>
      <c r="BO5" s="65"/>
      <c r="BP5" s="65"/>
      <c r="BQ5" s="65"/>
      <c r="BR5" s="65"/>
      <c r="BS5" s="65"/>
      <c r="BT5" s="65"/>
      <c r="BU5" s="65"/>
      <c r="BV5" s="65"/>
      <c r="BW5" s="65"/>
      <c r="BX5" s="65"/>
      <c r="BY5" s="65"/>
      <c r="BZ5" s="65"/>
      <c r="CA5" s="65"/>
      <c r="CB5" s="65"/>
      <c r="CC5" s="65"/>
      <c r="CD5" s="65"/>
      <c r="CE5" s="65"/>
      <c r="CF5" s="65"/>
      <c r="CG5" s="65"/>
      <c r="CH5" s="65"/>
      <c r="CI5" s="65"/>
      <c r="CJ5" s="65"/>
      <c r="CK5" s="65"/>
      <c r="CL5" s="65"/>
      <c r="CM5" s="65"/>
      <c r="CN5" s="65"/>
      <c r="CO5" s="65"/>
      <c r="CP5" s="65"/>
      <c r="CQ5" s="65"/>
      <c r="CR5" s="65"/>
      <c r="CS5" s="65"/>
      <c r="CT5" s="65"/>
      <c r="CU5" s="65"/>
      <c r="CV5" s="65"/>
      <c r="CW5" s="65"/>
      <c r="CX5" s="65"/>
      <c r="CY5" s="65"/>
      <c r="CZ5" s="65"/>
      <c r="DA5" s="65"/>
      <c r="DB5" s="65"/>
      <c r="DC5" s="65"/>
      <c r="DD5" s="65"/>
      <c r="DE5" s="65"/>
      <c r="DF5" s="65"/>
      <c r="DG5" s="65"/>
      <c r="DH5" s="65"/>
      <c r="DI5" s="65"/>
      <c r="DJ5" s="65"/>
      <c r="DK5" s="65"/>
      <c r="DL5" s="65"/>
      <c r="DM5" s="65"/>
      <c r="DN5" s="65"/>
      <c r="DO5" s="65"/>
      <c r="DP5" s="65"/>
      <c r="DQ5" s="65"/>
      <c r="DR5" s="65"/>
      <c r="DS5" s="65"/>
      <c r="DT5" s="65"/>
      <c r="DU5" s="65"/>
      <c r="DV5" s="65"/>
      <c r="DW5" s="65"/>
      <c r="DX5" s="65"/>
      <c r="DY5" s="65"/>
      <c r="DZ5" s="65"/>
      <c r="EA5" s="65"/>
      <c r="EB5" s="65"/>
      <c r="EC5" s="65"/>
      <c r="ED5" s="65"/>
      <c r="EE5" s="65"/>
      <c r="EF5" s="65"/>
      <c r="EG5" s="65"/>
      <c r="EH5" s="65"/>
      <c r="EI5" s="65"/>
      <c r="EJ5" s="65"/>
      <c r="EK5" s="65"/>
      <c r="EL5" s="65"/>
      <c r="EM5" s="65"/>
      <c r="EN5" s="65"/>
      <c r="EO5" s="65"/>
      <c r="EP5" s="65"/>
      <c r="EQ5" s="65"/>
      <c r="ER5" s="65"/>
      <c r="ES5" s="65"/>
      <c r="ET5" s="65"/>
      <c r="EU5" s="65"/>
      <c r="EV5" s="65"/>
      <c r="EW5" s="65"/>
      <c r="EX5" s="65"/>
      <c r="EY5" s="65"/>
      <c r="EZ5" s="65"/>
      <c r="FA5" s="65"/>
      <c r="FB5" s="65"/>
      <c r="FC5" s="65"/>
      <c r="FD5" s="65"/>
      <c r="FE5" s="65"/>
      <c r="FF5" s="65"/>
      <c r="FG5" s="65"/>
      <c r="FH5" s="65"/>
      <c r="FI5" s="65"/>
      <c r="FJ5" s="65"/>
      <c r="FK5" s="65"/>
      <c r="FL5" s="65"/>
      <c r="FM5" s="65"/>
      <c r="FN5" s="65"/>
      <c r="FO5" s="65"/>
      <c r="FP5" s="65"/>
      <c r="FQ5" s="65"/>
      <c r="FR5" s="65"/>
      <c r="FS5" s="65"/>
      <c r="FT5" s="65"/>
      <c r="FU5" s="65"/>
      <c r="FV5" s="65"/>
      <c r="FW5" s="65"/>
      <c r="FX5" s="65"/>
      <c r="FY5" s="65"/>
      <c r="FZ5" s="65"/>
      <c r="GA5" s="65"/>
      <c r="GB5" s="65"/>
      <c r="GC5" s="65"/>
      <c r="GD5" s="65"/>
      <c r="GE5" s="65"/>
      <c r="GF5" s="65"/>
      <c r="GG5" s="65"/>
      <c r="GH5" s="65"/>
      <c r="GI5" s="65"/>
      <c r="GJ5" s="65"/>
      <c r="GK5" s="65"/>
      <c r="GL5" s="65"/>
      <c r="GM5" s="65"/>
      <c r="GN5" s="65"/>
      <c r="GO5" s="65"/>
      <c r="GP5" s="65"/>
      <c r="GQ5" s="65"/>
      <c r="GR5" s="65"/>
      <c r="GS5" s="65"/>
      <c r="GT5" s="65"/>
      <c r="GU5" s="65"/>
      <c r="GV5" s="65"/>
      <c r="GW5" s="65"/>
      <c r="GX5" s="65"/>
      <c r="GY5" s="65"/>
      <c r="GZ5" s="65"/>
      <c r="HA5" s="65"/>
      <c r="HB5" s="65"/>
      <c r="HC5" s="65"/>
      <c r="HD5" s="65"/>
      <c r="HE5" s="65"/>
      <c r="HF5" s="65"/>
      <c r="HG5" s="65"/>
      <c r="HH5" s="65"/>
      <c r="HI5" s="65"/>
      <c r="HJ5" s="65"/>
      <c r="HK5" s="65"/>
      <c r="HL5" s="65"/>
      <c r="HM5" s="65"/>
      <c r="HN5" s="65"/>
      <c r="HO5" s="65"/>
    </row>
    <row r="6" spans="1:223" s="78" customFormat="1" ht="66" customHeight="1" x14ac:dyDescent="0.25">
      <c r="A6" s="353">
        <v>2025</v>
      </c>
      <c r="B6" s="354">
        <v>7</v>
      </c>
      <c r="C6" s="355">
        <v>22828</v>
      </c>
      <c r="D6" s="279">
        <v>45840</v>
      </c>
      <c r="E6" s="81" t="s">
        <v>2071</v>
      </c>
      <c r="F6" s="81"/>
      <c r="I6" s="78">
        <v>6044609940</v>
      </c>
      <c r="J6" s="66">
        <v>45849</v>
      </c>
      <c r="K6" s="306" t="s">
        <v>88</v>
      </c>
      <c r="L6" s="79" t="s">
        <v>2288</v>
      </c>
      <c r="M6" s="78" t="s">
        <v>136</v>
      </c>
      <c r="N6" s="78">
        <v>6066</v>
      </c>
      <c r="O6" s="78" t="s">
        <v>136</v>
      </c>
      <c r="P6" s="78">
        <v>9343</v>
      </c>
      <c r="Q6" s="78" t="s">
        <v>136</v>
      </c>
      <c r="R6" s="78" t="s">
        <v>136</v>
      </c>
      <c r="S6" s="78" t="s">
        <v>134</v>
      </c>
      <c r="T6" s="78" t="s">
        <v>134</v>
      </c>
      <c r="U6" s="78" t="s">
        <v>136</v>
      </c>
      <c r="V6" s="305" t="s">
        <v>89</v>
      </c>
      <c r="W6" s="66">
        <v>45847</v>
      </c>
      <c r="X6" s="66">
        <v>45845</v>
      </c>
      <c r="Z6" s="80" t="s">
        <v>85</v>
      </c>
      <c r="AA6" s="371">
        <v>305558</v>
      </c>
      <c r="AB6" s="78">
        <v>6055</v>
      </c>
      <c r="AC6" s="228">
        <v>256771</v>
      </c>
      <c r="AD6" s="228">
        <f t="shared" si="0"/>
        <v>305557.49</v>
      </c>
      <c r="AE6" s="303"/>
      <c r="AG6" s="210" t="s">
        <v>2137</v>
      </c>
      <c r="AH6" s="403">
        <v>45840</v>
      </c>
      <c r="AI6" s="66">
        <v>45852</v>
      </c>
      <c r="AJ6" s="78" t="s">
        <v>1705</v>
      </c>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5"/>
      <c r="CA6" s="65"/>
      <c r="CB6" s="65"/>
      <c r="CC6" s="65"/>
      <c r="CD6" s="65"/>
      <c r="CE6" s="65"/>
      <c r="CF6" s="65"/>
      <c r="CG6" s="65"/>
      <c r="CH6" s="65"/>
      <c r="CI6" s="65"/>
      <c r="CJ6" s="65"/>
      <c r="CK6" s="65"/>
      <c r="CL6" s="65"/>
      <c r="CM6" s="65"/>
      <c r="CN6" s="65"/>
      <c r="CO6" s="65"/>
      <c r="CP6" s="65"/>
      <c r="CQ6" s="65"/>
      <c r="CR6" s="65"/>
      <c r="CS6" s="65"/>
      <c r="CT6" s="65"/>
      <c r="CU6" s="65"/>
      <c r="CV6" s="65"/>
      <c r="CW6" s="65"/>
      <c r="CX6" s="65"/>
      <c r="CY6" s="65"/>
      <c r="CZ6" s="65"/>
      <c r="DA6" s="65"/>
      <c r="DB6" s="65"/>
      <c r="DC6" s="65"/>
      <c r="DD6" s="65"/>
      <c r="DE6" s="65"/>
      <c r="DF6" s="65"/>
      <c r="DG6" s="65"/>
      <c r="DH6" s="65"/>
      <c r="DI6" s="65"/>
      <c r="DJ6" s="65"/>
      <c r="DK6" s="65"/>
      <c r="DL6" s="65"/>
      <c r="DM6" s="65"/>
      <c r="DN6" s="65"/>
      <c r="DO6" s="65"/>
      <c r="DP6" s="65"/>
      <c r="DQ6" s="65"/>
      <c r="DR6" s="65"/>
      <c r="DS6" s="65"/>
      <c r="DT6" s="65"/>
      <c r="DU6" s="65"/>
      <c r="DV6" s="65"/>
      <c r="DW6" s="65"/>
      <c r="DX6" s="65"/>
      <c r="DY6" s="65"/>
      <c r="DZ6" s="65"/>
      <c r="EA6" s="65"/>
      <c r="EB6" s="65"/>
      <c r="EC6" s="65"/>
      <c r="ED6" s="65"/>
      <c r="EE6" s="65"/>
      <c r="EF6" s="65"/>
      <c r="EG6" s="65"/>
      <c r="EH6" s="65"/>
      <c r="EI6" s="65"/>
      <c r="EJ6" s="65"/>
      <c r="EK6" s="65"/>
      <c r="EL6" s="65"/>
      <c r="EM6" s="65"/>
      <c r="EN6" s="65"/>
      <c r="EO6" s="65"/>
      <c r="EP6" s="65"/>
      <c r="EQ6" s="65"/>
      <c r="ER6" s="65"/>
      <c r="ES6" s="65"/>
      <c r="ET6" s="65"/>
      <c r="EU6" s="65"/>
      <c r="EV6" s="65"/>
      <c r="EW6" s="65"/>
      <c r="EX6" s="65"/>
      <c r="EY6" s="65"/>
      <c r="EZ6" s="65"/>
      <c r="FA6" s="65"/>
      <c r="FB6" s="65"/>
      <c r="FC6" s="65"/>
      <c r="FD6" s="65"/>
      <c r="FE6" s="65"/>
      <c r="FF6" s="65"/>
      <c r="FG6" s="65"/>
      <c r="FH6" s="65"/>
      <c r="FI6" s="65"/>
      <c r="FJ6" s="65"/>
      <c r="FK6" s="65"/>
      <c r="FL6" s="65"/>
      <c r="FM6" s="65"/>
      <c r="FN6" s="65"/>
      <c r="FO6" s="65"/>
      <c r="FP6" s="65"/>
      <c r="FQ6" s="65"/>
      <c r="FR6" s="65"/>
      <c r="FS6" s="65"/>
      <c r="FT6" s="65"/>
      <c r="FU6" s="65"/>
      <c r="FV6" s="65"/>
      <c r="FW6" s="65"/>
      <c r="FX6" s="65"/>
      <c r="FY6" s="65"/>
      <c r="FZ6" s="65"/>
      <c r="GA6" s="65"/>
      <c r="GB6" s="65"/>
      <c r="GC6" s="65"/>
      <c r="GD6" s="65"/>
      <c r="GE6" s="65"/>
      <c r="GF6" s="65"/>
      <c r="GG6" s="65"/>
      <c r="GH6" s="65"/>
      <c r="GI6" s="65"/>
      <c r="GJ6" s="65"/>
      <c r="GK6" s="65"/>
      <c r="GL6" s="65"/>
      <c r="GM6" s="65"/>
      <c r="GN6" s="65"/>
      <c r="GO6" s="65"/>
      <c r="GP6" s="65"/>
      <c r="GQ6" s="65"/>
      <c r="GR6" s="65"/>
      <c r="GS6" s="65"/>
      <c r="GT6" s="65"/>
      <c r="GU6" s="65"/>
      <c r="GV6" s="65"/>
      <c r="GW6" s="65"/>
      <c r="GX6" s="65"/>
      <c r="GY6" s="65"/>
      <c r="GZ6" s="65"/>
      <c r="HA6" s="65"/>
      <c r="HB6" s="65"/>
      <c r="HC6" s="65"/>
      <c r="HD6" s="65"/>
      <c r="HE6" s="65"/>
      <c r="HF6" s="65"/>
      <c r="HG6" s="65"/>
      <c r="HH6" s="65"/>
      <c r="HI6" s="65"/>
      <c r="HJ6" s="65"/>
      <c r="HK6" s="65"/>
      <c r="HL6" s="65"/>
      <c r="HM6" s="65"/>
      <c r="HN6" s="65"/>
      <c r="HO6" s="65"/>
    </row>
    <row r="7" spans="1:223" s="78" customFormat="1" ht="36" customHeight="1" x14ac:dyDescent="0.25">
      <c r="A7" s="353">
        <v>2025</v>
      </c>
      <c r="B7" s="354">
        <v>7</v>
      </c>
      <c r="C7" s="353">
        <v>22829</v>
      </c>
      <c r="D7" s="279">
        <v>45841</v>
      </c>
      <c r="E7" s="81" t="s">
        <v>2289</v>
      </c>
      <c r="F7" s="81" t="s">
        <v>87</v>
      </c>
      <c r="G7" s="78" t="s">
        <v>150</v>
      </c>
      <c r="H7" s="78">
        <v>3002434918</v>
      </c>
      <c r="I7" s="78">
        <v>3002434918</v>
      </c>
      <c r="J7" s="66">
        <v>45854</v>
      </c>
      <c r="K7" s="306" t="s">
        <v>88</v>
      </c>
      <c r="L7" s="79" t="s">
        <v>2290</v>
      </c>
      <c r="M7" s="78" t="s">
        <v>136</v>
      </c>
      <c r="N7" s="78">
        <v>6069</v>
      </c>
      <c r="O7" s="78">
        <v>6905</v>
      </c>
      <c r="P7" s="78">
        <v>9356</v>
      </c>
      <c r="Q7" s="78">
        <v>5630</v>
      </c>
      <c r="R7" s="78" t="s">
        <v>134</v>
      </c>
      <c r="S7" s="78" t="s">
        <v>134</v>
      </c>
      <c r="T7" s="78" t="s">
        <v>134</v>
      </c>
      <c r="U7" s="78" t="s">
        <v>136</v>
      </c>
      <c r="V7" s="305" t="s">
        <v>119</v>
      </c>
      <c r="W7" s="66">
        <v>45854</v>
      </c>
      <c r="X7" s="66">
        <v>45855</v>
      </c>
      <c r="Z7" s="80" t="s">
        <v>85</v>
      </c>
      <c r="AA7" s="371"/>
      <c r="AB7" s="78">
        <v>6051</v>
      </c>
      <c r="AC7" s="228">
        <v>750095</v>
      </c>
      <c r="AD7" s="228">
        <f t="shared" si="0"/>
        <v>892613.04999999993</v>
      </c>
      <c r="AE7" s="303">
        <v>446000</v>
      </c>
      <c r="AG7" s="210" t="s">
        <v>2474</v>
      </c>
      <c r="AH7" s="403">
        <v>45855</v>
      </c>
      <c r="AI7" s="66">
        <v>45861</v>
      </c>
      <c r="AJ7" s="78" t="s">
        <v>1705</v>
      </c>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c r="GN7" s="65"/>
      <c r="GO7" s="65"/>
      <c r="GP7" s="65"/>
      <c r="GQ7" s="65"/>
      <c r="GR7" s="65"/>
      <c r="GS7" s="65"/>
      <c r="GT7" s="65"/>
      <c r="GU7" s="65"/>
      <c r="GV7" s="65"/>
      <c r="GW7" s="65"/>
      <c r="GX7" s="65"/>
      <c r="GY7" s="65"/>
      <c r="GZ7" s="65"/>
      <c r="HA7" s="65"/>
      <c r="HB7" s="65"/>
      <c r="HC7" s="65"/>
      <c r="HD7" s="65"/>
      <c r="HE7" s="65"/>
      <c r="HF7" s="65"/>
      <c r="HG7" s="65"/>
      <c r="HH7" s="65"/>
      <c r="HI7" s="65"/>
      <c r="HJ7" s="65"/>
      <c r="HK7" s="65"/>
      <c r="HL7" s="65"/>
      <c r="HM7" s="65"/>
      <c r="HN7" s="65"/>
      <c r="HO7" s="65"/>
    </row>
    <row r="8" spans="1:223" s="78" customFormat="1" ht="34.5" customHeight="1" x14ac:dyDescent="0.25">
      <c r="A8" s="353">
        <v>2025</v>
      </c>
      <c r="B8" s="354">
        <v>7</v>
      </c>
      <c r="C8" s="355">
        <v>22830</v>
      </c>
      <c r="D8" s="279">
        <v>45841</v>
      </c>
      <c r="E8" s="81" t="s">
        <v>2291</v>
      </c>
      <c r="F8" s="81" t="s">
        <v>1956</v>
      </c>
      <c r="H8" s="78">
        <v>3175926625</v>
      </c>
      <c r="I8" s="78">
        <v>3673785</v>
      </c>
      <c r="J8" s="66">
        <v>45849</v>
      </c>
      <c r="K8" s="306" t="s">
        <v>99</v>
      </c>
      <c r="L8" s="79" t="s">
        <v>2292</v>
      </c>
      <c r="M8" s="78" t="s">
        <v>136</v>
      </c>
      <c r="N8" s="78" t="s">
        <v>136</v>
      </c>
      <c r="O8" s="78">
        <v>6906</v>
      </c>
      <c r="P8" s="78">
        <v>9358</v>
      </c>
      <c r="Q8" s="78" t="s">
        <v>136</v>
      </c>
      <c r="R8" s="78" t="s">
        <v>136</v>
      </c>
      <c r="S8" s="78" t="s">
        <v>134</v>
      </c>
      <c r="T8" s="78" t="s">
        <v>134</v>
      </c>
      <c r="U8" s="78" t="s">
        <v>136</v>
      </c>
      <c r="V8" s="305" t="s">
        <v>87</v>
      </c>
      <c r="W8" s="66">
        <v>45847</v>
      </c>
      <c r="X8" s="66">
        <v>45853</v>
      </c>
      <c r="Z8" s="80" t="s">
        <v>85</v>
      </c>
      <c r="AA8" s="371"/>
      <c r="AB8" s="78">
        <v>6039</v>
      </c>
      <c r="AC8" s="228">
        <v>802395</v>
      </c>
      <c r="AD8" s="228">
        <f t="shared" si="0"/>
        <v>954850.04999999993</v>
      </c>
      <c r="AE8" s="303">
        <v>477426</v>
      </c>
      <c r="AG8" s="210" t="s">
        <v>2097</v>
      </c>
      <c r="AH8" s="438">
        <v>45848</v>
      </c>
      <c r="AI8" s="66">
        <v>45859</v>
      </c>
      <c r="AJ8" s="78" t="s">
        <v>1705</v>
      </c>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c r="DU8" s="65"/>
      <c r="DV8" s="65"/>
      <c r="DW8" s="65"/>
      <c r="DX8" s="65"/>
      <c r="DY8" s="65"/>
      <c r="DZ8" s="65"/>
      <c r="EA8" s="65"/>
      <c r="EB8" s="65"/>
      <c r="EC8" s="65"/>
      <c r="ED8" s="65"/>
      <c r="EE8" s="65"/>
      <c r="EF8" s="65"/>
      <c r="EG8" s="65"/>
      <c r="EH8" s="65"/>
      <c r="EI8" s="65"/>
      <c r="EJ8" s="65"/>
      <c r="EK8" s="65"/>
      <c r="EL8" s="65"/>
      <c r="EM8" s="65"/>
      <c r="EN8" s="65"/>
      <c r="EO8" s="65"/>
      <c r="EP8" s="65"/>
      <c r="EQ8" s="65"/>
      <c r="ER8" s="65"/>
      <c r="ES8" s="65"/>
      <c r="ET8" s="65"/>
      <c r="EU8" s="65"/>
      <c r="EV8" s="65"/>
      <c r="EW8" s="65"/>
      <c r="EX8" s="65"/>
      <c r="EY8" s="65"/>
      <c r="EZ8" s="65"/>
      <c r="FA8" s="65"/>
      <c r="FB8" s="65"/>
      <c r="FC8" s="65"/>
      <c r="FD8" s="65"/>
      <c r="FE8" s="65"/>
      <c r="FF8" s="65"/>
      <c r="FG8" s="65"/>
      <c r="FH8" s="65"/>
      <c r="FI8" s="65"/>
      <c r="FJ8" s="65"/>
      <c r="FK8" s="65"/>
      <c r="FL8" s="65"/>
      <c r="FM8" s="65"/>
      <c r="FN8" s="65"/>
      <c r="FO8" s="65"/>
      <c r="FP8" s="65"/>
      <c r="FQ8" s="65"/>
      <c r="FR8" s="65"/>
      <c r="FS8" s="65"/>
      <c r="FT8" s="65"/>
      <c r="FU8" s="65"/>
      <c r="FV8" s="65"/>
      <c r="FW8" s="65"/>
      <c r="FX8" s="65"/>
      <c r="FY8" s="65"/>
      <c r="FZ8" s="65"/>
      <c r="GA8" s="65"/>
      <c r="GB8" s="65"/>
      <c r="GC8" s="65"/>
      <c r="GD8" s="65"/>
      <c r="GE8" s="65"/>
      <c r="GF8" s="65"/>
      <c r="GG8" s="65"/>
      <c r="GH8" s="65"/>
      <c r="GI8" s="65"/>
      <c r="GJ8" s="65"/>
      <c r="GK8" s="65"/>
      <c r="GL8" s="65"/>
      <c r="GM8" s="65"/>
      <c r="GN8" s="65"/>
      <c r="GO8" s="65"/>
      <c r="GP8" s="65"/>
      <c r="GQ8" s="65"/>
      <c r="GR8" s="65"/>
      <c r="GS8" s="65"/>
      <c r="GT8" s="65"/>
      <c r="GU8" s="65"/>
      <c r="GV8" s="65"/>
      <c r="GW8" s="65"/>
      <c r="GX8" s="65"/>
      <c r="GY8" s="65"/>
      <c r="GZ8" s="65"/>
      <c r="HA8" s="65"/>
      <c r="HB8" s="65"/>
      <c r="HC8" s="65"/>
      <c r="HD8" s="65"/>
      <c r="HE8" s="65"/>
      <c r="HF8" s="65"/>
      <c r="HG8" s="65"/>
      <c r="HH8" s="65"/>
      <c r="HI8" s="65"/>
      <c r="HJ8" s="65"/>
      <c r="HK8" s="65"/>
      <c r="HL8" s="65"/>
      <c r="HM8" s="65"/>
      <c r="HN8" s="65"/>
      <c r="HO8" s="65"/>
    </row>
    <row r="9" spans="1:223" s="78" customFormat="1" ht="34.5" customHeight="1" x14ac:dyDescent="0.25">
      <c r="A9" s="353">
        <v>2025</v>
      </c>
      <c r="B9" s="354">
        <v>7</v>
      </c>
      <c r="C9" s="353">
        <v>22831</v>
      </c>
      <c r="D9" s="279">
        <v>45841</v>
      </c>
      <c r="E9" s="81" t="s">
        <v>2293</v>
      </c>
      <c r="F9" s="81" t="s">
        <v>2294</v>
      </c>
      <c r="G9" s="78" t="s">
        <v>2295</v>
      </c>
      <c r="H9" s="78">
        <v>3116389916</v>
      </c>
      <c r="I9" s="78">
        <v>6044483197</v>
      </c>
      <c r="J9" s="66">
        <v>45842</v>
      </c>
      <c r="K9" s="78" t="s">
        <v>88</v>
      </c>
      <c r="L9" s="79" t="s">
        <v>2296</v>
      </c>
      <c r="M9" s="78" t="s">
        <v>136</v>
      </c>
      <c r="N9" s="78" t="s">
        <v>136</v>
      </c>
      <c r="O9" s="78" t="s">
        <v>136</v>
      </c>
      <c r="P9" s="78" t="s">
        <v>136</v>
      </c>
      <c r="Q9" s="78" t="s">
        <v>136</v>
      </c>
      <c r="R9" s="78" t="s">
        <v>136</v>
      </c>
      <c r="S9" s="78" t="s">
        <v>2065</v>
      </c>
      <c r="T9" s="78" t="s">
        <v>134</v>
      </c>
      <c r="U9" s="78" t="s">
        <v>136</v>
      </c>
      <c r="V9" s="305" t="s">
        <v>87</v>
      </c>
      <c r="W9" s="66"/>
      <c r="X9" s="66">
        <v>45842</v>
      </c>
      <c r="Z9" s="80" t="s">
        <v>85</v>
      </c>
      <c r="AA9" s="371">
        <v>184000</v>
      </c>
      <c r="AB9" s="78">
        <v>6026</v>
      </c>
      <c r="AC9" s="228">
        <v>160000</v>
      </c>
      <c r="AD9" s="228">
        <f t="shared" si="0"/>
        <v>190400</v>
      </c>
      <c r="AE9" s="303"/>
      <c r="AG9" s="210" t="s">
        <v>2100</v>
      </c>
      <c r="AH9" s="403">
        <v>45841</v>
      </c>
      <c r="AI9" s="66">
        <v>45845</v>
      </c>
      <c r="AJ9" s="78" t="s">
        <v>1705</v>
      </c>
      <c r="AL9" s="65"/>
      <c r="AM9" s="65"/>
      <c r="AN9" s="65"/>
      <c r="AO9" s="65"/>
      <c r="AP9" s="65"/>
      <c r="AQ9" s="65"/>
      <c r="AR9" s="65"/>
      <c r="AS9" s="65"/>
      <c r="AT9" s="65"/>
      <c r="AU9" s="65"/>
      <c r="AV9" s="65"/>
      <c r="AW9" s="65"/>
      <c r="AX9" s="65"/>
      <c r="AY9" s="65"/>
      <c r="AZ9" s="65"/>
      <c r="BA9" s="65"/>
      <c r="BB9" s="65"/>
      <c r="BC9" s="65"/>
      <c r="BD9" s="65"/>
      <c r="BE9" s="65"/>
      <c r="BF9" s="65"/>
      <c r="BG9" s="65"/>
      <c r="BH9" s="65"/>
      <c r="BI9" s="65"/>
      <c r="BJ9" s="65"/>
      <c r="BK9" s="65"/>
      <c r="BL9" s="65"/>
      <c r="BM9" s="65"/>
      <c r="BN9" s="65"/>
      <c r="BO9" s="65"/>
      <c r="BP9" s="65"/>
      <c r="BQ9" s="65"/>
      <c r="BR9" s="65"/>
      <c r="BS9" s="65"/>
      <c r="BT9" s="65"/>
      <c r="BU9" s="65"/>
      <c r="BV9" s="65"/>
      <c r="BW9" s="65"/>
      <c r="BX9" s="65"/>
      <c r="BY9" s="65"/>
      <c r="BZ9" s="65"/>
      <c r="CA9" s="65"/>
      <c r="CB9" s="65"/>
      <c r="CC9" s="65"/>
      <c r="CD9" s="65"/>
      <c r="CE9" s="65"/>
      <c r="CF9" s="65"/>
      <c r="CG9" s="65"/>
      <c r="CH9" s="65"/>
      <c r="CI9" s="65"/>
      <c r="CJ9" s="65"/>
      <c r="CK9" s="65"/>
      <c r="CL9" s="65"/>
      <c r="CM9" s="65"/>
      <c r="CN9" s="65"/>
      <c r="CO9" s="65"/>
      <c r="CP9" s="65"/>
      <c r="CQ9" s="65"/>
      <c r="CR9" s="65"/>
      <c r="CS9" s="65"/>
      <c r="CT9" s="65"/>
      <c r="CU9" s="65"/>
      <c r="CV9" s="65"/>
      <c r="CW9" s="65"/>
      <c r="CX9" s="65"/>
      <c r="CY9" s="65"/>
      <c r="CZ9" s="65"/>
      <c r="DA9" s="65"/>
      <c r="DB9" s="65"/>
      <c r="DC9" s="65"/>
      <c r="DD9" s="65"/>
      <c r="DE9" s="65"/>
      <c r="DF9" s="65"/>
      <c r="DG9" s="65"/>
      <c r="DH9" s="65"/>
      <c r="DI9" s="65"/>
      <c r="DJ9" s="65"/>
      <c r="DK9" s="65"/>
      <c r="DL9" s="65"/>
      <c r="DM9" s="65"/>
      <c r="DN9" s="65"/>
      <c r="DO9" s="65"/>
      <c r="DP9" s="65"/>
      <c r="DQ9" s="65"/>
      <c r="DR9" s="65"/>
      <c r="DS9" s="65"/>
      <c r="DT9" s="65"/>
      <c r="DU9" s="65"/>
      <c r="DV9" s="65"/>
      <c r="DW9" s="65"/>
      <c r="DX9" s="65"/>
      <c r="DY9" s="65"/>
      <c r="DZ9" s="65"/>
      <c r="EA9" s="65"/>
      <c r="EB9" s="65"/>
      <c r="EC9" s="65"/>
      <c r="ED9" s="65"/>
      <c r="EE9" s="65"/>
      <c r="EF9" s="65"/>
      <c r="EG9" s="65"/>
      <c r="EH9" s="65"/>
      <c r="EI9" s="65"/>
      <c r="EJ9" s="65"/>
      <c r="EK9" s="65"/>
      <c r="EL9" s="65"/>
      <c r="EM9" s="65"/>
      <c r="EN9" s="65"/>
      <c r="EO9" s="65"/>
      <c r="EP9" s="65"/>
      <c r="EQ9" s="65"/>
      <c r="ER9" s="65"/>
      <c r="ES9" s="65"/>
      <c r="ET9" s="65"/>
      <c r="EU9" s="65"/>
      <c r="EV9" s="65"/>
      <c r="EW9" s="65"/>
      <c r="EX9" s="65"/>
      <c r="EY9" s="65"/>
      <c r="EZ9" s="65"/>
      <c r="FA9" s="65"/>
      <c r="FB9" s="65"/>
      <c r="FC9" s="65"/>
      <c r="FD9" s="65"/>
      <c r="FE9" s="65"/>
      <c r="FF9" s="65"/>
      <c r="FG9" s="65"/>
      <c r="FH9" s="65"/>
      <c r="FI9" s="65"/>
      <c r="FJ9" s="65"/>
      <c r="FK9" s="65"/>
      <c r="FL9" s="65"/>
      <c r="FM9" s="65"/>
      <c r="FN9" s="65"/>
      <c r="FO9" s="65"/>
      <c r="FP9" s="65"/>
      <c r="FQ9" s="65"/>
      <c r="FR9" s="65"/>
      <c r="FS9" s="65"/>
      <c r="FT9" s="65"/>
      <c r="FU9" s="65"/>
      <c r="FV9" s="65"/>
      <c r="FW9" s="65"/>
      <c r="FX9" s="65"/>
      <c r="FY9" s="65"/>
      <c r="FZ9" s="65"/>
      <c r="GA9" s="65"/>
      <c r="GB9" s="65"/>
      <c r="GC9" s="65"/>
      <c r="GD9" s="65"/>
      <c r="GE9" s="65"/>
      <c r="GF9" s="65"/>
      <c r="GG9" s="65"/>
      <c r="GH9" s="65"/>
      <c r="GI9" s="65"/>
      <c r="GJ9" s="65"/>
      <c r="GK9" s="65"/>
      <c r="GL9" s="65"/>
      <c r="GM9" s="65"/>
      <c r="GN9" s="65"/>
      <c r="GO9" s="65"/>
      <c r="GP9" s="65"/>
      <c r="GQ9" s="65"/>
      <c r="GR9" s="65"/>
      <c r="GS9" s="65"/>
      <c r="GT9" s="65"/>
      <c r="GU9" s="65"/>
      <c r="GV9" s="65"/>
      <c r="GW9" s="65"/>
      <c r="GX9" s="65"/>
      <c r="GY9" s="65"/>
      <c r="GZ9" s="65"/>
      <c r="HA9" s="65"/>
      <c r="HB9" s="65"/>
      <c r="HC9" s="65"/>
      <c r="HD9" s="65"/>
      <c r="HE9" s="65"/>
      <c r="HF9" s="65"/>
      <c r="HG9" s="65"/>
      <c r="HH9" s="65"/>
      <c r="HI9" s="65"/>
      <c r="HJ9" s="65"/>
      <c r="HK9" s="65"/>
      <c r="HL9" s="65"/>
      <c r="HM9" s="65"/>
      <c r="HN9" s="65"/>
      <c r="HO9" s="65"/>
    </row>
    <row r="10" spans="1:223" s="78" customFormat="1" ht="34.5" customHeight="1" x14ac:dyDescent="0.25">
      <c r="A10" s="353">
        <v>2025</v>
      </c>
      <c r="B10" s="354">
        <v>7</v>
      </c>
      <c r="C10" s="355">
        <v>22832</v>
      </c>
      <c r="D10" s="279">
        <v>45842</v>
      </c>
      <c r="E10" s="81" t="s">
        <v>2297</v>
      </c>
      <c r="F10" s="81" t="s">
        <v>2297</v>
      </c>
      <c r="G10" s="78" t="s">
        <v>143</v>
      </c>
      <c r="H10" s="78">
        <v>3014436388</v>
      </c>
      <c r="I10" s="78">
        <v>3014436388</v>
      </c>
      <c r="J10" s="66">
        <v>45855</v>
      </c>
      <c r="K10" s="306" t="s">
        <v>84</v>
      </c>
      <c r="L10" s="79" t="s">
        <v>2298</v>
      </c>
      <c r="M10" s="78" t="s">
        <v>136</v>
      </c>
      <c r="N10" s="78">
        <v>6073</v>
      </c>
      <c r="O10" s="78">
        <v>6907</v>
      </c>
      <c r="P10" s="78" t="s">
        <v>2299</v>
      </c>
      <c r="Q10" s="78">
        <v>5633</v>
      </c>
      <c r="R10" s="78" t="s">
        <v>134</v>
      </c>
      <c r="S10" s="78" t="s">
        <v>134</v>
      </c>
      <c r="T10" s="78" t="s">
        <v>134</v>
      </c>
      <c r="U10" s="78" t="s">
        <v>136</v>
      </c>
      <c r="V10" s="305" t="s">
        <v>89</v>
      </c>
      <c r="W10" s="66">
        <v>45854</v>
      </c>
      <c r="X10" s="66">
        <v>45855</v>
      </c>
      <c r="Z10" s="80" t="s">
        <v>92</v>
      </c>
      <c r="AA10" s="371"/>
      <c r="AB10" s="78">
        <v>6074</v>
      </c>
      <c r="AC10" s="228">
        <v>3024303</v>
      </c>
      <c r="AD10" s="228">
        <f t="shared" si="0"/>
        <v>3598920.57</v>
      </c>
      <c r="AE10" s="303">
        <v>1799460</v>
      </c>
      <c r="AG10" s="210" t="s">
        <v>1987</v>
      </c>
      <c r="AH10" s="241"/>
      <c r="AI10" s="66">
        <v>45856</v>
      </c>
      <c r="AJ10" s="78" t="s">
        <v>1705</v>
      </c>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row>
    <row r="11" spans="1:223" s="78" customFormat="1" ht="51.75" customHeight="1" x14ac:dyDescent="0.25">
      <c r="A11" s="353">
        <v>2025</v>
      </c>
      <c r="B11" s="354">
        <v>7</v>
      </c>
      <c r="C11" s="353">
        <v>22833</v>
      </c>
      <c r="D11" s="279">
        <v>45842</v>
      </c>
      <c r="E11" s="81" t="s">
        <v>2300</v>
      </c>
      <c r="F11" s="81" t="s">
        <v>2300</v>
      </c>
      <c r="G11" s="78" t="s">
        <v>143</v>
      </c>
      <c r="H11" s="78">
        <v>3122560805</v>
      </c>
      <c r="I11" s="78">
        <v>3122560805</v>
      </c>
      <c r="J11" s="66">
        <v>45854</v>
      </c>
      <c r="K11" s="306" t="s">
        <v>84</v>
      </c>
      <c r="L11" s="79" t="s">
        <v>2301</v>
      </c>
      <c r="M11" s="78" t="s">
        <v>136</v>
      </c>
      <c r="N11" s="78">
        <v>6074</v>
      </c>
      <c r="O11" s="78">
        <v>6908</v>
      </c>
      <c r="P11" s="78" t="s">
        <v>136</v>
      </c>
      <c r="Q11" s="78">
        <v>5637</v>
      </c>
      <c r="R11" s="78" t="s">
        <v>136</v>
      </c>
      <c r="S11" s="78" t="s">
        <v>134</v>
      </c>
      <c r="T11" s="78" t="s">
        <v>134</v>
      </c>
      <c r="U11" s="78" t="s">
        <v>136</v>
      </c>
      <c r="V11" s="305" t="s">
        <v>119</v>
      </c>
      <c r="W11" s="66">
        <v>45852</v>
      </c>
      <c r="X11" s="66">
        <v>45854</v>
      </c>
      <c r="Z11" s="80" t="s">
        <v>85</v>
      </c>
      <c r="AA11" s="371"/>
      <c r="AB11" s="78">
        <v>6070</v>
      </c>
      <c r="AC11" s="228">
        <v>319328</v>
      </c>
      <c r="AD11" s="228">
        <f t="shared" si="0"/>
        <v>380000.32</v>
      </c>
      <c r="AE11" s="303">
        <v>200000</v>
      </c>
      <c r="AG11" s="210" t="s">
        <v>2129</v>
      </c>
      <c r="AH11" s="438">
        <v>45854</v>
      </c>
      <c r="AI11" s="66">
        <v>45856</v>
      </c>
      <c r="AJ11" s="78" t="s">
        <v>1705</v>
      </c>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c r="CE11" s="65"/>
      <c r="CF11" s="65"/>
      <c r="CG11" s="65"/>
      <c r="CH11" s="65"/>
      <c r="CI11" s="65"/>
      <c r="CJ11" s="65"/>
      <c r="CK11" s="65"/>
      <c r="CL11" s="65"/>
      <c r="CM11" s="65"/>
      <c r="CN11" s="65"/>
      <c r="CO11" s="65"/>
      <c r="CP11" s="65"/>
      <c r="CQ11" s="65"/>
      <c r="CR11" s="65"/>
      <c r="CS11" s="65"/>
      <c r="CT11" s="65"/>
      <c r="CU11" s="65"/>
      <c r="CV11" s="65"/>
      <c r="CW11" s="65"/>
      <c r="CX11" s="65"/>
      <c r="CY11" s="65"/>
      <c r="CZ11" s="65"/>
      <c r="DA11" s="65"/>
      <c r="DB11" s="65"/>
      <c r="DC11" s="65"/>
      <c r="DD11" s="65"/>
      <c r="DE11" s="65"/>
      <c r="DF11" s="65"/>
      <c r="DG11" s="65"/>
      <c r="DH11" s="65"/>
      <c r="DI11" s="65"/>
      <c r="DJ11" s="65"/>
      <c r="DK11" s="65"/>
      <c r="DL11" s="65"/>
      <c r="DM11" s="65"/>
      <c r="DN11" s="65"/>
      <c r="DO11" s="65"/>
      <c r="DP11" s="65"/>
      <c r="DQ11" s="65"/>
      <c r="DR11" s="65"/>
      <c r="DS11" s="65"/>
      <c r="DT11" s="65"/>
      <c r="DU11" s="65"/>
      <c r="DV11" s="65"/>
      <c r="DW11" s="65"/>
      <c r="DX11" s="65"/>
      <c r="DY11" s="65"/>
      <c r="DZ11" s="65"/>
      <c r="EA11" s="65"/>
      <c r="EB11" s="65"/>
      <c r="EC11" s="65"/>
      <c r="ED11" s="65"/>
      <c r="EE11" s="65"/>
      <c r="EF11" s="65"/>
      <c r="EG11" s="65"/>
      <c r="EH11" s="65"/>
      <c r="EI11" s="65"/>
      <c r="EJ11" s="65"/>
      <c r="EK11" s="65"/>
      <c r="EL11" s="65"/>
      <c r="EM11" s="65"/>
      <c r="EN11" s="65"/>
      <c r="EO11" s="65"/>
      <c r="EP11" s="65"/>
      <c r="EQ11" s="65"/>
      <c r="ER11" s="65"/>
      <c r="ES11" s="65"/>
      <c r="ET11" s="65"/>
      <c r="EU11" s="65"/>
      <c r="EV11" s="65"/>
      <c r="EW11" s="65"/>
      <c r="EX11" s="65"/>
      <c r="EY11" s="65"/>
      <c r="EZ11" s="65"/>
      <c r="FA11" s="65"/>
      <c r="FB11" s="65"/>
      <c r="FC11" s="65"/>
      <c r="FD11" s="65"/>
      <c r="FE11" s="65"/>
      <c r="FF11" s="65"/>
      <c r="FG11" s="65"/>
      <c r="FH11" s="65"/>
      <c r="FI11" s="65"/>
      <c r="FJ11" s="65"/>
      <c r="FK11" s="65"/>
      <c r="FL11" s="65"/>
      <c r="FM11" s="65"/>
      <c r="FN11" s="65"/>
      <c r="FO11" s="65"/>
      <c r="FP11" s="65"/>
      <c r="FQ11" s="65"/>
      <c r="FR11" s="65"/>
      <c r="FS11" s="65"/>
      <c r="FT11" s="65"/>
      <c r="FU11" s="65"/>
      <c r="FV11" s="65"/>
      <c r="FW11" s="65"/>
      <c r="FX11" s="65"/>
      <c r="FY11" s="65"/>
      <c r="FZ11" s="65"/>
      <c r="GA11" s="65"/>
      <c r="GB11" s="65"/>
      <c r="GC11" s="65"/>
      <c r="GD11" s="65"/>
      <c r="GE11" s="65"/>
      <c r="GF11" s="65"/>
      <c r="GG11" s="65"/>
      <c r="GH11" s="65"/>
      <c r="GI11" s="65"/>
      <c r="GJ11" s="65"/>
      <c r="GK11" s="65"/>
      <c r="GL11" s="65"/>
      <c r="GM11" s="65"/>
      <c r="GN11" s="65"/>
      <c r="GO11" s="65"/>
      <c r="GP11" s="65"/>
      <c r="GQ11" s="65"/>
      <c r="GR11" s="65"/>
      <c r="GS11" s="65"/>
      <c r="GT11" s="65"/>
      <c r="GU11" s="65"/>
      <c r="GV11" s="65"/>
      <c r="GW11" s="65"/>
      <c r="GX11" s="65"/>
      <c r="GY11" s="65"/>
      <c r="GZ11" s="65"/>
      <c r="HA11" s="65"/>
      <c r="HB11" s="65"/>
      <c r="HC11" s="65"/>
      <c r="HD11" s="65"/>
      <c r="HE11" s="65"/>
      <c r="HF11" s="65"/>
      <c r="HG11" s="65"/>
      <c r="HH11" s="65"/>
      <c r="HI11" s="65"/>
      <c r="HJ11" s="65"/>
      <c r="HK11" s="65"/>
      <c r="HL11" s="65"/>
      <c r="HM11" s="65"/>
      <c r="HN11" s="65"/>
      <c r="HO11" s="65"/>
    </row>
    <row r="12" spans="1:223" s="78" customFormat="1" ht="47.25" customHeight="1" x14ac:dyDescent="0.25">
      <c r="A12" s="353">
        <v>2025</v>
      </c>
      <c r="B12" s="354">
        <v>7</v>
      </c>
      <c r="C12" s="355">
        <v>22834</v>
      </c>
      <c r="D12" s="279">
        <v>45841</v>
      </c>
      <c r="E12" s="81" t="s">
        <v>2302</v>
      </c>
      <c r="F12" s="81" t="s">
        <v>2102</v>
      </c>
      <c r="G12" s="78" t="s">
        <v>98</v>
      </c>
      <c r="H12" s="78">
        <v>3245597673</v>
      </c>
      <c r="I12" s="78">
        <v>2894966</v>
      </c>
      <c r="J12" s="66">
        <v>45849</v>
      </c>
      <c r="K12" s="306" t="s">
        <v>88</v>
      </c>
      <c r="L12" s="79" t="s">
        <v>2303</v>
      </c>
      <c r="M12" s="78" t="s">
        <v>136</v>
      </c>
      <c r="N12" s="78">
        <v>6070</v>
      </c>
      <c r="O12" s="78" t="s">
        <v>136</v>
      </c>
      <c r="P12" s="78">
        <v>9376</v>
      </c>
      <c r="Q12" s="78" t="s">
        <v>136</v>
      </c>
      <c r="R12" s="78" t="s">
        <v>136</v>
      </c>
      <c r="S12" s="78" t="s">
        <v>136</v>
      </c>
      <c r="T12" s="78" t="s">
        <v>136</v>
      </c>
      <c r="U12" s="78" t="s">
        <v>136</v>
      </c>
      <c r="V12" s="305" t="s">
        <v>93</v>
      </c>
      <c r="W12" s="66">
        <v>45849</v>
      </c>
      <c r="X12" s="66">
        <v>45850</v>
      </c>
      <c r="Z12" s="80" t="s">
        <v>85</v>
      </c>
      <c r="AA12" s="371">
        <v>226695</v>
      </c>
      <c r="AB12" s="78">
        <v>6053</v>
      </c>
      <c r="AC12" s="228">
        <v>190500</v>
      </c>
      <c r="AD12" s="228">
        <f t="shared" si="0"/>
        <v>226695</v>
      </c>
      <c r="AE12" s="303"/>
      <c r="AG12" s="210" t="s">
        <v>2140</v>
      </c>
      <c r="AH12" s="403">
        <v>45841</v>
      </c>
      <c r="AI12" s="66">
        <v>45852</v>
      </c>
      <c r="AJ12" s="78" t="s">
        <v>1705</v>
      </c>
      <c r="AL12" s="65"/>
      <c r="AM12" s="65"/>
      <c r="AN12" s="65"/>
      <c r="AO12" s="65"/>
      <c r="AP12" s="65"/>
      <c r="AQ12" s="65"/>
      <c r="AR12" s="65"/>
      <c r="AS12" s="65"/>
      <c r="AT12" s="65"/>
      <c r="AU12" s="65"/>
      <c r="AV12" s="65"/>
      <c r="AW12" s="65"/>
      <c r="AX12" s="65"/>
      <c r="AY12" s="65"/>
      <c r="AZ12" s="65"/>
      <c r="BA12" s="65"/>
      <c r="BB12" s="65"/>
      <c r="BC12" s="65"/>
      <c r="BD12" s="65"/>
      <c r="BE12" s="65"/>
      <c r="BF12" s="65"/>
      <c r="BG12" s="65"/>
      <c r="BH12" s="65"/>
      <c r="BI12" s="65"/>
      <c r="BJ12" s="65"/>
      <c r="BK12" s="65"/>
      <c r="BL12" s="65"/>
      <c r="BM12" s="65"/>
      <c r="BN12" s="65"/>
      <c r="BO12" s="65"/>
      <c r="BP12" s="65"/>
      <c r="BQ12" s="65"/>
      <c r="BR12" s="65"/>
      <c r="BS12" s="65"/>
      <c r="BT12" s="65"/>
      <c r="BU12" s="65"/>
      <c r="BV12" s="65"/>
      <c r="BW12" s="65"/>
      <c r="BX12" s="65"/>
      <c r="BY12" s="65"/>
      <c r="BZ12" s="65"/>
      <c r="CA12" s="65"/>
      <c r="CB12" s="65"/>
      <c r="CC12" s="65"/>
      <c r="CD12" s="65"/>
      <c r="CE12" s="65"/>
      <c r="CF12" s="65"/>
      <c r="CG12" s="65"/>
      <c r="CH12" s="65"/>
      <c r="CI12" s="65"/>
      <c r="CJ12" s="65"/>
      <c r="CK12" s="65"/>
      <c r="CL12" s="65"/>
      <c r="CM12" s="65"/>
      <c r="CN12" s="65"/>
      <c r="CO12" s="65"/>
      <c r="CP12" s="65"/>
      <c r="CQ12" s="65"/>
      <c r="CR12" s="65"/>
      <c r="CS12" s="65"/>
      <c r="CT12" s="65"/>
      <c r="CU12" s="65"/>
      <c r="CV12" s="65"/>
      <c r="CW12" s="65"/>
      <c r="CX12" s="65"/>
      <c r="CY12" s="65"/>
      <c r="CZ12" s="65"/>
      <c r="DA12" s="65"/>
      <c r="DB12" s="65"/>
      <c r="DC12" s="65"/>
      <c r="DD12" s="65"/>
      <c r="DE12" s="65"/>
      <c r="DF12" s="65"/>
      <c r="DG12" s="65"/>
      <c r="DH12" s="65"/>
      <c r="DI12" s="65"/>
      <c r="DJ12" s="65"/>
      <c r="DK12" s="65"/>
      <c r="DL12" s="65"/>
      <c r="DM12" s="65"/>
      <c r="DN12" s="65"/>
      <c r="DO12" s="65"/>
      <c r="DP12" s="65"/>
      <c r="DQ12" s="65"/>
      <c r="DR12" s="65"/>
      <c r="DS12" s="65"/>
      <c r="DT12" s="65"/>
      <c r="DU12" s="65"/>
      <c r="DV12" s="65"/>
      <c r="DW12" s="65"/>
      <c r="DX12" s="65"/>
      <c r="DY12" s="65"/>
      <c r="DZ12" s="65"/>
      <c r="EA12" s="65"/>
      <c r="EB12" s="65"/>
      <c r="EC12" s="65"/>
      <c r="ED12" s="65"/>
      <c r="EE12" s="65"/>
      <c r="EF12" s="65"/>
      <c r="EG12" s="65"/>
      <c r="EH12" s="65"/>
      <c r="EI12" s="65"/>
      <c r="EJ12" s="65"/>
      <c r="EK12" s="65"/>
      <c r="EL12" s="65"/>
      <c r="EM12" s="65"/>
      <c r="EN12" s="65"/>
      <c r="EO12" s="65"/>
      <c r="EP12" s="65"/>
      <c r="EQ12" s="65"/>
      <c r="ER12" s="65"/>
      <c r="ES12" s="65"/>
      <c r="ET12" s="65"/>
      <c r="EU12" s="65"/>
      <c r="EV12" s="65"/>
      <c r="EW12" s="65"/>
      <c r="EX12" s="65"/>
      <c r="EY12" s="65"/>
      <c r="EZ12" s="65"/>
      <c r="FA12" s="65"/>
      <c r="FB12" s="65"/>
      <c r="FC12" s="65"/>
      <c r="FD12" s="65"/>
      <c r="FE12" s="65"/>
      <c r="FF12" s="65"/>
      <c r="FG12" s="65"/>
      <c r="FH12" s="65"/>
      <c r="FI12" s="65"/>
      <c r="FJ12" s="65"/>
      <c r="FK12" s="65"/>
      <c r="FL12" s="65"/>
      <c r="FM12" s="65"/>
      <c r="FN12" s="65"/>
      <c r="FO12" s="65"/>
      <c r="FP12" s="65"/>
      <c r="FQ12" s="65"/>
      <c r="FR12" s="65"/>
      <c r="FS12" s="65"/>
      <c r="FT12" s="65"/>
      <c r="FU12" s="65"/>
      <c r="FV12" s="65"/>
      <c r="FW12" s="65"/>
      <c r="FX12" s="65"/>
      <c r="FY12" s="65"/>
      <c r="FZ12" s="65"/>
      <c r="GA12" s="65"/>
      <c r="GB12" s="65"/>
      <c r="GC12" s="65"/>
      <c r="GD12" s="65"/>
      <c r="GE12" s="65"/>
      <c r="GF12" s="65"/>
      <c r="GG12" s="65"/>
      <c r="GH12" s="65"/>
      <c r="GI12" s="65"/>
      <c r="GJ12" s="65"/>
      <c r="GK12" s="65"/>
      <c r="GL12" s="65"/>
      <c r="GM12" s="65"/>
      <c r="GN12" s="65"/>
      <c r="GO12" s="65"/>
      <c r="GP12" s="65"/>
      <c r="GQ12" s="65"/>
      <c r="GR12" s="65"/>
      <c r="GS12" s="65"/>
      <c r="GT12" s="65"/>
      <c r="GU12" s="65"/>
      <c r="GV12" s="65"/>
      <c r="GW12" s="65"/>
      <c r="GX12" s="65"/>
      <c r="GY12" s="65"/>
      <c r="GZ12" s="65"/>
      <c r="HA12" s="65"/>
      <c r="HB12" s="65"/>
      <c r="HC12" s="65"/>
      <c r="HD12" s="65"/>
      <c r="HE12" s="65"/>
      <c r="HF12" s="65"/>
      <c r="HG12" s="65"/>
      <c r="HH12" s="65"/>
      <c r="HI12" s="65"/>
      <c r="HJ12" s="65"/>
      <c r="HK12" s="65"/>
      <c r="HL12" s="65"/>
      <c r="HM12" s="65"/>
      <c r="HN12" s="65"/>
      <c r="HO12" s="65"/>
    </row>
    <row r="13" spans="1:223" s="78" customFormat="1" ht="38.25" customHeight="1" x14ac:dyDescent="0.25">
      <c r="A13" s="353">
        <v>2025</v>
      </c>
      <c r="B13" s="354">
        <v>7</v>
      </c>
      <c r="C13" s="353">
        <v>22835</v>
      </c>
      <c r="D13" s="279">
        <v>45841</v>
      </c>
      <c r="E13" s="81" t="s">
        <v>2304</v>
      </c>
      <c r="F13" s="81"/>
      <c r="I13" s="78">
        <v>3052504842</v>
      </c>
      <c r="J13" s="66">
        <v>45856</v>
      </c>
      <c r="K13" s="306" t="s">
        <v>94</v>
      </c>
      <c r="L13" s="79" t="s">
        <v>2305</v>
      </c>
      <c r="M13" s="78" t="s">
        <v>136</v>
      </c>
      <c r="N13" s="78">
        <v>6072</v>
      </c>
      <c r="O13" s="78" t="s">
        <v>136</v>
      </c>
      <c r="P13" s="78" t="s">
        <v>136</v>
      </c>
      <c r="Q13" s="78" t="s">
        <v>136</v>
      </c>
      <c r="R13" s="78" t="s">
        <v>136</v>
      </c>
      <c r="S13" s="78" t="s">
        <v>134</v>
      </c>
      <c r="T13" s="78" t="s">
        <v>136</v>
      </c>
      <c r="U13" s="78" t="s">
        <v>136</v>
      </c>
      <c r="V13" s="305" t="s">
        <v>119</v>
      </c>
      <c r="W13" s="66">
        <v>45857</v>
      </c>
      <c r="X13" s="66"/>
      <c r="Z13" s="80" t="s">
        <v>97</v>
      </c>
      <c r="AA13" s="371"/>
      <c r="AB13" s="78">
        <v>6087</v>
      </c>
      <c r="AC13" s="228">
        <v>798319</v>
      </c>
      <c r="AD13" s="228">
        <f t="shared" si="0"/>
        <v>949999.61</v>
      </c>
      <c r="AE13" s="303">
        <v>500000</v>
      </c>
      <c r="AG13" s="210"/>
      <c r="AH13" s="403"/>
      <c r="AI13" s="66">
        <v>45861</v>
      </c>
      <c r="AJ13" s="78" t="s">
        <v>1705</v>
      </c>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c r="DQ13" s="65"/>
      <c r="DR13" s="65"/>
      <c r="DS13" s="65"/>
      <c r="DT13" s="65"/>
      <c r="DU13" s="65"/>
      <c r="DV13" s="65"/>
      <c r="DW13" s="65"/>
      <c r="DX13" s="65"/>
      <c r="DY13" s="65"/>
      <c r="DZ13" s="65"/>
      <c r="EA13" s="65"/>
      <c r="EB13" s="65"/>
      <c r="EC13" s="65"/>
      <c r="ED13" s="65"/>
      <c r="EE13" s="65"/>
      <c r="EF13" s="65"/>
      <c r="EG13" s="65"/>
      <c r="EH13" s="65"/>
      <c r="EI13" s="65"/>
      <c r="EJ13" s="65"/>
      <c r="EK13" s="65"/>
      <c r="EL13" s="65"/>
      <c r="EM13" s="65"/>
      <c r="EN13" s="65"/>
      <c r="EO13" s="65"/>
      <c r="EP13" s="65"/>
      <c r="EQ13" s="65"/>
      <c r="ER13" s="65"/>
      <c r="ES13" s="65"/>
      <c r="ET13" s="65"/>
      <c r="EU13" s="65"/>
      <c r="EV13" s="65"/>
      <c r="EW13" s="65"/>
      <c r="EX13" s="65"/>
      <c r="EY13" s="65"/>
      <c r="EZ13" s="65"/>
      <c r="FA13" s="65"/>
      <c r="FB13" s="65"/>
      <c r="FC13" s="65"/>
      <c r="FD13" s="65"/>
      <c r="FE13" s="65"/>
      <c r="FF13" s="65"/>
      <c r="FG13" s="65"/>
      <c r="FH13" s="65"/>
      <c r="FI13" s="65"/>
      <c r="FJ13" s="65"/>
      <c r="FK13" s="65"/>
      <c r="FL13" s="65"/>
      <c r="FM13" s="65"/>
      <c r="FN13" s="65"/>
      <c r="FO13" s="65"/>
      <c r="FP13" s="65"/>
      <c r="FQ13" s="65"/>
      <c r="FR13" s="65"/>
      <c r="FS13" s="65"/>
      <c r="FT13" s="65"/>
      <c r="FU13" s="65"/>
      <c r="FV13" s="65"/>
      <c r="FW13" s="65"/>
      <c r="FX13" s="65"/>
      <c r="FY13" s="65"/>
      <c r="FZ13" s="65"/>
      <c r="GA13" s="65"/>
      <c r="GB13" s="65"/>
      <c r="GC13" s="65"/>
      <c r="GD13" s="65"/>
      <c r="GE13" s="65"/>
      <c r="GF13" s="65"/>
      <c r="GG13" s="65"/>
      <c r="GH13" s="65"/>
      <c r="GI13" s="65"/>
      <c r="GJ13" s="65"/>
      <c r="GK13" s="65"/>
      <c r="GL13" s="65"/>
      <c r="GM13" s="65"/>
      <c r="GN13" s="65"/>
      <c r="GO13" s="65"/>
      <c r="GP13" s="65"/>
      <c r="GQ13" s="65"/>
      <c r="GR13" s="65"/>
      <c r="GS13" s="65"/>
      <c r="GT13" s="65"/>
      <c r="GU13" s="65"/>
      <c r="GV13" s="65"/>
      <c r="GW13" s="65"/>
      <c r="GX13" s="65"/>
      <c r="GY13" s="65"/>
      <c r="GZ13" s="65"/>
      <c r="HA13" s="65"/>
      <c r="HB13" s="65"/>
      <c r="HC13" s="65"/>
      <c r="HD13" s="65"/>
      <c r="HE13" s="65"/>
      <c r="HF13" s="65"/>
      <c r="HG13" s="65"/>
      <c r="HH13" s="65"/>
      <c r="HI13" s="65"/>
      <c r="HJ13" s="65"/>
      <c r="HK13" s="65"/>
      <c r="HL13" s="65"/>
      <c r="HM13" s="65"/>
      <c r="HN13" s="65"/>
      <c r="HO13" s="65"/>
    </row>
    <row r="14" spans="1:223" s="78" customFormat="1" ht="34.5" customHeight="1" x14ac:dyDescent="0.25">
      <c r="A14" s="353">
        <v>2025</v>
      </c>
      <c r="B14" s="354">
        <v>7</v>
      </c>
      <c r="C14" s="353">
        <v>22836</v>
      </c>
      <c r="D14" s="279">
        <v>45842</v>
      </c>
      <c r="E14" s="81" t="s">
        <v>2063</v>
      </c>
      <c r="F14" s="81" t="s">
        <v>2063</v>
      </c>
      <c r="G14" s="81"/>
      <c r="H14" s="78">
        <v>3147802729</v>
      </c>
      <c r="I14" s="78">
        <v>3147802729</v>
      </c>
      <c r="J14" s="66">
        <v>45852</v>
      </c>
      <c r="K14" s="306" t="s">
        <v>94</v>
      </c>
      <c r="L14" s="79" t="s">
        <v>2315</v>
      </c>
      <c r="M14" s="78" t="s">
        <v>136</v>
      </c>
      <c r="N14" s="78">
        <v>6080</v>
      </c>
      <c r="O14" s="78" t="s">
        <v>136</v>
      </c>
      <c r="P14" s="78">
        <v>9390</v>
      </c>
      <c r="Q14" s="78" t="s">
        <v>136</v>
      </c>
      <c r="R14" s="78" t="s">
        <v>136</v>
      </c>
      <c r="S14" s="78" t="s">
        <v>134</v>
      </c>
      <c r="T14" s="78" t="s">
        <v>136</v>
      </c>
      <c r="U14" s="78" t="s">
        <v>136</v>
      </c>
      <c r="V14" s="305" t="s">
        <v>119</v>
      </c>
      <c r="W14" s="66">
        <v>45852</v>
      </c>
      <c r="X14" s="66"/>
      <c r="Z14" s="80" t="s">
        <v>92</v>
      </c>
      <c r="AA14" s="371">
        <v>450000</v>
      </c>
      <c r="AC14" s="228">
        <v>378151</v>
      </c>
      <c r="AD14" s="228">
        <f t="shared" si="0"/>
        <v>449999.69</v>
      </c>
      <c r="AE14" s="303"/>
      <c r="AG14" s="210"/>
      <c r="AH14" s="403"/>
      <c r="AI14" s="66">
        <v>45852</v>
      </c>
      <c r="AJ14" s="78" t="s">
        <v>1705</v>
      </c>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row>
    <row r="15" spans="1:223" s="78" customFormat="1" ht="34.5" customHeight="1" x14ac:dyDescent="0.25">
      <c r="A15" s="353">
        <v>2025</v>
      </c>
      <c r="B15" s="354">
        <v>7</v>
      </c>
      <c r="C15" s="355">
        <v>22837</v>
      </c>
      <c r="D15" s="279">
        <v>45841</v>
      </c>
      <c r="E15" s="81" t="s">
        <v>2306</v>
      </c>
      <c r="F15" s="81" t="s">
        <v>2307</v>
      </c>
      <c r="G15" s="78" t="s">
        <v>98</v>
      </c>
      <c r="H15" s="78">
        <v>3217953146</v>
      </c>
      <c r="I15" s="78">
        <v>3127884321</v>
      </c>
      <c r="J15" s="66">
        <v>45853</v>
      </c>
      <c r="K15" s="306" t="s">
        <v>88</v>
      </c>
      <c r="L15" s="79" t="s">
        <v>2308</v>
      </c>
      <c r="M15" s="78" t="s">
        <v>136</v>
      </c>
      <c r="N15" s="78">
        <v>6075</v>
      </c>
      <c r="O15" s="78" t="s">
        <v>136</v>
      </c>
      <c r="P15" s="78" t="s">
        <v>136</v>
      </c>
      <c r="Q15" s="78" t="s">
        <v>136</v>
      </c>
      <c r="R15" s="78" t="s">
        <v>136</v>
      </c>
      <c r="S15" s="78" t="s">
        <v>136</v>
      </c>
      <c r="T15" s="78" t="s">
        <v>136</v>
      </c>
      <c r="U15" s="78" t="s">
        <v>136</v>
      </c>
      <c r="V15" s="305" t="s">
        <v>119</v>
      </c>
      <c r="W15" s="66">
        <v>45852</v>
      </c>
      <c r="X15" s="66"/>
      <c r="Z15" s="80" t="s">
        <v>92</v>
      </c>
      <c r="AA15" s="371">
        <v>1077978</v>
      </c>
      <c r="AB15" s="78">
        <v>6067</v>
      </c>
      <c r="AC15" s="228">
        <v>1077978</v>
      </c>
      <c r="AD15" s="228">
        <f t="shared" si="0"/>
        <v>1282793.8199999998</v>
      </c>
      <c r="AE15" s="303">
        <v>628000</v>
      </c>
      <c r="AG15" s="210"/>
      <c r="AH15" s="403"/>
      <c r="AI15" s="66">
        <v>45856</v>
      </c>
      <c r="AJ15" s="78" t="s">
        <v>1705</v>
      </c>
      <c r="AL15" s="65"/>
      <c r="AM15" s="65"/>
      <c r="AN15" s="65"/>
      <c r="AO15" s="65"/>
      <c r="AP15" s="65"/>
      <c r="AQ15" s="65"/>
      <c r="AR15" s="65"/>
      <c r="AS15" s="65"/>
      <c r="AT15" s="65"/>
      <c r="AU15" s="65"/>
      <c r="AV15" s="65"/>
      <c r="AW15" s="65"/>
      <c r="AX15" s="65"/>
      <c r="AY15" s="65"/>
      <c r="AZ15" s="65"/>
      <c r="BA15" s="65"/>
      <c r="BB15" s="65"/>
      <c r="BC15" s="65"/>
      <c r="BD15" s="65"/>
      <c r="BE15" s="65"/>
      <c r="BF15" s="65"/>
      <c r="BG15" s="65"/>
      <c r="BH15" s="65"/>
      <c r="BI15" s="65"/>
      <c r="BJ15" s="65"/>
      <c r="BK15" s="65"/>
      <c r="BL15" s="65"/>
      <c r="BM15" s="65"/>
      <c r="BN15" s="65"/>
      <c r="BO15" s="65"/>
      <c r="BP15" s="65"/>
      <c r="BQ15" s="65"/>
      <c r="BR15" s="65"/>
      <c r="BS15" s="65"/>
      <c r="BT15" s="65"/>
      <c r="BU15" s="65"/>
      <c r="BV15" s="65"/>
      <c r="BW15" s="65"/>
      <c r="BX15" s="65"/>
      <c r="BY15" s="65"/>
      <c r="BZ15" s="65"/>
      <c r="CA15" s="65"/>
      <c r="CB15" s="65"/>
      <c r="CC15" s="65"/>
      <c r="CD15" s="65"/>
      <c r="CE15" s="65"/>
      <c r="CF15" s="65"/>
      <c r="CG15" s="65"/>
      <c r="CH15" s="65"/>
      <c r="CI15" s="65"/>
      <c r="CJ15" s="65"/>
      <c r="CK15" s="65"/>
      <c r="CL15" s="65"/>
      <c r="CM15" s="65"/>
      <c r="CN15" s="65"/>
      <c r="CO15" s="65"/>
      <c r="CP15" s="65"/>
      <c r="CQ15" s="65"/>
      <c r="CR15" s="65"/>
      <c r="CS15" s="65"/>
      <c r="CT15" s="65"/>
      <c r="CU15" s="65"/>
      <c r="CV15" s="65"/>
      <c r="CW15" s="65"/>
      <c r="CX15" s="65"/>
      <c r="CY15" s="65"/>
      <c r="CZ15" s="65"/>
      <c r="DA15" s="65"/>
      <c r="DB15" s="65"/>
      <c r="DC15" s="65"/>
      <c r="DD15" s="65"/>
      <c r="DE15" s="65"/>
      <c r="DF15" s="65"/>
      <c r="DG15" s="65"/>
      <c r="DH15" s="65"/>
      <c r="DI15" s="65"/>
      <c r="DJ15" s="65"/>
      <c r="DK15" s="65"/>
      <c r="DL15" s="65"/>
      <c r="DM15" s="65"/>
      <c r="DN15" s="65"/>
      <c r="DO15" s="65"/>
      <c r="DP15" s="65"/>
      <c r="DQ15" s="65"/>
      <c r="DR15" s="65"/>
      <c r="DS15" s="65"/>
      <c r="DT15" s="65"/>
      <c r="DU15" s="65"/>
      <c r="DV15" s="65"/>
      <c r="DW15" s="65"/>
      <c r="DX15" s="65"/>
      <c r="DY15" s="65"/>
      <c r="DZ15" s="65"/>
      <c r="EA15" s="65"/>
      <c r="EB15" s="65"/>
      <c r="EC15" s="65"/>
      <c r="ED15" s="65"/>
      <c r="EE15" s="65"/>
      <c r="EF15" s="65"/>
      <c r="EG15" s="65"/>
      <c r="EH15" s="65"/>
      <c r="EI15" s="65"/>
      <c r="EJ15" s="65"/>
      <c r="EK15" s="65"/>
      <c r="EL15" s="65"/>
      <c r="EM15" s="65"/>
      <c r="EN15" s="65"/>
      <c r="EO15" s="65"/>
      <c r="EP15" s="65"/>
      <c r="EQ15" s="65"/>
      <c r="ER15" s="65"/>
      <c r="ES15" s="65"/>
      <c r="ET15" s="65"/>
      <c r="EU15" s="65"/>
      <c r="EV15" s="65"/>
      <c r="EW15" s="65"/>
      <c r="EX15" s="65"/>
      <c r="EY15" s="65"/>
      <c r="EZ15" s="65"/>
      <c r="FA15" s="65"/>
      <c r="FB15" s="65"/>
      <c r="FC15" s="65"/>
      <c r="FD15" s="65"/>
      <c r="FE15" s="65"/>
      <c r="FF15" s="65"/>
      <c r="FG15" s="65"/>
      <c r="FH15" s="65"/>
      <c r="FI15" s="65"/>
      <c r="FJ15" s="65"/>
      <c r="FK15" s="65"/>
      <c r="FL15" s="65"/>
      <c r="FM15" s="65"/>
      <c r="FN15" s="65"/>
      <c r="FO15" s="65"/>
      <c r="FP15" s="65"/>
      <c r="FQ15" s="65"/>
      <c r="FR15" s="65"/>
      <c r="FS15" s="65"/>
      <c r="FT15" s="65"/>
      <c r="FU15" s="65"/>
      <c r="FV15" s="65"/>
      <c r="FW15" s="65"/>
      <c r="FX15" s="65"/>
      <c r="FY15" s="65"/>
      <c r="FZ15" s="65"/>
      <c r="GA15" s="65"/>
      <c r="GB15" s="65"/>
      <c r="GC15" s="65"/>
      <c r="GD15" s="65"/>
      <c r="GE15" s="65"/>
      <c r="GF15" s="65"/>
      <c r="GG15" s="65"/>
      <c r="GH15" s="65"/>
      <c r="GI15" s="65"/>
      <c r="GJ15" s="65"/>
      <c r="GK15" s="65"/>
      <c r="GL15" s="65"/>
      <c r="GM15" s="65"/>
      <c r="GN15" s="65"/>
      <c r="GO15" s="65"/>
      <c r="GP15" s="65"/>
      <c r="GQ15" s="65"/>
      <c r="GR15" s="65"/>
      <c r="GS15" s="65"/>
      <c r="GT15" s="65"/>
      <c r="GU15" s="65"/>
      <c r="GV15" s="65"/>
      <c r="GW15" s="65"/>
      <c r="GX15" s="65"/>
      <c r="GY15" s="65"/>
      <c r="GZ15" s="65"/>
      <c r="HA15" s="65"/>
      <c r="HB15" s="65"/>
      <c r="HC15" s="65"/>
      <c r="HD15" s="65"/>
      <c r="HE15" s="65"/>
      <c r="HF15" s="65"/>
      <c r="HG15" s="65"/>
      <c r="HH15" s="65"/>
      <c r="HI15" s="65"/>
      <c r="HJ15" s="65"/>
      <c r="HK15" s="65"/>
      <c r="HL15" s="65"/>
      <c r="HM15" s="65"/>
      <c r="HN15" s="65"/>
      <c r="HO15" s="65"/>
    </row>
    <row r="16" spans="1:223" s="78" customFormat="1" ht="36" customHeight="1" x14ac:dyDescent="0.25">
      <c r="A16" s="353">
        <v>2025</v>
      </c>
      <c r="B16" s="354">
        <v>7</v>
      </c>
      <c r="C16" s="353">
        <v>22838</v>
      </c>
      <c r="D16" s="273">
        <v>45845</v>
      </c>
      <c r="E16" s="81" t="s">
        <v>2366</v>
      </c>
      <c r="F16" s="81" t="s">
        <v>2366</v>
      </c>
      <c r="G16" s="78" t="s">
        <v>143</v>
      </c>
      <c r="H16" s="78">
        <v>3022910856</v>
      </c>
      <c r="I16" s="78">
        <v>3022910856</v>
      </c>
      <c r="J16" s="66">
        <v>45849</v>
      </c>
      <c r="K16" s="78" t="s">
        <v>84</v>
      </c>
      <c r="L16" s="79" t="s">
        <v>2367</v>
      </c>
      <c r="M16" s="78" t="s">
        <v>136</v>
      </c>
      <c r="N16" s="78" t="s">
        <v>136</v>
      </c>
      <c r="O16" s="78">
        <v>6913</v>
      </c>
      <c r="P16" s="78" t="s">
        <v>136</v>
      </c>
      <c r="Q16" s="78" t="s">
        <v>136</v>
      </c>
      <c r="R16" s="78" t="s">
        <v>136</v>
      </c>
      <c r="S16" s="78" t="s">
        <v>136</v>
      </c>
      <c r="T16" s="78" t="s">
        <v>134</v>
      </c>
      <c r="U16" s="78" t="s">
        <v>136</v>
      </c>
      <c r="V16" s="81" t="s">
        <v>119</v>
      </c>
      <c r="W16" s="66">
        <v>45847</v>
      </c>
      <c r="X16" s="435">
        <v>45846</v>
      </c>
      <c r="Z16" s="80" t="s">
        <v>85</v>
      </c>
      <c r="AA16" s="371">
        <v>470000</v>
      </c>
      <c r="AB16" s="78">
        <v>6056</v>
      </c>
      <c r="AC16" s="228">
        <v>394958</v>
      </c>
      <c r="AD16" s="228">
        <f t="shared" si="0"/>
        <v>470000.01999999996</v>
      </c>
      <c r="AE16" s="303"/>
      <c r="AG16" s="210" t="s">
        <v>1987</v>
      </c>
      <c r="AH16" s="403">
        <v>45842</v>
      </c>
      <c r="AI16" s="66">
        <v>45852</v>
      </c>
      <c r="AJ16" s="78" t="s">
        <v>1705</v>
      </c>
      <c r="AL16" s="65"/>
      <c r="AM16" s="65"/>
      <c r="AN16" s="65"/>
      <c r="AO16" s="65"/>
      <c r="AP16" s="65"/>
      <c r="AQ16" s="65"/>
      <c r="AR16" s="65"/>
      <c r="AS16" s="65"/>
      <c r="AT16" s="65"/>
      <c r="AU16" s="65"/>
      <c r="AV16" s="65"/>
      <c r="AW16" s="65"/>
      <c r="AX16" s="65"/>
      <c r="AY16" s="65"/>
      <c r="AZ16" s="65"/>
      <c r="BA16" s="65"/>
      <c r="BB16" s="65"/>
      <c r="BC16" s="65"/>
      <c r="BD16" s="65"/>
      <c r="BE16" s="65"/>
      <c r="BF16" s="65"/>
      <c r="BG16" s="65"/>
      <c r="BH16" s="65"/>
      <c r="BI16" s="65"/>
      <c r="BJ16" s="65"/>
      <c r="BK16" s="65"/>
      <c r="BL16" s="65"/>
      <c r="BM16" s="65"/>
      <c r="BN16" s="65"/>
      <c r="BO16" s="65"/>
      <c r="BP16" s="65"/>
      <c r="BQ16" s="65"/>
      <c r="BR16" s="65"/>
      <c r="BS16" s="65"/>
      <c r="BT16" s="65"/>
      <c r="BU16" s="65"/>
      <c r="BV16" s="65"/>
      <c r="BW16" s="65"/>
      <c r="BX16" s="65"/>
      <c r="BY16" s="65"/>
      <c r="BZ16" s="65"/>
      <c r="CA16" s="65"/>
      <c r="CB16" s="65"/>
      <c r="CC16" s="65"/>
      <c r="CD16" s="65"/>
      <c r="CE16" s="65"/>
      <c r="CF16" s="65"/>
      <c r="CG16" s="65"/>
      <c r="CH16" s="65"/>
      <c r="CI16" s="65"/>
      <c r="CJ16" s="65"/>
      <c r="CK16" s="65"/>
      <c r="CL16" s="65"/>
      <c r="CM16" s="65"/>
      <c r="CN16" s="65"/>
      <c r="CO16" s="65"/>
      <c r="CP16" s="65"/>
      <c r="CQ16" s="65"/>
      <c r="CR16" s="65"/>
      <c r="CS16" s="65"/>
      <c r="CT16" s="65"/>
      <c r="CU16" s="65"/>
      <c r="CV16" s="65"/>
      <c r="CW16" s="65"/>
      <c r="CX16" s="65"/>
      <c r="CY16" s="65"/>
      <c r="CZ16" s="65"/>
      <c r="DA16" s="65"/>
      <c r="DB16" s="65"/>
      <c r="DC16" s="65"/>
      <c r="DD16" s="65"/>
      <c r="DE16" s="65"/>
      <c r="DF16" s="65"/>
      <c r="DG16" s="65"/>
      <c r="DH16" s="65"/>
      <c r="DI16" s="65"/>
      <c r="DJ16" s="65"/>
      <c r="DK16" s="65"/>
      <c r="DL16" s="65"/>
      <c r="DM16" s="65"/>
      <c r="DN16" s="65"/>
      <c r="DO16" s="65"/>
      <c r="DP16" s="65"/>
      <c r="DQ16" s="65"/>
      <c r="DR16" s="65"/>
      <c r="DS16" s="65"/>
      <c r="DT16" s="65"/>
      <c r="DU16" s="65"/>
      <c r="DV16" s="65"/>
      <c r="DW16" s="65"/>
      <c r="DX16" s="65"/>
      <c r="DY16" s="65"/>
      <c r="DZ16" s="65"/>
      <c r="EA16" s="65"/>
      <c r="EB16" s="65"/>
      <c r="EC16" s="65"/>
      <c r="ED16" s="65"/>
      <c r="EE16" s="65"/>
      <c r="EF16" s="65"/>
      <c r="EG16" s="65"/>
      <c r="EH16" s="65"/>
      <c r="EI16" s="65"/>
      <c r="EJ16" s="65"/>
      <c r="EK16" s="65"/>
      <c r="EL16" s="65"/>
      <c r="EM16" s="65"/>
      <c r="EN16" s="65"/>
      <c r="EO16" s="65"/>
      <c r="EP16" s="65"/>
      <c r="EQ16" s="65"/>
      <c r="ER16" s="65"/>
      <c r="ES16" s="65"/>
      <c r="ET16" s="65"/>
      <c r="EU16" s="65"/>
      <c r="EV16" s="65"/>
      <c r="EW16" s="65"/>
      <c r="EX16" s="65"/>
      <c r="EY16" s="65"/>
      <c r="EZ16" s="65"/>
      <c r="FA16" s="65"/>
      <c r="FB16" s="65"/>
      <c r="FC16" s="65"/>
      <c r="FD16" s="65"/>
      <c r="FE16" s="65"/>
      <c r="FF16" s="65"/>
      <c r="FG16" s="65"/>
      <c r="FH16" s="65"/>
      <c r="FI16" s="65"/>
      <c r="FJ16" s="65"/>
      <c r="FK16" s="65"/>
      <c r="FL16" s="65"/>
      <c r="FM16" s="65"/>
      <c r="FN16" s="65"/>
      <c r="FO16" s="65"/>
      <c r="FP16" s="65"/>
      <c r="FQ16" s="65"/>
      <c r="FR16" s="65"/>
      <c r="FS16" s="65"/>
      <c r="FT16" s="65"/>
      <c r="FU16" s="65"/>
      <c r="FV16" s="65"/>
      <c r="FW16" s="65"/>
      <c r="FX16" s="65"/>
      <c r="FY16" s="65"/>
      <c r="FZ16" s="65"/>
      <c r="GA16" s="65"/>
      <c r="GB16" s="65"/>
      <c r="GC16" s="65"/>
      <c r="GD16" s="65"/>
      <c r="GE16" s="65"/>
      <c r="GF16" s="65"/>
      <c r="GG16" s="65"/>
      <c r="GH16" s="65"/>
      <c r="GI16" s="65"/>
      <c r="GJ16" s="65"/>
      <c r="GK16" s="65"/>
      <c r="GL16" s="65"/>
      <c r="GM16" s="65"/>
      <c r="GN16" s="65"/>
      <c r="GO16" s="65"/>
      <c r="GP16" s="65"/>
      <c r="GQ16" s="65"/>
      <c r="GR16" s="65"/>
      <c r="GS16" s="65"/>
      <c r="GT16" s="65"/>
      <c r="GU16" s="65"/>
      <c r="GV16" s="65"/>
      <c r="GW16" s="65"/>
      <c r="GX16" s="65"/>
      <c r="GY16" s="65"/>
      <c r="GZ16" s="65"/>
      <c r="HA16" s="65"/>
      <c r="HB16" s="65"/>
      <c r="HC16" s="65"/>
      <c r="HD16" s="65"/>
      <c r="HE16" s="65"/>
      <c r="HF16" s="65"/>
      <c r="HG16" s="65"/>
      <c r="HH16" s="65"/>
      <c r="HI16" s="65"/>
      <c r="HJ16" s="65"/>
      <c r="HK16" s="65"/>
      <c r="HL16" s="65"/>
      <c r="HM16" s="65"/>
      <c r="HN16" s="65"/>
      <c r="HO16" s="65"/>
    </row>
    <row r="17" spans="1:223" s="78" customFormat="1" ht="34.5" customHeight="1" x14ac:dyDescent="0.25">
      <c r="A17" s="353">
        <v>2025</v>
      </c>
      <c r="B17" s="354">
        <v>7</v>
      </c>
      <c r="C17" s="353">
        <v>22839</v>
      </c>
      <c r="D17" s="279">
        <v>45845</v>
      </c>
      <c r="E17" s="81" t="s">
        <v>2340</v>
      </c>
      <c r="F17" s="81" t="s">
        <v>2340</v>
      </c>
      <c r="G17" s="78" t="s">
        <v>143</v>
      </c>
      <c r="H17" s="78">
        <v>3007327247</v>
      </c>
      <c r="I17" s="78">
        <v>3007327247</v>
      </c>
      <c r="J17" s="66">
        <v>45845</v>
      </c>
      <c r="K17" s="78" t="s">
        <v>84</v>
      </c>
      <c r="L17" s="79" t="s">
        <v>2341</v>
      </c>
      <c r="M17" s="78" t="s">
        <v>136</v>
      </c>
      <c r="N17" s="78" t="s">
        <v>136</v>
      </c>
      <c r="O17" s="78">
        <v>6016</v>
      </c>
      <c r="P17" s="78">
        <v>9363</v>
      </c>
      <c r="Q17" s="78">
        <v>5629</v>
      </c>
      <c r="R17" s="78" t="s">
        <v>136</v>
      </c>
      <c r="S17" s="78" t="s">
        <v>136</v>
      </c>
      <c r="T17" s="78" t="s">
        <v>134</v>
      </c>
      <c r="U17" s="78" t="s">
        <v>136</v>
      </c>
      <c r="V17" s="81" t="s">
        <v>119</v>
      </c>
      <c r="W17" s="66"/>
      <c r="X17" s="435">
        <v>45845</v>
      </c>
      <c r="Z17" s="80" t="s">
        <v>85</v>
      </c>
      <c r="AA17" s="371">
        <v>300000</v>
      </c>
      <c r="AB17" s="78">
        <v>6038</v>
      </c>
      <c r="AC17" s="228">
        <v>255100</v>
      </c>
      <c r="AD17" s="228">
        <f t="shared" si="0"/>
        <v>303569</v>
      </c>
      <c r="AE17" s="303"/>
      <c r="AG17" s="210"/>
      <c r="AH17" s="403">
        <v>45842</v>
      </c>
      <c r="AI17" s="66">
        <v>45847</v>
      </c>
      <c r="AJ17" s="78" t="s">
        <v>1705</v>
      </c>
      <c r="AL17" s="65"/>
      <c r="AM17" s="65"/>
      <c r="AN17" s="65"/>
      <c r="AO17" s="65"/>
      <c r="AP17" s="65"/>
      <c r="AQ17" s="65"/>
      <c r="AR17" s="65"/>
      <c r="AS17" s="65"/>
      <c r="AT17" s="65"/>
      <c r="AU17" s="65"/>
      <c r="AV17" s="65"/>
      <c r="AW17" s="65"/>
      <c r="AX17" s="65"/>
      <c r="AY17" s="65"/>
      <c r="AZ17" s="65"/>
      <c r="BA17" s="65"/>
      <c r="BB17" s="65"/>
      <c r="BC17" s="65"/>
      <c r="BD17" s="65"/>
      <c r="BE17" s="65"/>
      <c r="BF17" s="65"/>
      <c r="BG17" s="65"/>
      <c r="BH17" s="65"/>
      <c r="BI17" s="65"/>
      <c r="BJ17" s="65"/>
      <c r="BK17" s="65"/>
      <c r="BL17" s="65"/>
      <c r="BM17" s="65"/>
      <c r="BN17" s="65"/>
      <c r="BO17" s="65"/>
      <c r="BP17" s="65"/>
      <c r="BQ17" s="65"/>
      <c r="BR17" s="65"/>
      <c r="BS17" s="65"/>
      <c r="BT17" s="65"/>
      <c r="BU17" s="65"/>
      <c r="BV17" s="65"/>
      <c r="BW17" s="65"/>
      <c r="BX17" s="65"/>
      <c r="BY17" s="65"/>
      <c r="BZ17" s="65"/>
      <c r="CA17" s="65"/>
      <c r="CB17" s="65"/>
      <c r="CC17" s="65"/>
      <c r="CD17" s="65"/>
      <c r="CE17" s="65"/>
      <c r="CF17" s="65"/>
      <c r="CG17" s="65"/>
      <c r="CH17" s="65"/>
      <c r="CI17" s="65"/>
      <c r="CJ17" s="65"/>
      <c r="CK17" s="65"/>
      <c r="CL17" s="65"/>
      <c r="CM17" s="65"/>
      <c r="CN17" s="65"/>
      <c r="CO17" s="65"/>
      <c r="CP17" s="65"/>
      <c r="CQ17" s="65"/>
      <c r="CR17" s="65"/>
      <c r="CS17" s="65"/>
      <c r="CT17" s="65"/>
      <c r="CU17" s="65"/>
      <c r="CV17" s="65"/>
      <c r="CW17" s="65"/>
      <c r="CX17" s="65"/>
      <c r="CY17" s="65"/>
      <c r="CZ17" s="65"/>
      <c r="DA17" s="65"/>
      <c r="DB17" s="65"/>
      <c r="DC17" s="65"/>
      <c r="DD17" s="65"/>
      <c r="DE17" s="65"/>
      <c r="DF17" s="65"/>
      <c r="DG17" s="65"/>
      <c r="DH17" s="65"/>
      <c r="DI17" s="65"/>
      <c r="DJ17" s="65"/>
      <c r="DK17" s="65"/>
      <c r="DL17" s="65"/>
      <c r="DM17" s="65"/>
      <c r="DN17" s="65"/>
      <c r="DO17" s="65"/>
      <c r="DP17" s="65"/>
      <c r="DQ17" s="65"/>
      <c r="DR17" s="65"/>
      <c r="DS17" s="65"/>
      <c r="DT17" s="65"/>
      <c r="DU17" s="65"/>
      <c r="DV17" s="65"/>
      <c r="DW17" s="65"/>
      <c r="DX17" s="65"/>
      <c r="DY17" s="65"/>
      <c r="DZ17" s="65"/>
      <c r="EA17" s="65"/>
      <c r="EB17" s="65"/>
      <c r="EC17" s="65"/>
      <c r="ED17" s="65"/>
      <c r="EE17" s="65"/>
      <c r="EF17" s="65"/>
      <c r="EG17" s="65"/>
      <c r="EH17" s="65"/>
      <c r="EI17" s="65"/>
      <c r="EJ17" s="65"/>
      <c r="EK17" s="65"/>
      <c r="EL17" s="65"/>
      <c r="EM17" s="65"/>
      <c r="EN17" s="65"/>
      <c r="EO17" s="65"/>
      <c r="EP17" s="65"/>
      <c r="EQ17" s="65"/>
      <c r="ER17" s="65"/>
      <c r="ES17" s="65"/>
      <c r="ET17" s="65"/>
      <c r="EU17" s="65"/>
      <c r="EV17" s="65"/>
      <c r="EW17" s="65"/>
      <c r="EX17" s="65"/>
      <c r="EY17" s="65"/>
      <c r="EZ17" s="65"/>
      <c r="FA17" s="65"/>
      <c r="FB17" s="65"/>
      <c r="FC17" s="65"/>
      <c r="FD17" s="65"/>
      <c r="FE17" s="65"/>
      <c r="FF17" s="65"/>
      <c r="FG17" s="65"/>
      <c r="FH17" s="65"/>
      <c r="FI17" s="65"/>
      <c r="FJ17" s="65"/>
      <c r="FK17" s="65"/>
      <c r="FL17" s="65"/>
      <c r="FM17" s="65"/>
      <c r="FN17" s="65"/>
      <c r="FO17" s="65"/>
      <c r="FP17" s="65"/>
      <c r="FQ17" s="65"/>
      <c r="FR17" s="65"/>
      <c r="FS17" s="65"/>
      <c r="FT17" s="65"/>
      <c r="FU17" s="65"/>
      <c r="FV17" s="65"/>
      <c r="FW17" s="65"/>
      <c r="FX17" s="65"/>
      <c r="FY17" s="65"/>
      <c r="FZ17" s="65"/>
      <c r="GA17" s="65"/>
      <c r="GB17" s="65"/>
      <c r="GC17" s="65"/>
      <c r="GD17" s="65"/>
      <c r="GE17" s="65"/>
      <c r="GF17" s="65"/>
      <c r="GG17" s="65"/>
      <c r="GH17" s="65"/>
      <c r="GI17" s="65"/>
      <c r="GJ17" s="65"/>
      <c r="GK17" s="65"/>
      <c r="GL17" s="65"/>
      <c r="GM17" s="65"/>
      <c r="GN17" s="65"/>
      <c r="GO17" s="65"/>
      <c r="GP17" s="65"/>
      <c r="GQ17" s="65"/>
      <c r="GR17" s="65"/>
      <c r="GS17" s="65"/>
      <c r="GT17" s="65"/>
      <c r="GU17" s="65"/>
      <c r="GV17" s="65"/>
      <c r="GW17" s="65"/>
      <c r="GX17" s="65"/>
      <c r="GY17" s="65"/>
      <c r="GZ17" s="65"/>
      <c r="HA17" s="65"/>
      <c r="HB17" s="65"/>
      <c r="HC17" s="65"/>
      <c r="HD17" s="65"/>
      <c r="HE17" s="65"/>
      <c r="HF17" s="65"/>
      <c r="HG17" s="65"/>
      <c r="HH17" s="65"/>
      <c r="HI17" s="65"/>
      <c r="HJ17" s="65"/>
      <c r="HK17" s="65"/>
      <c r="HL17" s="65"/>
      <c r="HM17" s="65"/>
      <c r="HN17" s="65"/>
      <c r="HO17" s="65"/>
    </row>
    <row r="18" spans="1:223" s="78" customFormat="1" ht="50.25" customHeight="1" x14ac:dyDescent="0.25">
      <c r="A18" s="353">
        <v>2025</v>
      </c>
      <c r="B18" s="354">
        <v>7</v>
      </c>
      <c r="C18" s="355">
        <v>22840</v>
      </c>
      <c r="D18" s="279">
        <v>45845</v>
      </c>
      <c r="E18" s="81" t="s">
        <v>2389</v>
      </c>
      <c r="F18" s="81" t="s">
        <v>2389</v>
      </c>
      <c r="G18" s="78" t="s">
        <v>143</v>
      </c>
      <c r="H18" s="78">
        <v>3115912055</v>
      </c>
      <c r="I18" s="78">
        <v>3115912055</v>
      </c>
      <c r="J18" s="66">
        <v>45853</v>
      </c>
      <c r="K18" s="78" t="s">
        <v>84</v>
      </c>
      <c r="L18" s="79" t="s">
        <v>2390</v>
      </c>
      <c r="M18" s="78" t="s">
        <v>136</v>
      </c>
      <c r="N18" s="78">
        <v>6085</v>
      </c>
      <c r="O18" s="78" t="s">
        <v>2391</v>
      </c>
      <c r="P18" s="78" t="s">
        <v>136</v>
      </c>
      <c r="Q18" s="78" t="s">
        <v>136</v>
      </c>
      <c r="R18" s="78" t="s">
        <v>136</v>
      </c>
      <c r="S18" s="78" t="s">
        <v>2065</v>
      </c>
      <c r="T18" s="78" t="s">
        <v>136</v>
      </c>
      <c r="U18" s="78" t="s">
        <v>136</v>
      </c>
      <c r="V18" s="81" t="s">
        <v>119</v>
      </c>
      <c r="W18" s="66">
        <v>45854</v>
      </c>
      <c r="X18" s="435"/>
      <c r="Z18" s="80" t="s">
        <v>92</v>
      </c>
      <c r="AA18" s="371"/>
      <c r="AB18" s="78">
        <v>6068</v>
      </c>
      <c r="AC18" s="228">
        <v>369748</v>
      </c>
      <c r="AD18" s="228">
        <f t="shared" si="0"/>
        <v>440000.12</v>
      </c>
      <c r="AE18" s="303">
        <v>400000</v>
      </c>
      <c r="AG18" s="210"/>
      <c r="AH18" s="403"/>
      <c r="AI18" s="66">
        <v>45856</v>
      </c>
      <c r="AJ18" s="78" t="s">
        <v>1705</v>
      </c>
      <c r="AL18" s="65"/>
      <c r="AM18" s="65"/>
      <c r="AN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W18" s="65"/>
      <c r="BX18" s="65"/>
      <c r="BY18" s="65"/>
      <c r="BZ18" s="65"/>
      <c r="CA18" s="65"/>
      <c r="CB18" s="65"/>
      <c r="CC18" s="65"/>
      <c r="CD18" s="65"/>
      <c r="CE18" s="65"/>
      <c r="CF18" s="65"/>
      <c r="CG18" s="65"/>
      <c r="CH18" s="65"/>
      <c r="CI18" s="65"/>
      <c r="CJ18" s="65"/>
      <c r="CK18" s="65"/>
      <c r="CL18" s="65"/>
      <c r="CM18" s="65"/>
      <c r="CN18" s="65"/>
      <c r="CO18" s="65"/>
      <c r="CP18" s="65"/>
      <c r="CQ18" s="65"/>
      <c r="CR18" s="65"/>
      <c r="CS18" s="65"/>
      <c r="CT18" s="65"/>
      <c r="CU18" s="65"/>
      <c r="CV18" s="65"/>
      <c r="CW18" s="65"/>
      <c r="CX18" s="65"/>
      <c r="CY18" s="65"/>
      <c r="CZ18" s="65"/>
      <c r="DA18" s="65"/>
      <c r="DB18" s="65"/>
      <c r="DC18" s="65"/>
      <c r="DD18" s="65"/>
      <c r="DE18" s="65"/>
      <c r="DF18" s="65"/>
      <c r="DG18" s="65"/>
      <c r="DH18" s="65"/>
      <c r="DI18" s="65"/>
      <c r="DJ18" s="65"/>
      <c r="DK18" s="65"/>
      <c r="DL18" s="65"/>
      <c r="DM18" s="65"/>
      <c r="DN18" s="65"/>
      <c r="DO18" s="65"/>
      <c r="DP18" s="65"/>
      <c r="DQ18" s="65"/>
      <c r="DR18" s="65"/>
      <c r="DS18" s="65"/>
      <c r="DT18" s="65"/>
      <c r="DU18" s="65"/>
      <c r="DV18" s="65"/>
      <c r="DW18" s="65"/>
      <c r="DX18" s="65"/>
      <c r="DY18" s="65"/>
      <c r="DZ18" s="65"/>
      <c r="EA18" s="65"/>
      <c r="EB18" s="65"/>
      <c r="EC18" s="65"/>
      <c r="ED18" s="65"/>
      <c r="EE18" s="65"/>
      <c r="EF18" s="65"/>
      <c r="EG18" s="65"/>
      <c r="EH18" s="65"/>
      <c r="EI18" s="65"/>
      <c r="EJ18" s="65"/>
      <c r="EK18" s="65"/>
      <c r="EL18" s="65"/>
      <c r="EM18" s="65"/>
      <c r="EN18" s="65"/>
      <c r="EO18" s="65"/>
      <c r="EP18" s="65"/>
      <c r="EQ18" s="65"/>
      <c r="ER18" s="65"/>
      <c r="ES18" s="65"/>
      <c r="ET18" s="65"/>
      <c r="EU18" s="65"/>
      <c r="EV18" s="65"/>
      <c r="EW18" s="65"/>
      <c r="EX18" s="65"/>
      <c r="EY18" s="65"/>
      <c r="EZ18" s="65"/>
      <c r="FA18" s="65"/>
      <c r="FB18" s="65"/>
      <c r="FC18" s="65"/>
      <c r="FD18" s="65"/>
      <c r="FE18" s="65"/>
      <c r="FF18" s="65"/>
      <c r="FG18" s="65"/>
      <c r="FH18" s="65"/>
      <c r="FI18" s="65"/>
      <c r="FJ18" s="65"/>
      <c r="FK18" s="65"/>
      <c r="FL18" s="65"/>
      <c r="FM18" s="65"/>
      <c r="FN18" s="65"/>
      <c r="FO18" s="65"/>
      <c r="FP18" s="65"/>
      <c r="FQ18" s="65"/>
      <c r="FR18" s="65"/>
      <c r="FS18" s="65"/>
      <c r="FT18" s="65"/>
      <c r="FU18" s="65"/>
      <c r="FV18" s="65"/>
      <c r="FW18" s="65"/>
      <c r="FX18" s="65"/>
      <c r="FY18" s="65"/>
      <c r="FZ18" s="65"/>
      <c r="GA18" s="65"/>
      <c r="GB18" s="65"/>
      <c r="GC18" s="65"/>
      <c r="GD18" s="65"/>
      <c r="GE18" s="65"/>
      <c r="GF18" s="65"/>
      <c r="GG18" s="65"/>
      <c r="GH18" s="65"/>
      <c r="GI18" s="65"/>
      <c r="GJ18" s="65"/>
      <c r="GK18" s="65"/>
      <c r="GL18" s="65"/>
      <c r="GM18" s="65"/>
      <c r="GN18" s="65"/>
      <c r="GO18" s="65"/>
      <c r="GP18" s="65"/>
      <c r="GQ18" s="65"/>
      <c r="GR18" s="65"/>
      <c r="GS18" s="65"/>
      <c r="GT18" s="65"/>
      <c r="GU18" s="65"/>
      <c r="GV18" s="65"/>
      <c r="GW18" s="65"/>
      <c r="GX18" s="65"/>
      <c r="GY18" s="65"/>
      <c r="GZ18" s="65"/>
      <c r="HA18" s="65"/>
      <c r="HB18" s="65"/>
      <c r="HC18" s="65"/>
      <c r="HD18" s="65"/>
      <c r="HE18" s="65"/>
      <c r="HF18" s="65"/>
      <c r="HG18" s="65"/>
      <c r="HH18" s="65"/>
      <c r="HI18" s="65"/>
      <c r="HJ18" s="65"/>
      <c r="HK18" s="65"/>
      <c r="HL18" s="65"/>
      <c r="HM18" s="65"/>
      <c r="HN18" s="65"/>
      <c r="HO18" s="65"/>
    </row>
    <row r="19" spans="1:223" s="78" customFormat="1" ht="42.75" customHeight="1" x14ac:dyDescent="0.25">
      <c r="A19" s="353">
        <v>2025</v>
      </c>
      <c r="B19" s="354">
        <v>7</v>
      </c>
      <c r="C19" s="353">
        <v>22841</v>
      </c>
      <c r="D19" s="279">
        <v>45849</v>
      </c>
      <c r="E19" s="81" t="s">
        <v>2331</v>
      </c>
      <c r="F19" s="81" t="s">
        <v>633</v>
      </c>
      <c r="G19" s="78" t="s">
        <v>570</v>
      </c>
      <c r="H19" s="78">
        <v>3023935568</v>
      </c>
      <c r="I19" s="78">
        <v>3023935568</v>
      </c>
      <c r="J19" s="66">
        <v>45849</v>
      </c>
      <c r="K19" s="78" t="s">
        <v>88</v>
      </c>
      <c r="L19" s="79" t="s">
        <v>2332</v>
      </c>
      <c r="M19" s="78" t="s">
        <v>136</v>
      </c>
      <c r="N19" s="78">
        <v>6079</v>
      </c>
      <c r="O19" s="78">
        <v>6912</v>
      </c>
      <c r="P19" s="78">
        <v>9405</v>
      </c>
      <c r="Q19" s="78" t="s">
        <v>136</v>
      </c>
      <c r="R19" s="78" t="s">
        <v>136</v>
      </c>
      <c r="S19" s="78" t="s">
        <v>134</v>
      </c>
      <c r="T19" s="78" t="s">
        <v>134</v>
      </c>
      <c r="U19" s="78" t="s">
        <v>136</v>
      </c>
      <c r="V19" s="81" t="s">
        <v>119</v>
      </c>
      <c r="W19" s="66">
        <v>45854</v>
      </c>
      <c r="X19" s="435">
        <v>45852</v>
      </c>
      <c r="Z19" s="80" t="s">
        <v>85</v>
      </c>
      <c r="AA19" s="371"/>
      <c r="AB19" s="78">
        <v>6060</v>
      </c>
      <c r="AC19" s="228">
        <v>6462213</v>
      </c>
      <c r="AD19" s="228">
        <f t="shared" si="0"/>
        <v>7690033.4699999997</v>
      </c>
      <c r="AE19" s="303">
        <v>3500000</v>
      </c>
      <c r="AG19" s="210" t="s">
        <v>2433</v>
      </c>
      <c r="AH19" s="403">
        <v>45852</v>
      </c>
      <c r="AI19" s="66">
        <v>45859</v>
      </c>
      <c r="AJ19" s="78" t="s">
        <v>1705</v>
      </c>
      <c r="AL19" s="65"/>
      <c r="AM19" s="65"/>
      <c r="AN19" s="65"/>
      <c r="AO19" s="65"/>
      <c r="AP19" s="65"/>
      <c r="AQ19" s="65"/>
      <c r="AR19" s="65"/>
      <c r="AS19" s="65"/>
      <c r="AT19" s="65"/>
      <c r="AU19" s="65"/>
      <c r="AV19" s="65"/>
      <c r="AW19" s="65"/>
      <c r="AX19" s="65"/>
      <c r="AY19" s="65"/>
      <c r="AZ19" s="65"/>
      <c r="BA19" s="65"/>
      <c r="BB19" s="65"/>
      <c r="BC19" s="65"/>
      <c r="BD19" s="65"/>
      <c r="BE19" s="65"/>
      <c r="BF19" s="65"/>
      <c r="BG19" s="65"/>
      <c r="BH19" s="65"/>
      <c r="BI19" s="65"/>
      <c r="BJ19" s="65"/>
      <c r="BK19" s="65"/>
      <c r="BL19" s="65"/>
      <c r="BM19" s="65"/>
      <c r="BN19" s="65"/>
      <c r="BO19" s="65"/>
      <c r="BP19" s="65"/>
      <c r="BQ19" s="65"/>
      <c r="BR19" s="65"/>
      <c r="BS19" s="65"/>
      <c r="BT19" s="65"/>
      <c r="BU19" s="65"/>
      <c r="BV19" s="65"/>
      <c r="BW19" s="65"/>
      <c r="BX19" s="65"/>
      <c r="BY19" s="65"/>
      <c r="BZ19" s="65"/>
      <c r="CA19" s="65"/>
      <c r="CB19" s="65"/>
      <c r="CC19" s="65"/>
      <c r="CD19" s="65"/>
      <c r="CE19" s="65"/>
      <c r="CF19" s="65"/>
      <c r="CG19" s="65"/>
      <c r="CH19" s="65"/>
      <c r="CI19" s="65"/>
      <c r="CJ19" s="65"/>
      <c r="CK19" s="65"/>
      <c r="CL19" s="65"/>
      <c r="CM19" s="65"/>
      <c r="CN19" s="65"/>
      <c r="CO19" s="65"/>
      <c r="CP19" s="65"/>
      <c r="CQ19" s="65"/>
      <c r="CR19" s="65"/>
      <c r="CS19" s="65"/>
      <c r="CT19" s="65"/>
      <c r="CU19" s="65"/>
      <c r="CV19" s="65"/>
      <c r="CW19" s="65"/>
      <c r="CX19" s="65"/>
      <c r="CY19" s="65"/>
      <c r="CZ19" s="65"/>
      <c r="DA19" s="65"/>
      <c r="DB19" s="65"/>
      <c r="DC19" s="65"/>
      <c r="DD19" s="65"/>
      <c r="DE19" s="65"/>
      <c r="DF19" s="65"/>
      <c r="DG19" s="65"/>
      <c r="DH19" s="65"/>
      <c r="DI19" s="65"/>
      <c r="DJ19" s="65"/>
      <c r="DK19" s="65"/>
      <c r="DL19" s="65"/>
      <c r="DM19" s="65"/>
      <c r="DN19" s="65"/>
      <c r="DO19" s="65"/>
      <c r="DP19" s="65"/>
      <c r="DQ19" s="65"/>
      <c r="DR19" s="65"/>
      <c r="DS19" s="65"/>
      <c r="DT19" s="65"/>
      <c r="DU19" s="65"/>
      <c r="DV19" s="65"/>
      <c r="DW19" s="65"/>
      <c r="DX19" s="65"/>
      <c r="DY19" s="65"/>
      <c r="DZ19" s="65"/>
      <c r="EA19" s="65"/>
      <c r="EB19" s="65"/>
      <c r="EC19" s="65"/>
      <c r="ED19" s="65"/>
      <c r="EE19" s="65"/>
      <c r="EF19" s="65"/>
      <c r="EG19" s="65"/>
      <c r="EH19" s="65"/>
      <c r="EI19" s="65"/>
      <c r="EJ19" s="65"/>
      <c r="EK19" s="65"/>
      <c r="EL19" s="65"/>
      <c r="EM19" s="65"/>
      <c r="EN19" s="65"/>
      <c r="EO19" s="65"/>
      <c r="EP19" s="65"/>
      <c r="EQ19" s="65"/>
      <c r="ER19" s="65"/>
      <c r="ES19" s="65"/>
      <c r="ET19" s="65"/>
      <c r="EU19" s="65"/>
      <c r="EV19" s="65"/>
      <c r="EW19" s="65"/>
      <c r="EX19" s="65"/>
      <c r="EY19" s="65"/>
      <c r="EZ19" s="65"/>
      <c r="FA19" s="65"/>
      <c r="FB19" s="65"/>
      <c r="FC19" s="65"/>
      <c r="FD19" s="65"/>
      <c r="FE19" s="65"/>
      <c r="FF19" s="65"/>
      <c r="FG19" s="65"/>
      <c r="FH19" s="65"/>
      <c r="FI19" s="65"/>
      <c r="FJ19" s="65"/>
      <c r="FK19" s="65"/>
      <c r="FL19" s="65"/>
      <c r="FM19" s="65"/>
      <c r="FN19" s="65"/>
      <c r="FO19" s="65"/>
      <c r="FP19" s="65"/>
      <c r="FQ19" s="65"/>
      <c r="FR19" s="65"/>
      <c r="FS19" s="65"/>
      <c r="FT19" s="65"/>
      <c r="FU19" s="65"/>
      <c r="FV19" s="65"/>
      <c r="FW19" s="65"/>
      <c r="FX19" s="65"/>
      <c r="FY19" s="65"/>
      <c r="FZ19" s="65"/>
      <c r="GA19" s="65"/>
      <c r="GB19" s="65"/>
      <c r="GC19" s="65"/>
      <c r="GD19" s="65"/>
      <c r="GE19" s="65"/>
      <c r="GF19" s="65"/>
      <c r="GG19" s="65"/>
      <c r="GH19" s="65"/>
      <c r="GI19" s="65"/>
      <c r="GJ19" s="65"/>
      <c r="GK19" s="65"/>
      <c r="GL19" s="65"/>
      <c r="GM19" s="65"/>
      <c r="GN19" s="65"/>
      <c r="GO19" s="65"/>
      <c r="GP19" s="65"/>
      <c r="GQ19" s="65"/>
      <c r="GR19" s="65"/>
      <c r="GS19" s="65"/>
      <c r="GT19" s="65"/>
      <c r="GU19" s="65"/>
      <c r="GV19" s="65"/>
      <c r="GW19" s="65"/>
      <c r="GX19" s="65"/>
      <c r="GY19" s="65"/>
      <c r="GZ19" s="65"/>
      <c r="HA19" s="65"/>
      <c r="HB19" s="65"/>
      <c r="HC19" s="65"/>
      <c r="HD19" s="65"/>
      <c r="HE19" s="65"/>
      <c r="HF19" s="65"/>
      <c r="HG19" s="65"/>
      <c r="HH19" s="65"/>
      <c r="HI19" s="65"/>
      <c r="HJ19" s="65"/>
      <c r="HK19" s="65"/>
      <c r="HL19" s="65"/>
      <c r="HM19" s="65"/>
      <c r="HN19" s="65"/>
      <c r="HO19" s="65"/>
    </row>
    <row r="20" spans="1:223" s="78" customFormat="1" ht="34.5" customHeight="1" x14ac:dyDescent="0.25">
      <c r="A20" s="353">
        <v>2025</v>
      </c>
      <c r="B20" s="354">
        <v>7</v>
      </c>
      <c r="C20" s="353">
        <v>22842</v>
      </c>
      <c r="D20" s="279">
        <v>45846</v>
      </c>
      <c r="E20" s="81" t="s">
        <v>2392</v>
      </c>
      <c r="F20" s="81" t="s">
        <v>2393</v>
      </c>
      <c r="G20" s="78" t="s">
        <v>98</v>
      </c>
      <c r="H20" s="78">
        <v>3244502356</v>
      </c>
      <c r="I20" s="78">
        <v>6044731185</v>
      </c>
      <c r="J20" s="66">
        <v>45856</v>
      </c>
      <c r="K20" s="78" t="s">
        <v>86</v>
      </c>
      <c r="L20" s="79" t="s">
        <v>2394</v>
      </c>
      <c r="M20" s="78" t="s">
        <v>136</v>
      </c>
      <c r="N20" s="78">
        <v>6086</v>
      </c>
      <c r="O20" s="78">
        <v>6920</v>
      </c>
      <c r="P20" s="78">
        <v>9369</v>
      </c>
      <c r="Q20" s="78">
        <v>5631</v>
      </c>
      <c r="R20" s="78" t="s">
        <v>136</v>
      </c>
      <c r="S20" s="78" t="s">
        <v>134</v>
      </c>
      <c r="T20" s="78" t="s">
        <v>134</v>
      </c>
      <c r="U20" s="78" t="s">
        <v>136</v>
      </c>
      <c r="V20" s="81" t="s">
        <v>87</v>
      </c>
      <c r="W20" s="66">
        <v>45855</v>
      </c>
      <c r="X20" s="435">
        <v>45856</v>
      </c>
      <c r="Z20" s="80" t="s">
        <v>85</v>
      </c>
      <c r="AA20" s="371">
        <v>983507</v>
      </c>
      <c r="AB20" s="78">
        <v>6082</v>
      </c>
      <c r="AC20" s="228">
        <v>855224</v>
      </c>
      <c r="AD20" s="228">
        <f t="shared" si="0"/>
        <v>1017716.5599999999</v>
      </c>
      <c r="AE20" s="303"/>
      <c r="AG20" s="210" t="s">
        <v>2097</v>
      </c>
      <c r="AH20" s="403">
        <v>45841</v>
      </c>
      <c r="AI20" s="66">
        <v>45861</v>
      </c>
      <c r="AJ20" s="78" t="s">
        <v>1705</v>
      </c>
      <c r="AL20" s="65"/>
      <c r="AM20" s="65"/>
      <c r="AN20" s="65"/>
      <c r="AO20" s="65"/>
      <c r="AP20" s="65"/>
      <c r="AQ20" s="65"/>
      <c r="AR20" s="65"/>
      <c r="AS20" s="65"/>
      <c r="AT20" s="65"/>
      <c r="AU20" s="65"/>
      <c r="AV20" s="65"/>
      <c r="AW20" s="65"/>
      <c r="AX20" s="65"/>
      <c r="AY20" s="65"/>
      <c r="AZ20" s="65"/>
      <c r="BA20" s="65"/>
      <c r="BB20" s="65"/>
      <c r="BC20" s="65"/>
      <c r="BD20" s="65"/>
      <c r="BE20" s="65"/>
      <c r="BF20" s="65"/>
      <c r="BG20" s="65"/>
      <c r="BH20" s="65"/>
      <c r="BI20" s="65"/>
      <c r="BJ20" s="65"/>
      <c r="BK20" s="65"/>
      <c r="BL20" s="65"/>
      <c r="BM20" s="65"/>
      <c r="BN20" s="65"/>
      <c r="BO20" s="65"/>
      <c r="BP20" s="65"/>
      <c r="BQ20" s="65"/>
      <c r="BR20" s="65"/>
      <c r="BS20" s="65"/>
      <c r="BT20" s="65"/>
      <c r="BU20" s="65"/>
      <c r="BV20" s="65"/>
      <c r="BW20" s="65"/>
      <c r="BX20" s="65"/>
      <c r="BY20" s="65"/>
      <c r="BZ20" s="65"/>
      <c r="CA20" s="65"/>
      <c r="CB20" s="65"/>
      <c r="CC20" s="65"/>
      <c r="CD20" s="65"/>
      <c r="CE20" s="65"/>
      <c r="CF20" s="65"/>
      <c r="CG20" s="65"/>
      <c r="CH20" s="65"/>
      <c r="CI20" s="65"/>
      <c r="CJ20" s="65"/>
      <c r="CK20" s="65"/>
      <c r="CL20" s="65"/>
      <c r="CM20" s="65"/>
      <c r="CN20" s="65"/>
      <c r="CO20" s="65"/>
      <c r="CP20" s="65"/>
      <c r="CQ20" s="65"/>
      <c r="CR20" s="65"/>
      <c r="CS20" s="65"/>
      <c r="CT20" s="65"/>
      <c r="CU20" s="65"/>
      <c r="CV20" s="65"/>
      <c r="CW20" s="65"/>
      <c r="CX20" s="65"/>
      <c r="CY20" s="65"/>
      <c r="CZ20" s="65"/>
      <c r="DA20" s="65"/>
      <c r="DB20" s="65"/>
      <c r="DC20" s="65"/>
      <c r="DD20" s="65"/>
      <c r="DE20" s="65"/>
      <c r="DF20" s="65"/>
      <c r="DG20" s="65"/>
      <c r="DH20" s="65"/>
      <c r="DI20" s="65"/>
      <c r="DJ20" s="65"/>
      <c r="DK20" s="65"/>
      <c r="DL20" s="65"/>
      <c r="DM20" s="65"/>
      <c r="DN20" s="65"/>
      <c r="DO20" s="65"/>
      <c r="DP20" s="65"/>
      <c r="DQ20" s="65"/>
      <c r="DR20" s="65"/>
      <c r="DS20" s="65"/>
      <c r="DT20" s="65"/>
      <c r="DU20" s="65"/>
      <c r="DV20" s="65"/>
      <c r="DW20" s="65"/>
      <c r="DX20" s="65"/>
      <c r="DY20" s="65"/>
      <c r="DZ20" s="65"/>
      <c r="EA20" s="65"/>
      <c r="EB20" s="65"/>
      <c r="EC20" s="65"/>
      <c r="ED20" s="65"/>
      <c r="EE20" s="65"/>
      <c r="EF20" s="65"/>
      <c r="EG20" s="65"/>
      <c r="EH20" s="65"/>
      <c r="EI20" s="65"/>
      <c r="EJ20" s="65"/>
      <c r="EK20" s="65"/>
      <c r="EL20" s="65"/>
      <c r="EM20" s="65"/>
      <c r="EN20" s="65"/>
      <c r="EO20" s="65"/>
      <c r="EP20" s="65"/>
      <c r="EQ20" s="65"/>
      <c r="ER20" s="65"/>
      <c r="ES20" s="65"/>
      <c r="ET20" s="65"/>
      <c r="EU20" s="65"/>
      <c r="EV20" s="65"/>
      <c r="EW20" s="65"/>
      <c r="EX20" s="65"/>
      <c r="EY20" s="65"/>
      <c r="EZ20" s="65"/>
      <c r="FA20" s="65"/>
      <c r="FB20" s="65"/>
      <c r="FC20" s="65"/>
      <c r="FD20" s="65"/>
      <c r="FE20" s="65"/>
      <c r="FF20" s="65"/>
      <c r="FG20" s="65"/>
      <c r="FH20" s="65"/>
      <c r="FI20" s="65"/>
      <c r="FJ20" s="65"/>
      <c r="FK20" s="65"/>
      <c r="FL20" s="65"/>
      <c r="FM20" s="65"/>
      <c r="FN20" s="65"/>
      <c r="FO20" s="65"/>
      <c r="FP20" s="65"/>
      <c r="FQ20" s="65"/>
      <c r="FR20" s="65"/>
      <c r="FS20" s="65"/>
      <c r="FT20" s="65"/>
      <c r="FU20" s="65"/>
      <c r="FV20" s="65"/>
      <c r="FW20" s="65"/>
      <c r="FX20" s="65"/>
      <c r="FY20" s="65"/>
      <c r="FZ20" s="65"/>
      <c r="GA20" s="65"/>
      <c r="GB20" s="65"/>
      <c r="GC20" s="65"/>
      <c r="GD20" s="65"/>
      <c r="GE20" s="65"/>
      <c r="GF20" s="65"/>
      <c r="GG20" s="65"/>
      <c r="GH20" s="65"/>
      <c r="GI20" s="65"/>
      <c r="GJ20" s="65"/>
      <c r="GK20" s="65"/>
      <c r="GL20" s="65"/>
      <c r="GM20" s="65"/>
      <c r="GN20" s="65"/>
      <c r="GO20" s="65"/>
      <c r="GP20" s="65"/>
      <c r="GQ20" s="65"/>
      <c r="GR20" s="65"/>
      <c r="GS20" s="65"/>
      <c r="GT20" s="65"/>
      <c r="GU20" s="65"/>
      <c r="GV20" s="65"/>
      <c r="GW20" s="65"/>
      <c r="GX20" s="65"/>
      <c r="GY20" s="65"/>
      <c r="GZ20" s="65"/>
      <c r="HA20" s="65"/>
      <c r="HB20" s="65"/>
      <c r="HC20" s="65"/>
      <c r="HD20" s="65"/>
      <c r="HE20" s="65"/>
      <c r="HF20" s="65"/>
      <c r="HG20" s="65"/>
      <c r="HH20" s="65"/>
      <c r="HI20" s="65"/>
      <c r="HJ20" s="65"/>
      <c r="HK20" s="65"/>
      <c r="HL20" s="65"/>
      <c r="HM20" s="65"/>
      <c r="HN20" s="65"/>
      <c r="HO20" s="65"/>
    </row>
    <row r="21" spans="1:223" s="78" customFormat="1" ht="34.5" customHeight="1" x14ac:dyDescent="0.25">
      <c r="A21" s="353">
        <v>2025</v>
      </c>
      <c r="B21" s="354">
        <v>7</v>
      </c>
      <c r="C21" s="355">
        <v>22843</v>
      </c>
      <c r="D21" s="279"/>
      <c r="E21" s="81"/>
      <c r="F21" s="81"/>
      <c r="J21" s="66"/>
      <c r="L21" s="79"/>
      <c r="V21" s="81"/>
      <c r="W21" s="66"/>
      <c r="X21" s="439"/>
      <c r="Z21" s="80"/>
      <c r="AA21" s="371"/>
      <c r="AC21" s="228"/>
      <c r="AD21" s="228">
        <f t="shared" si="0"/>
        <v>0</v>
      </c>
      <c r="AE21" s="303"/>
      <c r="AG21" s="210"/>
      <c r="AH21" s="438"/>
      <c r="AI21" s="66"/>
      <c r="AL21" s="65"/>
      <c r="AM21" s="65"/>
      <c r="AN21" s="65"/>
      <c r="AO21" s="65"/>
      <c r="AP21" s="65"/>
      <c r="AQ21" s="65"/>
      <c r="AR21" s="65"/>
      <c r="AS21" s="65"/>
      <c r="AT21" s="65"/>
      <c r="AU21" s="65"/>
      <c r="AV21" s="65"/>
      <c r="AW21" s="65"/>
      <c r="AX21" s="65"/>
      <c r="AY21" s="65"/>
      <c r="AZ21" s="65"/>
      <c r="BA21" s="65"/>
      <c r="BB21" s="65"/>
      <c r="BC21" s="65"/>
      <c r="BD21" s="65"/>
      <c r="BE21" s="65"/>
      <c r="BF21" s="65"/>
      <c r="BG21" s="65"/>
      <c r="BH21" s="65"/>
      <c r="BI21" s="65"/>
      <c r="BJ21" s="65"/>
      <c r="BK21" s="65"/>
      <c r="BL21" s="65"/>
      <c r="BM21" s="65"/>
      <c r="BN21" s="65"/>
      <c r="BO21" s="65"/>
      <c r="BP21" s="65"/>
      <c r="BQ21" s="65"/>
      <c r="BR21" s="65"/>
      <c r="BS21" s="65"/>
      <c r="BT21" s="65"/>
      <c r="BU21" s="65"/>
      <c r="BV21" s="65"/>
      <c r="BW21" s="65"/>
      <c r="BX21" s="65"/>
      <c r="BY21" s="65"/>
      <c r="BZ21" s="65"/>
      <c r="CA21" s="65"/>
      <c r="CB21" s="65"/>
      <c r="CC21" s="65"/>
      <c r="CD21" s="65"/>
      <c r="CE21" s="65"/>
      <c r="CF21" s="65"/>
      <c r="CG21" s="65"/>
      <c r="CH21" s="65"/>
      <c r="CI21" s="65"/>
      <c r="CJ21" s="65"/>
      <c r="CK21" s="65"/>
      <c r="CL21" s="65"/>
      <c r="CM21" s="65"/>
      <c r="CN21" s="65"/>
      <c r="CO21" s="65"/>
      <c r="CP21" s="65"/>
      <c r="CQ21" s="65"/>
      <c r="CR21" s="65"/>
      <c r="CS21" s="65"/>
      <c r="CT21" s="65"/>
      <c r="CU21" s="65"/>
      <c r="CV21" s="65"/>
      <c r="CW21" s="65"/>
      <c r="CX21" s="65"/>
      <c r="CY21" s="65"/>
      <c r="CZ21" s="65"/>
      <c r="DA21" s="65"/>
      <c r="DB21" s="65"/>
      <c r="DC21" s="65"/>
      <c r="DD21" s="65"/>
      <c r="DE21" s="65"/>
      <c r="DF21" s="65"/>
      <c r="DG21" s="65"/>
      <c r="DH21" s="65"/>
      <c r="DI21" s="65"/>
      <c r="DJ21" s="65"/>
      <c r="DK21" s="65"/>
      <c r="DL21" s="65"/>
      <c r="DM21" s="65"/>
      <c r="DN21" s="65"/>
      <c r="DO21" s="65"/>
      <c r="DP21" s="65"/>
      <c r="DQ21" s="65"/>
      <c r="DR21" s="65"/>
      <c r="DS21" s="65"/>
      <c r="DT21" s="65"/>
      <c r="DU21" s="65"/>
      <c r="DV21" s="65"/>
      <c r="DW21" s="65"/>
      <c r="DX21" s="65"/>
      <c r="DY21" s="65"/>
      <c r="DZ21" s="65"/>
      <c r="EA21" s="65"/>
      <c r="EB21" s="65"/>
      <c r="EC21" s="65"/>
      <c r="ED21" s="65"/>
      <c r="EE21" s="65"/>
      <c r="EF21" s="65"/>
      <c r="EG21" s="65"/>
      <c r="EH21" s="65"/>
      <c r="EI21" s="65"/>
      <c r="EJ21" s="65"/>
      <c r="EK21" s="65"/>
      <c r="EL21" s="65"/>
      <c r="EM21" s="65"/>
      <c r="EN21" s="65"/>
      <c r="EO21" s="65"/>
      <c r="EP21" s="65"/>
      <c r="EQ21" s="65"/>
      <c r="ER21" s="65"/>
      <c r="ES21" s="65"/>
      <c r="ET21" s="65"/>
      <c r="EU21" s="65"/>
      <c r="EV21" s="65"/>
      <c r="EW21" s="65"/>
      <c r="EX21" s="65"/>
      <c r="EY21" s="65"/>
      <c r="EZ21" s="65"/>
      <c r="FA21" s="65"/>
      <c r="FB21" s="65"/>
      <c r="FC21" s="65"/>
      <c r="FD21" s="65"/>
      <c r="FE21" s="65"/>
      <c r="FF21" s="65"/>
      <c r="FG21" s="65"/>
      <c r="FH21" s="65"/>
      <c r="FI21" s="65"/>
      <c r="FJ21" s="65"/>
      <c r="FK21" s="65"/>
      <c r="FL21" s="65"/>
      <c r="FM21" s="65"/>
      <c r="FN21" s="65"/>
      <c r="FO21" s="65"/>
      <c r="FP21" s="65"/>
      <c r="FQ21" s="65"/>
      <c r="FR21" s="65"/>
      <c r="FS21" s="65"/>
      <c r="FT21" s="65"/>
      <c r="FU21" s="65"/>
      <c r="FV21" s="65"/>
      <c r="FW21" s="65"/>
      <c r="FX21" s="65"/>
      <c r="FY21" s="65"/>
      <c r="FZ21" s="65"/>
      <c r="GA21" s="65"/>
      <c r="GB21" s="65"/>
      <c r="GC21" s="65"/>
      <c r="GD21" s="65"/>
      <c r="GE21" s="65"/>
      <c r="GF21" s="65"/>
      <c r="GG21" s="65"/>
      <c r="GH21" s="65"/>
      <c r="GI21" s="65"/>
      <c r="GJ21" s="65"/>
      <c r="GK21" s="65"/>
      <c r="GL21" s="65"/>
      <c r="GM21" s="65"/>
      <c r="GN21" s="65"/>
      <c r="GO21" s="65"/>
      <c r="GP21" s="65"/>
      <c r="GQ21" s="65"/>
      <c r="GR21" s="65"/>
      <c r="GS21" s="65"/>
      <c r="GT21" s="65"/>
      <c r="GU21" s="65"/>
      <c r="GV21" s="65"/>
      <c r="GW21" s="65"/>
      <c r="GX21" s="65"/>
      <c r="GY21" s="65"/>
      <c r="GZ21" s="65"/>
      <c r="HA21" s="65"/>
      <c r="HB21" s="65"/>
      <c r="HC21" s="65"/>
      <c r="HD21" s="65"/>
      <c r="HE21" s="65"/>
      <c r="HF21" s="65"/>
      <c r="HG21" s="65"/>
      <c r="HH21" s="65"/>
      <c r="HI21" s="65"/>
      <c r="HJ21" s="65"/>
      <c r="HK21" s="65"/>
      <c r="HL21" s="65"/>
      <c r="HM21" s="65"/>
      <c r="HN21" s="65"/>
      <c r="HO21" s="65"/>
    </row>
    <row r="22" spans="1:223" s="78" customFormat="1" ht="34.5" customHeight="1" x14ac:dyDescent="0.25">
      <c r="A22" s="353">
        <v>2025</v>
      </c>
      <c r="B22" s="354">
        <v>7</v>
      </c>
      <c r="C22" s="353">
        <v>22844</v>
      </c>
      <c r="D22" s="279">
        <v>45845</v>
      </c>
      <c r="E22" s="81" t="s">
        <v>2316</v>
      </c>
      <c r="F22" s="81" t="s">
        <v>394</v>
      </c>
      <c r="G22" s="78" t="s">
        <v>98</v>
      </c>
      <c r="H22" s="78">
        <v>3182855494</v>
      </c>
      <c r="I22" s="78">
        <v>4482422</v>
      </c>
      <c r="J22" s="66">
        <v>45855</v>
      </c>
      <c r="K22" s="78" t="s">
        <v>88</v>
      </c>
      <c r="L22" s="79" t="s">
        <v>2317</v>
      </c>
      <c r="M22" s="78" t="s">
        <v>282</v>
      </c>
      <c r="N22" s="78" t="s">
        <v>136</v>
      </c>
      <c r="O22" s="78">
        <v>6916</v>
      </c>
      <c r="P22" s="78">
        <v>9389</v>
      </c>
      <c r="Q22" s="78">
        <v>5636</v>
      </c>
      <c r="R22" s="78" t="s">
        <v>136</v>
      </c>
      <c r="S22" s="78" t="s">
        <v>134</v>
      </c>
      <c r="T22" s="78" t="s">
        <v>134</v>
      </c>
      <c r="U22" s="78" t="s">
        <v>136</v>
      </c>
      <c r="V22" s="81" t="s">
        <v>119</v>
      </c>
      <c r="W22" s="66">
        <v>45849</v>
      </c>
      <c r="X22" s="435">
        <v>45856</v>
      </c>
      <c r="Z22" s="80" t="s">
        <v>85</v>
      </c>
      <c r="AA22" s="371">
        <v>394681</v>
      </c>
      <c r="AB22" s="78">
        <v>6052</v>
      </c>
      <c r="AC22" s="228">
        <v>313665</v>
      </c>
      <c r="AD22" s="228">
        <f t="shared" si="0"/>
        <v>373261.35</v>
      </c>
      <c r="AE22" s="303">
        <v>394681</v>
      </c>
      <c r="AG22" s="210" t="s">
        <v>2097</v>
      </c>
      <c r="AH22" s="403">
        <v>45845</v>
      </c>
      <c r="AI22" s="66">
        <v>45859</v>
      </c>
      <c r="AJ22" s="78" t="s">
        <v>1705</v>
      </c>
      <c r="AL22" s="65"/>
      <c r="AM22" s="65"/>
      <c r="AN22" s="65"/>
      <c r="AO22" s="65"/>
      <c r="AP22" s="65"/>
      <c r="AQ22" s="65"/>
      <c r="AR22" s="65"/>
      <c r="AS22" s="65"/>
      <c r="AT22" s="65"/>
      <c r="AU22" s="65"/>
      <c r="AV22" s="65"/>
      <c r="AW22" s="65"/>
      <c r="AX22" s="65"/>
      <c r="AY22" s="65"/>
      <c r="AZ22" s="65"/>
      <c r="BA22" s="65"/>
      <c r="BB22" s="65"/>
      <c r="BC22" s="65"/>
      <c r="BD22" s="65"/>
      <c r="BE22" s="65"/>
      <c r="BF22" s="65"/>
      <c r="BG22" s="65"/>
      <c r="BH22" s="65"/>
      <c r="BI22" s="65"/>
      <c r="BJ22" s="65"/>
      <c r="BK22" s="65"/>
      <c r="BL22" s="65"/>
      <c r="BM22" s="65"/>
      <c r="BN22" s="65"/>
      <c r="BO22" s="65"/>
      <c r="BP22" s="65"/>
      <c r="BQ22" s="65"/>
      <c r="BR22" s="65"/>
      <c r="BS22" s="65"/>
      <c r="BT22" s="65"/>
      <c r="BU22" s="65"/>
      <c r="BV22" s="65"/>
      <c r="BW22" s="65"/>
      <c r="BX22" s="65"/>
      <c r="BY22" s="65"/>
      <c r="BZ22" s="65"/>
      <c r="CA22" s="65"/>
      <c r="CB22" s="65"/>
      <c r="CC22" s="65"/>
      <c r="CD22" s="65"/>
      <c r="CE22" s="65"/>
      <c r="CF22" s="65"/>
      <c r="CG22" s="65"/>
      <c r="CH22" s="65"/>
      <c r="CI22" s="65"/>
      <c r="CJ22" s="65"/>
      <c r="CK22" s="65"/>
      <c r="CL22" s="65"/>
      <c r="CM22" s="65"/>
      <c r="CN22" s="65"/>
      <c r="CO22" s="65"/>
      <c r="CP22" s="65"/>
      <c r="CQ22" s="65"/>
      <c r="CR22" s="65"/>
      <c r="CS22" s="65"/>
      <c r="CT22" s="65"/>
      <c r="CU22" s="65"/>
      <c r="CV22" s="65"/>
      <c r="CW22" s="65"/>
      <c r="CX22" s="65"/>
      <c r="CY22" s="65"/>
      <c r="CZ22" s="65"/>
      <c r="DA22" s="65"/>
      <c r="DB22" s="65"/>
      <c r="DC22" s="65"/>
      <c r="DD22" s="65"/>
      <c r="DE22" s="65"/>
      <c r="DF22" s="65"/>
      <c r="DG22" s="65"/>
      <c r="DH22" s="65"/>
      <c r="DI22" s="65"/>
      <c r="DJ22" s="65"/>
      <c r="DK22" s="65"/>
      <c r="DL22" s="65"/>
      <c r="DM22" s="65"/>
      <c r="DN22" s="65"/>
      <c r="DO22" s="65"/>
      <c r="DP22" s="65"/>
      <c r="DQ22" s="65"/>
      <c r="DR22" s="65"/>
      <c r="DS22" s="65"/>
      <c r="DT22" s="65"/>
      <c r="DU22" s="65"/>
      <c r="DV22" s="65"/>
      <c r="DW22" s="65"/>
      <c r="DX22" s="65"/>
      <c r="DY22" s="65"/>
      <c r="DZ22" s="65"/>
      <c r="EA22" s="65"/>
      <c r="EB22" s="65"/>
      <c r="EC22" s="65"/>
      <c r="ED22" s="65"/>
      <c r="EE22" s="65"/>
      <c r="EF22" s="65"/>
      <c r="EG22" s="65"/>
      <c r="EH22" s="65"/>
      <c r="EI22" s="65"/>
      <c r="EJ22" s="65"/>
      <c r="EK22" s="65"/>
      <c r="EL22" s="65"/>
      <c r="EM22" s="65"/>
      <c r="EN22" s="65"/>
      <c r="EO22" s="65"/>
      <c r="EP22" s="65"/>
      <c r="EQ22" s="65"/>
      <c r="ER22" s="65"/>
      <c r="ES22" s="65"/>
      <c r="ET22" s="65"/>
      <c r="EU22" s="65"/>
      <c r="EV22" s="65"/>
      <c r="EW22" s="65"/>
      <c r="EX22" s="65"/>
      <c r="EY22" s="65"/>
      <c r="EZ22" s="65"/>
      <c r="FA22" s="65"/>
      <c r="FB22" s="65"/>
      <c r="FC22" s="65"/>
      <c r="FD22" s="65"/>
      <c r="FE22" s="65"/>
      <c r="FF22" s="65"/>
      <c r="FG22" s="65"/>
      <c r="FH22" s="65"/>
      <c r="FI22" s="65"/>
      <c r="FJ22" s="65"/>
      <c r="FK22" s="65"/>
      <c r="FL22" s="65"/>
      <c r="FM22" s="65"/>
      <c r="FN22" s="65"/>
      <c r="FO22" s="65"/>
      <c r="FP22" s="65"/>
      <c r="FQ22" s="65"/>
      <c r="FR22" s="65"/>
      <c r="FS22" s="65"/>
      <c r="FT22" s="65"/>
      <c r="FU22" s="65"/>
      <c r="FV22" s="65"/>
      <c r="FW22" s="65"/>
      <c r="FX22" s="65"/>
      <c r="FY22" s="65"/>
      <c r="FZ22" s="65"/>
      <c r="GA22" s="65"/>
      <c r="GB22" s="65"/>
      <c r="GC22" s="65"/>
      <c r="GD22" s="65"/>
      <c r="GE22" s="65"/>
      <c r="GF22" s="65"/>
      <c r="GG22" s="65"/>
      <c r="GH22" s="65"/>
      <c r="GI22" s="65"/>
      <c r="GJ22" s="65"/>
      <c r="GK22" s="65"/>
      <c r="GL22" s="65"/>
      <c r="GM22" s="65"/>
      <c r="GN22" s="65"/>
      <c r="GO22" s="65"/>
      <c r="GP22" s="65"/>
      <c r="GQ22" s="65"/>
      <c r="GR22" s="65"/>
      <c r="GS22" s="65"/>
      <c r="GT22" s="65"/>
      <c r="GU22" s="65"/>
      <c r="GV22" s="65"/>
      <c r="GW22" s="65"/>
      <c r="GX22" s="65"/>
      <c r="GY22" s="65"/>
      <c r="GZ22" s="65"/>
      <c r="HA22" s="65"/>
      <c r="HB22" s="65"/>
      <c r="HC22" s="65"/>
      <c r="HD22" s="65"/>
      <c r="HE22" s="65"/>
      <c r="HF22" s="65"/>
      <c r="HG22" s="65"/>
      <c r="HH22" s="65"/>
      <c r="HI22" s="65"/>
      <c r="HJ22" s="65"/>
      <c r="HK22" s="65"/>
      <c r="HL22" s="65"/>
      <c r="HM22" s="65"/>
      <c r="HN22" s="65"/>
      <c r="HO22" s="65"/>
    </row>
    <row r="23" spans="1:223" s="78" customFormat="1" ht="34.5" customHeight="1" x14ac:dyDescent="0.25">
      <c r="A23" s="353">
        <v>2025</v>
      </c>
      <c r="B23" s="354">
        <v>7</v>
      </c>
      <c r="C23" s="353">
        <v>22845</v>
      </c>
      <c r="D23" s="279">
        <v>45845</v>
      </c>
      <c r="E23" s="81" t="s">
        <v>2319</v>
      </c>
      <c r="F23" s="81" t="s">
        <v>2318</v>
      </c>
      <c r="G23" s="78" t="s">
        <v>2320</v>
      </c>
      <c r="H23" s="78">
        <v>3014600934</v>
      </c>
      <c r="I23" s="78">
        <v>3014600934</v>
      </c>
      <c r="J23" s="66">
        <v>45856</v>
      </c>
      <c r="K23" s="78" t="s">
        <v>84</v>
      </c>
      <c r="L23" s="79" t="s">
        <v>2321</v>
      </c>
      <c r="M23" s="78" t="s">
        <v>136</v>
      </c>
      <c r="N23" s="78">
        <v>6077</v>
      </c>
      <c r="O23" s="78">
        <v>6911</v>
      </c>
      <c r="P23" s="78" t="s">
        <v>136</v>
      </c>
      <c r="Q23" s="78" t="s">
        <v>136</v>
      </c>
      <c r="R23" s="78" t="s">
        <v>134</v>
      </c>
      <c r="S23" s="78" t="s">
        <v>134</v>
      </c>
      <c r="T23" s="78" t="s">
        <v>136</v>
      </c>
      <c r="U23" s="78" t="s">
        <v>136</v>
      </c>
      <c r="V23" s="81" t="s">
        <v>87</v>
      </c>
      <c r="W23" s="66">
        <v>45852</v>
      </c>
      <c r="X23" s="435">
        <v>45855</v>
      </c>
      <c r="Z23" s="80" t="s">
        <v>85</v>
      </c>
      <c r="AA23" s="371"/>
      <c r="AB23" s="78">
        <v>6062</v>
      </c>
      <c r="AC23" s="228">
        <v>941176</v>
      </c>
      <c r="AD23" s="228">
        <f t="shared" si="0"/>
        <v>1119999.44</v>
      </c>
      <c r="AE23" s="303">
        <v>600000</v>
      </c>
      <c r="AG23" s="210" t="s">
        <v>2099</v>
      </c>
      <c r="AH23" s="403">
        <v>45853</v>
      </c>
      <c r="AI23" s="66">
        <v>45861</v>
      </c>
      <c r="AJ23" s="78" t="s">
        <v>1705</v>
      </c>
      <c r="AL23" s="65"/>
      <c r="AM23" s="65"/>
      <c r="AN23" s="65"/>
      <c r="AO23" s="65"/>
      <c r="AP23" s="65"/>
      <c r="AQ23" s="65"/>
      <c r="AR23" s="65"/>
      <c r="AS23" s="65"/>
      <c r="AT23" s="65"/>
      <c r="AU23" s="65"/>
      <c r="AV23" s="65"/>
      <c r="AW23" s="65"/>
      <c r="AX23" s="65"/>
      <c r="AY23" s="65"/>
      <c r="AZ23" s="65"/>
      <c r="BA23" s="65"/>
      <c r="BB23" s="65"/>
      <c r="BC23" s="65"/>
      <c r="BD23" s="65"/>
      <c r="BE23" s="65"/>
      <c r="BF23" s="65"/>
      <c r="BG23" s="65"/>
      <c r="BH23" s="65"/>
      <c r="BI23" s="65"/>
      <c r="BJ23" s="65"/>
      <c r="BK23" s="65"/>
      <c r="BL23" s="65"/>
      <c r="BM23" s="65"/>
      <c r="BN23" s="65"/>
      <c r="BO23" s="65"/>
      <c r="BP23" s="65"/>
      <c r="BQ23" s="65"/>
      <c r="BR23" s="65"/>
      <c r="BS23" s="65"/>
      <c r="BT23" s="65"/>
      <c r="BU23" s="65"/>
      <c r="BV23" s="65"/>
      <c r="BW23" s="65"/>
      <c r="BX23" s="65"/>
      <c r="BY23" s="65"/>
      <c r="BZ23" s="65"/>
      <c r="CA23" s="65"/>
      <c r="CB23" s="65"/>
      <c r="CC23" s="65"/>
      <c r="CD23" s="65"/>
      <c r="CE23" s="65"/>
      <c r="CF23" s="65"/>
      <c r="CG23" s="65"/>
      <c r="CH23" s="65"/>
      <c r="CI23" s="65"/>
      <c r="CJ23" s="65"/>
      <c r="CK23" s="65"/>
      <c r="CL23" s="65"/>
      <c r="CM23" s="65"/>
      <c r="CN23" s="65"/>
      <c r="CO23" s="65"/>
      <c r="CP23" s="65"/>
      <c r="CQ23" s="65"/>
      <c r="CR23" s="65"/>
      <c r="CS23" s="65"/>
      <c r="CT23" s="65"/>
      <c r="CU23" s="65"/>
      <c r="CV23" s="65"/>
      <c r="CW23" s="65"/>
      <c r="CX23" s="65"/>
      <c r="CY23" s="65"/>
      <c r="CZ23" s="65"/>
      <c r="DA23" s="65"/>
      <c r="DB23" s="65"/>
      <c r="DC23" s="65"/>
      <c r="DD23" s="65"/>
      <c r="DE23" s="65"/>
      <c r="DF23" s="65"/>
      <c r="DG23" s="65"/>
      <c r="DH23" s="65"/>
      <c r="DI23" s="65"/>
      <c r="DJ23" s="65"/>
      <c r="DK23" s="65"/>
      <c r="DL23" s="65"/>
      <c r="DM23" s="65"/>
      <c r="DN23" s="65"/>
      <c r="DO23" s="65"/>
      <c r="DP23" s="65"/>
      <c r="DQ23" s="65"/>
      <c r="DR23" s="65"/>
      <c r="DS23" s="65"/>
      <c r="DT23" s="65"/>
      <c r="DU23" s="65"/>
      <c r="DV23" s="65"/>
      <c r="DW23" s="65"/>
      <c r="DX23" s="65"/>
      <c r="DY23" s="65"/>
      <c r="DZ23" s="65"/>
      <c r="EA23" s="65"/>
      <c r="EB23" s="65"/>
      <c r="EC23" s="65"/>
      <c r="ED23" s="65"/>
      <c r="EE23" s="65"/>
      <c r="EF23" s="65"/>
      <c r="EG23" s="65"/>
      <c r="EH23" s="65"/>
      <c r="EI23" s="65"/>
      <c r="EJ23" s="65"/>
      <c r="EK23" s="65"/>
      <c r="EL23" s="65"/>
      <c r="EM23" s="65"/>
      <c r="EN23" s="65"/>
      <c r="EO23" s="65"/>
      <c r="EP23" s="65"/>
      <c r="EQ23" s="65"/>
      <c r="ER23" s="65"/>
      <c r="ES23" s="65"/>
      <c r="ET23" s="65"/>
      <c r="EU23" s="65"/>
      <c r="EV23" s="65"/>
      <c r="EW23" s="65"/>
      <c r="EX23" s="65"/>
      <c r="EY23" s="65"/>
      <c r="EZ23" s="65"/>
      <c r="FA23" s="65"/>
      <c r="FB23" s="65"/>
      <c r="FC23" s="65"/>
      <c r="FD23" s="65"/>
      <c r="FE23" s="65"/>
      <c r="FF23" s="65"/>
      <c r="FG23" s="65"/>
      <c r="FH23" s="65"/>
      <c r="FI23" s="65"/>
      <c r="FJ23" s="65"/>
      <c r="FK23" s="65"/>
      <c r="FL23" s="65"/>
      <c r="FM23" s="65"/>
      <c r="FN23" s="65"/>
      <c r="FO23" s="65"/>
      <c r="FP23" s="65"/>
      <c r="FQ23" s="65"/>
      <c r="FR23" s="65"/>
      <c r="FS23" s="65"/>
      <c r="FT23" s="65"/>
      <c r="FU23" s="65"/>
      <c r="FV23" s="65"/>
      <c r="FW23" s="65"/>
      <c r="FX23" s="65"/>
      <c r="FY23" s="65"/>
      <c r="FZ23" s="65"/>
      <c r="GA23" s="65"/>
      <c r="GB23" s="65"/>
      <c r="GC23" s="65"/>
      <c r="GD23" s="65"/>
      <c r="GE23" s="65"/>
      <c r="GF23" s="65"/>
      <c r="GG23" s="65"/>
      <c r="GH23" s="65"/>
      <c r="GI23" s="65"/>
      <c r="GJ23" s="65"/>
      <c r="GK23" s="65"/>
      <c r="GL23" s="65"/>
      <c r="GM23" s="65"/>
      <c r="GN23" s="65"/>
      <c r="GO23" s="65"/>
      <c r="GP23" s="65"/>
      <c r="GQ23" s="65"/>
      <c r="GR23" s="65"/>
      <c r="GS23" s="65"/>
      <c r="GT23" s="65"/>
      <c r="GU23" s="65"/>
      <c r="GV23" s="65"/>
      <c r="GW23" s="65"/>
      <c r="GX23" s="65"/>
      <c r="GY23" s="65"/>
      <c r="GZ23" s="65"/>
      <c r="HA23" s="65"/>
      <c r="HB23" s="65"/>
      <c r="HC23" s="65"/>
      <c r="HD23" s="65"/>
      <c r="HE23" s="65"/>
      <c r="HF23" s="65"/>
      <c r="HG23" s="65"/>
      <c r="HH23" s="65"/>
      <c r="HI23" s="65"/>
      <c r="HJ23" s="65"/>
      <c r="HK23" s="65"/>
      <c r="HL23" s="65"/>
      <c r="HM23" s="65"/>
      <c r="HN23" s="65"/>
      <c r="HO23" s="65"/>
    </row>
    <row r="24" spans="1:223" s="78" customFormat="1" ht="56.25" customHeight="1" x14ac:dyDescent="0.25">
      <c r="A24" s="353">
        <v>2025</v>
      </c>
      <c r="B24" s="354">
        <v>7</v>
      </c>
      <c r="C24" s="355">
        <v>22846</v>
      </c>
      <c r="D24" s="279">
        <v>45845</v>
      </c>
      <c r="E24" s="81" t="s">
        <v>2372</v>
      </c>
      <c r="F24" s="81" t="s">
        <v>2373</v>
      </c>
      <c r="H24" s="78">
        <v>3203515245</v>
      </c>
      <c r="I24" s="78">
        <v>3203515245</v>
      </c>
      <c r="J24" s="66">
        <v>45853</v>
      </c>
      <c r="K24" s="78" t="s">
        <v>88</v>
      </c>
      <c r="L24" s="79" t="s">
        <v>2374</v>
      </c>
      <c r="M24" s="78" t="s">
        <v>281</v>
      </c>
      <c r="N24" s="78" t="s">
        <v>136</v>
      </c>
      <c r="O24" s="78" t="s">
        <v>136</v>
      </c>
      <c r="P24" s="78">
        <v>9334</v>
      </c>
      <c r="Q24" s="78">
        <v>5628</v>
      </c>
      <c r="R24" s="78" t="s">
        <v>136</v>
      </c>
      <c r="S24" s="78" t="s">
        <v>134</v>
      </c>
      <c r="T24" s="78" t="s">
        <v>134</v>
      </c>
      <c r="U24" s="78" t="s">
        <v>136</v>
      </c>
      <c r="V24" s="81" t="s">
        <v>89</v>
      </c>
      <c r="W24" s="66"/>
      <c r="X24" s="66">
        <v>45848</v>
      </c>
      <c r="Z24" s="80" t="s">
        <v>97</v>
      </c>
      <c r="AA24" s="371"/>
      <c r="AB24" s="78">
        <v>6058</v>
      </c>
      <c r="AC24" s="228">
        <v>736080</v>
      </c>
      <c r="AD24" s="228">
        <f t="shared" si="0"/>
        <v>875935.2</v>
      </c>
      <c r="AE24" s="303">
        <v>400000</v>
      </c>
      <c r="AG24" s="210" t="s">
        <v>2097</v>
      </c>
      <c r="AH24" s="241"/>
      <c r="AI24" s="66">
        <v>45852</v>
      </c>
      <c r="AJ24" s="78" t="s">
        <v>1705</v>
      </c>
      <c r="AL24" s="65"/>
      <c r="AM24" s="65"/>
      <c r="AN24" s="65"/>
      <c r="AO24" s="65"/>
      <c r="AP24" s="65"/>
      <c r="AQ24" s="65"/>
      <c r="AR24" s="65"/>
      <c r="AS24" s="65"/>
      <c r="AT24" s="65"/>
      <c r="AU24" s="65"/>
      <c r="AV24" s="65"/>
      <c r="AW24" s="65"/>
      <c r="AX24" s="65"/>
      <c r="AY24" s="65"/>
      <c r="AZ24" s="65"/>
      <c r="BA24" s="65"/>
      <c r="BB24" s="65"/>
      <c r="BC24" s="65"/>
      <c r="BD24" s="65"/>
      <c r="BE24" s="65"/>
      <c r="BF24" s="65"/>
      <c r="BG24" s="65"/>
      <c r="BH24" s="65"/>
      <c r="BI24" s="65"/>
      <c r="BJ24" s="65"/>
      <c r="BK24" s="65"/>
      <c r="BL24" s="65"/>
      <c r="BM24" s="65"/>
      <c r="BN24" s="65"/>
      <c r="BO24" s="65"/>
      <c r="BP24" s="65"/>
      <c r="BQ24" s="65"/>
      <c r="BR24" s="65"/>
      <c r="BS24" s="65"/>
      <c r="BT24" s="65"/>
      <c r="BU24" s="65"/>
      <c r="BV24" s="65"/>
      <c r="BW24" s="65"/>
      <c r="BX24" s="65"/>
      <c r="BY24" s="65"/>
      <c r="BZ24" s="65"/>
      <c r="CA24" s="65"/>
      <c r="CB24" s="65"/>
      <c r="CC24" s="65"/>
      <c r="CD24" s="65"/>
      <c r="CE24" s="65"/>
      <c r="CF24" s="65"/>
      <c r="CG24" s="65"/>
      <c r="CH24" s="65"/>
      <c r="CI24" s="65"/>
      <c r="CJ24" s="65"/>
      <c r="CK24" s="65"/>
      <c r="CL24" s="65"/>
      <c r="CM24" s="65"/>
      <c r="CN24" s="65"/>
      <c r="CO24" s="65"/>
      <c r="CP24" s="65"/>
      <c r="CQ24" s="65"/>
      <c r="CR24" s="65"/>
      <c r="CS24" s="65"/>
      <c r="CT24" s="65"/>
      <c r="CU24" s="65"/>
      <c r="CV24" s="65"/>
      <c r="CW24" s="65"/>
      <c r="CX24" s="65"/>
      <c r="CY24" s="65"/>
      <c r="CZ24" s="65"/>
      <c r="DA24" s="65"/>
      <c r="DB24" s="65"/>
      <c r="DC24" s="65"/>
      <c r="DD24" s="65"/>
      <c r="DE24" s="65"/>
      <c r="DF24" s="65"/>
      <c r="DG24" s="65"/>
      <c r="DH24" s="65"/>
      <c r="DI24" s="65"/>
      <c r="DJ24" s="65"/>
      <c r="DK24" s="65"/>
      <c r="DL24" s="65"/>
      <c r="DM24" s="65"/>
      <c r="DN24" s="65"/>
      <c r="DO24" s="65"/>
      <c r="DP24" s="65"/>
      <c r="DQ24" s="65"/>
      <c r="DR24" s="65"/>
      <c r="DS24" s="65"/>
      <c r="DT24" s="65"/>
      <c r="DU24" s="65"/>
      <c r="DV24" s="65"/>
      <c r="DW24" s="65"/>
      <c r="DX24" s="65"/>
      <c r="DY24" s="65"/>
      <c r="DZ24" s="65"/>
      <c r="EA24" s="65"/>
      <c r="EB24" s="65"/>
      <c r="EC24" s="65"/>
      <c r="ED24" s="65"/>
      <c r="EE24" s="65"/>
      <c r="EF24" s="65"/>
      <c r="EG24" s="65"/>
      <c r="EH24" s="65"/>
      <c r="EI24" s="65"/>
      <c r="EJ24" s="65"/>
      <c r="EK24" s="65"/>
      <c r="EL24" s="65"/>
      <c r="EM24" s="65"/>
      <c r="EN24" s="65"/>
      <c r="EO24" s="65"/>
      <c r="EP24" s="65"/>
      <c r="EQ24" s="65"/>
      <c r="ER24" s="65"/>
      <c r="ES24" s="65"/>
      <c r="ET24" s="65"/>
      <c r="EU24" s="65"/>
      <c r="EV24" s="65"/>
      <c r="EW24" s="65"/>
      <c r="EX24" s="65"/>
      <c r="EY24" s="65"/>
      <c r="EZ24" s="65"/>
      <c r="FA24" s="65"/>
      <c r="FB24" s="65"/>
      <c r="FC24" s="65"/>
      <c r="FD24" s="65"/>
      <c r="FE24" s="65"/>
      <c r="FF24" s="65"/>
      <c r="FG24" s="65"/>
      <c r="FH24" s="65"/>
      <c r="FI24" s="65"/>
      <c r="FJ24" s="65"/>
      <c r="FK24" s="65"/>
      <c r="FL24" s="65"/>
      <c r="FM24" s="65"/>
      <c r="FN24" s="65"/>
      <c r="FO24" s="65"/>
      <c r="FP24" s="65"/>
      <c r="FQ24" s="65"/>
      <c r="FR24" s="65"/>
      <c r="FS24" s="65"/>
      <c r="FT24" s="65"/>
      <c r="FU24" s="65"/>
      <c r="FV24" s="65"/>
      <c r="FW24" s="65"/>
      <c r="FX24" s="65"/>
      <c r="FY24" s="65"/>
      <c r="FZ24" s="65"/>
      <c r="GA24" s="65"/>
      <c r="GB24" s="65"/>
      <c r="GC24" s="65"/>
      <c r="GD24" s="65"/>
      <c r="GE24" s="65"/>
      <c r="GF24" s="65"/>
      <c r="GG24" s="65"/>
      <c r="GH24" s="65"/>
      <c r="GI24" s="65"/>
      <c r="GJ24" s="65"/>
      <c r="GK24" s="65"/>
      <c r="GL24" s="65"/>
      <c r="GM24" s="65"/>
      <c r="GN24" s="65"/>
      <c r="GO24" s="65"/>
      <c r="GP24" s="65"/>
      <c r="GQ24" s="65"/>
      <c r="GR24" s="65"/>
      <c r="GS24" s="65"/>
      <c r="GT24" s="65"/>
      <c r="GU24" s="65"/>
      <c r="GV24" s="65"/>
      <c r="GW24" s="65"/>
      <c r="GX24" s="65"/>
      <c r="GY24" s="65"/>
      <c r="GZ24" s="65"/>
      <c r="HA24" s="65"/>
      <c r="HB24" s="65"/>
      <c r="HC24" s="65"/>
      <c r="HD24" s="65"/>
      <c r="HE24" s="65"/>
      <c r="HF24" s="65"/>
      <c r="HG24" s="65"/>
      <c r="HH24" s="65"/>
      <c r="HI24" s="65"/>
      <c r="HJ24" s="65"/>
      <c r="HK24" s="65"/>
      <c r="HL24" s="65"/>
      <c r="HM24" s="65"/>
      <c r="HN24" s="65"/>
      <c r="HO24" s="65"/>
    </row>
    <row r="25" spans="1:223" s="78" customFormat="1" ht="94.5" customHeight="1" x14ac:dyDescent="0.25">
      <c r="A25" s="353">
        <v>2025</v>
      </c>
      <c r="B25" s="354">
        <v>7</v>
      </c>
      <c r="C25" s="353">
        <v>22847</v>
      </c>
      <c r="D25" s="279">
        <v>45845</v>
      </c>
      <c r="E25" s="81" t="s">
        <v>2395</v>
      </c>
      <c r="F25" s="81" t="s">
        <v>2373</v>
      </c>
      <c r="G25" s="78" t="s">
        <v>98</v>
      </c>
      <c r="H25" s="78">
        <v>3224940242</v>
      </c>
      <c r="I25" s="78">
        <v>4481405</v>
      </c>
      <c r="J25" s="66">
        <v>45855</v>
      </c>
      <c r="K25" s="78" t="s">
        <v>88</v>
      </c>
      <c r="L25" s="79" t="s">
        <v>2396</v>
      </c>
      <c r="M25" s="78" t="s">
        <v>136</v>
      </c>
      <c r="N25" s="78">
        <v>6087</v>
      </c>
      <c r="O25" s="78">
        <v>6917</v>
      </c>
      <c r="P25" s="78">
        <v>9402</v>
      </c>
      <c r="Q25" s="78" t="s">
        <v>136</v>
      </c>
      <c r="R25" s="78" t="s">
        <v>134</v>
      </c>
      <c r="S25" s="78" t="s">
        <v>134</v>
      </c>
      <c r="T25" s="78" t="s">
        <v>134</v>
      </c>
      <c r="U25" s="78" t="s">
        <v>136</v>
      </c>
      <c r="V25" s="81" t="s">
        <v>119</v>
      </c>
      <c r="W25" s="66">
        <v>45861</v>
      </c>
      <c r="X25" s="66"/>
      <c r="Z25" s="80" t="s">
        <v>90</v>
      </c>
      <c r="AA25" s="371">
        <v>1020318</v>
      </c>
      <c r="AB25" s="78">
        <v>6083</v>
      </c>
      <c r="AC25" s="228">
        <v>875809</v>
      </c>
      <c r="AD25" s="228">
        <f t="shared" si="0"/>
        <v>1042212.71</v>
      </c>
      <c r="AE25" s="303"/>
      <c r="AG25" s="210"/>
      <c r="AH25" s="403">
        <v>45845</v>
      </c>
      <c r="AI25" s="66">
        <v>45861</v>
      </c>
      <c r="AJ25" s="78" t="s">
        <v>1705</v>
      </c>
      <c r="AL25" s="65"/>
      <c r="AM25" s="65"/>
      <c r="AN25" s="65"/>
      <c r="AO25" s="65"/>
      <c r="AP25" s="65"/>
      <c r="AQ25" s="65"/>
      <c r="AR25" s="65"/>
      <c r="AS25" s="65"/>
      <c r="AT25" s="65"/>
      <c r="AU25" s="65"/>
      <c r="AV25" s="65"/>
      <c r="AW25" s="65"/>
      <c r="AX25" s="65"/>
      <c r="AY25" s="65"/>
      <c r="AZ25" s="65"/>
      <c r="BA25" s="65"/>
      <c r="BB25" s="65"/>
      <c r="BC25" s="65"/>
      <c r="BD25" s="65"/>
      <c r="BE25" s="65"/>
      <c r="BF25" s="65"/>
      <c r="BG25" s="65"/>
      <c r="BH25" s="65"/>
      <c r="BI25" s="65"/>
      <c r="BJ25" s="65"/>
      <c r="BK25" s="65"/>
      <c r="BL25" s="65"/>
      <c r="BM25" s="65"/>
      <c r="BN25" s="65"/>
      <c r="BO25" s="65"/>
      <c r="BP25" s="65"/>
      <c r="BQ25" s="65"/>
      <c r="BR25" s="65"/>
      <c r="BS25" s="65"/>
      <c r="BT25" s="65"/>
      <c r="BU25" s="65"/>
      <c r="BV25" s="65"/>
      <c r="BW25" s="65"/>
      <c r="BX25" s="65"/>
      <c r="BY25" s="65"/>
      <c r="BZ25" s="65"/>
      <c r="CA25" s="65"/>
      <c r="CB25" s="65"/>
      <c r="CC25" s="65"/>
      <c r="CD25" s="65"/>
      <c r="CE25" s="65"/>
      <c r="CF25" s="65"/>
      <c r="CG25" s="65"/>
      <c r="CH25" s="65"/>
      <c r="CI25" s="65"/>
      <c r="CJ25" s="65"/>
      <c r="CK25" s="65"/>
      <c r="CL25" s="65"/>
      <c r="CM25" s="65"/>
      <c r="CN25" s="65"/>
      <c r="CO25" s="65"/>
      <c r="CP25" s="65"/>
      <c r="CQ25" s="65"/>
      <c r="CR25" s="65"/>
      <c r="CS25" s="65"/>
      <c r="CT25" s="65"/>
      <c r="CU25" s="65"/>
      <c r="CV25" s="65"/>
      <c r="CW25" s="65"/>
      <c r="CX25" s="65"/>
      <c r="CY25" s="65"/>
      <c r="CZ25" s="65"/>
      <c r="DA25" s="65"/>
      <c r="DB25" s="65"/>
      <c r="DC25" s="65"/>
      <c r="DD25" s="65"/>
      <c r="DE25" s="65"/>
      <c r="DF25" s="65"/>
      <c r="DG25" s="65"/>
      <c r="DH25" s="65"/>
      <c r="DI25" s="65"/>
      <c r="DJ25" s="65"/>
      <c r="DK25" s="65"/>
      <c r="DL25" s="65"/>
      <c r="DM25" s="65"/>
      <c r="DN25" s="65"/>
      <c r="DO25" s="65"/>
      <c r="DP25" s="65"/>
      <c r="DQ25" s="65"/>
      <c r="DR25" s="65"/>
      <c r="DS25" s="65"/>
      <c r="DT25" s="65"/>
      <c r="DU25" s="65"/>
      <c r="DV25" s="65"/>
      <c r="DW25" s="65"/>
      <c r="DX25" s="65"/>
      <c r="DY25" s="65"/>
      <c r="DZ25" s="65"/>
      <c r="EA25" s="65"/>
      <c r="EB25" s="65"/>
      <c r="EC25" s="65"/>
      <c r="ED25" s="65"/>
      <c r="EE25" s="65"/>
      <c r="EF25" s="65"/>
      <c r="EG25" s="65"/>
      <c r="EH25" s="65"/>
      <c r="EI25" s="65"/>
      <c r="EJ25" s="65"/>
      <c r="EK25" s="65"/>
      <c r="EL25" s="65"/>
      <c r="EM25" s="65"/>
      <c r="EN25" s="65"/>
      <c r="EO25" s="65"/>
      <c r="EP25" s="65"/>
      <c r="EQ25" s="65"/>
      <c r="ER25" s="65"/>
      <c r="ES25" s="65"/>
      <c r="ET25" s="65"/>
      <c r="EU25" s="65"/>
      <c r="EV25" s="65"/>
      <c r="EW25" s="65"/>
      <c r="EX25" s="65"/>
      <c r="EY25" s="65"/>
      <c r="EZ25" s="65"/>
      <c r="FA25" s="65"/>
      <c r="FB25" s="65"/>
      <c r="FC25" s="65"/>
      <c r="FD25" s="65"/>
      <c r="FE25" s="65"/>
      <c r="FF25" s="65"/>
      <c r="FG25" s="65"/>
      <c r="FH25" s="65"/>
      <c r="FI25" s="65"/>
      <c r="FJ25" s="65"/>
      <c r="FK25" s="65"/>
      <c r="FL25" s="65"/>
      <c r="FM25" s="65"/>
      <c r="FN25" s="65"/>
      <c r="FO25" s="65"/>
      <c r="FP25" s="65"/>
      <c r="FQ25" s="65"/>
      <c r="FR25" s="65"/>
      <c r="FS25" s="65"/>
      <c r="FT25" s="65"/>
      <c r="FU25" s="65"/>
      <c r="FV25" s="65"/>
      <c r="FW25" s="65"/>
      <c r="FX25" s="65"/>
      <c r="FY25" s="65"/>
      <c r="FZ25" s="65"/>
      <c r="GA25" s="65"/>
      <c r="GB25" s="65"/>
      <c r="GC25" s="65"/>
      <c r="GD25" s="65"/>
      <c r="GE25" s="65"/>
      <c r="GF25" s="65"/>
      <c r="GG25" s="65"/>
      <c r="GH25" s="65"/>
      <c r="GI25" s="65"/>
      <c r="GJ25" s="65"/>
      <c r="GK25" s="65"/>
      <c r="GL25" s="65"/>
      <c r="GM25" s="65"/>
      <c r="GN25" s="65"/>
      <c r="GO25" s="65"/>
      <c r="GP25" s="65"/>
      <c r="GQ25" s="65"/>
      <c r="GR25" s="65"/>
      <c r="GS25" s="65"/>
      <c r="GT25" s="65"/>
      <c r="GU25" s="65"/>
      <c r="GV25" s="65"/>
      <c r="GW25" s="65"/>
      <c r="GX25" s="65"/>
      <c r="GY25" s="65"/>
      <c r="GZ25" s="65"/>
      <c r="HA25" s="65"/>
      <c r="HB25" s="65"/>
      <c r="HC25" s="65"/>
      <c r="HD25" s="65"/>
      <c r="HE25" s="65"/>
      <c r="HF25" s="65"/>
      <c r="HG25" s="65"/>
      <c r="HH25" s="65"/>
      <c r="HI25" s="65"/>
      <c r="HJ25" s="65"/>
      <c r="HK25" s="65"/>
      <c r="HL25" s="65"/>
      <c r="HM25" s="65"/>
      <c r="HN25" s="65"/>
      <c r="HO25" s="65"/>
    </row>
    <row r="26" spans="1:223" s="78" customFormat="1" ht="57.75" customHeight="1" x14ac:dyDescent="0.25">
      <c r="A26" s="353">
        <v>2025</v>
      </c>
      <c r="B26" s="354">
        <v>7</v>
      </c>
      <c r="C26" s="353">
        <v>22848</v>
      </c>
      <c r="D26" s="279">
        <v>45846</v>
      </c>
      <c r="E26" s="81" t="s">
        <v>2397</v>
      </c>
      <c r="F26" s="81" t="s">
        <v>2398</v>
      </c>
      <c r="G26" s="78" t="s">
        <v>2399</v>
      </c>
      <c r="H26" s="78">
        <v>3008883203</v>
      </c>
      <c r="J26" s="66">
        <v>45860</v>
      </c>
      <c r="K26" s="78" t="s">
        <v>84</v>
      </c>
      <c r="L26" s="79" t="s">
        <v>2400</v>
      </c>
      <c r="M26" s="78" t="s">
        <v>282</v>
      </c>
      <c r="N26" s="78">
        <v>6088</v>
      </c>
      <c r="O26" s="78">
        <v>6918</v>
      </c>
      <c r="P26" s="78">
        <v>9378</v>
      </c>
      <c r="Q26" s="78">
        <v>5641</v>
      </c>
      <c r="R26" s="78" t="s">
        <v>136</v>
      </c>
      <c r="S26" s="78" t="s">
        <v>134</v>
      </c>
      <c r="T26" s="78" t="s">
        <v>134</v>
      </c>
      <c r="U26" s="78" t="s">
        <v>136</v>
      </c>
      <c r="V26" s="81" t="s">
        <v>119</v>
      </c>
      <c r="W26" s="66">
        <v>45855</v>
      </c>
      <c r="X26" s="66"/>
      <c r="Z26" s="80" t="s">
        <v>97</v>
      </c>
      <c r="AA26" s="371"/>
      <c r="AB26" s="78">
        <v>6084</v>
      </c>
      <c r="AC26" s="228">
        <v>1383475</v>
      </c>
      <c r="AD26" s="228">
        <f t="shared" si="0"/>
        <v>1646335.25</v>
      </c>
      <c r="AE26" s="303">
        <v>824000</v>
      </c>
      <c r="AG26" s="210"/>
      <c r="AH26" s="403"/>
      <c r="AI26" s="66">
        <v>45861</v>
      </c>
      <c r="AJ26" s="78" t="s">
        <v>1705</v>
      </c>
      <c r="AL26" s="65"/>
      <c r="AM26" s="65"/>
      <c r="AN26" s="65"/>
      <c r="AO26" s="65"/>
      <c r="AP26" s="65"/>
      <c r="AQ26" s="65"/>
      <c r="AR26" s="65"/>
      <c r="AS26" s="65"/>
      <c r="AT26" s="65"/>
      <c r="AU26" s="65"/>
      <c r="AV26" s="65"/>
      <c r="AW26" s="65"/>
      <c r="AX26" s="65"/>
      <c r="AY26" s="65"/>
      <c r="AZ26" s="65"/>
      <c r="BA26" s="65"/>
      <c r="BB26" s="65"/>
      <c r="BC26" s="65"/>
      <c r="BD26" s="65"/>
      <c r="BE26" s="65"/>
      <c r="BF26" s="65"/>
      <c r="BG26" s="65"/>
      <c r="BH26" s="65"/>
      <c r="BI26" s="65"/>
      <c r="BJ26" s="65"/>
      <c r="BK26" s="65"/>
      <c r="BL26" s="65"/>
      <c r="BM26" s="65"/>
      <c r="BN26" s="65"/>
      <c r="BO26" s="65"/>
      <c r="BP26" s="65"/>
      <c r="BQ26" s="65"/>
      <c r="BR26" s="65"/>
      <c r="BS26" s="65"/>
      <c r="BT26" s="65"/>
      <c r="BU26" s="65"/>
      <c r="BV26" s="65"/>
      <c r="BW26" s="65"/>
      <c r="BX26" s="65"/>
      <c r="BY26" s="65"/>
      <c r="BZ26" s="65"/>
      <c r="CA26" s="65"/>
      <c r="CB26" s="65"/>
      <c r="CC26" s="65"/>
      <c r="CD26" s="65"/>
      <c r="CE26" s="65"/>
      <c r="CF26" s="65"/>
      <c r="CG26" s="65"/>
      <c r="CH26" s="65"/>
      <c r="CI26" s="65"/>
      <c r="CJ26" s="65"/>
      <c r="CK26" s="65"/>
      <c r="CL26" s="65"/>
      <c r="CM26" s="65"/>
      <c r="CN26" s="65"/>
      <c r="CO26" s="65"/>
      <c r="CP26" s="65"/>
      <c r="CQ26" s="65"/>
      <c r="CR26" s="65"/>
      <c r="CS26" s="65"/>
      <c r="CT26" s="65"/>
      <c r="CU26" s="65"/>
      <c r="CV26" s="65"/>
      <c r="CW26" s="65"/>
      <c r="CX26" s="65"/>
      <c r="CY26" s="65"/>
      <c r="CZ26" s="65"/>
      <c r="DA26" s="65"/>
      <c r="DB26" s="65"/>
      <c r="DC26" s="65"/>
      <c r="DD26" s="65"/>
      <c r="DE26" s="65"/>
      <c r="DF26" s="65"/>
      <c r="DG26" s="65"/>
      <c r="DH26" s="65"/>
      <c r="DI26" s="65"/>
      <c r="DJ26" s="65"/>
      <c r="DK26" s="65"/>
      <c r="DL26" s="65"/>
      <c r="DM26" s="65"/>
      <c r="DN26" s="65"/>
      <c r="DO26" s="65"/>
      <c r="DP26" s="65"/>
      <c r="DQ26" s="65"/>
      <c r="DR26" s="65"/>
      <c r="DS26" s="65"/>
      <c r="DT26" s="65"/>
      <c r="DU26" s="65"/>
      <c r="DV26" s="65"/>
      <c r="DW26" s="65"/>
      <c r="DX26" s="65"/>
      <c r="DY26" s="65"/>
      <c r="DZ26" s="65"/>
      <c r="EA26" s="65"/>
      <c r="EB26" s="65"/>
      <c r="EC26" s="65"/>
      <c r="ED26" s="65"/>
      <c r="EE26" s="65"/>
      <c r="EF26" s="65"/>
      <c r="EG26" s="65"/>
      <c r="EH26" s="65"/>
      <c r="EI26" s="65"/>
      <c r="EJ26" s="65"/>
      <c r="EK26" s="65"/>
      <c r="EL26" s="65"/>
      <c r="EM26" s="65"/>
      <c r="EN26" s="65"/>
      <c r="EO26" s="65"/>
      <c r="EP26" s="65"/>
      <c r="EQ26" s="65"/>
      <c r="ER26" s="65"/>
      <c r="ES26" s="65"/>
      <c r="ET26" s="65"/>
      <c r="EU26" s="65"/>
      <c r="EV26" s="65"/>
      <c r="EW26" s="65"/>
      <c r="EX26" s="65"/>
      <c r="EY26" s="65"/>
      <c r="EZ26" s="65"/>
      <c r="FA26" s="65"/>
      <c r="FB26" s="65"/>
      <c r="FC26" s="65"/>
      <c r="FD26" s="65"/>
      <c r="FE26" s="65"/>
      <c r="FF26" s="65"/>
      <c r="FG26" s="65"/>
      <c r="FH26" s="65"/>
      <c r="FI26" s="65"/>
      <c r="FJ26" s="65"/>
      <c r="FK26" s="65"/>
      <c r="FL26" s="65"/>
      <c r="FM26" s="65"/>
      <c r="FN26" s="65"/>
      <c r="FO26" s="65"/>
      <c r="FP26" s="65"/>
      <c r="FQ26" s="65"/>
      <c r="FR26" s="65"/>
      <c r="FS26" s="65"/>
      <c r="FT26" s="65"/>
      <c r="FU26" s="65"/>
      <c r="FV26" s="65"/>
      <c r="FW26" s="65"/>
      <c r="FX26" s="65"/>
      <c r="FY26" s="65"/>
      <c r="FZ26" s="65"/>
      <c r="GA26" s="65"/>
      <c r="GB26" s="65"/>
      <c r="GC26" s="65"/>
      <c r="GD26" s="65"/>
      <c r="GE26" s="65"/>
      <c r="GF26" s="65"/>
      <c r="GG26" s="65"/>
      <c r="GH26" s="65"/>
      <c r="GI26" s="65"/>
      <c r="GJ26" s="65"/>
      <c r="GK26" s="65"/>
      <c r="GL26" s="65"/>
      <c r="GM26" s="65"/>
      <c r="GN26" s="65"/>
      <c r="GO26" s="65"/>
      <c r="GP26" s="65"/>
      <c r="GQ26" s="65"/>
      <c r="GR26" s="65"/>
      <c r="GS26" s="65"/>
      <c r="GT26" s="65"/>
      <c r="GU26" s="65"/>
      <c r="GV26" s="65"/>
      <c r="GW26" s="65"/>
      <c r="GX26" s="65"/>
      <c r="GY26" s="65"/>
      <c r="GZ26" s="65"/>
      <c r="HA26" s="65"/>
      <c r="HB26" s="65"/>
      <c r="HC26" s="65"/>
      <c r="HD26" s="65"/>
      <c r="HE26" s="65"/>
      <c r="HF26" s="65"/>
      <c r="HG26" s="65"/>
      <c r="HH26" s="65"/>
      <c r="HI26" s="65"/>
      <c r="HJ26" s="65"/>
      <c r="HK26" s="65"/>
      <c r="HL26" s="65"/>
      <c r="HM26" s="65"/>
      <c r="HN26" s="65"/>
      <c r="HO26" s="65"/>
    </row>
    <row r="27" spans="1:223" s="78" customFormat="1" ht="102.75" customHeight="1" x14ac:dyDescent="0.25">
      <c r="A27" s="353">
        <v>2025</v>
      </c>
      <c r="B27" s="354">
        <v>7</v>
      </c>
      <c r="C27" s="355">
        <v>22849</v>
      </c>
      <c r="D27" s="279">
        <v>45845</v>
      </c>
      <c r="E27" s="81" t="s">
        <v>2354</v>
      </c>
      <c r="F27" s="81" t="s">
        <v>2355</v>
      </c>
      <c r="G27" s="78" t="s">
        <v>148</v>
      </c>
      <c r="H27" s="78">
        <v>3122863876</v>
      </c>
      <c r="I27" s="81">
        <v>4161326</v>
      </c>
      <c r="J27" s="66">
        <v>45847</v>
      </c>
      <c r="K27" s="78" t="s">
        <v>88</v>
      </c>
      <c r="L27" s="79" t="s">
        <v>2356</v>
      </c>
      <c r="M27" s="78" t="s">
        <v>136</v>
      </c>
      <c r="N27" s="78" t="s">
        <v>136</v>
      </c>
      <c r="O27" s="78" t="s">
        <v>136</v>
      </c>
      <c r="P27" s="78" t="s">
        <v>136</v>
      </c>
      <c r="Q27" s="78" t="s">
        <v>136</v>
      </c>
      <c r="R27" s="78" t="s">
        <v>136</v>
      </c>
      <c r="S27" s="78" t="s">
        <v>2065</v>
      </c>
      <c r="T27" s="78" t="s">
        <v>134</v>
      </c>
      <c r="U27" s="78" t="s">
        <v>136</v>
      </c>
      <c r="V27" s="81" t="s">
        <v>119</v>
      </c>
      <c r="W27" s="66"/>
      <c r="X27" s="66">
        <v>45847</v>
      </c>
      <c r="Z27" s="80" t="s">
        <v>85</v>
      </c>
      <c r="AA27" s="371">
        <v>253600</v>
      </c>
      <c r="AB27" s="78">
        <v>6037</v>
      </c>
      <c r="AC27" s="228">
        <v>220000</v>
      </c>
      <c r="AD27" s="228">
        <f t="shared" si="0"/>
        <v>261800</v>
      </c>
      <c r="AE27" s="303"/>
      <c r="AG27" s="210" t="s">
        <v>1987</v>
      </c>
      <c r="AH27" s="403">
        <v>45848</v>
      </c>
      <c r="AI27" s="66">
        <v>45849</v>
      </c>
      <c r="AJ27" s="78" t="s">
        <v>1705</v>
      </c>
      <c r="AL27" s="65"/>
      <c r="AM27" s="65"/>
      <c r="AN27" s="65"/>
      <c r="AO27" s="65"/>
      <c r="AP27" s="65"/>
      <c r="AQ27" s="65"/>
      <c r="AR27" s="65"/>
      <c r="AS27" s="65"/>
      <c r="AT27" s="65"/>
      <c r="AU27" s="65"/>
      <c r="AV27" s="65"/>
      <c r="AW27" s="65"/>
      <c r="AX27" s="65"/>
      <c r="AY27" s="65"/>
      <c r="AZ27" s="65"/>
      <c r="BA27" s="65"/>
      <c r="BB27" s="65"/>
      <c r="BC27" s="65"/>
      <c r="BD27" s="65"/>
      <c r="BE27" s="65"/>
      <c r="BF27" s="65"/>
      <c r="BG27" s="65"/>
      <c r="BH27" s="65"/>
      <c r="BI27" s="65"/>
      <c r="BJ27" s="65"/>
      <c r="BK27" s="65"/>
      <c r="BL27" s="65"/>
      <c r="BM27" s="65"/>
      <c r="BN27" s="65"/>
      <c r="BO27" s="65"/>
      <c r="BP27" s="65"/>
      <c r="BQ27" s="65"/>
      <c r="BR27" s="65"/>
      <c r="BS27" s="65"/>
      <c r="BT27" s="65"/>
      <c r="BU27" s="65"/>
      <c r="BV27" s="65"/>
      <c r="BW27" s="65"/>
      <c r="BX27" s="65"/>
      <c r="BY27" s="65"/>
      <c r="BZ27" s="65"/>
      <c r="CA27" s="65"/>
      <c r="CB27" s="65"/>
      <c r="CC27" s="65"/>
      <c r="CD27" s="65"/>
      <c r="CE27" s="65"/>
      <c r="CF27" s="65"/>
      <c r="CG27" s="65"/>
      <c r="CH27" s="65"/>
      <c r="CI27" s="65"/>
      <c r="CJ27" s="65"/>
      <c r="CK27" s="65"/>
      <c r="CL27" s="65"/>
      <c r="CM27" s="65"/>
      <c r="CN27" s="65"/>
      <c r="CO27" s="65"/>
      <c r="CP27" s="65"/>
      <c r="CQ27" s="65"/>
      <c r="CR27" s="65"/>
      <c r="CS27" s="65"/>
      <c r="CT27" s="65"/>
      <c r="CU27" s="65"/>
      <c r="CV27" s="65"/>
      <c r="CW27" s="65"/>
      <c r="CX27" s="65"/>
      <c r="CY27" s="65"/>
      <c r="CZ27" s="65"/>
      <c r="DA27" s="65"/>
      <c r="DB27" s="65"/>
      <c r="DC27" s="65"/>
      <c r="DD27" s="65"/>
      <c r="DE27" s="65"/>
      <c r="DF27" s="65"/>
      <c r="DG27" s="65"/>
      <c r="DH27" s="65"/>
      <c r="DI27" s="65"/>
      <c r="DJ27" s="65"/>
      <c r="DK27" s="65"/>
      <c r="DL27" s="65"/>
      <c r="DM27" s="65"/>
      <c r="DN27" s="65"/>
      <c r="DO27" s="65"/>
      <c r="DP27" s="65"/>
      <c r="DQ27" s="65"/>
      <c r="DR27" s="65"/>
      <c r="DS27" s="65"/>
      <c r="DT27" s="65"/>
      <c r="DU27" s="65"/>
      <c r="DV27" s="65"/>
      <c r="DW27" s="65"/>
      <c r="DX27" s="65"/>
      <c r="DY27" s="65"/>
      <c r="DZ27" s="65"/>
      <c r="EA27" s="65"/>
      <c r="EB27" s="65"/>
      <c r="EC27" s="65"/>
      <c r="ED27" s="65"/>
      <c r="EE27" s="65"/>
      <c r="EF27" s="65"/>
      <c r="EG27" s="65"/>
      <c r="EH27" s="65"/>
      <c r="EI27" s="65"/>
      <c r="EJ27" s="65"/>
      <c r="EK27" s="65"/>
      <c r="EL27" s="65"/>
      <c r="EM27" s="65"/>
      <c r="EN27" s="65"/>
      <c r="EO27" s="65"/>
      <c r="EP27" s="65"/>
      <c r="EQ27" s="65"/>
      <c r="ER27" s="65"/>
      <c r="ES27" s="65"/>
      <c r="ET27" s="65"/>
      <c r="EU27" s="65"/>
      <c r="EV27" s="65"/>
      <c r="EW27" s="65"/>
      <c r="EX27" s="65"/>
      <c r="EY27" s="65"/>
      <c r="EZ27" s="65"/>
      <c r="FA27" s="65"/>
      <c r="FB27" s="65"/>
      <c r="FC27" s="65"/>
      <c r="FD27" s="65"/>
      <c r="FE27" s="65"/>
      <c r="FF27" s="65"/>
      <c r="FG27" s="65"/>
      <c r="FH27" s="65"/>
      <c r="FI27" s="65"/>
      <c r="FJ27" s="65"/>
      <c r="FK27" s="65"/>
      <c r="FL27" s="65"/>
      <c r="FM27" s="65"/>
      <c r="FN27" s="65"/>
      <c r="FO27" s="65"/>
      <c r="FP27" s="65"/>
      <c r="FQ27" s="65"/>
      <c r="FR27" s="65"/>
      <c r="FS27" s="65"/>
      <c r="FT27" s="65"/>
      <c r="FU27" s="65"/>
      <c r="FV27" s="65"/>
      <c r="FW27" s="65"/>
      <c r="FX27" s="65"/>
      <c r="FY27" s="65"/>
      <c r="FZ27" s="65"/>
      <c r="GA27" s="65"/>
      <c r="GB27" s="65"/>
      <c r="GC27" s="65"/>
      <c r="GD27" s="65"/>
      <c r="GE27" s="65"/>
      <c r="GF27" s="65"/>
      <c r="GG27" s="65"/>
      <c r="GH27" s="65"/>
      <c r="GI27" s="65"/>
      <c r="GJ27" s="65"/>
      <c r="GK27" s="65"/>
      <c r="GL27" s="65"/>
      <c r="GM27" s="65"/>
      <c r="GN27" s="65"/>
      <c r="GO27" s="65"/>
      <c r="GP27" s="65"/>
      <c r="GQ27" s="65"/>
      <c r="GR27" s="65"/>
      <c r="GS27" s="65"/>
      <c r="GT27" s="65"/>
      <c r="GU27" s="65"/>
      <c r="GV27" s="65"/>
      <c r="GW27" s="65"/>
      <c r="GX27" s="65"/>
      <c r="GY27" s="65"/>
      <c r="GZ27" s="65"/>
      <c r="HA27" s="65"/>
      <c r="HB27" s="65"/>
      <c r="HC27" s="65"/>
      <c r="HD27" s="65"/>
      <c r="HE27" s="65"/>
      <c r="HF27" s="65"/>
      <c r="HG27" s="65"/>
      <c r="HH27" s="65"/>
      <c r="HI27" s="65"/>
      <c r="HJ27" s="65"/>
      <c r="HK27" s="65"/>
      <c r="HL27" s="65"/>
      <c r="HM27" s="65"/>
      <c r="HN27" s="65"/>
      <c r="HO27" s="65"/>
    </row>
    <row r="28" spans="1:223" s="78" customFormat="1" ht="57.75" customHeight="1" x14ac:dyDescent="0.25">
      <c r="A28" s="353">
        <v>2025</v>
      </c>
      <c r="B28" s="354">
        <v>7</v>
      </c>
      <c r="C28" s="353">
        <v>22850</v>
      </c>
      <c r="D28" s="279">
        <v>45845</v>
      </c>
      <c r="E28" s="81" t="s">
        <v>2322</v>
      </c>
      <c r="F28" s="81" t="s">
        <v>1788</v>
      </c>
      <c r="H28" s="78">
        <v>3108304426</v>
      </c>
      <c r="I28" s="78">
        <v>3108304426</v>
      </c>
      <c r="J28" s="66">
        <v>45857</v>
      </c>
      <c r="K28" s="78" t="s">
        <v>88</v>
      </c>
      <c r="L28" s="79" t="s">
        <v>2323</v>
      </c>
      <c r="M28" s="78" t="s">
        <v>136</v>
      </c>
      <c r="N28" s="78" t="s">
        <v>136</v>
      </c>
      <c r="O28" s="78">
        <v>6914</v>
      </c>
      <c r="P28" s="78">
        <v>9379</v>
      </c>
      <c r="Q28" s="78" t="s">
        <v>136</v>
      </c>
      <c r="R28" s="78" t="s">
        <v>136</v>
      </c>
      <c r="S28" s="78" t="s">
        <v>136</v>
      </c>
      <c r="T28" s="78" t="s">
        <v>134</v>
      </c>
      <c r="U28" s="78" t="s">
        <v>136</v>
      </c>
      <c r="V28" s="81" t="s">
        <v>87</v>
      </c>
      <c r="W28" s="66">
        <v>45847</v>
      </c>
      <c r="X28" s="66">
        <v>45848</v>
      </c>
      <c r="Z28" s="80" t="s">
        <v>85</v>
      </c>
      <c r="AA28" s="371"/>
      <c r="AB28" s="78">
        <v>6041</v>
      </c>
      <c r="AC28" s="228">
        <v>1081105</v>
      </c>
      <c r="AD28" s="228">
        <f t="shared" si="0"/>
        <v>1286514.95</v>
      </c>
      <c r="AE28" s="303">
        <v>540553</v>
      </c>
      <c r="AG28" s="210" t="s">
        <v>1987</v>
      </c>
      <c r="AH28" s="403">
        <v>45849</v>
      </c>
      <c r="AI28" s="66">
        <v>45859</v>
      </c>
      <c r="AJ28" s="78" t="s">
        <v>1705</v>
      </c>
      <c r="AL28" s="65"/>
      <c r="AM28" s="65"/>
      <c r="AN28" s="65"/>
      <c r="AO28" s="65"/>
      <c r="AP28" s="65"/>
      <c r="AQ28" s="65"/>
      <c r="AR28" s="65"/>
      <c r="AS28" s="65"/>
      <c r="AT28" s="65"/>
      <c r="AU28" s="65"/>
      <c r="AV28" s="65"/>
      <c r="AW28" s="65"/>
      <c r="AX28" s="65"/>
      <c r="AY28" s="65"/>
      <c r="AZ28" s="65"/>
      <c r="BA28" s="65"/>
      <c r="BB28" s="65"/>
      <c r="BC28" s="65"/>
      <c r="BD28" s="65"/>
      <c r="BE28" s="65"/>
      <c r="BF28" s="65"/>
      <c r="BG28" s="65"/>
      <c r="BH28" s="65"/>
      <c r="BI28" s="65"/>
      <c r="BJ28" s="65"/>
      <c r="BK28" s="65"/>
      <c r="BL28" s="65"/>
      <c r="BM28" s="65"/>
      <c r="BN28" s="65"/>
      <c r="BO28" s="65"/>
      <c r="BP28" s="65"/>
      <c r="BQ28" s="65"/>
      <c r="BR28" s="65"/>
      <c r="BS28" s="65"/>
      <c r="BT28" s="65"/>
      <c r="BU28" s="65"/>
      <c r="BV28" s="65"/>
      <c r="BW28" s="65"/>
      <c r="BX28" s="65"/>
      <c r="BY28" s="65"/>
      <c r="BZ28" s="65"/>
      <c r="CA28" s="65"/>
      <c r="CB28" s="65"/>
      <c r="CC28" s="65"/>
      <c r="CD28" s="65"/>
      <c r="CE28" s="65"/>
      <c r="CF28" s="65"/>
      <c r="CG28" s="65"/>
      <c r="CH28" s="65"/>
      <c r="CI28" s="65"/>
      <c r="CJ28" s="65"/>
      <c r="CK28" s="65"/>
      <c r="CL28" s="65"/>
      <c r="CM28" s="65"/>
      <c r="CN28" s="65"/>
      <c r="CO28" s="65"/>
      <c r="CP28" s="65"/>
      <c r="CQ28" s="65"/>
      <c r="CR28" s="65"/>
      <c r="CS28" s="65"/>
      <c r="CT28" s="65"/>
      <c r="CU28" s="65"/>
      <c r="CV28" s="65"/>
      <c r="CW28" s="65"/>
      <c r="CX28" s="65"/>
      <c r="CY28" s="65"/>
      <c r="CZ28" s="65"/>
      <c r="DA28" s="65"/>
      <c r="DB28" s="65"/>
      <c r="DC28" s="65"/>
      <c r="DD28" s="65"/>
      <c r="DE28" s="65"/>
      <c r="DF28" s="65"/>
      <c r="DG28" s="65"/>
      <c r="DH28" s="65"/>
      <c r="DI28" s="65"/>
      <c r="DJ28" s="65"/>
      <c r="DK28" s="65"/>
      <c r="DL28" s="65"/>
      <c r="DM28" s="65"/>
      <c r="DN28" s="65"/>
      <c r="DO28" s="65"/>
      <c r="DP28" s="65"/>
      <c r="DQ28" s="65"/>
      <c r="DR28" s="65"/>
      <c r="DS28" s="65"/>
      <c r="DT28" s="65"/>
      <c r="DU28" s="65"/>
      <c r="DV28" s="65"/>
      <c r="DW28" s="65"/>
      <c r="DX28" s="65"/>
      <c r="DY28" s="65"/>
      <c r="DZ28" s="65"/>
      <c r="EA28" s="65"/>
      <c r="EB28" s="65"/>
      <c r="EC28" s="65"/>
      <c r="ED28" s="65"/>
      <c r="EE28" s="65"/>
      <c r="EF28" s="65"/>
      <c r="EG28" s="65"/>
      <c r="EH28" s="65"/>
      <c r="EI28" s="65"/>
      <c r="EJ28" s="65"/>
      <c r="EK28" s="65"/>
      <c r="EL28" s="65"/>
      <c r="EM28" s="65"/>
      <c r="EN28" s="65"/>
      <c r="EO28" s="65"/>
      <c r="EP28" s="65"/>
      <c r="EQ28" s="65"/>
      <c r="ER28" s="65"/>
      <c r="ES28" s="65"/>
      <c r="ET28" s="65"/>
      <c r="EU28" s="65"/>
      <c r="EV28" s="65"/>
      <c r="EW28" s="65"/>
      <c r="EX28" s="65"/>
      <c r="EY28" s="65"/>
      <c r="EZ28" s="65"/>
      <c r="FA28" s="65"/>
      <c r="FB28" s="65"/>
      <c r="FC28" s="65"/>
      <c r="FD28" s="65"/>
      <c r="FE28" s="65"/>
      <c r="FF28" s="65"/>
      <c r="FG28" s="65"/>
      <c r="FH28" s="65"/>
      <c r="FI28" s="65"/>
      <c r="FJ28" s="65"/>
      <c r="FK28" s="65"/>
      <c r="FL28" s="65"/>
      <c r="FM28" s="65"/>
      <c r="FN28" s="65"/>
      <c r="FO28" s="65"/>
      <c r="FP28" s="65"/>
      <c r="FQ28" s="65"/>
      <c r="FR28" s="65"/>
      <c r="FS28" s="65"/>
      <c r="FT28" s="65"/>
      <c r="FU28" s="65"/>
      <c r="FV28" s="65"/>
      <c r="FW28" s="65"/>
      <c r="FX28" s="65"/>
      <c r="FY28" s="65"/>
      <c r="FZ28" s="65"/>
      <c r="GA28" s="65"/>
      <c r="GB28" s="65"/>
      <c r="GC28" s="65"/>
      <c r="GD28" s="65"/>
      <c r="GE28" s="65"/>
      <c r="GF28" s="65"/>
      <c r="GG28" s="65"/>
      <c r="GH28" s="65"/>
      <c r="GI28" s="65"/>
      <c r="GJ28" s="65"/>
      <c r="GK28" s="65"/>
      <c r="GL28" s="65"/>
      <c r="GM28" s="65"/>
      <c r="GN28" s="65"/>
      <c r="GO28" s="65"/>
      <c r="GP28" s="65"/>
      <c r="GQ28" s="65"/>
      <c r="GR28" s="65"/>
      <c r="GS28" s="65"/>
      <c r="GT28" s="65"/>
      <c r="GU28" s="65"/>
      <c r="GV28" s="65"/>
      <c r="GW28" s="65"/>
      <c r="GX28" s="65"/>
      <c r="GY28" s="65"/>
      <c r="GZ28" s="65"/>
      <c r="HA28" s="65"/>
      <c r="HB28" s="65"/>
      <c r="HC28" s="65"/>
      <c r="HD28" s="65"/>
      <c r="HE28" s="65"/>
      <c r="HF28" s="65"/>
      <c r="HG28" s="65"/>
      <c r="HH28" s="65"/>
      <c r="HI28" s="65"/>
      <c r="HJ28" s="65"/>
      <c r="HK28" s="65"/>
      <c r="HL28" s="65"/>
      <c r="HM28" s="65"/>
      <c r="HN28" s="65"/>
      <c r="HO28" s="65"/>
    </row>
    <row r="29" spans="1:223" s="78" customFormat="1" ht="34.5" customHeight="1" x14ac:dyDescent="0.25">
      <c r="A29" s="353">
        <v>2025</v>
      </c>
      <c r="B29" s="354">
        <v>7</v>
      </c>
      <c r="C29" s="353">
        <v>22851</v>
      </c>
      <c r="D29" s="279">
        <v>45846</v>
      </c>
      <c r="E29" s="81" t="s">
        <v>2333</v>
      </c>
      <c r="F29" s="81" t="s">
        <v>2334</v>
      </c>
      <c r="H29" s="78">
        <v>3044574993</v>
      </c>
      <c r="I29" s="78">
        <v>3118983375</v>
      </c>
      <c r="J29" s="66">
        <v>45855</v>
      </c>
      <c r="K29" s="78" t="s">
        <v>84</v>
      </c>
      <c r="L29" s="79" t="s">
        <v>2335</v>
      </c>
      <c r="M29" s="78" t="s">
        <v>136</v>
      </c>
      <c r="N29" s="78">
        <v>6081</v>
      </c>
      <c r="O29" s="78" t="s">
        <v>136</v>
      </c>
      <c r="P29" s="78">
        <v>9413</v>
      </c>
      <c r="Q29" s="78" t="s">
        <v>136</v>
      </c>
      <c r="R29" s="78" t="s">
        <v>136</v>
      </c>
      <c r="S29" s="78" t="s">
        <v>134</v>
      </c>
      <c r="T29" s="78" t="s">
        <v>136</v>
      </c>
      <c r="U29" s="78" t="s">
        <v>136</v>
      </c>
      <c r="V29" s="81" t="s">
        <v>2336</v>
      </c>
      <c r="W29" s="66">
        <v>45855</v>
      </c>
      <c r="X29" s="66">
        <v>45856</v>
      </c>
      <c r="Z29" s="80" t="s">
        <v>85</v>
      </c>
      <c r="AA29" s="371"/>
      <c r="AB29" s="78">
        <v>6072</v>
      </c>
      <c r="AC29" s="228">
        <v>3391187</v>
      </c>
      <c r="AD29" s="228">
        <f t="shared" si="0"/>
        <v>4035512.53</v>
      </c>
      <c r="AE29" s="303">
        <v>2000000</v>
      </c>
      <c r="AG29" s="210" t="s">
        <v>2099</v>
      </c>
      <c r="AH29" s="403">
        <v>45855</v>
      </c>
      <c r="AI29" s="66">
        <v>45859</v>
      </c>
      <c r="AJ29" s="78" t="s">
        <v>1705</v>
      </c>
      <c r="AL29" s="65"/>
      <c r="AM29" s="65"/>
      <c r="AN29" s="65"/>
      <c r="AO29" s="65"/>
      <c r="AP29" s="65"/>
      <c r="AQ29" s="65"/>
      <c r="AR29" s="65"/>
      <c r="AS29" s="65"/>
      <c r="AT29" s="65"/>
      <c r="AU29" s="65"/>
      <c r="AV29" s="65"/>
      <c r="AW29" s="65"/>
      <c r="AX29" s="65"/>
      <c r="AY29" s="65"/>
      <c r="AZ29" s="65"/>
      <c r="BA29" s="65"/>
      <c r="BB29" s="65"/>
      <c r="BC29" s="65"/>
      <c r="BD29" s="65"/>
      <c r="BE29" s="65"/>
      <c r="BF29" s="65"/>
      <c r="BG29" s="65"/>
      <c r="BH29" s="65"/>
      <c r="BI29" s="65"/>
      <c r="BJ29" s="65"/>
      <c r="BK29" s="65"/>
      <c r="BL29" s="65"/>
      <c r="BM29" s="65"/>
      <c r="BN29" s="65"/>
      <c r="BO29" s="65"/>
      <c r="BP29" s="65"/>
      <c r="BQ29" s="65"/>
      <c r="BR29" s="65"/>
      <c r="BS29" s="65"/>
      <c r="BT29" s="65"/>
      <c r="BU29" s="65"/>
      <c r="BV29" s="65"/>
      <c r="BW29" s="65"/>
      <c r="BX29" s="65"/>
      <c r="BY29" s="65"/>
      <c r="BZ29" s="65"/>
      <c r="CA29" s="65"/>
      <c r="CB29" s="65"/>
      <c r="CC29" s="65"/>
      <c r="CD29" s="65"/>
      <c r="CE29" s="65"/>
      <c r="CF29" s="65"/>
      <c r="CG29" s="65"/>
      <c r="CH29" s="65"/>
      <c r="CI29" s="65"/>
      <c r="CJ29" s="65"/>
      <c r="CK29" s="65"/>
      <c r="CL29" s="65"/>
      <c r="CM29" s="65"/>
      <c r="CN29" s="65"/>
      <c r="CO29" s="65"/>
      <c r="CP29" s="65"/>
      <c r="CQ29" s="65"/>
      <c r="CR29" s="65"/>
      <c r="CS29" s="65"/>
      <c r="CT29" s="65"/>
      <c r="CU29" s="65"/>
      <c r="CV29" s="65"/>
      <c r="CW29" s="65"/>
      <c r="CX29" s="65"/>
      <c r="CY29" s="65"/>
      <c r="CZ29" s="65"/>
      <c r="DA29" s="65"/>
      <c r="DB29" s="65"/>
      <c r="DC29" s="65"/>
      <c r="DD29" s="65"/>
      <c r="DE29" s="65"/>
      <c r="DF29" s="65"/>
      <c r="DG29" s="65"/>
      <c r="DH29" s="65"/>
      <c r="DI29" s="65"/>
      <c r="DJ29" s="65"/>
      <c r="DK29" s="65"/>
      <c r="DL29" s="65"/>
      <c r="DM29" s="65"/>
      <c r="DN29" s="65"/>
      <c r="DO29" s="65"/>
      <c r="DP29" s="65"/>
      <c r="DQ29" s="65"/>
      <c r="DR29" s="65"/>
      <c r="DS29" s="65"/>
      <c r="DT29" s="65"/>
      <c r="DU29" s="65"/>
      <c r="DV29" s="65"/>
      <c r="DW29" s="65"/>
      <c r="DX29" s="65"/>
      <c r="DY29" s="65"/>
      <c r="DZ29" s="65"/>
      <c r="EA29" s="65"/>
      <c r="EB29" s="65"/>
      <c r="EC29" s="65"/>
      <c r="ED29" s="65"/>
      <c r="EE29" s="65"/>
      <c r="EF29" s="65"/>
      <c r="EG29" s="65"/>
      <c r="EH29" s="65"/>
      <c r="EI29" s="65"/>
      <c r="EJ29" s="65"/>
      <c r="EK29" s="65"/>
      <c r="EL29" s="65"/>
      <c r="EM29" s="65"/>
      <c r="EN29" s="65"/>
      <c r="EO29" s="65"/>
      <c r="EP29" s="65"/>
      <c r="EQ29" s="65"/>
      <c r="ER29" s="65"/>
      <c r="ES29" s="65"/>
      <c r="ET29" s="65"/>
      <c r="EU29" s="65"/>
      <c r="EV29" s="65"/>
      <c r="EW29" s="65"/>
      <c r="EX29" s="65"/>
      <c r="EY29" s="65"/>
      <c r="EZ29" s="65"/>
      <c r="FA29" s="65"/>
      <c r="FB29" s="65"/>
      <c r="FC29" s="65"/>
      <c r="FD29" s="65"/>
      <c r="FE29" s="65"/>
      <c r="FF29" s="65"/>
      <c r="FG29" s="65"/>
      <c r="FH29" s="65"/>
      <c r="FI29" s="65"/>
      <c r="FJ29" s="65"/>
      <c r="FK29" s="65"/>
      <c r="FL29" s="65"/>
      <c r="FM29" s="65"/>
      <c r="FN29" s="65"/>
      <c r="FO29" s="65"/>
      <c r="FP29" s="65"/>
      <c r="FQ29" s="65"/>
      <c r="FR29" s="65"/>
      <c r="FS29" s="65"/>
      <c r="FT29" s="65"/>
      <c r="FU29" s="65"/>
      <c r="FV29" s="65"/>
      <c r="FW29" s="65"/>
      <c r="FX29" s="65"/>
      <c r="FY29" s="65"/>
      <c r="FZ29" s="65"/>
      <c r="GA29" s="65"/>
      <c r="GB29" s="65"/>
      <c r="GC29" s="65"/>
      <c r="GD29" s="65"/>
      <c r="GE29" s="65"/>
      <c r="GF29" s="65"/>
      <c r="GG29" s="65"/>
      <c r="GH29" s="65"/>
      <c r="GI29" s="65"/>
      <c r="GJ29" s="65"/>
      <c r="GK29" s="65"/>
      <c r="GL29" s="65"/>
      <c r="GM29" s="65"/>
      <c r="GN29" s="65"/>
      <c r="GO29" s="65"/>
      <c r="GP29" s="65"/>
      <c r="GQ29" s="65"/>
      <c r="GR29" s="65"/>
      <c r="GS29" s="65"/>
      <c r="GT29" s="65"/>
      <c r="GU29" s="65"/>
      <c r="GV29" s="65"/>
      <c r="GW29" s="65"/>
      <c r="GX29" s="65"/>
      <c r="GY29" s="65"/>
      <c r="GZ29" s="65"/>
      <c r="HA29" s="65"/>
      <c r="HB29" s="65"/>
      <c r="HC29" s="65"/>
      <c r="HD29" s="65"/>
      <c r="HE29" s="65"/>
      <c r="HF29" s="65"/>
      <c r="HG29" s="65"/>
      <c r="HH29" s="65"/>
      <c r="HI29" s="65"/>
      <c r="HJ29" s="65"/>
      <c r="HK29" s="65"/>
      <c r="HL29" s="65"/>
      <c r="HM29" s="65"/>
      <c r="HN29" s="65"/>
      <c r="HO29" s="65"/>
    </row>
    <row r="30" spans="1:223" s="78" customFormat="1" ht="34.5" customHeight="1" x14ac:dyDescent="0.25">
      <c r="A30" s="353">
        <v>2025</v>
      </c>
      <c r="B30" s="354">
        <v>7</v>
      </c>
      <c r="C30" s="355">
        <v>22852</v>
      </c>
      <c r="D30" s="279">
        <v>45846</v>
      </c>
      <c r="E30" s="81" t="s">
        <v>2401</v>
      </c>
      <c r="F30" s="81" t="s">
        <v>2401</v>
      </c>
      <c r="G30" s="78" t="s">
        <v>143</v>
      </c>
      <c r="H30" s="78">
        <v>3103653872</v>
      </c>
      <c r="I30" s="78">
        <v>3103653872</v>
      </c>
      <c r="J30" s="66">
        <v>45856</v>
      </c>
      <c r="K30" s="78" t="s">
        <v>84</v>
      </c>
      <c r="L30" s="79" t="s">
        <v>2402</v>
      </c>
      <c r="M30" s="78" t="s">
        <v>136</v>
      </c>
      <c r="N30" s="78">
        <v>6089</v>
      </c>
      <c r="O30" s="78">
        <v>6921</v>
      </c>
      <c r="P30" s="78">
        <v>9394</v>
      </c>
      <c r="Q30" s="78" t="s">
        <v>136</v>
      </c>
      <c r="R30" s="78" t="s">
        <v>136</v>
      </c>
      <c r="S30" s="78" t="s">
        <v>136</v>
      </c>
      <c r="T30" s="78" t="s">
        <v>136</v>
      </c>
      <c r="U30" s="78" t="s">
        <v>136</v>
      </c>
      <c r="V30" s="81" t="s">
        <v>119</v>
      </c>
      <c r="W30" s="66">
        <v>45855</v>
      </c>
      <c r="X30" s="66"/>
      <c r="Z30" s="80" t="s">
        <v>97</v>
      </c>
      <c r="AA30" s="371"/>
      <c r="AB30" s="78">
        <v>6086</v>
      </c>
      <c r="AC30" s="228">
        <v>770296</v>
      </c>
      <c r="AD30" s="228">
        <f t="shared" si="0"/>
        <v>916652.24</v>
      </c>
      <c r="AE30" s="303">
        <v>600000</v>
      </c>
      <c r="AG30" s="210"/>
      <c r="AH30" s="241"/>
      <c r="AI30" s="66">
        <v>45861</v>
      </c>
      <c r="AJ30" s="78" t="s">
        <v>1705</v>
      </c>
      <c r="AL30" s="65"/>
      <c r="AM30" s="65"/>
      <c r="AN30" s="65"/>
      <c r="AO30" s="65"/>
      <c r="AP30" s="65"/>
      <c r="AQ30" s="65"/>
      <c r="AR30" s="65"/>
      <c r="AS30" s="65"/>
      <c r="AT30" s="65"/>
      <c r="AU30" s="65"/>
      <c r="AV30" s="65"/>
      <c r="AW30" s="65"/>
      <c r="AX30" s="65"/>
      <c r="AY30" s="65"/>
      <c r="AZ30" s="65"/>
      <c r="BA30" s="65"/>
      <c r="BB30" s="65"/>
      <c r="BC30" s="65"/>
      <c r="BD30" s="65"/>
      <c r="BE30" s="65"/>
      <c r="BF30" s="65"/>
      <c r="BG30" s="65"/>
      <c r="BH30" s="65"/>
      <c r="BI30" s="65"/>
      <c r="BJ30" s="65"/>
      <c r="BK30" s="65"/>
      <c r="BL30" s="65"/>
      <c r="BM30" s="65"/>
      <c r="BN30" s="65"/>
      <c r="BO30" s="65"/>
      <c r="BP30" s="65"/>
      <c r="BQ30" s="65"/>
      <c r="BR30" s="65"/>
      <c r="BS30" s="65"/>
      <c r="BT30" s="65"/>
      <c r="BU30" s="65"/>
      <c r="BV30" s="65"/>
      <c r="BW30" s="65"/>
      <c r="BX30" s="65"/>
      <c r="BY30" s="65"/>
      <c r="BZ30" s="65"/>
      <c r="CA30" s="65"/>
      <c r="CB30" s="65"/>
      <c r="CC30" s="65"/>
      <c r="CD30" s="65"/>
      <c r="CE30" s="65"/>
      <c r="CF30" s="65"/>
      <c r="CG30" s="65"/>
      <c r="CH30" s="65"/>
      <c r="CI30" s="65"/>
      <c r="CJ30" s="65"/>
      <c r="CK30" s="65"/>
      <c r="CL30" s="65"/>
      <c r="CM30" s="65"/>
      <c r="CN30" s="65"/>
      <c r="CO30" s="65"/>
      <c r="CP30" s="65"/>
      <c r="CQ30" s="65"/>
      <c r="CR30" s="65"/>
      <c r="CS30" s="65"/>
      <c r="CT30" s="65"/>
      <c r="CU30" s="65"/>
      <c r="CV30" s="65"/>
      <c r="CW30" s="65"/>
      <c r="CX30" s="65"/>
      <c r="CY30" s="65"/>
      <c r="CZ30" s="65"/>
      <c r="DA30" s="65"/>
      <c r="DB30" s="65"/>
      <c r="DC30" s="65"/>
      <c r="DD30" s="65"/>
      <c r="DE30" s="65"/>
      <c r="DF30" s="65"/>
      <c r="DG30" s="65"/>
      <c r="DH30" s="65"/>
      <c r="DI30" s="65"/>
      <c r="DJ30" s="65"/>
      <c r="DK30" s="65"/>
      <c r="DL30" s="65"/>
      <c r="DM30" s="65"/>
      <c r="DN30" s="65"/>
      <c r="DO30" s="65"/>
      <c r="DP30" s="65"/>
      <c r="DQ30" s="65"/>
      <c r="DR30" s="65"/>
      <c r="DS30" s="65"/>
      <c r="DT30" s="65"/>
      <c r="DU30" s="65"/>
      <c r="DV30" s="65"/>
      <c r="DW30" s="65"/>
      <c r="DX30" s="65"/>
      <c r="DY30" s="65"/>
      <c r="DZ30" s="65"/>
      <c r="EA30" s="65"/>
      <c r="EB30" s="65"/>
      <c r="EC30" s="65"/>
      <c r="ED30" s="65"/>
      <c r="EE30" s="65"/>
      <c r="EF30" s="65"/>
      <c r="EG30" s="65"/>
      <c r="EH30" s="65"/>
      <c r="EI30" s="65"/>
      <c r="EJ30" s="65"/>
      <c r="EK30" s="65"/>
      <c r="EL30" s="65"/>
      <c r="EM30" s="65"/>
      <c r="EN30" s="65"/>
      <c r="EO30" s="65"/>
      <c r="EP30" s="65"/>
      <c r="EQ30" s="65"/>
      <c r="ER30" s="65"/>
      <c r="ES30" s="65"/>
      <c r="ET30" s="65"/>
      <c r="EU30" s="65"/>
      <c r="EV30" s="65"/>
      <c r="EW30" s="65"/>
      <c r="EX30" s="65"/>
      <c r="EY30" s="65"/>
      <c r="EZ30" s="65"/>
      <c r="FA30" s="65"/>
      <c r="FB30" s="65"/>
      <c r="FC30" s="65"/>
      <c r="FD30" s="65"/>
      <c r="FE30" s="65"/>
      <c r="FF30" s="65"/>
      <c r="FG30" s="65"/>
      <c r="FH30" s="65"/>
      <c r="FI30" s="65"/>
      <c r="FJ30" s="65"/>
      <c r="FK30" s="65"/>
      <c r="FL30" s="65"/>
      <c r="FM30" s="65"/>
      <c r="FN30" s="65"/>
      <c r="FO30" s="65"/>
      <c r="FP30" s="65"/>
      <c r="FQ30" s="65"/>
      <c r="FR30" s="65"/>
      <c r="FS30" s="65"/>
      <c r="FT30" s="65"/>
      <c r="FU30" s="65"/>
      <c r="FV30" s="65"/>
      <c r="FW30" s="65"/>
      <c r="FX30" s="65"/>
      <c r="FY30" s="65"/>
      <c r="FZ30" s="65"/>
      <c r="GA30" s="65"/>
      <c r="GB30" s="65"/>
      <c r="GC30" s="65"/>
      <c r="GD30" s="65"/>
      <c r="GE30" s="65"/>
      <c r="GF30" s="65"/>
      <c r="GG30" s="65"/>
      <c r="GH30" s="65"/>
      <c r="GI30" s="65"/>
      <c r="GJ30" s="65"/>
      <c r="GK30" s="65"/>
      <c r="GL30" s="65"/>
      <c r="GM30" s="65"/>
      <c r="GN30" s="65"/>
      <c r="GO30" s="65"/>
      <c r="GP30" s="65"/>
      <c r="GQ30" s="65"/>
      <c r="GR30" s="65"/>
      <c r="GS30" s="65"/>
      <c r="GT30" s="65"/>
      <c r="GU30" s="65"/>
      <c r="GV30" s="65"/>
      <c r="GW30" s="65"/>
      <c r="GX30" s="65"/>
      <c r="GY30" s="65"/>
      <c r="GZ30" s="65"/>
      <c r="HA30" s="65"/>
      <c r="HB30" s="65"/>
      <c r="HC30" s="65"/>
      <c r="HD30" s="65"/>
      <c r="HE30" s="65"/>
      <c r="HF30" s="65"/>
      <c r="HG30" s="65"/>
      <c r="HH30" s="65"/>
      <c r="HI30" s="65"/>
      <c r="HJ30" s="65"/>
      <c r="HK30" s="65"/>
      <c r="HL30" s="65"/>
      <c r="HM30" s="65"/>
      <c r="HN30" s="65"/>
      <c r="HO30" s="65"/>
    </row>
    <row r="31" spans="1:223" s="78" customFormat="1" ht="34.5" customHeight="1" x14ac:dyDescent="0.25">
      <c r="A31" s="353">
        <v>2025</v>
      </c>
      <c r="B31" s="354">
        <v>7</v>
      </c>
      <c r="C31" s="353">
        <v>22853</v>
      </c>
      <c r="D31" s="279">
        <v>45846</v>
      </c>
      <c r="E31" s="81" t="s">
        <v>2368</v>
      </c>
      <c r="F31" s="81" t="s">
        <v>2369</v>
      </c>
      <c r="G31" s="78" t="s">
        <v>770</v>
      </c>
      <c r="I31" s="78">
        <v>3111616</v>
      </c>
      <c r="J31" s="66">
        <v>45846</v>
      </c>
      <c r="K31" s="78" t="s">
        <v>88</v>
      </c>
      <c r="L31" s="79" t="s">
        <v>2370</v>
      </c>
      <c r="M31" s="78" t="s">
        <v>136</v>
      </c>
      <c r="N31" s="78" t="s">
        <v>136</v>
      </c>
      <c r="O31" s="78">
        <v>6919</v>
      </c>
      <c r="P31" s="78" t="s">
        <v>136</v>
      </c>
      <c r="Q31" s="78">
        <v>5643</v>
      </c>
      <c r="R31" s="78" t="s">
        <v>134</v>
      </c>
      <c r="S31" s="78" t="s">
        <v>136</v>
      </c>
      <c r="T31" s="78" t="s">
        <v>134</v>
      </c>
      <c r="U31" s="78" t="s">
        <v>136</v>
      </c>
      <c r="V31" s="81" t="s">
        <v>89</v>
      </c>
      <c r="W31" s="66">
        <v>45847</v>
      </c>
      <c r="X31" s="66">
        <v>45908</v>
      </c>
      <c r="Z31" s="80" t="s">
        <v>97</v>
      </c>
      <c r="AA31" s="371"/>
      <c r="AB31" s="78">
        <v>6057</v>
      </c>
      <c r="AC31" s="228">
        <v>4860504</v>
      </c>
      <c r="AD31" s="228">
        <f t="shared" si="0"/>
        <v>5783999.7599999998</v>
      </c>
      <c r="AE31" s="303"/>
      <c r="AG31" s="210" t="s">
        <v>2371</v>
      </c>
      <c r="AH31" s="403"/>
      <c r="AI31" s="66">
        <v>45852</v>
      </c>
      <c r="AJ31" s="78" t="s">
        <v>1705</v>
      </c>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c r="CK31" s="65"/>
      <c r="CL31" s="65"/>
      <c r="CM31" s="65"/>
      <c r="CN31" s="65"/>
      <c r="CO31" s="65"/>
      <c r="CP31" s="65"/>
      <c r="CQ31" s="65"/>
      <c r="CR31" s="65"/>
      <c r="CS31" s="65"/>
      <c r="CT31" s="65"/>
      <c r="CU31" s="65"/>
      <c r="CV31" s="65"/>
      <c r="CW31" s="65"/>
      <c r="CX31" s="65"/>
      <c r="CY31" s="65"/>
      <c r="CZ31" s="65"/>
      <c r="DA31" s="65"/>
      <c r="DB31" s="65"/>
      <c r="DC31" s="65"/>
      <c r="DD31" s="65"/>
      <c r="DE31" s="65"/>
      <c r="DF31" s="65"/>
      <c r="DG31" s="65"/>
      <c r="DH31" s="65"/>
      <c r="DI31" s="65"/>
      <c r="DJ31" s="65"/>
      <c r="DK31" s="65"/>
      <c r="DL31" s="65"/>
      <c r="DM31" s="65"/>
      <c r="DN31" s="65"/>
      <c r="DO31" s="65"/>
      <c r="DP31" s="65"/>
      <c r="DQ31" s="65"/>
      <c r="DR31" s="65"/>
      <c r="DS31" s="65"/>
      <c r="DT31" s="65"/>
      <c r="DU31" s="65"/>
      <c r="DV31" s="65"/>
      <c r="DW31" s="65"/>
      <c r="DX31" s="65"/>
      <c r="DY31" s="65"/>
      <c r="DZ31" s="65"/>
      <c r="EA31" s="65"/>
      <c r="EB31" s="65"/>
      <c r="EC31" s="65"/>
      <c r="ED31" s="65"/>
      <c r="EE31" s="65"/>
      <c r="EF31" s="65"/>
      <c r="EG31" s="65"/>
      <c r="EH31" s="65"/>
      <c r="EI31" s="65"/>
      <c r="EJ31" s="65"/>
      <c r="EK31" s="65"/>
      <c r="EL31" s="65"/>
      <c r="EM31" s="65"/>
      <c r="EN31" s="65"/>
      <c r="EO31" s="65"/>
      <c r="EP31" s="65"/>
      <c r="EQ31" s="65"/>
      <c r="ER31" s="65"/>
      <c r="ES31" s="65"/>
      <c r="ET31" s="65"/>
      <c r="EU31" s="65"/>
      <c r="EV31" s="65"/>
      <c r="EW31" s="65"/>
      <c r="EX31" s="65"/>
      <c r="EY31" s="65"/>
      <c r="EZ31" s="65"/>
      <c r="FA31" s="65"/>
      <c r="FB31" s="65"/>
      <c r="FC31" s="65"/>
      <c r="FD31" s="65"/>
      <c r="FE31" s="65"/>
      <c r="FF31" s="65"/>
      <c r="FG31" s="65"/>
      <c r="FH31" s="65"/>
      <c r="FI31" s="65"/>
      <c r="FJ31" s="65"/>
      <c r="FK31" s="65"/>
      <c r="FL31" s="65"/>
      <c r="FM31" s="65"/>
      <c r="FN31" s="65"/>
      <c r="FO31" s="65"/>
      <c r="FP31" s="65"/>
      <c r="FQ31" s="65"/>
      <c r="FR31" s="65"/>
      <c r="FS31" s="65"/>
      <c r="FT31" s="65"/>
      <c r="FU31" s="65"/>
      <c r="FV31" s="65"/>
      <c r="FW31" s="65"/>
      <c r="FX31" s="65"/>
      <c r="FY31" s="65"/>
      <c r="FZ31" s="65"/>
      <c r="GA31" s="65"/>
      <c r="GB31" s="65"/>
      <c r="GC31" s="65"/>
      <c r="GD31" s="65"/>
      <c r="GE31" s="65"/>
      <c r="GF31" s="65"/>
      <c r="GG31" s="65"/>
      <c r="GH31" s="65"/>
      <c r="GI31" s="65"/>
      <c r="GJ31" s="65"/>
      <c r="GK31" s="65"/>
      <c r="GL31" s="65"/>
      <c r="GM31" s="65"/>
      <c r="GN31" s="65"/>
      <c r="GO31" s="65"/>
      <c r="GP31" s="65"/>
      <c r="GQ31" s="65"/>
      <c r="GR31" s="65"/>
      <c r="GS31" s="65"/>
      <c r="GT31" s="65"/>
      <c r="GU31" s="65"/>
      <c r="GV31" s="65"/>
      <c r="GW31" s="65"/>
      <c r="GX31" s="65"/>
      <c r="GY31" s="65"/>
      <c r="GZ31" s="65"/>
      <c r="HA31" s="65"/>
      <c r="HB31" s="65"/>
      <c r="HC31" s="65"/>
      <c r="HD31" s="65"/>
      <c r="HE31" s="65"/>
      <c r="HF31" s="65"/>
      <c r="HG31" s="65"/>
      <c r="HH31" s="65"/>
      <c r="HI31" s="65"/>
      <c r="HJ31" s="65"/>
      <c r="HK31" s="65"/>
      <c r="HL31" s="65"/>
      <c r="HM31" s="65"/>
      <c r="HN31" s="65"/>
      <c r="HO31" s="65"/>
    </row>
    <row r="32" spans="1:223" s="78" customFormat="1" ht="34.5" customHeight="1" x14ac:dyDescent="0.25">
      <c r="A32" s="353">
        <v>2025</v>
      </c>
      <c r="B32" s="354">
        <v>7</v>
      </c>
      <c r="C32" s="353">
        <v>22854</v>
      </c>
      <c r="D32" s="279">
        <v>45846</v>
      </c>
      <c r="E32" s="81" t="s">
        <v>2196</v>
      </c>
      <c r="F32" s="81"/>
      <c r="I32" s="78">
        <v>3054366675</v>
      </c>
      <c r="J32" s="66">
        <v>45856</v>
      </c>
      <c r="K32" s="78" t="s">
        <v>94</v>
      </c>
      <c r="L32" s="79" t="s">
        <v>2337</v>
      </c>
      <c r="M32" s="78" t="s">
        <v>136</v>
      </c>
      <c r="N32" s="78">
        <v>6082</v>
      </c>
      <c r="O32" s="78" t="s">
        <v>136</v>
      </c>
      <c r="P32" s="78" t="s">
        <v>136</v>
      </c>
      <c r="Q32" s="78" t="s">
        <v>136</v>
      </c>
      <c r="R32" s="78" t="s">
        <v>136</v>
      </c>
      <c r="S32" s="78" t="s">
        <v>136</v>
      </c>
      <c r="T32" s="78" t="s">
        <v>136</v>
      </c>
      <c r="U32" s="78" t="s">
        <v>136</v>
      </c>
      <c r="V32" s="81" t="s">
        <v>2336</v>
      </c>
      <c r="W32" s="66"/>
      <c r="X32" s="66"/>
      <c r="Z32" s="80" t="s">
        <v>114</v>
      </c>
      <c r="AA32" s="371"/>
      <c r="AC32" s="228">
        <v>236471</v>
      </c>
      <c r="AD32" s="228">
        <f t="shared" si="0"/>
        <v>281400.49</v>
      </c>
      <c r="AE32" s="303">
        <v>150000</v>
      </c>
      <c r="AG32" s="210"/>
      <c r="AH32" s="403"/>
      <c r="AI32" s="66">
        <v>45847</v>
      </c>
      <c r="AJ32" s="78" t="s">
        <v>1705</v>
      </c>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c r="BT32" s="65"/>
      <c r="BU32" s="65"/>
      <c r="BV32" s="65"/>
      <c r="BW32" s="65"/>
      <c r="BX32" s="65"/>
      <c r="BY32" s="65"/>
      <c r="BZ32" s="65"/>
      <c r="CA32" s="65"/>
      <c r="CB32" s="65"/>
      <c r="CC32" s="65"/>
      <c r="CD32" s="65"/>
      <c r="CE32" s="65"/>
      <c r="CF32" s="65"/>
      <c r="CG32" s="65"/>
      <c r="CH32" s="65"/>
      <c r="CI32" s="65"/>
      <c r="CJ32" s="65"/>
      <c r="CK32" s="65"/>
      <c r="CL32" s="65"/>
      <c r="CM32" s="65"/>
      <c r="CN32" s="65"/>
      <c r="CO32" s="65"/>
      <c r="CP32" s="6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c r="HI32" s="65"/>
      <c r="HJ32" s="65"/>
      <c r="HK32" s="65"/>
      <c r="HL32" s="65"/>
      <c r="HM32" s="65"/>
      <c r="HN32" s="65"/>
      <c r="HO32" s="65"/>
    </row>
    <row r="33" spans="1:223" s="78" customFormat="1" ht="58.5" customHeight="1" x14ac:dyDescent="0.25">
      <c r="A33" s="353">
        <v>2025</v>
      </c>
      <c r="B33" s="354">
        <v>7</v>
      </c>
      <c r="C33" s="355">
        <v>22855</v>
      </c>
      <c r="D33" s="279">
        <v>45847</v>
      </c>
      <c r="E33" s="81" t="s">
        <v>2357</v>
      </c>
      <c r="F33" s="81" t="s">
        <v>2358</v>
      </c>
      <c r="G33" s="78" t="s">
        <v>98</v>
      </c>
      <c r="H33" s="78">
        <v>3166683957</v>
      </c>
      <c r="I33" s="78">
        <v>6043730300</v>
      </c>
      <c r="J33" s="66">
        <v>45859</v>
      </c>
      <c r="K33" s="78" t="s">
        <v>88</v>
      </c>
      <c r="L33" s="79" t="s">
        <v>2359</v>
      </c>
      <c r="M33" s="78" t="s">
        <v>136</v>
      </c>
      <c r="N33" s="78">
        <v>6090</v>
      </c>
      <c r="O33" s="78">
        <v>6924</v>
      </c>
      <c r="P33" s="78">
        <v>9354</v>
      </c>
      <c r="Q33" s="78">
        <v>5635</v>
      </c>
      <c r="R33" s="78" t="s">
        <v>136</v>
      </c>
      <c r="S33" s="78" t="s">
        <v>134</v>
      </c>
      <c r="T33" s="78" t="s">
        <v>134</v>
      </c>
      <c r="U33" s="78" t="s">
        <v>136</v>
      </c>
      <c r="V33" s="81" t="s">
        <v>119</v>
      </c>
      <c r="W33" s="66"/>
      <c r="X33" s="66">
        <v>45855</v>
      </c>
      <c r="Z33" s="80" t="s">
        <v>85</v>
      </c>
      <c r="AA33" s="371">
        <v>1254108</v>
      </c>
      <c r="AB33" s="78">
        <v>6063</v>
      </c>
      <c r="AC33" s="228">
        <v>1053872</v>
      </c>
      <c r="AD33" s="228">
        <f t="shared" si="0"/>
        <v>1254107.68</v>
      </c>
      <c r="AE33" s="303"/>
      <c r="AG33" s="210" t="s">
        <v>1987</v>
      </c>
      <c r="AH33" s="403">
        <v>45846</v>
      </c>
      <c r="AI33" s="66">
        <v>45859</v>
      </c>
      <c r="AJ33" s="78" t="s">
        <v>1705</v>
      </c>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c r="BT33" s="65"/>
      <c r="BU33" s="65"/>
      <c r="BV33" s="65"/>
      <c r="BW33" s="65"/>
      <c r="BX33" s="65"/>
      <c r="BY33" s="65"/>
      <c r="BZ33" s="65"/>
      <c r="CA33" s="65"/>
      <c r="CB33" s="65"/>
      <c r="CC33" s="65"/>
      <c r="CD33" s="65"/>
      <c r="CE33" s="65"/>
      <c r="CF33" s="65"/>
      <c r="CG33" s="65"/>
      <c r="CH33" s="65"/>
      <c r="CI33" s="65"/>
      <c r="CJ33" s="65"/>
      <c r="CK33" s="65"/>
      <c r="CL33" s="65"/>
      <c r="CM33" s="65"/>
      <c r="CN33" s="65"/>
      <c r="CO33" s="65"/>
      <c r="CP33" s="6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c r="DQ33" s="65"/>
      <c r="DR33" s="65"/>
      <c r="DS33" s="65"/>
      <c r="DT33" s="65"/>
      <c r="DU33" s="65"/>
      <c r="DV33" s="65"/>
      <c r="DW33" s="65"/>
      <c r="DX33" s="65"/>
      <c r="DY33" s="65"/>
      <c r="DZ33" s="65"/>
      <c r="EA33" s="65"/>
      <c r="EB33" s="65"/>
      <c r="EC33" s="65"/>
      <c r="ED33" s="65"/>
      <c r="EE33" s="65"/>
      <c r="EF33" s="65"/>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c r="GN33" s="65"/>
      <c r="GO33" s="65"/>
      <c r="GP33" s="65"/>
      <c r="GQ33" s="65"/>
      <c r="GR33" s="65"/>
      <c r="GS33" s="65"/>
      <c r="GT33" s="65"/>
      <c r="GU33" s="65"/>
      <c r="GV33" s="65"/>
      <c r="GW33" s="65"/>
      <c r="GX33" s="65"/>
      <c r="GY33" s="65"/>
      <c r="GZ33" s="65"/>
      <c r="HA33" s="65"/>
      <c r="HB33" s="65"/>
      <c r="HC33" s="65"/>
      <c r="HD33" s="65"/>
      <c r="HE33" s="65"/>
      <c r="HF33" s="65"/>
      <c r="HG33" s="65"/>
      <c r="HH33" s="65"/>
      <c r="HI33" s="65"/>
      <c r="HJ33" s="65"/>
      <c r="HK33" s="65"/>
      <c r="HL33" s="65"/>
      <c r="HM33" s="65"/>
      <c r="HN33" s="65"/>
      <c r="HO33" s="65"/>
    </row>
    <row r="34" spans="1:223" s="78" customFormat="1" ht="30" x14ac:dyDescent="0.25">
      <c r="A34" s="353">
        <v>2025</v>
      </c>
      <c r="B34" s="354">
        <v>7</v>
      </c>
      <c r="C34" s="353">
        <v>22856</v>
      </c>
      <c r="D34" s="279">
        <v>45847</v>
      </c>
      <c r="E34" s="81" t="s">
        <v>2324</v>
      </c>
      <c r="F34" s="81" t="s">
        <v>2324</v>
      </c>
      <c r="G34" s="78" t="s">
        <v>143</v>
      </c>
      <c r="H34" s="78">
        <v>3104497422</v>
      </c>
      <c r="I34" s="78">
        <v>3104497422</v>
      </c>
      <c r="J34" s="66">
        <v>45856</v>
      </c>
      <c r="K34" s="78" t="s">
        <v>84</v>
      </c>
      <c r="L34" s="79" t="s">
        <v>2325</v>
      </c>
      <c r="M34" s="78" t="s">
        <v>136</v>
      </c>
      <c r="N34" s="78" t="s">
        <v>136</v>
      </c>
      <c r="O34" s="78">
        <v>6922</v>
      </c>
      <c r="P34" s="78" t="s">
        <v>136</v>
      </c>
      <c r="Q34" s="78" t="s">
        <v>136</v>
      </c>
      <c r="R34" s="78" t="s">
        <v>136</v>
      </c>
      <c r="S34" s="78" t="s">
        <v>134</v>
      </c>
      <c r="T34" s="78" t="s">
        <v>134</v>
      </c>
      <c r="U34" s="78" t="s">
        <v>136</v>
      </c>
      <c r="V34" s="81" t="s">
        <v>89</v>
      </c>
      <c r="W34" s="66">
        <v>45849</v>
      </c>
      <c r="X34" s="66">
        <v>45854</v>
      </c>
      <c r="Z34" s="80" t="s">
        <v>85</v>
      </c>
      <c r="AA34" s="371" t="s">
        <v>136</v>
      </c>
      <c r="AC34" s="228"/>
      <c r="AD34" s="228">
        <f t="shared" si="0"/>
        <v>0</v>
      </c>
      <c r="AE34" s="303"/>
      <c r="AG34" s="210" t="s">
        <v>2434</v>
      </c>
      <c r="AH34" s="403" t="s">
        <v>1918</v>
      </c>
      <c r="AI34" s="66">
        <v>45859</v>
      </c>
      <c r="AJ34" s="78" t="s">
        <v>1705</v>
      </c>
      <c r="AK34" s="78" t="s">
        <v>2435</v>
      </c>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row>
    <row r="35" spans="1:223" s="78" customFormat="1" ht="66" customHeight="1" x14ac:dyDescent="0.25">
      <c r="A35" s="353">
        <v>2025</v>
      </c>
      <c r="B35" s="354">
        <v>7</v>
      </c>
      <c r="C35" s="353">
        <v>22857</v>
      </c>
      <c r="D35" s="279">
        <v>45847</v>
      </c>
      <c r="E35" s="81" t="s">
        <v>2403</v>
      </c>
      <c r="F35" s="81" t="s">
        <v>2404</v>
      </c>
      <c r="H35" s="78">
        <v>3163690373</v>
      </c>
      <c r="I35" s="78">
        <v>3163690373</v>
      </c>
      <c r="J35" s="66"/>
      <c r="K35" s="78" t="s">
        <v>84</v>
      </c>
      <c r="L35" s="79" t="s">
        <v>2405</v>
      </c>
      <c r="M35" s="78" t="s">
        <v>136</v>
      </c>
      <c r="N35" s="78">
        <v>6083</v>
      </c>
      <c r="O35" s="78" t="s">
        <v>136</v>
      </c>
      <c r="P35" s="78" t="s">
        <v>136</v>
      </c>
      <c r="Q35" s="78" t="s">
        <v>136</v>
      </c>
      <c r="R35" s="78" t="s">
        <v>136</v>
      </c>
      <c r="S35" s="78" t="s">
        <v>134</v>
      </c>
      <c r="T35" s="78" t="s">
        <v>136</v>
      </c>
      <c r="U35" s="78" t="s">
        <v>136</v>
      </c>
      <c r="V35" s="81" t="s">
        <v>89</v>
      </c>
      <c r="W35" s="66"/>
      <c r="X35" s="66">
        <v>45857</v>
      </c>
      <c r="Z35" s="80" t="s">
        <v>85</v>
      </c>
      <c r="AA35" s="371"/>
      <c r="AB35" s="78">
        <v>6077</v>
      </c>
      <c r="AC35" s="228">
        <v>319327</v>
      </c>
      <c r="AD35" s="228">
        <f t="shared" si="0"/>
        <v>379999.13</v>
      </c>
      <c r="AE35" s="303">
        <v>200000</v>
      </c>
      <c r="AG35" s="210" t="s">
        <v>2099</v>
      </c>
      <c r="AH35" s="403">
        <v>45857</v>
      </c>
      <c r="AI35" s="66">
        <v>45859</v>
      </c>
      <c r="AJ35" s="78" t="s">
        <v>1705</v>
      </c>
      <c r="AL35" s="65"/>
      <c r="AM35" s="65"/>
      <c r="AN35" s="65"/>
      <c r="AO35" s="65"/>
      <c r="AP35" s="65"/>
      <c r="AQ35" s="65"/>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c r="BT35" s="65"/>
      <c r="BU35" s="65"/>
      <c r="BV35" s="65"/>
      <c r="BW35" s="65"/>
      <c r="BX35" s="65"/>
      <c r="BY35" s="65"/>
      <c r="BZ35" s="65"/>
      <c r="CA35" s="65"/>
      <c r="CB35" s="65"/>
      <c r="CC35" s="65"/>
      <c r="CD35" s="65"/>
      <c r="CE35" s="65"/>
      <c r="CF35" s="65"/>
      <c r="CG35" s="65"/>
      <c r="CH35" s="65"/>
      <c r="CI35" s="65"/>
      <c r="CJ35" s="65"/>
      <c r="CK35" s="65"/>
      <c r="CL35" s="65"/>
      <c r="CM35" s="65"/>
      <c r="CN35" s="65"/>
      <c r="CO35" s="65"/>
      <c r="CP35" s="6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c r="DQ35" s="65"/>
      <c r="DR35" s="65"/>
      <c r="DS35" s="65"/>
      <c r="DT35" s="65"/>
      <c r="DU35" s="65"/>
      <c r="DV35" s="65"/>
      <c r="DW35" s="65"/>
      <c r="DX35" s="65"/>
      <c r="DY35" s="65"/>
      <c r="DZ35" s="65"/>
      <c r="EA35" s="65"/>
      <c r="EB35" s="65"/>
      <c r="EC35" s="65"/>
      <c r="ED35" s="65"/>
      <c r="EE35" s="65"/>
      <c r="EF35" s="65"/>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c r="GN35" s="65"/>
      <c r="GO35" s="65"/>
      <c r="GP35" s="65"/>
      <c r="GQ35" s="65"/>
      <c r="GR35" s="65"/>
      <c r="GS35" s="65"/>
      <c r="GT35" s="65"/>
      <c r="GU35" s="65"/>
      <c r="GV35" s="65"/>
      <c r="GW35" s="65"/>
      <c r="GX35" s="65"/>
      <c r="GY35" s="65"/>
      <c r="GZ35" s="65"/>
      <c r="HA35" s="65"/>
      <c r="HB35" s="65"/>
      <c r="HC35" s="65"/>
      <c r="HD35" s="65"/>
      <c r="HE35" s="65"/>
      <c r="HF35" s="65"/>
      <c r="HG35" s="65"/>
      <c r="HH35" s="65"/>
      <c r="HI35" s="65"/>
      <c r="HJ35" s="65"/>
      <c r="HK35" s="65"/>
      <c r="HL35" s="65"/>
      <c r="HM35" s="65"/>
      <c r="HN35" s="65"/>
      <c r="HO35" s="65"/>
    </row>
    <row r="36" spans="1:223" s="78" customFormat="1" ht="41.25" customHeight="1" x14ac:dyDescent="0.25">
      <c r="A36" s="353">
        <v>2025</v>
      </c>
      <c r="B36" s="354">
        <v>7</v>
      </c>
      <c r="C36" s="355">
        <v>22858</v>
      </c>
      <c r="D36" s="279">
        <v>45847</v>
      </c>
      <c r="E36" s="81" t="s">
        <v>2406</v>
      </c>
      <c r="F36" s="81" t="s">
        <v>2407</v>
      </c>
      <c r="H36" s="78">
        <v>3137681000</v>
      </c>
      <c r="I36" s="78">
        <v>3137681000</v>
      </c>
      <c r="J36" s="66"/>
      <c r="K36" s="78" t="s">
        <v>84</v>
      </c>
      <c r="L36" s="79" t="s">
        <v>2408</v>
      </c>
      <c r="M36" s="78" t="s">
        <v>136</v>
      </c>
      <c r="N36" s="78">
        <v>6084</v>
      </c>
      <c r="O36" s="78" t="s">
        <v>136</v>
      </c>
      <c r="P36" s="78" t="s">
        <v>136</v>
      </c>
      <c r="Q36" s="78" t="s">
        <v>136</v>
      </c>
      <c r="R36" s="78" t="s">
        <v>134</v>
      </c>
      <c r="S36" s="78" t="s">
        <v>134</v>
      </c>
      <c r="T36" s="78" t="s">
        <v>134</v>
      </c>
      <c r="U36" s="78" t="s">
        <v>136</v>
      </c>
      <c r="V36" s="81" t="s">
        <v>89</v>
      </c>
      <c r="W36" s="66">
        <v>45861</v>
      </c>
      <c r="X36" s="66"/>
      <c r="Z36" s="80" t="s">
        <v>92</v>
      </c>
      <c r="AA36" s="371"/>
      <c r="AC36" s="228">
        <v>404379</v>
      </c>
      <c r="AD36" s="228">
        <f t="shared" si="0"/>
        <v>481211.00999999995</v>
      </c>
      <c r="AE36" s="303">
        <v>242000</v>
      </c>
      <c r="AG36" s="210"/>
      <c r="AH36" s="403"/>
      <c r="AI36" s="66">
        <v>45861</v>
      </c>
      <c r="AJ36" s="78" t="s">
        <v>1705</v>
      </c>
      <c r="AL36" s="65"/>
      <c r="AM36" s="65"/>
      <c r="AN36" s="65"/>
      <c r="AO36" s="65"/>
      <c r="AP36" s="65"/>
      <c r="AQ36" s="65"/>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c r="BT36" s="65"/>
      <c r="BU36" s="65"/>
      <c r="BV36" s="65"/>
      <c r="BW36" s="65"/>
      <c r="BX36" s="65"/>
      <c r="BY36" s="65"/>
      <c r="BZ36" s="65"/>
      <c r="CA36" s="65"/>
      <c r="CB36" s="65"/>
      <c r="CC36" s="65"/>
      <c r="CD36" s="65"/>
      <c r="CE36" s="65"/>
      <c r="CF36" s="65"/>
      <c r="CG36" s="65"/>
      <c r="CH36" s="65"/>
      <c r="CI36" s="65"/>
      <c r="CJ36" s="65"/>
      <c r="CK36" s="65"/>
      <c r="CL36" s="65"/>
      <c r="CM36" s="65"/>
      <c r="CN36" s="65"/>
      <c r="CO36" s="65"/>
      <c r="CP36" s="6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c r="DQ36" s="65"/>
      <c r="DR36" s="65"/>
      <c r="DS36" s="65"/>
      <c r="DT36" s="65"/>
      <c r="DU36" s="65"/>
      <c r="DV36" s="65"/>
      <c r="DW36" s="65"/>
      <c r="DX36" s="65"/>
      <c r="DY36" s="65"/>
      <c r="DZ36" s="65"/>
      <c r="EA36" s="65"/>
      <c r="EB36" s="65"/>
      <c r="EC36" s="65"/>
      <c r="ED36" s="65"/>
      <c r="EE36" s="65"/>
      <c r="EF36" s="65"/>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c r="GN36" s="65"/>
      <c r="GO36" s="65"/>
      <c r="GP36" s="65"/>
      <c r="GQ36" s="65"/>
      <c r="GR36" s="65"/>
      <c r="GS36" s="65"/>
      <c r="GT36" s="65"/>
      <c r="GU36" s="65"/>
      <c r="GV36" s="65"/>
      <c r="GW36" s="65"/>
      <c r="GX36" s="65"/>
      <c r="GY36" s="65"/>
      <c r="GZ36" s="65"/>
      <c r="HA36" s="65"/>
      <c r="HB36" s="65"/>
      <c r="HC36" s="65"/>
      <c r="HD36" s="65"/>
      <c r="HE36" s="65"/>
      <c r="HF36" s="65"/>
      <c r="HG36" s="65"/>
      <c r="HH36" s="65"/>
      <c r="HI36" s="65"/>
      <c r="HJ36" s="65"/>
      <c r="HK36" s="65"/>
      <c r="HL36" s="65"/>
      <c r="HM36" s="65"/>
      <c r="HN36" s="65"/>
      <c r="HO36" s="65"/>
    </row>
    <row r="37" spans="1:223" s="78" customFormat="1" ht="78" customHeight="1" x14ac:dyDescent="0.25">
      <c r="A37" s="353">
        <v>2025</v>
      </c>
      <c r="B37" s="354">
        <v>7</v>
      </c>
      <c r="C37" s="353">
        <v>22859</v>
      </c>
      <c r="D37" s="279">
        <v>45847</v>
      </c>
      <c r="E37" s="81" t="s">
        <v>2345</v>
      </c>
      <c r="F37" s="81" t="s">
        <v>2346</v>
      </c>
      <c r="G37" s="78" t="s">
        <v>143</v>
      </c>
      <c r="H37" s="78">
        <v>3017004172</v>
      </c>
      <c r="I37" s="78">
        <v>3017004172</v>
      </c>
      <c r="J37" s="66">
        <v>45860</v>
      </c>
      <c r="K37" s="78" t="s">
        <v>84</v>
      </c>
      <c r="L37" s="79" t="s">
        <v>2347</v>
      </c>
      <c r="M37" s="78" t="s">
        <v>136</v>
      </c>
      <c r="N37" s="78">
        <v>6107</v>
      </c>
      <c r="O37" s="78">
        <v>6925</v>
      </c>
      <c r="P37" s="78">
        <v>9427</v>
      </c>
      <c r="Q37" s="78">
        <v>5649</v>
      </c>
      <c r="R37" s="78" t="s">
        <v>136</v>
      </c>
      <c r="S37" s="78" t="s">
        <v>134</v>
      </c>
      <c r="T37" s="78" t="s">
        <v>134</v>
      </c>
      <c r="U37" s="78" t="s">
        <v>136</v>
      </c>
      <c r="V37" s="81" t="s">
        <v>93</v>
      </c>
      <c r="W37" s="66"/>
      <c r="X37" s="66"/>
      <c r="Z37" s="80" t="s">
        <v>114</v>
      </c>
      <c r="AA37" s="371"/>
      <c r="AC37" s="228">
        <v>4133085</v>
      </c>
      <c r="AD37" s="228">
        <f t="shared" si="0"/>
        <v>4918371.1499999994</v>
      </c>
      <c r="AE37" s="303">
        <f>40000+2500000</f>
        <v>2540000</v>
      </c>
      <c r="AG37" s="210"/>
      <c r="AH37" s="403"/>
      <c r="AI37" s="66">
        <v>45859</v>
      </c>
      <c r="AJ37" s="78" t="s">
        <v>1705</v>
      </c>
      <c r="AL37" s="65"/>
      <c r="AM37" s="65"/>
      <c r="AN37" s="65"/>
      <c r="AO37" s="65"/>
      <c r="AP37" s="65"/>
      <c r="AQ37" s="65"/>
      <c r="AR37" s="65"/>
      <c r="AS37" s="65"/>
      <c r="AT37" s="65"/>
      <c r="AU37" s="65"/>
      <c r="AV37" s="65"/>
      <c r="AW37" s="65"/>
      <c r="AX37" s="65"/>
      <c r="AY37" s="65"/>
      <c r="AZ37" s="65"/>
      <c r="BA37" s="65"/>
      <c r="BB37" s="65"/>
      <c r="BC37" s="65"/>
      <c r="BD37" s="65"/>
      <c r="BE37" s="65"/>
      <c r="BF37" s="65"/>
      <c r="BG37" s="65"/>
      <c r="BH37" s="65"/>
      <c r="BI37" s="65"/>
      <c r="BJ37" s="65"/>
      <c r="BK37" s="65"/>
      <c r="BL37" s="65"/>
      <c r="BM37" s="65"/>
      <c r="BN37" s="65"/>
      <c r="BO37" s="65"/>
      <c r="BP37" s="65"/>
      <c r="BQ37" s="65"/>
      <c r="BR37" s="65"/>
      <c r="BS37" s="65"/>
      <c r="BT37" s="65"/>
      <c r="BU37" s="65"/>
      <c r="BV37" s="65"/>
      <c r="BW37" s="65"/>
      <c r="BX37" s="65"/>
      <c r="BY37" s="65"/>
      <c r="BZ37" s="65"/>
      <c r="CA37" s="65"/>
      <c r="CB37" s="65"/>
      <c r="CC37" s="65"/>
      <c r="CD37" s="65"/>
      <c r="CE37" s="65"/>
      <c r="CF37" s="65"/>
      <c r="CG37" s="65"/>
      <c r="CH37" s="65"/>
      <c r="CI37" s="65"/>
      <c r="CJ37" s="65"/>
      <c r="CK37" s="65"/>
      <c r="CL37" s="65"/>
      <c r="CM37" s="65"/>
      <c r="CN37" s="65"/>
      <c r="CO37" s="65"/>
      <c r="CP37" s="6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c r="DQ37" s="65"/>
      <c r="DR37" s="65"/>
      <c r="DS37" s="65"/>
      <c r="DT37" s="65"/>
      <c r="DU37" s="65"/>
      <c r="DV37" s="65"/>
      <c r="DW37" s="65"/>
      <c r="DX37" s="65"/>
      <c r="DY37" s="65"/>
      <c r="DZ37" s="65"/>
      <c r="EA37" s="65"/>
      <c r="EB37" s="65"/>
      <c r="EC37" s="65"/>
      <c r="ED37" s="65"/>
      <c r="EE37" s="65"/>
      <c r="EF37" s="65"/>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c r="GN37" s="65"/>
      <c r="GO37" s="65"/>
      <c r="GP37" s="65"/>
      <c r="GQ37" s="65"/>
      <c r="GR37" s="65"/>
      <c r="GS37" s="65"/>
      <c r="GT37" s="65"/>
      <c r="GU37" s="65"/>
      <c r="GV37" s="65"/>
      <c r="GW37" s="65"/>
      <c r="GX37" s="65"/>
      <c r="GY37" s="65"/>
      <c r="GZ37" s="65"/>
      <c r="HA37" s="65"/>
      <c r="HB37" s="65"/>
      <c r="HC37" s="65"/>
      <c r="HD37" s="65"/>
      <c r="HE37" s="65"/>
      <c r="HF37" s="65"/>
      <c r="HG37" s="65"/>
      <c r="HH37" s="65"/>
      <c r="HI37" s="65"/>
      <c r="HJ37" s="65"/>
      <c r="HK37" s="65"/>
      <c r="HL37" s="65"/>
      <c r="HM37" s="65"/>
      <c r="HN37" s="65"/>
      <c r="HO37" s="65"/>
    </row>
    <row r="38" spans="1:223" s="78" customFormat="1" ht="34.5" customHeight="1" x14ac:dyDescent="0.25">
      <c r="A38" s="353">
        <v>2025</v>
      </c>
      <c r="B38" s="354">
        <v>7</v>
      </c>
      <c r="C38" s="353">
        <v>22860</v>
      </c>
      <c r="D38" s="279">
        <v>45848</v>
      </c>
      <c r="E38" s="81" t="s">
        <v>2350</v>
      </c>
      <c r="F38" s="81" t="s">
        <v>2351</v>
      </c>
      <c r="H38" s="78">
        <v>3217733780</v>
      </c>
      <c r="I38" s="78">
        <v>3217733780</v>
      </c>
      <c r="J38" s="66">
        <v>45855</v>
      </c>
      <c r="K38" s="78" t="s">
        <v>86</v>
      </c>
      <c r="L38" s="79" t="s">
        <v>2352</v>
      </c>
      <c r="M38" s="78" t="s">
        <v>136</v>
      </c>
      <c r="N38" s="78" t="s">
        <v>136</v>
      </c>
      <c r="O38" s="78" t="s">
        <v>136</v>
      </c>
      <c r="P38" s="78" t="s">
        <v>136</v>
      </c>
      <c r="Q38" s="78" t="s">
        <v>136</v>
      </c>
      <c r="R38" s="78" t="s">
        <v>136</v>
      </c>
      <c r="S38" s="78" t="s">
        <v>136</v>
      </c>
      <c r="T38" s="78" t="s">
        <v>136</v>
      </c>
      <c r="U38" s="78" t="s">
        <v>136</v>
      </c>
      <c r="V38" s="81" t="s">
        <v>2336</v>
      </c>
      <c r="W38" s="66"/>
      <c r="X38" s="66"/>
      <c r="Z38" s="80" t="s">
        <v>114</v>
      </c>
      <c r="AA38" s="371">
        <v>202300</v>
      </c>
      <c r="AB38" s="78">
        <v>6048</v>
      </c>
      <c r="AC38" s="228">
        <v>170000</v>
      </c>
      <c r="AD38" s="228">
        <f t="shared" si="0"/>
        <v>202300</v>
      </c>
      <c r="AE38" s="303"/>
      <c r="AG38" s="210"/>
      <c r="AH38" s="403">
        <v>45848</v>
      </c>
      <c r="AI38" s="66">
        <v>45849</v>
      </c>
      <c r="AJ38" s="78" t="s">
        <v>1705</v>
      </c>
      <c r="AL38" s="65"/>
      <c r="AM38" s="65"/>
      <c r="AN38" s="65"/>
      <c r="AO38" s="65"/>
      <c r="AP38" s="65"/>
      <c r="AQ38" s="65"/>
      <c r="AR38" s="65"/>
      <c r="AS38" s="65"/>
      <c r="AT38" s="65"/>
      <c r="AU38" s="65"/>
      <c r="AV38" s="65"/>
      <c r="AW38" s="65"/>
      <c r="AX38" s="65"/>
      <c r="AY38" s="65"/>
      <c r="AZ38" s="65"/>
      <c r="BA38" s="65"/>
      <c r="BB38" s="65"/>
      <c r="BC38" s="65"/>
      <c r="BD38" s="65"/>
      <c r="BE38" s="65"/>
      <c r="BF38" s="65"/>
      <c r="BG38" s="65"/>
      <c r="BH38" s="65"/>
      <c r="BI38" s="65"/>
      <c r="BJ38" s="65"/>
      <c r="BK38" s="65"/>
      <c r="BL38" s="65"/>
      <c r="BM38" s="65"/>
      <c r="BN38" s="65"/>
      <c r="BO38" s="65"/>
      <c r="BP38" s="65"/>
      <c r="BQ38" s="65"/>
      <c r="BR38" s="65"/>
      <c r="BS38" s="65"/>
      <c r="BT38" s="65"/>
      <c r="BU38" s="65"/>
      <c r="BV38" s="65"/>
      <c r="BW38" s="65"/>
      <c r="BX38" s="65"/>
      <c r="BY38" s="65"/>
      <c r="BZ38" s="65"/>
      <c r="CA38" s="65"/>
      <c r="CB38" s="65"/>
      <c r="CC38" s="65"/>
      <c r="CD38" s="65"/>
      <c r="CE38" s="65"/>
      <c r="CF38" s="65"/>
      <c r="CG38" s="65"/>
      <c r="CH38" s="65"/>
      <c r="CI38" s="65"/>
      <c r="CJ38" s="65"/>
      <c r="CK38" s="65"/>
      <c r="CL38" s="65"/>
      <c r="CM38" s="65"/>
      <c r="CN38" s="65"/>
      <c r="CO38" s="65"/>
      <c r="CP38" s="6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c r="DQ38" s="65"/>
      <c r="DR38" s="65"/>
      <c r="DS38" s="65"/>
      <c r="DT38" s="65"/>
      <c r="DU38" s="65"/>
      <c r="DV38" s="65"/>
      <c r="DW38" s="65"/>
      <c r="DX38" s="65"/>
      <c r="DY38" s="65"/>
      <c r="DZ38" s="65"/>
      <c r="EA38" s="65"/>
      <c r="EB38" s="65"/>
      <c r="EC38" s="65"/>
      <c r="ED38" s="65"/>
      <c r="EE38" s="65"/>
      <c r="EF38" s="65"/>
      <c r="EG38" s="65"/>
      <c r="EH38" s="65"/>
      <c r="EI38" s="65"/>
      <c r="EJ38" s="65"/>
      <c r="EK38" s="65"/>
      <c r="EL38" s="65"/>
      <c r="EM38" s="65"/>
      <c r="EN38" s="65"/>
      <c r="EO38" s="65"/>
      <c r="EP38" s="65"/>
      <c r="EQ38" s="65"/>
      <c r="ER38" s="65"/>
      <c r="ES38" s="65"/>
      <c r="ET38" s="65"/>
      <c r="EU38" s="65"/>
      <c r="EV38" s="65"/>
      <c r="EW38" s="65"/>
      <c r="EX38" s="65"/>
      <c r="EY38" s="65"/>
      <c r="EZ38" s="65"/>
      <c r="FA38" s="65"/>
      <c r="FB38" s="65"/>
      <c r="FC38" s="65"/>
      <c r="FD38" s="65"/>
      <c r="FE38" s="65"/>
      <c r="FF38" s="65"/>
      <c r="FG38" s="65"/>
      <c r="FH38" s="65"/>
      <c r="FI38" s="65"/>
      <c r="FJ38" s="65"/>
      <c r="FK38" s="65"/>
      <c r="FL38" s="65"/>
      <c r="FM38" s="65"/>
      <c r="FN38" s="65"/>
      <c r="FO38" s="65"/>
      <c r="FP38" s="65"/>
      <c r="FQ38" s="65"/>
      <c r="FR38" s="65"/>
      <c r="FS38" s="65"/>
      <c r="FT38" s="65"/>
      <c r="FU38" s="65"/>
      <c r="FV38" s="65"/>
      <c r="FW38" s="65"/>
      <c r="FX38" s="65"/>
      <c r="FY38" s="65"/>
      <c r="FZ38" s="65"/>
      <c r="GA38" s="65"/>
      <c r="GB38" s="65"/>
      <c r="GC38" s="65"/>
      <c r="GD38" s="65"/>
      <c r="GE38" s="65"/>
      <c r="GF38" s="65"/>
      <c r="GG38" s="65"/>
      <c r="GH38" s="65"/>
      <c r="GI38" s="65"/>
      <c r="GJ38" s="65"/>
      <c r="GK38" s="65"/>
      <c r="GL38" s="65"/>
      <c r="GM38" s="65"/>
      <c r="GN38" s="65"/>
      <c r="GO38" s="65"/>
      <c r="GP38" s="65"/>
      <c r="GQ38" s="65"/>
      <c r="GR38" s="65"/>
      <c r="GS38" s="65"/>
      <c r="GT38" s="65"/>
      <c r="GU38" s="65"/>
      <c r="GV38" s="65"/>
      <c r="GW38" s="65"/>
      <c r="GX38" s="65"/>
      <c r="GY38" s="65"/>
      <c r="GZ38" s="65"/>
      <c r="HA38" s="65"/>
      <c r="HB38" s="65"/>
      <c r="HC38" s="65"/>
      <c r="HD38" s="65"/>
      <c r="HE38" s="65"/>
      <c r="HF38" s="65"/>
      <c r="HG38" s="65"/>
      <c r="HH38" s="65"/>
      <c r="HI38" s="65"/>
      <c r="HJ38" s="65"/>
      <c r="HK38" s="65"/>
      <c r="HL38" s="65"/>
      <c r="HM38" s="65"/>
      <c r="HN38" s="65"/>
      <c r="HO38" s="65"/>
    </row>
    <row r="39" spans="1:223" s="78" customFormat="1" ht="71.25" customHeight="1" x14ac:dyDescent="0.25">
      <c r="A39" s="353">
        <v>2025</v>
      </c>
      <c r="B39" s="354">
        <v>7</v>
      </c>
      <c r="C39" s="355">
        <v>22861</v>
      </c>
      <c r="D39" s="279">
        <v>45848</v>
      </c>
      <c r="E39" s="81" t="s">
        <v>2409</v>
      </c>
      <c r="F39" s="81" t="s">
        <v>2409</v>
      </c>
      <c r="G39" s="78" t="s">
        <v>143</v>
      </c>
      <c r="H39" s="78">
        <v>3233200215</v>
      </c>
      <c r="I39" s="78">
        <v>3233200215</v>
      </c>
      <c r="J39" s="66">
        <v>45861</v>
      </c>
      <c r="K39" s="78" t="s">
        <v>84</v>
      </c>
      <c r="L39" s="79" t="s">
        <v>2410</v>
      </c>
      <c r="M39" s="78" t="s">
        <v>136</v>
      </c>
      <c r="N39" s="78">
        <v>6091</v>
      </c>
      <c r="O39" s="78" t="s">
        <v>136</v>
      </c>
      <c r="P39" s="78">
        <v>9439</v>
      </c>
      <c r="Q39" s="78">
        <v>5654</v>
      </c>
      <c r="R39" s="78" t="s">
        <v>136</v>
      </c>
      <c r="S39" s="78" t="s">
        <v>134</v>
      </c>
      <c r="T39" s="78" t="s">
        <v>134</v>
      </c>
      <c r="U39" s="78" t="s">
        <v>136</v>
      </c>
      <c r="V39" s="81" t="s">
        <v>2336</v>
      </c>
      <c r="W39" s="66"/>
      <c r="X39" s="66">
        <v>45856</v>
      </c>
      <c r="Z39" s="80" t="s">
        <v>85</v>
      </c>
      <c r="AA39" s="371"/>
      <c r="AB39" s="78">
        <v>6095</v>
      </c>
      <c r="AC39" s="228">
        <v>303975</v>
      </c>
      <c r="AD39" s="228">
        <f t="shared" si="0"/>
        <v>361730.25</v>
      </c>
      <c r="AE39" s="303">
        <v>180685</v>
      </c>
      <c r="AG39" s="210" t="s">
        <v>2097</v>
      </c>
      <c r="AH39" s="403">
        <v>45855</v>
      </c>
      <c r="AI39" s="66">
        <v>45861</v>
      </c>
      <c r="AJ39" s="78" t="s">
        <v>1705</v>
      </c>
      <c r="AL39" s="65"/>
      <c r="AM39" s="65"/>
      <c r="AN39" s="65"/>
      <c r="AO39" s="65"/>
      <c r="AP39" s="65"/>
      <c r="AQ39" s="65"/>
      <c r="AR39" s="65"/>
      <c r="AS39" s="65"/>
      <c r="AT39" s="65"/>
      <c r="AU39" s="65"/>
      <c r="AV39" s="65"/>
      <c r="AW39" s="65"/>
      <c r="AX39" s="65"/>
      <c r="AY39" s="65"/>
      <c r="AZ39" s="65"/>
      <c r="BA39" s="65"/>
      <c r="BB39" s="65"/>
      <c r="BC39" s="65"/>
      <c r="BD39" s="65"/>
      <c r="BE39" s="65"/>
      <c r="BF39" s="65"/>
      <c r="BG39" s="65"/>
      <c r="BH39" s="65"/>
      <c r="BI39" s="65"/>
      <c r="BJ39" s="65"/>
      <c r="BK39" s="65"/>
      <c r="BL39" s="65"/>
      <c r="BM39" s="65"/>
      <c r="BN39" s="65"/>
      <c r="BO39" s="65"/>
      <c r="BP39" s="65"/>
      <c r="BQ39" s="65"/>
      <c r="BR39" s="65"/>
      <c r="BS39" s="65"/>
      <c r="BT39" s="65"/>
      <c r="BU39" s="65"/>
      <c r="BV39" s="65"/>
      <c r="BW39" s="65"/>
      <c r="BX39" s="65"/>
      <c r="BY39" s="65"/>
      <c r="BZ39" s="65"/>
      <c r="CA39" s="65"/>
      <c r="CB39" s="65"/>
      <c r="CC39" s="65"/>
      <c r="CD39" s="65"/>
      <c r="CE39" s="65"/>
      <c r="CF39" s="65"/>
      <c r="CG39" s="65"/>
      <c r="CH39" s="65"/>
      <c r="CI39" s="65"/>
      <c r="CJ39" s="65"/>
      <c r="CK39" s="65"/>
      <c r="CL39" s="65"/>
      <c r="CM39" s="65"/>
      <c r="CN39" s="65"/>
      <c r="CO39" s="65"/>
      <c r="CP39" s="6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c r="DQ39" s="65"/>
      <c r="DR39" s="65"/>
      <c r="DS39" s="65"/>
      <c r="DT39" s="65"/>
      <c r="DU39" s="65"/>
      <c r="DV39" s="65"/>
      <c r="DW39" s="65"/>
      <c r="DX39" s="65"/>
      <c r="DY39" s="65"/>
      <c r="DZ39" s="65"/>
      <c r="EA39" s="65"/>
      <c r="EB39" s="65"/>
      <c r="EC39" s="65"/>
      <c r="ED39" s="65"/>
      <c r="EE39" s="65"/>
      <c r="EF39" s="65"/>
      <c r="EG39" s="65"/>
      <c r="EH39" s="65"/>
      <c r="EI39" s="65"/>
      <c r="EJ39" s="65"/>
      <c r="EK39" s="65"/>
      <c r="EL39" s="65"/>
      <c r="EM39" s="65"/>
      <c r="EN39" s="65"/>
      <c r="EO39" s="65"/>
      <c r="EP39" s="65"/>
      <c r="EQ39" s="65"/>
      <c r="ER39" s="65"/>
      <c r="ES39" s="65"/>
      <c r="ET39" s="65"/>
      <c r="EU39" s="65"/>
      <c r="EV39" s="65"/>
      <c r="EW39" s="65"/>
      <c r="EX39" s="65"/>
      <c r="EY39" s="65"/>
      <c r="EZ39" s="65"/>
      <c r="FA39" s="65"/>
      <c r="FB39" s="65"/>
      <c r="FC39" s="65"/>
      <c r="FD39" s="65"/>
      <c r="FE39" s="65"/>
      <c r="FF39" s="65"/>
      <c r="FG39" s="65"/>
      <c r="FH39" s="65"/>
      <c r="FI39" s="65"/>
      <c r="FJ39" s="65"/>
      <c r="FK39" s="65"/>
      <c r="FL39" s="65"/>
      <c r="FM39" s="65"/>
      <c r="FN39" s="65"/>
      <c r="FO39" s="65"/>
      <c r="FP39" s="65"/>
      <c r="FQ39" s="65"/>
      <c r="FR39" s="65"/>
      <c r="FS39" s="65"/>
      <c r="FT39" s="65"/>
      <c r="FU39" s="65"/>
      <c r="FV39" s="65"/>
      <c r="FW39" s="65"/>
      <c r="FX39" s="65"/>
      <c r="FY39" s="65"/>
      <c r="FZ39" s="65"/>
      <c r="GA39" s="65"/>
      <c r="GB39" s="65"/>
      <c r="GC39" s="65"/>
      <c r="GD39" s="65"/>
      <c r="GE39" s="65"/>
      <c r="GF39" s="65"/>
      <c r="GG39" s="65"/>
      <c r="GH39" s="65"/>
      <c r="GI39" s="65"/>
      <c r="GJ39" s="65"/>
      <c r="GK39" s="65"/>
      <c r="GL39" s="65"/>
      <c r="GM39" s="65"/>
      <c r="GN39" s="65"/>
      <c r="GO39" s="65"/>
      <c r="GP39" s="65"/>
      <c r="GQ39" s="65"/>
      <c r="GR39" s="65"/>
      <c r="GS39" s="65"/>
      <c r="GT39" s="65"/>
      <c r="GU39" s="65"/>
      <c r="GV39" s="65"/>
      <c r="GW39" s="65"/>
      <c r="GX39" s="65"/>
      <c r="GY39" s="65"/>
      <c r="GZ39" s="65"/>
      <c r="HA39" s="65"/>
      <c r="HB39" s="65"/>
      <c r="HC39" s="65"/>
      <c r="HD39" s="65"/>
      <c r="HE39" s="65"/>
      <c r="HF39" s="65"/>
      <c r="HG39" s="65"/>
      <c r="HH39" s="65"/>
      <c r="HI39" s="65"/>
      <c r="HJ39" s="65"/>
      <c r="HK39" s="65"/>
      <c r="HL39" s="65"/>
      <c r="HM39" s="65"/>
      <c r="HN39" s="65"/>
      <c r="HO39" s="65"/>
    </row>
    <row r="40" spans="1:223" s="78" customFormat="1" ht="63" customHeight="1" x14ac:dyDescent="0.25">
      <c r="A40" s="353">
        <v>2025</v>
      </c>
      <c r="B40" s="354">
        <v>7</v>
      </c>
      <c r="C40" s="353">
        <v>22862</v>
      </c>
      <c r="D40" s="279">
        <v>45848</v>
      </c>
      <c r="E40" s="81" t="s">
        <v>2411</v>
      </c>
      <c r="F40" s="81"/>
      <c r="I40" s="78">
        <v>3166434467</v>
      </c>
      <c r="J40" s="66">
        <v>45861</v>
      </c>
      <c r="K40" s="78" t="s">
        <v>94</v>
      </c>
      <c r="L40" s="79" t="s">
        <v>2412</v>
      </c>
      <c r="M40" s="78" t="s">
        <v>136</v>
      </c>
      <c r="N40" s="78">
        <v>6092</v>
      </c>
      <c r="O40" s="78">
        <v>6927</v>
      </c>
      <c r="P40" s="78">
        <v>9435</v>
      </c>
      <c r="Q40" s="78" t="s">
        <v>136</v>
      </c>
      <c r="R40" s="78" t="s">
        <v>134</v>
      </c>
      <c r="S40" s="78" t="s">
        <v>134</v>
      </c>
      <c r="T40" s="78" t="s">
        <v>136</v>
      </c>
      <c r="U40" s="78" t="s">
        <v>136</v>
      </c>
      <c r="V40" s="81" t="s">
        <v>119</v>
      </c>
      <c r="W40" s="66">
        <v>45861</v>
      </c>
      <c r="X40" s="66"/>
      <c r="Z40" s="80" t="s">
        <v>97</v>
      </c>
      <c r="AA40" s="371"/>
      <c r="AB40" s="78">
        <v>6088</v>
      </c>
      <c r="AC40" s="228">
        <v>1346594</v>
      </c>
      <c r="AD40" s="228">
        <f t="shared" si="0"/>
        <v>1602446.8599999999</v>
      </c>
      <c r="AE40" s="303">
        <v>503400</v>
      </c>
      <c r="AG40" s="210"/>
      <c r="AH40" s="241"/>
      <c r="AI40" s="66">
        <v>45861</v>
      </c>
      <c r="AJ40" s="78" t="s">
        <v>1705</v>
      </c>
      <c r="AL40" s="65"/>
      <c r="AM40" s="65"/>
      <c r="AN40" s="65"/>
      <c r="AO40" s="65"/>
      <c r="AP40" s="65"/>
      <c r="AQ40" s="65"/>
      <c r="AR40" s="65"/>
      <c r="AS40" s="65"/>
      <c r="AT40" s="65"/>
      <c r="AU40" s="65"/>
      <c r="AV40" s="65"/>
      <c r="AW40" s="65"/>
      <c r="AX40" s="65"/>
      <c r="AY40" s="65"/>
      <c r="AZ40" s="65"/>
      <c r="BA40" s="65"/>
      <c r="BB40" s="65"/>
      <c r="BC40" s="65"/>
      <c r="BD40" s="65"/>
      <c r="BE40" s="65"/>
      <c r="BF40" s="65"/>
      <c r="BG40" s="65"/>
      <c r="BH40" s="65"/>
      <c r="BI40" s="65"/>
      <c r="BJ40" s="65"/>
      <c r="BK40" s="65"/>
      <c r="BL40" s="65"/>
      <c r="BM40" s="65"/>
      <c r="BN40" s="65"/>
      <c r="BO40" s="65"/>
      <c r="BP40" s="65"/>
      <c r="BQ40" s="65"/>
      <c r="BR40" s="65"/>
      <c r="BS40" s="65"/>
      <c r="BT40" s="65"/>
      <c r="BU40" s="65"/>
      <c r="BV40" s="65"/>
      <c r="BW40" s="65"/>
      <c r="BX40" s="65"/>
      <c r="BY40" s="65"/>
      <c r="BZ40" s="65"/>
      <c r="CA40" s="65"/>
      <c r="CB40" s="65"/>
      <c r="CC40" s="65"/>
      <c r="CD40" s="65"/>
      <c r="CE40" s="65"/>
      <c r="CF40" s="65"/>
      <c r="CG40" s="65"/>
      <c r="CH40" s="65"/>
      <c r="CI40" s="65"/>
      <c r="CJ40" s="65"/>
      <c r="CK40" s="65"/>
      <c r="CL40" s="65"/>
      <c r="CM40" s="65"/>
      <c r="CN40" s="65"/>
      <c r="CO40" s="65"/>
      <c r="CP40" s="6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c r="DQ40" s="65"/>
      <c r="DR40" s="65"/>
      <c r="DS40" s="65"/>
      <c r="DT40" s="65"/>
      <c r="DU40" s="65"/>
      <c r="DV40" s="65"/>
      <c r="DW40" s="65"/>
      <c r="DX40" s="65"/>
      <c r="DY40" s="65"/>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c r="GN40" s="65"/>
      <c r="GO40" s="65"/>
      <c r="GP40" s="65"/>
      <c r="GQ40" s="65"/>
      <c r="GR40" s="65"/>
      <c r="GS40" s="65"/>
      <c r="GT40" s="65"/>
      <c r="GU40" s="65"/>
      <c r="GV40" s="65"/>
      <c r="GW40" s="65"/>
      <c r="GX40" s="65"/>
      <c r="GY40" s="65"/>
      <c r="GZ40" s="65"/>
      <c r="HA40" s="65"/>
      <c r="HB40" s="65"/>
      <c r="HC40" s="65"/>
      <c r="HD40" s="65"/>
      <c r="HE40" s="65"/>
      <c r="HF40" s="65"/>
      <c r="HG40" s="65"/>
      <c r="HH40" s="65"/>
      <c r="HI40" s="65"/>
      <c r="HJ40" s="65"/>
      <c r="HK40" s="65"/>
      <c r="HL40" s="65"/>
      <c r="HM40" s="65"/>
      <c r="HN40" s="65"/>
      <c r="HO40" s="65"/>
    </row>
    <row r="41" spans="1:223" s="78" customFormat="1" ht="52.5" customHeight="1" x14ac:dyDescent="0.25">
      <c r="A41" s="353">
        <v>2025</v>
      </c>
      <c r="B41" s="354">
        <v>7</v>
      </c>
      <c r="C41" s="353">
        <v>22863</v>
      </c>
      <c r="D41" s="279">
        <v>45848</v>
      </c>
      <c r="E41" s="81" t="s">
        <v>2413</v>
      </c>
      <c r="F41" s="81" t="s">
        <v>2413</v>
      </c>
      <c r="G41" s="78" t="s">
        <v>143</v>
      </c>
      <c r="H41" s="78">
        <v>3206504886</v>
      </c>
      <c r="I41" s="78">
        <v>3206504886</v>
      </c>
      <c r="J41" s="66">
        <v>45860</v>
      </c>
      <c r="K41" s="78" t="s">
        <v>84</v>
      </c>
      <c r="L41" s="79" t="s">
        <v>2414</v>
      </c>
      <c r="M41" s="78" t="s">
        <v>136</v>
      </c>
      <c r="N41" s="78">
        <v>6093</v>
      </c>
      <c r="O41" s="78">
        <v>6923</v>
      </c>
      <c r="P41" s="78">
        <v>9436</v>
      </c>
      <c r="Q41" s="78" t="s">
        <v>136</v>
      </c>
      <c r="R41" s="78" t="s">
        <v>134</v>
      </c>
      <c r="S41" s="78" t="s">
        <v>134</v>
      </c>
      <c r="T41" s="78" t="s">
        <v>136</v>
      </c>
      <c r="U41" s="78" t="s">
        <v>136</v>
      </c>
      <c r="V41" s="81" t="s">
        <v>119</v>
      </c>
      <c r="W41" s="66">
        <v>45857</v>
      </c>
      <c r="X41" s="66">
        <v>45861</v>
      </c>
      <c r="Z41" s="80" t="s">
        <v>85</v>
      </c>
      <c r="AA41" s="371"/>
      <c r="AB41" s="78">
        <v>6081</v>
      </c>
      <c r="AC41" s="228">
        <v>1847400</v>
      </c>
      <c r="AD41" s="228">
        <f t="shared" si="0"/>
        <v>2198406</v>
      </c>
      <c r="AE41" s="303">
        <v>1000000</v>
      </c>
      <c r="AG41" s="210" t="s">
        <v>2099</v>
      </c>
      <c r="AH41" s="438">
        <v>45860</v>
      </c>
      <c r="AI41" s="66">
        <v>45861</v>
      </c>
      <c r="AJ41" s="78" t="s">
        <v>1705</v>
      </c>
      <c r="AL41" s="65"/>
      <c r="AM41" s="65"/>
      <c r="AN41" s="65"/>
      <c r="AO41" s="65"/>
      <c r="AP41" s="65"/>
      <c r="AQ41" s="65"/>
      <c r="AR41" s="65"/>
      <c r="AS41" s="65"/>
      <c r="AT41" s="65"/>
      <c r="AU41" s="65"/>
      <c r="AV41" s="65"/>
      <c r="AW41" s="65"/>
      <c r="AX41" s="65"/>
      <c r="AY41" s="65"/>
      <c r="AZ41" s="65"/>
      <c r="BA41" s="65"/>
      <c r="BB41" s="65"/>
      <c r="BC41" s="65"/>
      <c r="BD41" s="65"/>
      <c r="BE41" s="65"/>
      <c r="BF41" s="65"/>
      <c r="BG41" s="65"/>
      <c r="BH41" s="65"/>
      <c r="BI41" s="65"/>
      <c r="BJ41" s="65"/>
      <c r="BK41" s="65"/>
      <c r="BL41" s="65"/>
      <c r="BM41" s="65"/>
      <c r="BN41" s="65"/>
      <c r="BO41" s="65"/>
      <c r="BP41" s="65"/>
      <c r="BQ41" s="65"/>
      <c r="BR41" s="65"/>
      <c r="BS41" s="65"/>
      <c r="BT41" s="65"/>
      <c r="BU41" s="65"/>
      <c r="BV41" s="65"/>
      <c r="BW41" s="65"/>
      <c r="BX41" s="65"/>
      <c r="BY41" s="65"/>
      <c r="BZ41" s="65"/>
      <c r="CA41" s="65"/>
      <c r="CB41" s="65"/>
      <c r="CC41" s="65"/>
      <c r="CD41" s="65"/>
      <c r="CE41" s="65"/>
      <c r="CF41" s="65"/>
      <c r="CG41" s="65"/>
      <c r="CH41" s="65"/>
      <c r="CI41" s="65"/>
      <c r="CJ41" s="65"/>
      <c r="CK41" s="65"/>
      <c r="CL41" s="65"/>
      <c r="CM41" s="65"/>
      <c r="CN41" s="65"/>
      <c r="CO41" s="65"/>
      <c r="CP41" s="65"/>
      <c r="CQ41" s="65"/>
      <c r="CR41" s="65"/>
      <c r="CS41" s="65"/>
      <c r="CT41" s="65"/>
      <c r="CU41" s="65"/>
      <c r="CV41" s="65"/>
      <c r="CW41" s="65"/>
      <c r="CX41" s="65"/>
      <c r="CY41" s="65"/>
      <c r="CZ41" s="65"/>
      <c r="DA41" s="65"/>
      <c r="DB41" s="65"/>
      <c r="DC41" s="65"/>
      <c r="DD41" s="65"/>
      <c r="DE41" s="65"/>
      <c r="DF41" s="65"/>
      <c r="DG41" s="65"/>
      <c r="DH41" s="65"/>
      <c r="DI41" s="65"/>
      <c r="DJ41" s="65"/>
      <c r="DK41" s="65"/>
      <c r="DL41" s="65"/>
      <c r="DM41" s="65"/>
      <c r="DN41" s="65"/>
      <c r="DO41" s="65"/>
      <c r="DP41" s="65"/>
      <c r="DQ41" s="65"/>
      <c r="DR41" s="65"/>
      <c r="DS41" s="65"/>
      <c r="DT41" s="65"/>
      <c r="DU41" s="65"/>
      <c r="DV41" s="65"/>
      <c r="DW41" s="65"/>
      <c r="DX41" s="65"/>
      <c r="DY41" s="65"/>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c r="GN41" s="65"/>
      <c r="GO41" s="65"/>
      <c r="GP41" s="65"/>
      <c r="GQ41" s="65"/>
      <c r="GR41" s="65"/>
      <c r="GS41" s="65"/>
      <c r="GT41" s="65"/>
      <c r="GU41" s="65"/>
      <c r="GV41" s="65"/>
      <c r="GW41" s="65"/>
      <c r="GX41" s="65"/>
      <c r="GY41" s="65"/>
      <c r="GZ41" s="65"/>
      <c r="HA41" s="65"/>
      <c r="HB41" s="65"/>
      <c r="HC41" s="65"/>
      <c r="HD41" s="65"/>
      <c r="HE41" s="65"/>
      <c r="HF41" s="65"/>
      <c r="HG41" s="65"/>
      <c r="HH41" s="65"/>
      <c r="HI41" s="65"/>
      <c r="HJ41" s="65"/>
      <c r="HK41" s="65"/>
      <c r="HL41" s="65"/>
      <c r="HM41" s="65"/>
      <c r="HN41" s="65"/>
      <c r="HO41" s="65"/>
    </row>
    <row r="42" spans="1:223" s="78" customFormat="1" ht="34.5" customHeight="1" x14ac:dyDescent="0.25">
      <c r="A42" s="353">
        <v>2025</v>
      </c>
      <c r="B42" s="354">
        <v>7</v>
      </c>
      <c r="C42" s="355">
        <v>22864</v>
      </c>
      <c r="D42" s="279">
        <v>45848</v>
      </c>
      <c r="E42" s="81" t="s">
        <v>2415</v>
      </c>
      <c r="F42" s="81" t="s">
        <v>2415</v>
      </c>
      <c r="I42" s="78">
        <v>3137335902</v>
      </c>
      <c r="J42" s="66">
        <v>45857</v>
      </c>
      <c r="K42" s="78" t="s">
        <v>94</v>
      </c>
      <c r="L42" s="79" t="s">
        <v>2416</v>
      </c>
      <c r="M42" s="78" t="s">
        <v>136</v>
      </c>
      <c r="N42" s="78">
        <v>6094</v>
      </c>
      <c r="O42" s="78" t="s">
        <v>136</v>
      </c>
      <c r="P42" s="78" t="s">
        <v>136</v>
      </c>
      <c r="Q42" s="78" t="s">
        <v>136</v>
      </c>
      <c r="R42" s="78" t="s">
        <v>136</v>
      </c>
      <c r="S42" s="78" t="s">
        <v>136</v>
      </c>
      <c r="T42" s="78" t="s">
        <v>136</v>
      </c>
      <c r="U42" s="78" t="s">
        <v>136</v>
      </c>
      <c r="V42" s="81" t="s">
        <v>119</v>
      </c>
      <c r="W42" s="66">
        <v>45857</v>
      </c>
      <c r="X42" s="66">
        <v>45860</v>
      </c>
      <c r="Z42" s="80" t="s">
        <v>85</v>
      </c>
      <c r="AA42" s="371"/>
      <c r="AB42" s="78">
        <v>6089</v>
      </c>
      <c r="AC42" s="228">
        <v>840336</v>
      </c>
      <c r="AD42" s="228">
        <f t="shared" si="0"/>
        <v>999999.84</v>
      </c>
      <c r="AE42" s="303">
        <v>500000</v>
      </c>
      <c r="AG42" s="210" t="s">
        <v>2139</v>
      </c>
      <c r="AH42" s="403">
        <v>45860</v>
      </c>
      <c r="AI42" s="66">
        <v>45861</v>
      </c>
      <c r="AJ42" s="78" t="s">
        <v>1705</v>
      </c>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5"/>
      <c r="CA42" s="65"/>
      <c r="CB42" s="65"/>
      <c r="CC42" s="65"/>
      <c r="CD42" s="65"/>
      <c r="CE42" s="65"/>
      <c r="CF42" s="65"/>
      <c r="CG42" s="65"/>
      <c r="CH42" s="65"/>
      <c r="CI42" s="65"/>
      <c r="CJ42" s="65"/>
      <c r="CK42" s="65"/>
      <c r="CL42" s="65"/>
      <c r="CM42" s="65"/>
      <c r="CN42" s="65"/>
      <c r="CO42" s="65"/>
      <c r="CP42" s="6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c r="GN42" s="65"/>
      <c r="GO42" s="65"/>
      <c r="GP42" s="65"/>
      <c r="GQ42" s="65"/>
      <c r="GR42" s="65"/>
      <c r="GS42" s="65"/>
      <c r="GT42" s="65"/>
      <c r="GU42" s="65"/>
      <c r="GV42" s="65"/>
      <c r="GW42" s="65"/>
      <c r="GX42" s="65"/>
      <c r="GY42" s="65"/>
      <c r="GZ42" s="65"/>
      <c r="HA42" s="65"/>
      <c r="HB42" s="65"/>
      <c r="HC42" s="65"/>
      <c r="HD42" s="65"/>
      <c r="HE42" s="65"/>
      <c r="HF42" s="65"/>
      <c r="HG42" s="65"/>
      <c r="HH42" s="65"/>
      <c r="HI42" s="65"/>
      <c r="HJ42" s="65"/>
      <c r="HK42" s="65"/>
      <c r="HL42" s="65"/>
      <c r="HM42" s="65"/>
      <c r="HN42" s="65"/>
      <c r="HO42" s="65"/>
    </row>
    <row r="43" spans="1:223" s="78" customFormat="1" ht="50.25" customHeight="1" x14ac:dyDescent="0.25">
      <c r="A43" s="353">
        <v>2025</v>
      </c>
      <c r="B43" s="354">
        <v>7</v>
      </c>
      <c r="C43" s="353">
        <v>22865</v>
      </c>
      <c r="D43" s="279">
        <v>45848</v>
      </c>
      <c r="E43" s="81" t="s">
        <v>2348</v>
      </c>
      <c r="F43" s="81" t="s">
        <v>2348</v>
      </c>
      <c r="G43" s="81"/>
      <c r="H43" s="78">
        <v>3148497333</v>
      </c>
      <c r="I43" s="78">
        <v>3148497333</v>
      </c>
      <c r="J43" s="66">
        <v>45848</v>
      </c>
      <c r="K43" s="78" t="s">
        <v>88</v>
      </c>
      <c r="L43" s="79" t="s">
        <v>2349</v>
      </c>
      <c r="M43" s="78" t="s">
        <v>136</v>
      </c>
      <c r="N43" s="78" t="s">
        <v>136</v>
      </c>
      <c r="O43" s="78" t="s">
        <v>136</v>
      </c>
      <c r="P43" s="78" t="s">
        <v>136</v>
      </c>
      <c r="Q43" s="78" t="s">
        <v>136</v>
      </c>
      <c r="R43" s="78" t="s">
        <v>136</v>
      </c>
      <c r="S43" s="78" t="s">
        <v>136</v>
      </c>
      <c r="T43" s="78" t="s">
        <v>134</v>
      </c>
      <c r="U43" s="78" t="s">
        <v>136</v>
      </c>
      <c r="V43" s="81" t="s">
        <v>2336</v>
      </c>
      <c r="W43" s="66"/>
      <c r="X43" s="66">
        <v>45848</v>
      </c>
      <c r="Z43" s="80" t="s">
        <v>97</v>
      </c>
      <c r="AA43" s="371"/>
      <c r="AC43" s="228">
        <v>80000</v>
      </c>
      <c r="AD43" s="228">
        <f t="shared" si="0"/>
        <v>95200</v>
      </c>
      <c r="AE43" s="303"/>
      <c r="AG43" s="210" t="s">
        <v>1993</v>
      </c>
      <c r="AH43" s="438"/>
      <c r="AI43" s="66">
        <v>45849</v>
      </c>
      <c r="AJ43" s="78" t="s">
        <v>1705</v>
      </c>
      <c r="AL43" s="65"/>
      <c r="AM43" s="65"/>
      <c r="AN43" s="65"/>
      <c r="AO43" s="65"/>
      <c r="AP43" s="65"/>
      <c r="AQ43" s="65"/>
      <c r="AR43" s="65"/>
      <c r="AS43" s="65"/>
      <c r="AT43" s="65"/>
      <c r="AU43" s="65"/>
      <c r="AV43" s="65"/>
      <c r="AW43" s="65"/>
      <c r="AX43" s="65"/>
      <c r="AY43" s="65"/>
      <c r="AZ43" s="65"/>
      <c r="BA43" s="65"/>
      <c r="BB43" s="65"/>
      <c r="BC43" s="65"/>
      <c r="BD43" s="65"/>
      <c r="BE43" s="65"/>
      <c r="BF43" s="65"/>
      <c r="BG43" s="65"/>
      <c r="BH43" s="65"/>
      <c r="BI43" s="65"/>
      <c r="BJ43" s="65"/>
      <c r="BK43" s="65"/>
      <c r="BL43" s="65"/>
      <c r="BM43" s="65"/>
      <c r="BN43" s="65"/>
      <c r="BO43" s="65"/>
      <c r="BP43" s="65"/>
      <c r="BQ43" s="65"/>
      <c r="BR43" s="65"/>
      <c r="BS43" s="65"/>
      <c r="BT43" s="65"/>
      <c r="BU43" s="65"/>
      <c r="BV43" s="65"/>
      <c r="BW43" s="65"/>
      <c r="BX43" s="65"/>
      <c r="BY43" s="65"/>
      <c r="BZ43" s="65"/>
      <c r="CA43" s="65"/>
      <c r="CB43" s="65"/>
      <c r="CC43" s="65"/>
      <c r="CD43" s="65"/>
      <c r="CE43" s="65"/>
      <c r="CF43" s="65"/>
      <c r="CG43" s="65"/>
      <c r="CH43" s="65"/>
      <c r="CI43" s="65"/>
      <c r="CJ43" s="65"/>
      <c r="CK43" s="65"/>
      <c r="CL43" s="65"/>
      <c r="CM43" s="65"/>
      <c r="CN43" s="65"/>
      <c r="CO43" s="65"/>
      <c r="CP43" s="65"/>
      <c r="CQ43" s="65"/>
      <c r="CR43" s="65"/>
      <c r="CS43" s="65"/>
      <c r="CT43" s="65"/>
      <c r="CU43" s="65"/>
      <c r="CV43" s="65"/>
      <c r="CW43" s="65"/>
      <c r="CX43" s="65"/>
      <c r="CY43" s="65"/>
      <c r="CZ43" s="65"/>
      <c r="DA43" s="65"/>
      <c r="DB43" s="65"/>
      <c r="DC43" s="65"/>
      <c r="DD43" s="65"/>
      <c r="DE43" s="65"/>
      <c r="DF43" s="65"/>
      <c r="DG43" s="65"/>
      <c r="DH43" s="65"/>
      <c r="DI43" s="65"/>
      <c r="DJ43" s="65"/>
      <c r="DK43" s="65"/>
      <c r="DL43" s="65"/>
      <c r="DM43" s="65"/>
      <c r="DN43" s="65"/>
      <c r="DO43" s="65"/>
      <c r="DP43" s="65"/>
      <c r="DQ43" s="65"/>
      <c r="DR43" s="65"/>
      <c r="DS43" s="65"/>
      <c r="DT43" s="65"/>
      <c r="DU43" s="65"/>
      <c r="DV43" s="65"/>
      <c r="DW43" s="65"/>
      <c r="DX43" s="65"/>
      <c r="DY43" s="65"/>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c r="GN43" s="65"/>
      <c r="GO43" s="65"/>
      <c r="GP43" s="65"/>
      <c r="GQ43" s="65"/>
      <c r="GR43" s="65"/>
      <c r="GS43" s="65"/>
      <c r="GT43" s="65"/>
      <c r="GU43" s="65"/>
      <c r="GV43" s="65"/>
      <c r="GW43" s="65"/>
      <c r="GX43" s="65"/>
      <c r="GY43" s="65"/>
      <c r="GZ43" s="65"/>
      <c r="HA43" s="65"/>
      <c r="HB43" s="65"/>
      <c r="HC43" s="65"/>
      <c r="HD43" s="65"/>
      <c r="HE43" s="65"/>
      <c r="HF43" s="65"/>
      <c r="HG43" s="65"/>
      <c r="HH43" s="65"/>
      <c r="HI43" s="65"/>
      <c r="HJ43" s="65"/>
      <c r="HK43" s="65"/>
      <c r="HL43" s="65"/>
      <c r="HM43" s="65"/>
      <c r="HN43" s="65"/>
      <c r="HO43" s="65"/>
    </row>
    <row r="44" spans="1:223" s="78" customFormat="1" ht="48.75" customHeight="1" x14ac:dyDescent="0.25">
      <c r="A44" s="353">
        <v>2025</v>
      </c>
      <c r="B44" s="354">
        <v>7</v>
      </c>
      <c r="C44" s="353">
        <v>22866</v>
      </c>
      <c r="D44" s="279">
        <v>45849</v>
      </c>
      <c r="E44" s="81" t="s">
        <v>2417</v>
      </c>
      <c r="F44" s="81" t="s">
        <v>2418</v>
      </c>
      <c r="H44" s="78">
        <v>3207262370</v>
      </c>
      <c r="I44" s="78">
        <v>3207262370</v>
      </c>
      <c r="J44" s="66">
        <v>45862</v>
      </c>
      <c r="K44" s="78" t="s">
        <v>88</v>
      </c>
      <c r="L44" s="79" t="s">
        <v>2419</v>
      </c>
      <c r="M44" s="78" t="s">
        <v>136</v>
      </c>
      <c r="N44" s="78">
        <v>6096</v>
      </c>
      <c r="O44" s="78">
        <v>6929</v>
      </c>
      <c r="P44" s="78">
        <v>9414</v>
      </c>
      <c r="Q44" s="78" t="s">
        <v>136</v>
      </c>
      <c r="R44" s="78" t="s">
        <v>134</v>
      </c>
      <c r="S44" s="78" t="s">
        <v>134</v>
      </c>
      <c r="T44" s="78" t="s">
        <v>134</v>
      </c>
      <c r="U44" s="78" t="s">
        <v>136</v>
      </c>
      <c r="V44" s="81" t="s">
        <v>119</v>
      </c>
      <c r="W44" s="66">
        <v>45861</v>
      </c>
      <c r="X44" s="66"/>
      <c r="Z44" s="80" t="s">
        <v>97</v>
      </c>
      <c r="AA44" s="371"/>
      <c r="AB44" s="78">
        <v>6090</v>
      </c>
      <c r="AC44" s="228">
        <v>1255552</v>
      </c>
      <c r="AD44" s="228">
        <f t="shared" si="0"/>
        <v>1494106.88</v>
      </c>
      <c r="AE44" s="303">
        <v>747053</v>
      </c>
      <c r="AG44" s="210"/>
      <c r="AH44" s="241"/>
      <c r="AI44" s="66">
        <v>45861</v>
      </c>
      <c r="AJ44" s="78" t="s">
        <v>1705</v>
      </c>
      <c r="AL44" s="65"/>
      <c r="AM44" s="65"/>
      <c r="AN44" s="65"/>
      <c r="AO44" s="65"/>
      <c r="AP44" s="65"/>
      <c r="AQ44" s="65"/>
      <c r="AR44" s="65"/>
      <c r="AS44" s="65"/>
      <c r="AT44" s="65"/>
      <c r="AU44" s="65"/>
      <c r="AV44" s="65"/>
      <c r="AW44" s="65"/>
      <c r="AX44" s="65"/>
      <c r="AY44" s="65"/>
      <c r="AZ44" s="65"/>
      <c r="BA44" s="65"/>
      <c r="BB44" s="65"/>
      <c r="BC44" s="65"/>
      <c r="BD44" s="65"/>
      <c r="BE44" s="65"/>
      <c r="BF44" s="65"/>
      <c r="BG44" s="65"/>
      <c r="BH44" s="65"/>
      <c r="BI44" s="65"/>
      <c r="BJ44" s="65"/>
      <c r="BK44" s="65"/>
      <c r="BL44" s="65"/>
      <c r="BM44" s="65"/>
      <c r="BN44" s="65"/>
      <c r="BO44" s="65"/>
      <c r="BP44" s="65"/>
      <c r="BQ44" s="65"/>
      <c r="BR44" s="65"/>
      <c r="BS44" s="65"/>
      <c r="BT44" s="65"/>
      <c r="BU44" s="65"/>
      <c r="BV44" s="65"/>
      <c r="BW44" s="65"/>
      <c r="BX44" s="65"/>
      <c r="BY44" s="65"/>
      <c r="BZ44" s="65"/>
      <c r="CA44" s="65"/>
      <c r="CB44" s="65"/>
      <c r="CC44" s="65"/>
      <c r="CD44" s="65"/>
      <c r="CE44" s="65"/>
      <c r="CF44" s="65"/>
      <c r="CG44" s="65"/>
      <c r="CH44" s="65"/>
      <c r="CI44" s="65"/>
      <c r="CJ44" s="65"/>
      <c r="CK44" s="65"/>
      <c r="CL44" s="65"/>
      <c r="CM44" s="65"/>
      <c r="CN44" s="65"/>
      <c r="CO44" s="65"/>
      <c r="CP44" s="65"/>
      <c r="CQ44" s="65"/>
      <c r="CR44" s="65"/>
      <c r="CS44" s="65"/>
      <c r="CT44" s="65"/>
      <c r="CU44" s="65"/>
      <c r="CV44" s="65"/>
      <c r="CW44" s="65"/>
      <c r="CX44" s="65"/>
      <c r="CY44" s="65"/>
      <c r="CZ44" s="65"/>
      <c r="DA44" s="65"/>
      <c r="DB44" s="65"/>
      <c r="DC44" s="65"/>
      <c r="DD44" s="65"/>
      <c r="DE44" s="65"/>
      <c r="DF44" s="65"/>
      <c r="DG44" s="65"/>
      <c r="DH44" s="65"/>
      <c r="DI44" s="65"/>
      <c r="DJ44" s="65"/>
      <c r="DK44" s="65"/>
      <c r="DL44" s="65"/>
      <c r="DM44" s="65"/>
      <c r="DN44" s="65"/>
      <c r="DO44" s="65"/>
      <c r="DP44" s="65"/>
      <c r="DQ44" s="65"/>
      <c r="DR44" s="65"/>
      <c r="DS44" s="65"/>
      <c r="DT44" s="65"/>
      <c r="DU44" s="65"/>
      <c r="DV44" s="65"/>
      <c r="DW44" s="65"/>
      <c r="DX44" s="65"/>
      <c r="DY44" s="65"/>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c r="GN44" s="65"/>
      <c r="GO44" s="65"/>
      <c r="GP44" s="65"/>
      <c r="GQ44" s="65"/>
      <c r="GR44" s="65"/>
      <c r="GS44" s="65"/>
      <c r="GT44" s="65"/>
      <c r="GU44" s="65"/>
      <c r="GV44" s="65"/>
      <c r="GW44" s="65"/>
      <c r="GX44" s="65"/>
      <c r="GY44" s="65"/>
      <c r="GZ44" s="65"/>
      <c r="HA44" s="65"/>
      <c r="HB44" s="65"/>
      <c r="HC44" s="65"/>
      <c r="HD44" s="65"/>
      <c r="HE44" s="65"/>
      <c r="HF44" s="65"/>
      <c r="HG44" s="65"/>
      <c r="HH44" s="65"/>
      <c r="HI44" s="65"/>
      <c r="HJ44" s="65"/>
      <c r="HK44" s="65"/>
      <c r="HL44" s="65"/>
      <c r="HM44" s="65"/>
      <c r="HN44" s="65"/>
      <c r="HO44" s="65"/>
    </row>
    <row r="45" spans="1:223" s="78" customFormat="1" ht="34.5" customHeight="1" x14ac:dyDescent="0.25">
      <c r="A45" s="353">
        <v>2025</v>
      </c>
      <c r="B45" s="354">
        <v>7</v>
      </c>
      <c r="C45" s="355">
        <v>22867</v>
      </c>
      <c r="D45" s="279">
        <v>45849</v>
      </c>
      <c r="E45" s="81" t="s">
        <v>2420</v>
      </c>
      <c r="F45" s="81" t="s">
        <v>2421</v>
      </c>
      <c r="G45" s="78" t="s">
        <v>143</v>
      </c>
      <c r="H45" s="78">
        <v>3127547778</v>
      </c>
      <c r="I45" s="78">
        <v>3127547778</v>
      </c>
      <c r="J45" s="66">
        <v>45861</v>
      </c>
      <c r="K45" s="78" t="s">
        <v>94</v>
      </c>
      <c r="L45" s="79" t="s">
        <v>2422</v>
      </c>
      <c r="M45" s="78" t="s">
        <v>136</v>
      </c>
      <c r="N45" s="78">
        <v>6095</v>
      </c>
      <c r="O45" s="78" t="s">
        <v>136</v>
      </c>
      <c r="P45" s="78" t="s">
        <v>136</v>
      </c>
      <c r="Q45" s="78" t="s">
        <v>136</v>
      </c>
      <c r="R45" s="78" t="s">
        <v>136</v>
      </c>
      <c r="S45" s="78" t="s">
        <v>136</v>
      </c>
      <c r="T45" s="78" t="s">
        <v>136</v>
      </c>
      <c r="U45" s="78" t="s">
        <v>136</v>
      </c>
      <c r="V45" s="81" t="s">
        <v>119</v>
      </c>
      <c r="W45" s="66"/>
      <c r="X45" s="66"/>
      <c r="Z45" s="80" t="s">
        <v>114</v>
      </c>
      <c r="AA45" s="371"/>
      <c r="AC45" s="228">
        <v>689076</v>
      </c>
      <c r="AD45" s="228">
        <f t="shared" si="0"/>
        <v>820000.44</v>
      </c>
      <c r="AE45" s="303">
        <v>500000</v>
      </c>
      <c r="AG45" s="210"/>
      <c r="AH45" s="241"/>
      <c r="AI45" s="66">
        <v>45852</v>
      </c>
      <c r="AJ45" s="78" t="s">
        <v>1705</v>
      </c>
      <c r="AL45" s="65"/>
      <c r="AM45" s="65"/>
      <c r="AN45" s="65"/>
      <c r="AO45" s="65"/>
      <c r="AP45" s="65"/>
      <c r="AQ45" s="65"/>
      <c r="AR45" s="65"/>
      <c r="AS45" s="65"/>
      <c r="AT45" s="65"/>
      <c r="AU45" s="65"/>
      <c r="AV45" s="65"/>
      <c r="AW45" s="65"/>
      <c r="AX45" s="65"/>
      <c r="AY45" s="65"/>
      <c r="AZ45" s="65"/>
      <c r="BA45" s="65"/>
      <c r="BB45" s="65"/>
      <c r="BC45" s="65"/>
      <c r="BD45" s="65"/>
      <c r="BE45" s="65"/>
      <c r="BF45" s="65"/>
      <c r="BG45" s="65"/>
      <c r="BH45" s="65"/>
      <c r="BI45" s="65"/>
      <c r="BJ45" s="65"/>
      <c r="BK45" s="65"/>
      <c r="BL45" s="65"/>
      <c r="BM45" s="65"/>
      <c r="BN45" s="65"/>
      <c r="BO45" s="65"/>
      <c r="BP45" s="65"/>
      <c r="BQ45" s="65"/>
      <c r="BR45" s="65"/>
      <c r="BS45" s="65"/>
      <c r="BT45" s="65"/>
      <c r="BU45" s="65"/>
      <c r="BV45" s="65"/>
      <c r="BW45" s="65"/>
      <c r="BX45" s="65"/>
      <c r="BY45" s="65"/>
      <c r="BZ45" s="65"/>
      <c r="CA45" s="65"/>
      <c r="CB45" s="65"/>
      <c r="CC45" s="65"/>
      <c r="CD45" s="65"/>
      <c r="CE45" s="65"/>
      <c r="CF45" s="65"/>
      <c r="CG45" s="65"/>
      <c r="CH45" s="65"/>
      <c r="CI45" s="65"/>
      <c r="CJ45" s="65"/>
      <c r="CK45" s="65"/>
      <c r="CL45" s="65"/>
      <c r="CM45" s="65"/>
      <c r="CN45" s="65"/>
      <c r="CO45" s="65"/>
      <c r="CP45" s="65"/>
      <c r="CQ45" s="65"/>
      <c r="CR45" s="65"/>
      <c r="CS45" s="65"/>
      <c r="CT45" s="65"/>
      <c r="CU45" s="65"/>
      <c r="CV45" s="65"/>
      <c r="CW45" s="65"/>
      <c r="CX45" s="65"/>
      <c r="CY45" s="65"/>
      <c r="CZ45" s="65"/>
      <c r="DA45" s="65"/>
      <c r="DB45" s="65"/>
      <c r="DC45" s="65"/>
      <c r="DD45" s="65"/>
      <c r="DE45" s="65"/>
      <c r="DF45" s="65"/>
      <c r="DG45" s="65"/>
      <c r="DH45" s="65"/>
      <c r="DI45" s="65"/>
      <c r="DJ45" s="65"/>
      <c r="DK45" s="65"/>
      <c r="DL45" s="65"/>
      <c r="DM45" s="65"/>
      <c r="DN45" s="65"/>
      <c r="DO45" s="65"/>
      <c r="DP45" s="65"/>
      <c r="DQ45" s="65"/>
      <c r="DR45" s="65"/>
      <c r="DS45" s="65"/>
      <c r="DT45" s="65"/>
      <c r="DU45" s="65"/>
      <c r="DV45" s="65"/>
      <c r="DW45" s="65"/>
      <c r="DX45" s="65"/>
      <c r="DY45" s="65"/>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c r="GN45" s="65"/>
      <c r="GO45" s="65"/>
      <c r="GP45" s="65"/>
      <c r="GQ45" s="65"/>
      <c r="GR45" s="65"/>
      <c r="GS45" s="65"/>
      <c r="GT45" s="65"/>
      <c r="GU45" s="65"/>
      <c r="GV45" s="65"/>
      <c r="GW45" s="65"/>
      <c r="GX45" s="65"/>
      <c r="GY45" s="65"/>
      <c r="GZ45" s="65"/>
      <c r="HA45" s="65"/>
      <c r="HB45" s="65"/>
      <c r="HC45" s="65"/>
      <c r="HD45" s="65"/>
      <c r="HE45" s="65"/>
      <c r="HF45" s="65"/>
      <c r="HG45" s="65"/>
      <c r="HH45" s="65"/>
      <c r="HI45" s="65"/>
      <c r="HJ45" s="65"/>
      <c r="HK45" s="65"/>
      <c r="HL45" s="65"/>
      <c r="HM45" s="65"/>
      <c r="HN45" s="65"/>
      <c r="HO45" s="65"/>
    </row>
    <row r="46" spans="1:223" s="78" customFormat="1" ht="74.25" customHeight="1" x14ac:dyDescent="0.25">
      <c r="A46" s="353">
        <v>2025</v>
      </c>
      <c r="B46" s="354">
        <v>7</v>
      </c>
      <c r="C46" s="353">
        <v>22868</v>
      </c>
      <c r="D46" s="279">
        <v>45849</v>
      </c>
      <c r="E46" s="81" t="s">
        <v>2386</v>
      </c>
      <c r="F46" s="81" t="s">
        <v>2387</v>
      </c>
      <c r="H46" s="78">
        <v>3105724232</v>
      </c>
      <c r="I46" s="78">
        <v>3222651</v>
      </c>
      <c r="J46" s="66">
        <v>45860</v>
      </c>
      <c r="K46" s="78" t="s">
        <v>95</v>
      </c>
      <c r="L46" s="79" t="s">
        <v>2388</v>
      </c>
      <c r="M46" s="78" t="s">
        <v>136</v>
      </c>
      <c r="N46" s="78">
        <v>6102</v>
      </c>
      <c r="O46" s="78">
        <v>6928</v>
      </c>
      <c r="P46" s="78">
        <v>9433</v>
      </c>
      <c r="Q46" s="78" t="s">
        <v>136</v>
      </c>
      <c r="R46" s="78" t="s">
        <v>136</v>
      </c>
      <c r="S46" s="78" t="s">
        <v>134</v>
      </c>
      <c r="T46" s="78" t="s">
        <v>134</v>
      </c>
      <c r="U46" s="78" t="s">
        <v>136</v>
      </c>
      <c r="V46" s="81" t="s">
        <v>87</v>
      </c>
      <c r="W46" s="66"/>
      <c r="X46" s="66"/>
      <c r="Z46" s="80" t="s">
        <v>114</v>
      </c>
      <c r="AA46" s="371"/>
      <c r="AC46" s="228">
        <v>17572318</v>
      </c>
      <c r="AD46" s="228">
        <f t="shared" si="0"/>
        <v>20911058.419999998</v>
      </c>
      <c r="AE46" s="303">
        <v>10453529</v>
      </c>
      <c r="AG46" s="210" t="s">
        <v>2483</v>
      </c>
      <c r="AH46" s="241"/>
      <c r="AI46" s="66">
        <v>45861</v>
      </c>
      <c r="AJ46" s="78" t="s">
        <v>1705</v>
      </c>
      <c r="AL46" s="65"/>
      <c r="AM46" s="65"/>
      <c r="AN46" s="65"/>
      <c r="AO46" s="65"/>
      <c r="AP46" s="65"/>
      <c r="AQ46" s="65"/>
      <c r="AR46" s="65"/>
      <c r="AS46" s="65"/>
      <c r="AT46" s="65"/>
      <c r="AU46" s="65"/>
      <c r="AV46" s="65"/>
      <c r="AW46" s="65"/>
      <c r="AX46" s="65"/>
      <c r="AY46" s="65"/>
      <c r="AZ46" s="65"/>
      <c r="BA46" s="65"/>
      <c r="BB46" s="65"/>
      <c r="BC46" s="65"/>
      <c r="BD46" s="65"/>
      <c r="BE46" s="65"/>
      <c r="BF46" s="65"/>
      <c r="BG46" s="65"/>
      <c r="BH46" s="65"/>
      <c r="BI46" s="65"/>
      <c r="BJ46" s="65"/>
      <c r="BK46" s="65"/>
      <c r="BL46" s="65"/>
      <c r="BM46" s="65"/>
      <c r="BN46" s="65"/>
      <c r="BO46" s="65"/>
      <c r="BP46" s="65"/>
      <c r="BQ46" s="65"/>
      <c r="BR46" s="65"/>
      <c r="BS46" s="65"/>
      <c r="BT46" s="65"/>
      <c r="BU46" s="65"/>
      <c r="BV46" s="65"/>
      <c r="BW46" s="65"/>
      <c r="BX46" s="65"/>
      <c r="BY46" s="65"/>
      <c r="BZ46" s="65"/>
      <c r="CA46" s="65"/>
      <c r="CB46" s="65"/>
      <c r="CC46" s="65"/>
      <c r="CD46" s="65"/>
      <c r="CE46" s="65"/>
      <c r="CF46" s="65"/>
      <c r="CG46" s="65"/>
      <c r="CH46" s="65"/>
      <c r="CI46" s="65"/>
      <c r="CJ46" s="65"/>
      <c r="CK46" s="65"/>
      <c r="CL46" s="65"/>
      <c r="CM46" s="65"/>
      <c r="CN46" s="65"/>
      <c r="CO46" s="65"/>
      <c r="CP46" s="6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c r="GO46" s="65"/>
      <c r="GP46" s="65"/>
      <c r="GQ46" s="65"/>
      <c r="GR46" s="65"/>
      <c r="GS46" s="65"/>
      <c r="GT46" s="65"/>
      <c r="GU46" s="65"/>
      <c r="GV46" s="65"/>
      <c r="GW46" s="65"/>
      <c r="GX46" s="65"/>
      <c r="GY46" s="65"/>
      <c r="GZ46" s="65"/>
      <c r="HA46" s="65"/>
      <c r="HB46" s="65"/>
      <c r="HC46" s="65"/>
      <c r="HD46" s="65"/>
      <c r="HE46" s="65"/>
      <c r="HF46" s="65"/>
      <c r="HG46" s="65"/>
      <c r="HH46" s="65"/>
      <c r="HI46" s="65"/>
      <c r="HJ46" s="65"/>
      <c r="HK46" s="65"/>
      <c r="HL46" s="65"/>
      <c r="HM46" s="65"/>
      <c r="HN46" s="65"/>
      <c r="HO46" s="65"/>
    </row>
    <row r="47" spans="1:223" s="78" customFormat="1" ht="34.5" customHeight="1" x14ac:dyDescent="0.25">
      <c r="A47" s="353">
        <v>2025</v>
      </c>
      <c r="B47" s="354">
        <v>7</v>
      </c>
      <c r="C47" s="353">
        <v>22869</v>
      </c>
      <c r="D47" s="279">
        <v>45849</v>
      </c>
      <c r="E47" s="81" t="s">
        <v>2423</v>
      </c>
      <c r="F47" s="81" t="s">
        <v>2423</v>
      </c>
      <c r="G47" s="78" t="s">
        <v>143</v>
      </c>
      <c r="H47" s="78">
        <v>3153490348</v>
      </c>
      <c r="I47" s="78">
        <v>3153490348</v>
      </c>
      <c r="J47" s="66">
        <v>45862</v>
      </c>
      <c r="K47" s="78" t="s">
        <v>84</v>
      </c>
      <c r="L47" s="79" t="s">
        <v>2424</v>
      </c>
      <c r="M47" s="78" t="s">
        <v>136</v>
      </c>
      <c r="N47" s="78">
        <v>6097</v>
      </c>
      <c r="O47" s="78">
        <v>6930</v>
      </c>
      <c r="P47" s="78">
        <v>9421</v>
      </c>
      <c r="Q47" s="78">
        <v>5650</v>
      </c>
      <c r="R47" s="78" t="s">
        <v>136</v>
      </c>
      <c r="S47" s="78" t="s">
        <v>134</v>
      </c>
      <c r="T47" s="78" t="s">
        <v>134</v>
      </c>
      <c r="U47" s="78" t="s">
        <v>136</v>
      </c>
      <c r="V47" s="81" t="s">
        <v>119</v>
      </c>
      <c r="W47" s="66">
        <v>45861</v>
      </c>
      <c r="X47" s="66"/>
      <c r="Z47" s="80" t="s">
        <v>92</v>
      </c>
      <c r="AA47" s="371"/>
      <c r="AC47" s="228">
        <v>420168</v>
      </c>
      <c r="AD47" s="228">
        <f t="shared" si="0"/>
        <v>499999.92</v>
      </c>
      <c r="AE47" s="303">
        <v>250000</v>
      </c>
      <c r="AG47" s="210"/>
      <c r="AH47" s="403"/>
      <c r="AI47" s="66">
        <v>45861</v>
      </c>
      <c r="AJ47" s="78" t="s">
        <v>1705</v>
      </c>
      <c r="AL47" s="65"/>
      <c r="AM47" s="65"/>
      <c r="AN47" s="65"/>
      <c r="AO47" s="65"/>
      <c r="AP47" s="65"/>
      <c r="AQ47" s="65"/>
      <c r="AR47" s="65"/>
      <c r="AS47" s="65"/>
      <c r="AT47" s="65"/>
      <c r="AU47" s="65"/>
      <c r="AV47" s="65"/>
      <c r="AW47" s="65"/>
      <c r="AX47" s="65"/>
      <c r="AY47" s="65"/>
      <c r="AZ47" s="65"/>
      <c r="BA47" s="65"/>
      <c r="BB47" s="65"/>
      <c r="BC47" s="65"/>
      <c r="BD47" s="65"/>
      <c r="BE47" s="65"/>
      <c r="BF47" s="65"/>
      <c r="BG47" s="65"/>
      <c r="BH47" s="65"/>
      <c r="BI47" s="65"/>
      <c r="BJ47" s="65"/>
      <c r="BK47" s="65"/>
      <c r="BL47" s="65"/>
      <c r="BM47" s="65"/>
      <c r="BN47" s="65"/>
      <c r="BO47" s="65"/>
      <c r="BP47" s="65"/>
      <c r="BQ47" s="65"/>
      <c r="BR47" s="65"/>
      <c r="BS47" s="65"/>
      <c r="BT47" s="65"/>
      <c r="BU47" s="65"/>
      <c r="BV47" s="65"/>
      <c r="BW47" s="65"/>
      <c r="BX47" s="65"/>
      <c r="BY47" s="65"/>
      <c r="BZ47" s="65"/>
      <c r="CA47" s="65"/>
      <c r="CB47" s="65"/>
      <c r="CC47" s="65"/>
      <c r="CD47" s="65"/>
      <c r="CE47" s="65"/>
      <c r="CF47" s="65"/>
      <c r="CG47" s="65"/>
      <c r="CH47" s="65"/>
      <c r="CI47" s="65"/>
      <c r="CJ47" s="65"/>
      <c r="CK47" s="65"/>
      <c r="CL47" s="65"/>
      <c r="CM47" s="65"/>
      <c r="CN47" s="65"/>
      <c r="CO47" s="65"/>
      <c r="CP47" s="65"/>
      <c r="CQ47" s="65"/>
      <c r="CR47" s="65"/>
      <c r="CS47" s="65"/>
      <c r="CT47" s="65"/>
      <c r="CU47" s="65"/>
      <c r="CV47" s="65"/>
      <c r="CW47" s="65"/>
      <c r="CX47" s="65"/>
      <c r="CY47" s="65"/>
      <c r="CZ47" s="65"/>
      <c r="DA47" s="65"/>
      <c r="DB47" s="65"/>
      <c r="DC47" s="65"/>
      <c r="DD47" s="65"/>
      <c r="DE47" s="65"/>
      <c r="DF47" s="65"/>
      <c r="DG47" s="65"/>
      <c r="DH47" s="65"/>
      <c r="DI47" s="65"/>
      <c r="DJ47" s="65"/>
      <c r="DK47" s="65"/>
      <c r="DL47" s="65"/>
      <c r="DM47" s="65"/>
      <c r="DN47" s="65"/>
      <c r="DO47" s="65"/>
      <c r="DP47" s="65"/>
      <c r="DQ47" s="65"/>
      <c r="DR47" s="65"/>
      <c r="DS47" s="65"/>
      <c r="DT47" s="65"/>
      <c r="DU47" s="65"/>
      <c r="DV47" s="65"/>
      <c r="DW47" s="65"/>
      <c r="DX47" s="65"/>
      <c r="DY47" s="65"/>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c r="GN47" s="65"/>
      <c r="GO47" s="65"/>
      <c r="GP47" s="65"/>
      <c r="GQ47" s="65"/>
      <c r="GR47" s="65"/>
      <c r="GS47" s="65"/>
      <c r="GT47" s="65"/>
      <c r="GU47" s="65"/>
      <c r="GV47" s="65"/>
      <c r="GW47" s="65"/>
      <c r="GX47" s="65"/>
      <c r="GY47" s="65"/>
      <c r="GZ47" s="65"/>
      <c r="HA47" s="65"/>
      <c r="HB47" s="65"/>
      <c r="HC47" s="65"/>
      <c r="HD47" s="65"/>
      <c r="HE47" s="65"/>
      <c r="HF47" s="65"/>
      <c r="HG47" s="65"/>
      <c r="HH47" s="65"/>
      <c r="HI47" s="65"/>
      <c r="HJ47" s="65"/>
      <c r="HK47" s="65"/>
      <c r="HL47" s="65"/>
      <c r="HM47" s="65"/>
      <c r="HN47" s="65"/>
      <c r="HO47" s="65"/>
    </row>
    <row r="48" spans="1:223" s="78" customFormat="1" ht="34.5" customHeight="1" x14ac:dyDescent="0.25">
      <c r="A48" s="353">
        <v>2025</v>
      </c>
      <c r="B48" s="354">
        <v>7</v>
      </c>
      <c r="C48" s="355">
        <v>22870</v>
      </c>
      <c r="D48" s="279">
        <v>45849</v>
      </c>
      <c r="E48" s="81" t="s">
        <v>2437</v>
      </c>
      <c r="F48" s="81" t="s">
        <v>2437</v>
      </c>
      <c r="G48" s="78" t="s">
        <v>143</v>
      </c>
      <c r="H48" s="78">
        <v>3146587469</v>
      </c>
      <c r="I48" s="78">
        <v>3216254625</v>
      </c>
      <c r="J48" s="66">
        <v>45862</v>
      </c>
      <c r="K48" s="78" t="s">
        <v>84</v>
      </c>
      <c r="L48" s="79" t="s">
        <v>2438</v>
      </c>
      <c r="M48" s="78" t="s">
        <v>136</v>
      </c>
      <c r="N48" s="78">
        <v>6098</v>
      </c>
      <c r="O48" s="78">
        <v>6935</v>
      </c>
      <c r="P48" s="78">
        <v>9452</v>
      </c>
      <c r="Q48" s="78" t="s">
        <v>136</v>
      </c>
      <c r="R48" s="78" t="s">
        <v>134</v>
      </c>
      <c r="S48" s="78" t="s">
        <v>134</v>
      </c>
      <c r="T48" s="78" t="s">
        <v>134</v>
      </c>
      <c r="U48" s="78" t="s">
        <v>136</v>
      </c>
      <c r="V48" s="81" t="s">
        <v>119</v>
      </c>
      <c r="W48" s="66"/>
      <c r="X48" s="66"/>
      <c r="Z48" s="80" t="s">
        <v>114</v>
      </c>
      <c r="AA48" s="371"/>
      <c r="AC48" s="228">
        <v>1073295</v>
      </c>
      <c r="AD48" s="228">
        <f t="shared" si="0"/>
        <v>1277221.05</v>
      </c>
      <c r="AE48" s="303">
        <v>638610</v>
      </c>
      <c r="AG48" s="210" t="s">
        <v>2439</v>
      </c>
      <c r="AH48" s="241"/>
      <c r="AI48" s="66">
        <v>45859</v>
      </c>
      <c r="AJ48" s="78" t="s">
        <v>1705</v>
      </c>
      <c r="AL48" s="65"/>
      <c r="AM48" s="65"/>
      <c r="AN48" s="65"/>
      <c r="AO48" s="65"/>
      <c r="AP48" s="65"/>
      <c r="AQ48" s="65"/>
      <c r="AR48" s="65"/>
      <c r="AS48" s="65"/>
      <c r="AT48" s="65"/>
      <c r="AU48" s="65"/>
      <c r="AV48" s="65"/>
      <c r="AW48" s="65"/>
      <c r="AX48" s="65"/>
      <c r="AY48" s="65"/>
      <c r="AZ48" s="65"/>
      <c r="BA48" s="65"/>
      <c r="BB48" s="65"/>
      <c r="BC48" s="65"/>
      <c r="BD48" s="65"/>
      <c r="BE48" s="65"/>
      <c r="BF48" s="65"/>
      <c r="BG48" s="65"/>
      <c r="BH48" s="65"/>
      <c r="BI48" s="65"/>
      <c r="BJ48" s="65"/>
      <c r="BK48" s="65"/>
      <c r="BL48" s="65"/>
      <c r="BM48" s="65"/>
      <c r="BN48" s="65"/>
      <c r="BO48" s="65"/>
      <c r="BP48" s="65"/>
      <c r="BQ48" s="65"/>
      <c r="BR48" s="65"/>
      <c r="BS48" s="65"/>
      <c r="BT48" s="65"/>
      <c r="BU48" s="65"/>
      <c r="BV48" s="65"/>
      <c r="BW48" s="65"/>
      <c r="BX48" s="65"/>
      <c r="BY48" s="65"/>
      <c r="BZ48" s="65"/>
      <c r="CA48" s="65"/>
      <c r="CB48" s="65"/>
      <c r="CC48" s="65"/>
      <c r="CD48" s="65"/>
      <c r="CE48" s="65"/>
      <c r="CF48" s="65"/>
      <c r="CG48" s="65"/>
      <c r="CH48" s="65"/>
      <c r="CI48" s="65"/>
      <c r="CJ48" s="65"/>
      <c r="CK48" s="65"/>
      <c r="CL48" s="65"/>
      <c r="CM48" s="65"/>
      <c r="CN48" s="65"/>
      <c r="CO48" s="65"/>
      <c r="CP48" s="65"/>
      <c r="CQ48" s="65"/>
      <c r="CR48" s="65"/>
      <c r="CS48" s="65"/>
      <c r="CT48" s="65"/>
      <c r="CU48" s="65"/>
      <c r="CV48" s="65"/>
      <c r="CW48" s="65"/>
      <c r="CX48" s="65"/>
      <c r="CY48" s="65"/>
      <c r="CZ48" s="65"/>
      <c r="DA48" s="65"/>
      <c r="DB48" s="65"/>
      <c r="DC48" s="65"/>
      <c r="DD48" s="65"/>
      <c r="DE48" s="65"/>
      <c r="DF48" s="65"/>
      <c r="DG48" s="65"/>
      <c r="DH48" s="65"/>
      <c r="DI48" s="65"/>
      <c r="DJ48" s="65"/>
      <c r="DK48" s="65"/>
      <c r="DL48" s="65"/>
      <c r="DM48" s="65"/>
      <c r="DN48" s="65"/>
      <c r="DO48" s="65"/>
      <c r="DP48" s="65"/>
      <c r="DQ48" s="65"/>
      <c r="DR48" s="65"/>
      <c r="DS48" s="65"/>
      <c r="DT48" s="65"/>
      <c r="DU48" s="65"/>
      <c r="DV48" s="65"/>
      <c r="DW48" s="65"/>
      <c r="DX48" s="65"/>
      <c r="DY48" s="65"/>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c r="GN48" s="65"/>
      <c r="GO48" s="65"/>
      <c r="GP48" s="65"/>
      <c r="GQ48" s="65"/>
      <c r="GR48" s="65"/>
      <c r="GS48" s="65"/>
      <c r="GT48" s="65"/>
      <c r="GU48" s="65"/>
      <c r="GV48" s="65"/>
      <c r="GW48" s="65"/>
      <c r="GX48" s="65"/>
      <c r="GY48" s="65"/>
      <c r="GZ48" s="65"/>
      <c r="HA48" s="65"/>
      <c r="HB48" s="65"/>
      <c r="HC48" s="65"/>
      <c r="HD48" s="65"/>
      <c r="HE48" s="65"/>
      <c r="HF48" s="65"/>
      <c r="HG48" s="65"/>
      <c r="HH48" s="65"/>
      <c r="HI48" s="65"/>
      <c r="HJ48" s="65"/>
      <c r="HK48" s="65"/>
      <c r="HL48" s="65"/>
      <c r="HM48" s="65"/>
      <c r="HN48" s="65"/>
      <c r="HO48" s="65"/>
    </row>
    <row r="49" spans="1:223" s="78" customFormat="1" ht="34.5" customHeight="1" x14ac:dyDescent="0.25">
      <c r="A49" s="353">
        <v>2025</v>
      </c>
      <c r="B49" s="354">
        <v>7</v>
      </c>
      <c r="C49" s="353">
        <v>22871</v>
      </c>
      <c r="D49" s="279">
        <v>45849</v>
      </c>
      <c r="E49" s="81" t="s">
        <v>2383</v>
      </c>
      <c r="F49" s="81" t="s">
        <v>2384</v>
      </c>
      <c r="G49" s="78" t="s">
        <v>143</v>
      </c>
      <c r="H49" s="78">
        <v>3146153658</v>
      </c>
      <c r="I49" s="78">
        <v>4981981</v>
      </c>
      <c r="J49" s="66">
        <v>45861</v>
      </c>
      <c r="K49" s="78" t="s">
        <v>84</v>
      </c>
      <c r="L49" s="79" t="s">
        <v>2385</v>
      </c>
      <c r="M49" s="78" t="s">
        <v>282</v>
      </c>
      <c r="N49" s="78" t="s">
        <v>136</v>
      </c>
      <c r="O49" s="78" t="s">
        <v>136</v>
      </c>
      <c r="P49" s="78" t="s">
        <v>136</v>
      </c>
      <c r="Q49" s="78" t="s">
        <v>136</v>
      </c>
      <c r="R49" s="78" t="s">
        <v>136</v>
      </c>
      <c r="S49" s="78" t="s">
        <v>134</v>
      </c>
      <c r="T49" s="78" t="s">
        <v>134</v>
      </c>
      <c r="U49" s="78" t="s">
        <v>136</v>
      </c>
      <c r="V49" s="81" t="s">
        <v>2336</v>
      </c>
      <c r="W49" s="66">
        <v>45861</v>
      </c>
      <c r="X49" s="66"/>
      <c r="Z49" s="80" t="s">
        <v>92</v>
      </c>
      <c r="AA49" s="371">
        <v>526178</v>
      </c>
      <c r="AC49" s="228">
        <v>442166</v>
      </c>
      <c r="AD49" s="228">
        <f t="shared" si="0"/>
        <v>526177.53999999992</v>
      </c>
      <c r="AE49" s="303"/>
      <c r="AG49" s="210"/>
      <c r="AH49" s="241"/>
      <c r="AI49" s="66">
        <v>45861</v>
      </c>
      <c r="AJ49" s="78" t="s">
        <v>1705</v>
      </c>
      <c r="AL49" s="65"/>
      <c r="AM49" s="65"/>
      <c r="AN49" s="65"/>
      <c r="AO49" s="65"/>
      <c r="AP49" s="65"/>
      <c r="AQ49" s="65"/>
      <c r="AR49" s="65"/>
      <c r="AS49" s="65"/>
      <c r="AT49" s="65"/>
      <c r="AU49" s="65"/>
      <c r="AV49" s="65"/>
      <c r="AW49" s="65"/>
      <c r="AX49" s="65"/>
      <c r="AY49" s="65"/>
      <c r="AZ49" s="65"/>
      <c r="BA49" s="65"/>
      <c r="BB49" s="65"/>
      <c r="BC49" s="65"/>
      <c r="BD49" s="65"/>
      <c r="BE49" s="65"/>
      <c r="BF49" s="65"/>
      <c r="BG49" s="65"/>
      <c r="BH49" s="65"/>
      <c r="BI49" s="65"/>
      <c r="BJ49" s="65"/>
      <c r="BK49" s="65"/>
      <c r="BL49" s="65"/>
      <c r="BM49" s="65"/>
      <c r="BN49" s="65"/>
      <c r="BO49" s="65"/>
      <c r="BP49" s="65"/>
      <c r="BQ49" s="65"/>
      <c r="BR49" s="65"/>
      <c r="BS49" s="65"/>
      <c r="BT49" s="65"/>
      <c r="BU49" s="65"/>
      <c r="BV49" s="65"/>
      <c r="BW49" s="65"/>
      <c r="BX49" s="65"/>
      <c r="BY49" s="65"/>
      <c r="BZ49" s="65"/>
      <c r="CA49" s="65"/>
      <c r="CB49" s="65"/>
      <c r="CC49" s="65"/>
      <c r="CD49" s="65"/>
      <c r="CE49" s="65"/>
      <c r="CF49" s="65"/>
      <c r="CG49" s="65"/>
      <c r="CH49" s="65"/>
      <c r="CI49" s="65"/>
      <c r="CJ49" s="65"/>
      <c r="CK49" s="65"/>
      <c r="CL49" s="65"/>
      <c r="CM49" s="65"/>
      <c r="CN49" s="65"/>
      <c r="CO49" s="65"/>
      <c r="CP49" s="65"/>
      <c r="CQ49" s="65"/>
      <c r="CR49" s="65"/>
      <c r="CS49" s="65"/>
      <c r="CT49" s="65"/>
      <c r="CU49" s="65"/>
      <c r="CV49" s="65"/>
      <c r="CW49" s="65"/>
      <c r="CX49" s="65"/>
      <c r="CY49" s="65"/>
      <c r="CZ49" s="65"/>
      <c r="DA49" s="65"/>
      <c r="DB49" s="65"/>
      <c r="DC49" s="65"/>
      <c r="DD49" s="65"/>
      <c r="DE49" s="65"/>
      <c r="DF49" s="65"/>
      <c r="DG49" s="65"/>
      <c r="DH49" s="65"/>
      <c r="DI49" s="65"/>
      <c r="DJ49" s="65"/>
      <c r="DK49" s="65"/>
      <c r="DL49" s="65"/>
      <c r="DM49" s="65"/>
      <c r="DN49" s="65"/>
      <c r="DO49" s="65"/>
      <c r="DP49" s="65"/>
      <c r="DQ49" s="65"/>
      <c r="DR49" s="65"/>
      <c r="DS49" s="65"/>
      <c r="DT49" s="65"/>
      <c r="DU49" s="65"/>
      <c r="DV49" s="65"/>
      <c r="DW49" s="65"/>
      <c r="DX49" s="65"/>
      <c r="DY49" s="65"/>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c r="GN49" s="65"/>
      <c r="GO49" s="65"/>
      <c r="GP49" s="65"/>
      <c r="GQ49" s="65"/>
      <c r="GR49" s="65"/>
      <c r="GS49" s="65"/>
      <c r="GT49" s="65"/>
      <c r="GU49" s="65"/>
      <c r="GV49" s="65"/>
      <c r="GW49" s="65"/>
      <c r="GX49" s="65"/>
      <c r="GY49" s="65"/>
      <c r="GZ49" s="65"/>
      <c r="HA49" s="65"/>
      <c r="HB49" s="65"/>
      <c r="HC49" s="65"/>
      <c r="HD49" s="65"/>
      <c r="HE49" s="65"/>
      <c r="HF49" s="65"/>
      <c r="HG49" s="65"/>
      <c r="HH49" s="65"/>
      <c r="HI49" s="65"/>
      <c r="HJ49" s="65"/>
      <c r="HK49" s="65"/>
      <c r="HL49" s="65"/>
      <c r="HM49" s="65"/>
      <c r="HN49" s="65"/>
      <c r="HO49" s="65"/>
    </row>
    <row r="50" spans="1:223" s="78" customFormat="1" ht="34.5" customHeight="1" x14ac:dyDescent="0.25">
      <c r="A50" s="353">
        <v>2025</v>
      </c>
      <c r="B50" s="354">
        <v>7</v>
      </c>
      <c r="C50" s="353">
        <v>22872</v>
      </c>
      <c r="D50" s="279">
        <v>45849</v>
      </c>
      <c r="E50" s="81" t="s">
        <v>2363</v>
      </c>
      <c r="F50" s="81" t="s">
        <v>2364</v>
      </c>
      <c r="G50" s="78" t="s">
        <v>98</v>
      </c>
      <c r="H50" s="78">
        <v>3166519977</v>
      </c>
      <c r="I50" s="78">
        <v>3234543341</v>
      </c>
      <c r="J50" s="66">
        <v>45849</v>
      </c>
      <c r="K50" s="78" t="s">
        <v>88</v>
      </c>
      <c r="L50" s="79" t="s">
        <v>2365</v>
      </c>
      <c r="M50" s="78" t="s">
        <v>136</v>
      </c>
      <c r="N50" s="78" t="s">
        <v>136</v>
      </c>
      <c r="O50" s="78" t="s">
        <v>136</v>
      </c>
      <c r="P50" s="78" t="s">
        <v>136</v>
      </c>
      <c r="Q50" s="78" t="s">
        <v>136</v>
      </c>
      <c r="R50" s="78" t="s">
        <v>136</v>
      </c>
      <c r="S50" s="78" t="s">
        <v>2065</v>
      </c>
      <c r="T50" s="78" t="s">
        <v>134</v>
      </c>
      <c r="U50" s="78" t="s">
        <v>136</v>
      </c>
      <c r="V50" s="81" t="s">
        <v>119</v>
      </c>
      <c r="W50" s="66"/>
      <c r="X50" s="66">
        <v>45849</v>
      </c>
      <c r="Z50" s="80" t="s">
        <v>97</v>
      </c>
      <c r="AA50" s="371"/>
      <c r="AB50" s="78">
        <v>6054</v>
      </c>
      <c r="AC50" s="228">
        <v>126050</v>
      </c>
      <c r="AD50" s="228">
        <f t="shared" si="0"/>
        <v>149999.5</v>
      </c>
      <c r="AE50" s="303"/>
      <c r="AG50" s="210" t="s">
        <v>2100</v>
      </c>
      <c r="AH50" s="403"/>
      <c r="AI50" s="66">
        <v>45852</v>
      </c>
      <c r="AJ50" s="78" t="s">
        <v>1705</v>
      </c>
      <c r="AL50" s="65"/>
      <c r="AM50" s="65"/>
      <c r="AN50" s="65"/>
      <c r="AO50" s="65"/>
      <c r="AP50" s="65"/>
      <c r="AQ50" s="65"/>
      <c r="AR50" s="65"/>
      <c r="AS50" s="65"/>
      <c r="AT50" s="65"/>
      <c r="AU50" s="65"/>
      <c r="AV50" s="65"/>
      <c r="AW50" s="65"/>
      <c r="AX50" s="65"/>
      <c r="AY50" s="65"/>
      <c r="AZ50" s="65"/>
      <c r="BA50" s="65"/>
      <c r="BB50" s="65"/>
      <c r="BC50" s="65"/>
      <c r="BD50" s="65"/>
      <c r="BE50" s="65"/>
      <c r="BF50" s="65"/>
      <c r="BG50" s="65"/>
      <c r="BH50" s="65"/>
      <c r="BI50" s="65"/>
      <c r="BJ50" s="65"/>
      <c r="BK50" s="65"/>
      <c r="BL50" s="65"/>
      <c r="BM50" s="65"/>
      <c r="BN50" s="65"/>
      <c r="BO50" s="65"/>
      <c r="BP50" s="65"/>
      <c r="BQ50" s="65"/>
      <c r="BR50" s="65"/>
      <c r="BS50" s="65"/>
      <c r="BT50" s="65"/>
      <c r="BU50" s="65"/>
      <c r="BV50" s="65"/>
      <c r="BW50" s="65"/>
      <c r="BX50" s="65"/>
      <c r="BY50" s="65"/>
      <c r="BZ50" s="65"/>
      <c r="CA50" s="65"/>
      <c r="CB50" s="65"/>
      <c r="CC50" s="65"/>
      <c r="CD50" s="65"/>
      <c r="CE50" s="65"/>
      <c r="CF50" s="65"/>
      <c r="CG50" s="65"/>
      <c r="CH50" s="65"/>
      <c r="CI50" s="65"/>
      <c r="CJ50" s="65"/>
      <c r="CK50" s="65"/>
      <c r="CL50" s="65"/>
      <c r="CM50" s="65"/>
      <c r="CN50" s="65"/>
      <c r="CO50" s="65"/>
      <c r="CP50" s="65"/>
      <c r="CQ50" s="65"/>
      <c r="CR50" s="65"/>
      <c r="CS50" s="65"/>
      <c r="CT50" s="65"/>
      <c r="CU50" s="65"/>
      <c r="CV50" s="65"/>
      <c r="CW50" s="65"/>
      <c r="CX50" s="65"/>
      <c r="CY50" s="65"/>
      <c r="CZ50" s="65"/>
      <c r="DA50" s="65"/>
      <c r="DB50" s="65"/>
      <c r="DC50" s="65"/>
      <c r="DD50" s="65"/>
      <c r="DE50" s="65"/>
      <c r="DF50" s="65"/>
      <c r="DG50" s="65"/>
      <c r="DH50" s="65"/>
      <c r="DI50" s="65"/>
      <c r="DJ50" s="65"/>
      <c r="DK50" s="65"/>
      <c r="DL50" s="65"/>
      <c r="DM50" s="65"/>
      <c r="DN50" s="65"/>
      <c r="DO50" s="65"/>
      <c r="DP50" s="65"/>
      <c r="DQ50" s="65"/>
      <c r="DR50" s="65"/>
      <c r="DS50" s="65"/>
      <c r="DT50" s="65"/>
      <c r="DU50" s="65"/>
      <c r="DV50" s="65"/>
      <c r="DW50" s="65"/>
      <c r="DX50" s="65"/>
      <c r="DY50" s="65"/>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c r="GN50" s="65"/>
      <c r="GO50" s="65"/>
      <c r="GP50" s="65"/>
      <c r="GQ50" s="65"/>
      <c r="GR50" s="65"/>
      <c r="GS50" s="65"/>
      <c r="GT50" s="65"/>
      <c r="GU50" s="65"/>
      <c r="GV50" s="65"/>
      <c r="GW50" s="65"/>
      <c r="GX50" s="65"/>
      <c r="GY50" s="65"/>
      <c r="GZ50" s="65"/>
      <c r="HA50" s="65"/>
      <c r="HB50" s="65"/>
      <c r="HC50" s="65"/>
      <c r="HD50" s="65"/>
      <c r="HE50" s="65"/>
      <c r="HF50" s="65"/>
      <c r="HG50" s="65"/>
      <c r="HH50" s="65"/>
      <c r="HI50" s="65"/>
      <c r="HJ50" s="65"/>
      <c r="HK50" s="65"/>
      <c r="HL50" s="65"/>
      <c r="HM50" s="65"/>
      <c r="HN50" s="65"/>
      <c r="HO50" s="65"/>
    </row>
    <row r="51" spans="1:223" s="78" customFormat="1" ht="34.5" customHeight="1" x14ac:dyDescent="0.25">
      <c r="A51" s="353">
        <v>2025</v>
      </c>
      <c r="B51" s="354">
        <v>7</v>
      </c>
      <c r="C51" s="355">
        <v>22873</v>
      </c>
      <c r="D51" s="279">
        <v>45849</v>
      </c>
      <c r="E51" s="81" t="s">
        <v>2440</v>
      </c>
      <c r="F51" s="81" t="s">
        <v>2440</v>
      </c>
      <c r="G51" s="78" t="s">
        <v>143</v>
      </c>
      <c r="H51" s="78">
        <v>3173007192</v>
      </c>
      <c r="I51" s="78">
        <v>3173007192</v>
      </c>
      <c r="J51" s="66">
        <v>45860</v>
      </c>
      <c r="K51" s="78" t="s">
        <v>84</v>
      </c>
      <c r="L51" s="79" t="s">
        <v>2441</v>
      </c>
      <c r="M51" s="78" t="s">
        <v>136</v>
      </c>
      <c r="N51" s="78">
        <v>6099</v>
      </c>
      <c r="O51" s="78">
        <v>6931</v>
      </c>
      <c r="P51" s="78" t="s">
        <v>136</v>
      </c>
      <c r="Q51" s="78" t="s">
        <v>136</v>
      </c>
      <c r="R51" s="78" t="s">
        <v>136</v>
      </c>
      <c r="S51" s="78" t="s">
        <v>134</v>
      </c>
      <c r="T51" s="78" t="s">
        <v>136</v>
      </c>
      <c r="U51" s="78" t="s">
        <v>136</v>
      </c>
      <c r="V51" s="81" t="s">
        <v>119</v>
      </c>
      <c r="W51" s="66">
        <v>45857</v>
      </c>
      <c r="X51" s="66"/>
      <c r="Z51" s="80" t="s">
        <v>90</v>
      </c>
      <c r="AA51" s="371"/>
      <c r="AB51" s="78">
        <v>6091</v>
      </c>
      <c r="AC51" s="228">
        <v>504202</v>
      </c>
      <c r="AD51" s="228">
        <f t="shared" si="0"/>
        <v>600000.38</v>
      </c>
      <c r="AE51" s="303"/>
      <c r="AG51" s="210"/>
      <c r="AH51" s="403">
        <v>45860</v>
      </c>
      <c r="AI51" s="66">
        <v>45861</v>
      </c>
      <c r="AJ51" s="78" t="s">
        <v>1705</v>
      </c>
      <c r="AL51" s="65"/>
      <c r="AM51" s="65"/>
      <c r="AN51" s="65"/>
      <c r="AO51" s="65"/>
      <c r="AP51" s="65"/>
      <c r="AQ51" s="65"/>
      <c r="AR51" s="65"/>
      <c r="AS51" s="65"/>
      <c r="AT51" s="65"/>
      <c r="AU51" s="65"/>
      <c r="AV51" s="65"/>
      <c r="AW51" s="65"/>
      <c r="AX51" s="65"/>
      <c r="AY51" s="65"/>
      <c r="AZ51" s="65"/>
      <c r="BA51" s="65"/>
      <c r="BB51" s="65"/>
      <c r="BC51" s="65"/>
      <c r="BD51" s="65"/>
      <c r="BE51" s="65"/>
      <c r="BF51" s="65"/>
      <c r="BG51" s="65"/>
      <c r="BH51" s="65"/>
      <c r="BI51" s="65"/>
      <c r="BJ51" s="65"/>
      <c r="BK51" s="65"/>
      <c r="BL51" s="65"/>
      <c r="BM51" s="65"/>
      <c r="BN51" s="65"/>
      <c r="BO51" s="65"/>
      <c r="BP51" s="65"/>
      <c r="BQ51" s="65"/>
      <c r="BR51" s="65"/>
      <c r="BS51" s="65"/>
      <c r="BT51" s="65"/>
      <c r="BU51" s="65"/>
      <c r="BV51" s="65"/>
      <c r="BW51" s="65"/>
      <c r="BX51" s="65"/>
      <c r="BY51" s="65"/>
      <c r="BZ51" s="65"/>
      <c r="CA51" s="65"/>
      <c r="CB51" s="65"/>
      <c r="CC51" s="65"/>
      <c r="CD51" s="65"/>
      <c r="CE51" s="65"/>
      <c r="CF51" s="65"/>
      <c r="CG51" s="65"/>
      <c r="CH51" s="65"/>
      <c r="CI51" s="65"/>
      <c r="CJ51" s="65"/>
      <c r="CK51" s="65"/>
      <c r="CL51" s="65"/>
      <c r="CM51" s="65"/>
      <c r="CN51" s="65"/>
      <c r="CO51" s="65"/>
      <c r="CP51" s="65"/>
      <c r="CQ51" s="65"/>
      <c r="CR51" s="65"/>
      <c r="CS51" s="65"/>
      <c r="CT51" s="65"/>
      <c r="CU51" s="65"/>
      <c r="CV51" s="65"/>
      <c r="CW51" s="65"/>
      <c r="CX51" s="65"/>
      <c r="CY51" s="65"/>
      <c r="CZ51" s="65"/>
      <c r="DA51" s="65"/>
      <c r="DB51" s="65"/>
      <c r="DC51" s="65"/>
      <c r="DD51" s="65"/>
      <c r="DE51" s="65"/>
      <c r="DF51" s="65"/>
      <c r="DG51" s="65"/>
      <c r="DH51" s="65"/>
      <c r="DI51" s="65"/>
      <c r="DJ51" s="65"/>
      <c r="DK51" s="65"/>
      <c r="DL51" s="65"/>
      <c r="DM51" s="65"/>
      <c r="DN51" s="65"/>
      <c r="DO51" s="65"/>
      <c r="DP51" s="65"/>
      <c r="DQ51" s="65"/>
      <c r="DR51" s="65"/>
      <c r="DS51" s="65"/>
      <c r="DT51" s="65"/>
      <c r="DU51" s="65"/>
      <c r="DV51" s="65"/>
      <c r="DW51" s="65"/>
      <c r="DX51" s="65"/>
      <c r="DY51" s="65"/>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c r="GN51" s="65"/>
      <c r="GO51" s="65"/>
      <c r="GP51" s="65"/>
      <c r="GQ51" s="65"/>
      <c r="GR51" s="65"/>
      <c r="GS51" s="65"/>
      <c r="GT51" s="65"/>
      <c r="GU51" s="65"/>
      <c r="GV51" s="65"/>
      <c r="GW51" s="65"/>
      <c r="GX51" s="65"/>
      <c r="GY51" s="65"/>
      <c r="GZ51" s="65"/>
      <c r="HA51" s="65"/>
      <c r="HB51" s="65"/>
      <c r="HC51" s="65"/>
      <c r="HD51" s="65"/>
      <c r="HE51" s="65"/>
      <c r="HF51" s="65"/>
      <c r="HG51" s="65"/>
      <c r="HH51" s="65"/>
      <c r="HI51" s="65"/>
      <c r="HJ51" s="65"/>
      <c r="HK51" s="65"/>
      <c r="HL51" s="65"/>
      <c r="HM51" s="65"/>
      <c r="HN51" s="65"/>
      <c r="HO51" s="65"/>
    </row>
    <row r="52" spans="1:223" s="78" customFormat="1" ht="34.5" customHeight="1" x14ac:dyDescent="0.25">
      <c r="A52" s="353">
        <v>2025</v>
      </c>
      <c r="B52" s="354">
        <v>7</v>
      </c>
      <c r="C52" s="353">
        <v>22874</v>
      </c>
      <c r="D52" s="279">
        <v>45849</v>
      </c>
      <c r="E52" s="81" t="s">
        <v>2442</v>
      </c>
      <c r="F52" s="81" t="s">
        <v>2442</v>
      </c>
      <c r="G52" s="78" t="s">
        <v>143</v>
      </c>
      <c r="H52" s="78">
        <v>3157732240</v>
      </c>
      <c r="I52" s="78">
        <v>3157732240</v>
      </c>
      <c r="J52" s="66">
        <v>45862</v>
      </c>
      <c r="K52" s="78" t="s">
        <v>84</v>
      </c>
      <c r="L52" s="79" t="s">
        <v>2443</v>
      </c>
      <c r="M52" s="78" t="s">
        <v>136</v>
      </c>
      <c r="N52" s="78">
        <v>6100</v>
      </c>
      <c r="O52" s="78" t="s">
        <v>136</v>
      </c>
      <c r="P52" s="78">
        <v>9449</v>
      </c>
      <c r="Q52" s="78" t="s">
        <v>136</v>
      </c>
      <c r="R52" s="78" t="s">
        <v>136</v>
      </c>
      <c r="S52" s="78" t="s">
        <v>134</v>
      </c>
      <c r="T52" s="78" t="s">
        <v>134</v>
      </c>
      <c r="U52" s="78" t="s">
        <v>136</v>
      </c>
      <c r="V52" s="81" t="s">
        <v>119</v>
      </c>
      <c r="W52" s="66">
        <v>45857</v>
      </c>
      <c r="X52" s="66"/>
      <c r="Z52" s="80" t="s">
        <v>97</v>
      </c>
      <c r="AA52" s="371"/>
      <c r="AB52" s="78">
        <v>6092</v>
      </c>
      <c r="AC52" s="228">
        <v>411765</v>
      </c>
      <c r="AD52" s="228">
        <f t="shared" si="0"/>
        <v>490000.35</v>
      </c>
      <c r="AE52" s="303">
        <v>250000</v>
      </c>
      <c r="AG52" s="210"/>
      <c r="AH52" s="403"/>
      <c r="AI52" s="66">
        <v>45861</v>
      </c>
      <c r="AJ52" s="78" t="s">
        <v>1705</v>
      </c>
      <c r="AL52" s="65"/>
      <c r="AM52" s="65"/>
      <c r="AN52" s="65"/>
      <c r="AO52" s="65"/>
      <c r="AP52" s="65"/>
      <c r="AQ52" s="65"/>
      <c r="AR52" s="65"/>
      <c r="AS52" s="65"/>
      <c r="AT52" s="65"/>
      <c r="AU52" s="65"/>
      <c r="AV52" s="65"/>
      <c r="AW52" s="65"/>
      <c r="AX52" s="65"/>
      <c r="AY52" s="65"/>
      <c r="AZ52" s="65"/>
      <c r="BA52" s="65"/>
      <c r="BB52" s="65"/>
      <c r="BC52" s="65"/>
      <c r="BD52" s="65"/>
      <c r="BE52" s="65"/>
      <c r="BF52" s="65"/>
      <c r="BG52" s="65"/>
      <c r="BH52" s="65"/>
      <c r="BI52" s="65"/>
      <c r="BJ52" s="65"/>
      <c r="BK52" s="65"/>
      <c r="BL52" s="65"/>
      <c r="BM52" s="65"/>
      <c r="BN52" s="65"/>
      <c r="BO52" s="65"/>
      <c r="BP52" s="65"/>
      <c r="BQ52" s="65"/>
      <c r="BR52" s="65"/>
      <c r="BS52" s="65"/>
      <c r="BT52" s="65"/>
      <c r="BU52" s="65"/>
      <c r="BV52" s="65"/>
      <c r="BW52" s="65"/>
      <c r="BX52" s="65"/>
      <c r="BY52" s="65"/>
      <c r="BZ52" s="65"/>
      <c r="CA52" s="65"/>
      <c r="CB52" s="65"/>
      <c r="CC52" s="65"/>
      <c r="CD52" s="65"/>
      <c r="CE52" s="65"/>
      <c r="CF52" s="65"/>
      <c r="CG52" s="65"/>
      <c r="CH52" s="65"/>
      <c r="CI52" s="65"/>
      <c r="CJ52" s="65"/>
      <c r="CK52" s="65"/>
      <c r="CL52" s="65"/>
      <c r="CM52" s="65"/>
      <c r="CN52" s="65"/>
      <c r="CO52" s="65"/>
      <c r="CP52" s="65"/>
      <c r="CQ52" s="65"/>
      <c r="CR52" s="65"/>
      <c r="CS52" s="65"/>
      <c r="CT52" s="65"/>
      <c r="CU52" s="65"/>
      <c r="CV52" s="65"/>
      <c r="CW52" s="65"/>
      <c r="CX52" s="65"/>
      <c r="CY52" s="65"/>
      <c r="CZ52" s="65"/>
      <c r="DA52" s="65"/>
      <c r="DB52" s="65"/>
      <c r="DC52" s="65"/>
      <c r="DD52" s="65"/>
      <c r="DE52" s="65"/>
      <c r="DF52" s="65"/>
      <c r="DG52" s="65"/>
      <c r="DH52" s="65"/>
      <c r="DI52" s="65"/>
      <c r="DJ52" s="65"/>
      <c r="DK52" s="65"/>
      <c r="DL52" s="65"/>
      <c r="DM52" s="65"/>
      <c r="DN52" s="65"/>
      <c r="DO52" s="65"/>
      <c r="DP52" s="65"/>
      <c r="DQ52" s="65"/>
      <c r="DR52" s="65"/>
      <c r="DS52" s="65"/>
      <c r="DT52" s="65"/>
      <c r="DU52" s="65"/>
      <c r="DV52" s="65"/>
      <c r="DW52" s="65"/>
      <c r="DX52" s="65"/>
      <c r="DY52" s="65"/>
      <c r="DZ52" s="65"/>
      <c r="EA52" s="65"/>
      <c r="EB52" s="65"/>
      <c r="EC52" s="65"/>
      <c r="ED52" s="65"/>
      <c r="EE52" s="65"/>
      <c r="EF52" s="65"/>
      <c r="EG52" s="65"/>
      <c r="EH52" s="65"/>
      <c r="EI52" s="65"/>
      <c r="EJ52" s="65"/>
      <c r="EK52" s="65"/>
      <c r="EL52" s="65"/>
      <c r="EM52" s="65"/>
      <c r="EN52" s="65"/>
      <c r="EO52" s="65"/>
      <c r="EP52" s="65"/>
      <c r="EQ52" s="65"/>
      <c r="ER52" s="65"/>
      <c r="ES52" s="65"/>
      <c r="ET52" s="65"/>
      <c r="EU52" s="65"/>
      <c r="EV52" s="65"/>
      <c r="EW52" s="65"/>
      <c r="EX52" s="65"/>
      <c r="EY52" s="65"/>
      <c r="EZ52" s="65"/>
      <c r="FA52" s="65"/>
      <c r="FB52" s="65"/>
      <c r="FC52" s="65"/>
      <c r="FD52" s="65"/>
      <c r="FE52" s="65"/>
      <c r="FF52" s="65"/>
      <c r="FG52" s="65"/>
      <c r="FH52" s="65"/>
      <c r="FI52" s="65"/>
      <c r="FJ52" s="65"/>
      <c r="FK52" s="65"/>
      <c r="FL52" s="65"/>
      <c r="FM52" s="65"/>
      <c r="FN52" s="65"/>
      <c r="FO52" s="65"/>
      <c r="FP52" s="65"/>
      <c r="FQ52" s="65"/>
      <c r="FR52" s="65"/>
      <c r="FS52" s="65"/>
      <c r="FT52" s="65"/>
      <c r="FU52" s="65"/>
      <c r="FV52" s="65"/>
      <c r="FW52" s="65"/>
      <c r="FX52" s="65"/>
      <c r="FY52" s="65"/>
      <c r="FZ52" s="65"/>
      <c r="GA52" s="65"/>
      <c r="GB52" s="65"/>
      <c r="GC52" s="65"/>
      <c r="GD52" s="65"/>
      <c r="GE52" s="65"/>
      <c r="GF52" s="65"/>
      <c r="GG52" s="65"/>
      <c r="GH52" s="65"/>
      <c r="GI52" s="65"/>
      <c r="GJ52" s="65"/>
      <c r="GK52" s="65"/>
      <c r="GL52" s="65"/>
      <c r="GM52" s="65"/>
      <c r="GN52" s="65"/>
      <c r="GO52" s="65"/>
      <c r="GP52" s="65"/>
      <c r="GQ52" s="65"/>
      <c r="GR52" s="65"/>
      <c r="GS52" s="65"/>
      <c r="GT52" s="65"/>
      <c r="GU52" s="65"/>
      <c r="GV52" s="65"/>
      <c r="GW52" s="65"/>
      <c r="GX52" s="65"/>
      <c r="GY52" s="65"/>
      <c r="GZ52" s="65"/>
      <c r="HA52" s="65"/>
      <c r="HB52" s="65"/>
      <c r="HC52" s="65"/>
      <c r="HD52" s="65"/>
      <c r="HE52" s="65"/>
      <c r="HF52" s="65"/>
      <c r="HG52" s="65"/>
      <c r="HH52" s="65"/>
      <c r="HI52" s="65"/>
      <c r="HJ52" s="65"/>
      <c r="HK52" s="65"/>
      <c r="HL52" s="65"/>
      <c r="HM52" s="65"/>
      <c r="HN52" s="65"/>
      <c r="HO52" s="65"/>
    </row>
    <row r="53" spans="1:223" s="78" customFormat="1" ht="50.25" customHeight="1" x14ac:dyDescent="0.25">
      <c r="A53" s="353">
        <v>2025</v>
      </c>
      <c r="B53" s="354">
        <v>7</v>
      </c>
      <c r="C53" s="353">
        <v>22875</v>
      </c>
      <c r="D53" s="279">
        <v>45849</v>
      </c>
      <c r="E53" s="81" t="s">
        <v>2378</v>
      </c>
      <c r="F53" s="81" t="s">
        <v>2379</v>
      </c>
      <c r="G53" s="78" t="s">
        <v>98</v>
      </c>
      <c r="H53" s="78">
        <v>3104494529</v>
      </c>
      <c r="I53" s="78">
        <v>3104494529</v>
      </c>
      <c r="J53" s="66">
        <v>45862</v>
      </c>
      <c r="K53" s="78" t="s">
        <v>88</v>
      </c>
      <c r="L53" s="79" t="s">
        <v>2380</v>
      </c>
      <c r="M53" s="78" t="s">
        <v>136</v>
      </c>
      <c r="N53" s="78" t="s">
        <v>136</v>
      </c>
      <c r="O53" s="78">
        <v>6932</v>
      </c>
      <c r="P53" s="78" t="s">
        <v>136</v>
      </c>
      <c r="Q53" s="78" t="s">
        <v>136</v>
      </c>
      <c r="R53" s="78" t="s">
        <v>134</v>
      </c>
      <c r="S53" s="78" t="s">
        <v>134</v>
      </c>
      <c r="T53" s="78" t="s">
        <v>134</v>
      </c>
      <c r="U53" s="78" t="s">
        <v>136</v>
      </c>
      <c r="V53" s="81" t="s">
        <v>119</v>
      </c>
      <c r="W53" s="66">
        <v>45861</v>
      </c>
      <c r="X53" s="66"/>
      <c r="Z53" s="80" t="s">
        <v>97</v>
      </c>
      <c r="AA53" s="371"/>
      <c r="AB53" s="78">
        <v>6094</v>
      </c>
      <c r="AC53" s="228">
        <v>378151</v>
      </c>
      <c r="AD53" s="228">
        <f t="shared" si="0"/>
        <v>449999.69</v>
      </c>
      <c r="AE53" s="303">
        <v>225000</v>
      </c>
      <c r="AG53" s="210"/>
      <c r="AH53" s="438"/>
      <c r="AI53" s="66">
        <v>45861</v>
      </c>
      <c r="AJ53" s="78" t="s">
        <v>1705</v>
      </c>
      <c r="AL53" s="65"/>
      <c r="AM53" s="65"/>
      <c r="AN53" s="65"/>
      <c r="AO53" s="65"/>
      <c r="AP53" s="65"/>
      <c r="AQ53" s="65"/>
      <c r="AR53" s="65"/>
      <c r="AS53" s="65"/>
      <c r="AT53" s="65"/>
      <c r="AU53" s="65"/>
      <c r="AV53" s="65"/>
      <c r="AW53" s="65"/>
      <c r="AX53" s="65"/>
      <c r="AY53" s="65"/>
      <c r="AZ53" s="65"/>
      <c r="BA53" s="65"/>
      <c r="BB53" s="65"/>
      <c r="BC53" s="65"/>
      <c r="BD53" s="65"/>
      <c r="BE53" s="65"/>
      <c r="BF53" s="65"/>
      <c r="BG53" s="65"/>
      <c r="BH53" s="65"/>
      <c r="BI53" s="65"/>
      <c r="BJ53" s="65"/>
      <c r="BK53" s="65"/>
      <c r="BL53" s="65"/>
      <c r="BM53" s="65"/>
      <c r="BN53" s="65"/>
      <c r="BO53" s="65"/>
      <c r="BP53" s="65"/>
      <c r="BQ53" s="65"/>
      <c r="BR53" s="65"/>
      <c r="BS53" s="65"/>
      <c r="BT53" s="65"/>
      <c r="BU53" s="65"/>
      <c r="BV53" s="65"/>
      <c r="BW53" s="65"/>
      <c r="BX53" s="65"/>
      <c r="BY53" s="65"/>
      <c r="BZ53" s="65"/>
      <c r="CA53" s="65"/>
      <c r="CB53" s="65"/>
      <c r="CC53" s="65"/>
      <c r="CD53" s="65"/>
      <c r="CE53" s="65"/>
      <c r="CF53" s="65"/>
      <c r="CG53" s="65"/>
      <c r="CH53" s="65"/>
      <c r="CI53" s="65"/>
      <c r="CJ53" s="65"/>
      <c r="CK53" s="65"/>
      <c r="CL53" s="65"/>
      <c r="CM53" s="65"/>
      <c r="CN53" s="65"/>
      <c r="CO53" s="65"/>
      <c r="CP53" s="65"/>
      <c r="CQ53" s="65"/>
      <c r="CR53" s="65"/>
      <c r="CS53" s="65"/>
      <c r="CT53" s="65"/>
      <c r="CU53" s="65"/>
      <c r="CV53" s="65"/>
      <c r="CW53" s="65"/>
      <c r="CX53" s="65"/>
      <c r="CY53" s="65"/>
      <c r="CZ53" s="65"/>
      <c r="DA53" s="65"/>
      <c r="DB53" s="65"/>
      <c r="DC53" s="65"/>
      <c r="DD53" s="65"/>
      <c r="DE53" s="65"/>
      <c r="DF53" s="65"/>
      <c r="DG53" s="65"/>
      <c r="DH53" s="65"/>
      <c r="DI53" s="65"/>
      <c r="DJ53" s="65"/>
      <c r="DK53" s="65"/>
      <c r="DL53" s="65"/>
      <c r="DM53" s="65"/>
      <c r="DN53" s="65"/>
      <c r="DO53" s="65"/>
      <c r="DP53" s="65"/>
      <c r="DQ53" s="65"/>
      <c r="DR53" s="65"/>
      <c r="DS53" s="65"/>
      <c r="DT53" s="65"/>
      <c r="DU53" s="65"/>
      <c r="DV53" s="65"/>
      <c r="DW53" s="65"/>
      <c r="DX53" s="65"/>
      <c r="DY53" s="65"/>
      <c r="DZ53" s="65"/>
      <c r="EA53" s="65"/>
      <c r="EB53" s="65"/>
      <c r="EC53" s="65"/>
      <c r="ED53" s="65"/>
      <c r="EE53" s="65"/>
      <c r="EF53" s="65"/>
      <c r="EG53" s="65"/>
      <c r="EH53" s="65"/>
      <c r="EI53" s="65"/>
      <c r="EJ53" s="65"/>
      <c r="EK53" s="65"/>
      <c r="EL53" s="65"/>
      <c r="EM53" s="65"/>
      <c r="EN53" s="65"/>
      <c r="EO53" s="65"/>
      <c r="EP53" s="65"/>
      <c r="EQ53" s="65"/>
      <c r="ER53" s="65"/>
      <c r="ES53" s="65"/>
      <c r="ET53" s="65"/>
      <c r="EU53" s="65"/>
      <c r="EV53" s="65"/>
      <c r="EW53" s="65"/>
      <c r="EX53" s="65"/>
      <c r="EY53" s="65"/>
      <c r="EZ53" s="65"/>
      <c r="FA53" s="65"/>
      <c r="FB53" s="65"/>
      <c r="FC53" s="65"/>
      <c r="FD53" s="65"/>
      <c r="FE53" s="65"/>
      <c r="FF53" s="65"/>
      <c r="FG53" s="65"/>
      <c r="FH53" s="65"/>
      <c r="FI53" s="65"/>
      <c r="FJ53" s="65"/>
      <c r="FK53" s="65"/>
      <c r="FL53" s="65"/>
      <c r="FM53" s="65"/>
      <c r="FN53" s="65"/>
      <c r="FO53" s="65"/>
      <c r="FP53" s="65"/>
      <c r="FQ53" s="65"/>
      <c r="FR53" s="65"/>
      <c r="FS53" s="65"/>
      <c r="FT53" s="65"/>
      <c r="FU53" s="65"/>
      <c r="FV53" s="65"/>
      <c r="FW53" s="65"/>
      <c r="FX53" s="65"/>
      <c r="FY53" s="65"/>
      <c r="FZ53" s="65"/>
      <c r="GA53" s="65"/>
      <c r="GB53" s="65"/>
      <c r="GC53" s="65"/>
      <c r="GD53" s="65"/>
      <c r="GE53" s="65"/>
      <c r="GF53" s="65"/>
      <c r="GG53" s="65"/>
      <c r="GH53" s="65"/>
      <c r="GI53" s="65"/>
      <c r="GJ53" s="65"/>
      <c r="GK53" s="65"/>
      <c r="GL53" s="65"/>
      <c r="GM53" s="65"/>
      <c r="GN53" s="65"/>
      <c r="GO53" s="65"/>
      <c r="GP53" s="65"/>
      <c r="GQ53" s="65"/>
      <c r="GR53" s="65"/>
      <c r="GS53" s="65"/>
      <c r="GT53" s="65"/>
      <c r="GU53" s="65"/>
      <c r="GV53" s="65"/>
      <c r="GW53" s="65"/>
      <c r="GX53" s="65"/>
      <c r="GY53" s="65"/>
      <c r="GZ53" s="65"/>
      <c r="HA53" s="65"/>
      <c r="HB53" s="65"/>
      <c r="HC53" s="65"/>
      <c r="HD53" s="65"/>
      <c r="HE53" s="65"/>
      <c r="HF53" s="65"/>
      <c r="HG53" s="65"/>
      <c r="HH53" s="65"/>
      <c r="HI53" s="65"/>
      <c r="HJ53" s="65"/>
      <c r="HK53" s="65"/>
      <c r="HL53" s="65"/>
      <c r="HM53" s="65"/>
      <c r="HN53" s="65"/>
      <c r="HO53" s="65"/>
    </row>
    <row r="54" spans="1:223" s="78" customFormat="1" ht="63.75" customHeight="1" x14ac:dyDescent="0.25">
      <c r="A54" s="353">
        <v>2025</v>
      </c>
      <c r="B54" s="354">
        <v>7</v>
      </c>
      <c r="C54" s="355">
        <v>22876</v>
      </c>
      <c r="D54" s="279">
        <v>45850</v>
      </c>
      <c r="E54" s="81" t="s">
        <v>2322</v>
      </c>
      <c r="F54" s="81" t="s">
        <v>190</v>
      </c>
      <c r="H54" s="78">
        <v>3207575119</v>
      </c>
      <c r="I54" s="78">
        <v>6057389</v>
      </c>
      <c r="J54" s="66">
        <v>45863</v>
      </c>
      <c r="K54" s="78" t="s">
        <v>95</v>
      </c>
      <c r="L54" s="79" t="s">
        <v>2446</v>
      </c>
      <c r="M54" s="78" t="s">
        <v>136</v>
      </c>
      <c r="N54" s="78" t="s">
        <v>136</v>
      </c>
      <c r="O54" s="78">
        <v>6940</v>
      </c>
      <c r="P54" s="78">
        <v>9379</v>
      </c>
      <c r="Q54" s="78">
        <v>5664</v>
      </c>
      <c r="R54" s="78" t="s">
        <v>136</v>
      </c>
      <c r="S54" s="78" t="s">
        <v>134</v>
      </c>
      <c r="T54" s="78" t="s">
        <v>134</v>
      </c>
      <c r="U54" s="78" t="s">
        <v>136</v>
      </c>
      <c r="V54" s="81" t="s">
        <v>87</v>
      </c>
      <c r="W54" s="66"/>
      <c r="X54" s="66"/>
      <c r="Z54" s="80" t="s">
        <v>114</v>
      </c>
      <c r="AA54" s="371"/>
      <c r="AC54" s="228">
        <v>1564339</v>
      </c>
      <c r="AD54" s="228">
        <f t="shared" si="0"/>
        <v>1861563.41</v>
      </c>
      <c r="AE54" s="303">
        <v>782170</v>
      </c>
      <c r="AG54" s="210"/>
      <c r="AH54" s="403"/>
      <c r="AI54" s="66">
        <v>45859</v>
      </c>
      <c r="AJ54" s="78" t="s">
        <v>1705</v>
      </c>
      <c r="AL54" s="65"/>
      <c r="AM54" s="65"/>
      <c r="AN54" s="65"/>
      <c r="AO54" s="65"/>
      <c r="AP54" s="65"/>
      <c r="AQ54" s="65"/>
      <c r="AR54" s="65"/>
      <c r="AS54" s="65"/>
      <c r="AT54" s="65"/>
      <c r="AU54" s="65"/>
      <c r="AV54" s="65"/>
      <c r="AW54" s="65"/>
      <c r="AX54" s="65"/>
      <c r="AY54" s="65"/>
      <c r="AZ54" s="65"/>
      <c r="BA54" s="65"/>
      <c r="BB54" s="65"/>
      <c r="BC54" s="65"/>
      <c r="BD54" s="65"/>
      <c r="BE54" s="65"/>
      <c r="BF54" s="65"/>
      <c r="BG54" s="65"/>
      <c r="BH54" s="65"/>
      <c r="BI54" s="65"/>
      <c r="BJ54" s="65"/>
      <c r="BK54" s="65"/>
      <c r="BL54" s="65"/>
      <c r="BM54" s="65"/>
      <c r="BN54" s="65"/>
      <c r="BO54" s="65"/>
      <c r="BP54" s="65"/>
      <c r="BQ54" s="65"/>
      <c r="BR54" s="65"/>
      <c r="BS54" s="65"/>
      <c r="BT54" s="65"/>
      <c r="BU54" s="65"/>
      <c r="BV54" s="65"/>
      <c r="BW54" s="65"/>
      <c r="BX54" s="65"/>
      <c r="BY54" s="65"/>
      <c r="BZ54" s="65"/>
      <c r="CA54" s="65"/>
      <c r="CB54" s="65"/>
      <c r="CC54" s="65"/>
      <c r="CD54" s="65"/>
      <c r="CE54" s="65"/>
      <c r="CF54" s="65"/>
      <c r="CG54" s="65"/>
      <c r="CH54" s="65"/>
      <c r="CI54" s="65"/>
      <c r="CJ54" s="65"/>
      <c r="CK54" s="65"/>
      <c r="CL54" s="65"/>
      <c r="CM54" s="65"/>
      <c r="CN54" s="65"/>
      <c r="CO54" s="65"/>
      <c r="CP54" s="65"/>
      <c r="CQ54" s="65"/>
      <c r="CR54" s="65"/>
      <c r="CS54" s="65"/>
      <c r="CT54" s="65"/>
      <c r="CU54" s="65"/>
      <c r="CV54" s="65"/>
      <c r="CW54" s="65"/>
      <c r="CX54" s="65"/>
      <c r="CY54" s="65"/>
      <c r="CZ54" s="65"/>
      <c r="DA54" s="65"/>
      <c r="DB54" s="65"/>
      <c r="DC54" s="65"/>
      <c r="DD54" s="65"/>
      <c r="DE54" s="65"/>
      <c r="DF54" s="65"/>
      <c r="DG54" s="65"/>
      <c r="DH54" s="65"/>
      <c r="DI54" s="65"/>
      <c r="DJ54" s="65"/>
      <c r="DK54" s="65"/>
      <c r="DL54" s="65"/>
      <c r="DM54" s="65"/>
      <c r="DN54" s="65"/>
      <c r="DO54" s="65"/>
      <c r="DP54" s="65"/>
      <c r="DQ54" s="65"/>
      <c r="DR54" s="65"/>
      <c r="DS54" s="65"/>
      <c r="DT54" s="65"/>
      <c r="DU54" s="65"/>
      <c r="DV54" s="65"/>
      <c r="DW54" s="65"/>
      <c r="DX54" s="65"/>
      <c r="DY54" s="65"/>
      <c r="DZ54" s="65"/>
      <c r="EA54" s="65"/>
      <c r="EB54" s="65"/>
      <c r="EC54" s="65"/>
      <c r="ED54" s="65"/>
      <c r="EE54" s="65"/>
      <c r="EF54" s="65"/>
      <c r="EG54" s="65"/>
      <c r="EH54" s="65"/>
      <c r="EI54" s="65"/>
      <c r="EJ54" s="65"/>
      <c r="EK54" s="65"/>
      <c r="EL54" s="65"/>
      <c r="EM54" s="65"/>
      <c r="EN54" s="65"/>
      <c r="EO54" s="65"/>
      <c r="EP54" s="65"/>
      <c r="EQ54" s="65"/>
      <c r="ER54" s="65"/>
      <c r="ES54" s="65"/>
      <c r="ET54" s="65"/>
      <c r="EU54" s="65"/>
      <c r="EV54" s="65"/>
      <c r="EW54" s="65"/>
      <c r="EX54" s="65"/>
      <c r="EY54" s="65"/>
      <c r="EZ54" s="65"/>
      <c r="FA54" s="65"/>
      <c r="FB54" s="65"/>
      <c r="FC54" s="65"/>
      <c r="FD54" s="65"/>
      <c r="FE54" s="65"/>
      <c r="FF54" s="65"/>
      <c r="FG54" s="65"/>
      <c r="FH54" s="65"/>
      <c r="FI54" s="65"/>
      <c r="FJ54" s="65"/>
      <c r="FK54" s="65"/>
      <c r="FL54" s="65"/>
      <c r="FM54" s="65"/>
      <c r="FN54" s="65"/>
      <c r="FO54" s="65"/>
      <c r="FP54" s="65"/>
      <c r="FQ54" s="65"/>
      <c r="FR54" s="65"/>
      <c r="FS54" s="65"/>
      <c r="FT54" s="65"/>
      <c r="FU54" s="65"/>
      <c r="FV54" s="65"/>
      <c r="FW54" s="65"/>
      <c r="FX54" s="65"/>
      <c r="FY54" s="65"/>
      <c r="FZ54" s="65"/>
      <c r="GA54" s="65"/>
      <c r="GB54" s="65"/>
      <c r="GC54" s="65"/>
      <c r="GD54" s="65"/>
      <c r="GE54" s="65"/>
      <c r="GF54" s="65"/>
      <c r="GG54" s="65"/>
      <c r="GH54" s="65"/>
      <c r="GI54" s="65"/>
      <c r="GJ54" s="65"/>
      <c r="GK54" s="65"/>
      <c r="GL54" s="65"/>
      <c r="GM54" s="65"/>
      <c r="GN54" s="65"/>
      <c r="GO54" s="65"/>
      <c r="GP54" s="65"/>
      <c r="GQ54" s="65"/>
      <c r="GR54" s="65"/>
      <c r="GS54" s="65"/>
      <c r="GT54" s="65"/>
      <c r="GU54" s="65"/>
      <c r="GV54" s="65"/>
      <c r="GW54" s="65"/>
      <c r="GX54" s="65"/>
      <c r="GY54" s="65"/>
      <c r="GZ54" s="65"/>
      <c r="HA54" s="65"/>
      <c r="HB54" s="65"/>
      <c r="HC54" s="65"/>
      <c r="HD54" s="65"/>
      <c r="HE54" s="65"/>
      <c r="HF54" s="65"/>
      <c r="HG54" s="65"/>
      <c r="HH54" s="65"/>
      <c r="HI54" s="65"/>
      <c r="HJ54" s="65"/>
      <c r="HK54" s="65"/>
      <c r="HL54" s="65"/>
      <c r="HM54" s="65"/>
      <c r="HN54" s="65"/>
      <c r="HO54" s="65"/>
    </row>
    <row r="55" spans="1:223" s="78" customFormat="1" ht="34.5" customHeight="1" x14ac:dyDescent="0.25">
      <c r="A55" s="353">
        <v>2025</v>
      </c>
      <c r="B55" s="354">
        <v>7</v>
      </c>
      <c r="C55" s="353">
        <v>22877</v>
      </c>
      <c r="D55" s="279">
        <v>45850</v>
      </c>
      <c r="E55" s="81" t="s">
        <v>2381</v>
      </c>
      <c r="F55" s="81"/>
      <c r="I55" s="78">
        <v>3113819928</v>
      </c>
      <c r="J55" s="66">
        <v>45861</v>
      </c>
      <c r="K55" s="78" t="s">
        <v>88</v>
      </c>
      <c r="L55" s="79" t="s">
        <v>2382</v>
      </c>
      <c r="M55" s="78" t="s">
        <v>136</v>
      </c>
      <c r="N55" s="78" t="s">
        <v>136</v>
      </c>
      <c r="O55" s="78">
        <v>6934</v>
      </c>
      <c r="P55" s="78">
        <v>9265</v>
      </c>
      <c r="Q55" s="78" t="s">
        <v>136</v>
      </c>
      <c r="R55" s="78" t="s">
        <v>136</v>
      </c>
      <c r="S55" s="78" t="s">
        <v>134</v>
      </c>
      <c r="T55" s="78" t="s">
        <v>134</v>
      </c>
      <c r="U55" s="78" t="s">
        <v>136</v>
      </c>
      <c r="V55" s="81" t="s">
        <v>89</v>
      </c>
      <c r="W55" s="66"/>
      <c r="X55" s="66"/>
      <c r="Z55" s="80" t="s">
        <v>114</v>
      </c>
      <c r="AA55" s="371"/>
      <c r="AC55" s="228"/>
      <c r="AD55" s="228">
        <f t="shared" si="0"/>
        <v>0</v>
      </c>
      <c r="AE55" s="303"/>
      <c r="AG55" s="210"/>
      <c r="AH55" s="438"/>
      <c r="AI55" s="66">
        <v>45852</v>
      </c>
      <c r="AJ55" s="78" t="s">
        <v>1705</v>
      </c>
      <c r="AL55" s="65"/>
      <c r="AM55" s="65"/>
      <c r="AN55" s="65"/>
      <c r="AO55" s="65"/>
      <c r="AP55" s="65"/>
      <c r="AQ55" s="65"/>
      <c r="AR55" s="65"/>
      <c r="AS55" s="65"/>
      <c r="AT55" s="65"/>
      <c r="AU55" s="65"/>
      <c r="AV55" s="65"/>
      <c r="AW55" s="65"/>
      <c r="AX55" s="65"/>
      <c r="AY55" s="65"/>
      <c r="AZ55" s="65"/>
      <c r="BA55" s="65"/>
      <c r="BB55" s="65"/>
      <c r="BC55" s="65"/>
      <c r="BD55" s="65"/>
      <c r="BE55" s="65"/>
      <c r="BF55" s="65"/>
      <c r="BG55" s="65"/>
      <c r="BH55" s="65"/>
      <c r="BI55" s="65"/>
      <c r="BJ55" s="65"/>
      <c r="BK55" s="65"/>
      <c r="BL55" s="65"/>
      <c r="BM55" s="65"/>
      <c r="BN55" s="65"/>
      <c r="BO55" s="65"/>
      <c r="BP55" s="65"/>
      <c r="BQ55" s="65"/>
      <c r="BR55" s="65"/>
      <c r="BS55" s="65"/>
      <c r="BT55" s="65"/>
      <c r="BU55" s="65"/>
      <c r="BV55" s="65"/>
      <c r="BW55" s="65"/>
      <c r="BX55" s="65"/>
      <c r="BY55" s="65"/>
      <c r="BZ55" s="65"/>
      <c r="CA55" s="65"/>
      <c r="CB55" s="65"/>
      <c r="CC55" s="65"/>
      <c r="CD55" s="65"/>
      <c r="CE55" s="65"/>
      <c r="CF55" s="65"/>
      <c r="CG55" s="65"/>
      <c r="CH55" s="65"/>
      <c r="CI55" s="65"/>
      <c r="CJ55" s="65"/>
      <c r="CK55" s="65"/>
      <c r="CL55" s="65"/>
      <c r="CM55" s="65"/>
      <c r="CN55" s="65"/>
      <c r="CO55" s="65"/>
      <c r="CP55" s="65"/>
      <c r="CQ55" s="65"/>
      <c r="CR55" s="65"/>
      <c r="CS55" s="65"/>
      <c r="CT55" s="65"/>
      <c r="CU55" s="65"/>
      <c r="CV55" s="65"/>
      <c r="CW55" s="65"/>
      <c r="CX55" s="65"/>
      <c r="CY55" s="65"/>
      <c r="CZ55" s="65"/>
      <c r="DA55" s="65"/>
      <c r="DB55" s="65"/>
      <c r="DC55" s="65"/>
      <c r="DD55" s="65"/>
      <c r="DE55" s="65"/>
      <c r="DF55" s="65"/>
      <c r="DG55" s="65"/>
      <c r="DH55" s="65"/>
      <c r="DI55" s="65"/>
      <c r="DJ55" s="65"/>
      <c r="DK55" s="65"/>
      <c r="DL55" s="65"/>
      <c r="DM55" s="65"/>
      <c r="DN55" s="65"/>
      <c r="DO55" s="65"/>
      <c r="DP55" s="65"/>
      <c r="DQ55" s="65"/>
      <c r="DR55" s="65"/>
      <c r="DS55" s="65"/>
      <c r="DT55" s="65"/>
      <c r="DU55" s="65"/>
      <c r="DV55" s="65"/>
      <c r="DW55" s="65"/>
      <c r="DX55" s="65"/>
      <c r="DY55" s="65"/>
      <c r="DZ55" s="65"/>
      <c r="EA55" s="65"/>
      <c r="EB55" s="65"/>
      <c r="EC55" s="65"/>
      <c r="ED55" s="65"/>
      <c r="EE55" s="65"/>
      <c r="EF55" s="65"/>
      <c r="EG55" s="65"/>
      <c r="EH55" s="65"/>
      <c r="EI55" s="65"/>
      <c r="EJ55" s="65"/>
      <c r="EK55" s="65"/>
      <c r="EL55" s="65"/>
      <c r="EM55" s="65"/>
      <c r="EN55" s="65"/>
      <c r="EO55" s="65"/>
      <c r="EP55" s="65"/>
      <c r="EQ55" s="65"/>
      <c r="ER55" s="65"/>
      <c r="ES55" s="65"/>
      <c r="ET55" s="65"/>
      <c r="EU55" s="65"/>
      <c r="EV55" s="65"/>
      <c r="EW55" s="65"/>
      <c r="EX55" s="65"/>
      <c r="EY55" s="65"/>
      <c r="EZ55" s="65"/>
      <c r="FA55" s="65"/>
      <c r="FB55" s="65"/>
      <c r="FC55" s="65"/>
      <c r="FD55" s="65"/>
      <c r="FE55" s="65"/>
      <c r="FF55" s="65"/>
      <c r="FG55" s="65"/>
      <c r="FH55" s="65"/>
      <c r="FI55" s="65"/>
      <c r="FJ55" s="65"/>
      <c r="FK55" s="65"/>
      <c r="FL55" s="65"/>
      <c r="FM55" s="65"/>
      <c r="FN55" s="65"/>
      <c r="FO55" s="65"/>
      <c r="FP55" s="65"/>
      <c r="FQ55" s="65"/>
      <c r="FR55" s="65"/>
      <c r="FS55" s="65"/>
      <c r="FT55" s="65"/>
      <c r="FU55" s="65"/>
      <c r="FV55" s="65"/>
      <c r="FW55" s="65"/>
      <c r="FX55" s="65"/>
      <c r="FY55" s="65"/>
      <c r="FZ55" s="65"/>
      <c r="GA55" s="65"/>
      <c r="GB55" s="65"/>
      <c r="GC55" s="65"/>
      <c r="GD55" s="65"/>
      <c r="GE55" s="65"/>
      <c r="GF55" s="65"/>
      <c r="GG55" s="65"/>
      <c r="GH55" s="65"/>
      <c r="GI55" s="65"/>
      <c r="GJ55" s="65"/>
      <c r="GK55" s="65"/>
      <c r="GL55" s="65"/>
      <c r="GM55" s="65"/>
      <c r="GN55" s="65"/>
      <c r="GO55" s="65"/>
      <c r="GP55" s="65"/>
      <c r="GQ55" s="65"/>
      <c r="GR55" s="65"/>
      <c r="GS55" s="65"/>
      <c r="GT55" s="65"/>
      <c r="GU55" s="65"/>
      <c r="GV55" s="65"/>
      <c r="GW55" s="65"/>
      <c r="GX55" s="65"/>
      <c r="GY55" s="65"/>
      <c r="GZ55" s="65"/>
      <c r="HA55" s="65"/>
      <c r="HB55" s="65"/>
      <c r="HC55" s="65"/>
      <c r="HD55" s="65"/>
      <c r="HE55" s="65"/>
      <c r="HF55" s="65"/>
      <c r="HG55" s="65"/>
      <c r="HH55" s="65"/>
      <c r="HI55" s="65"/>
      <c r="HJ55" s="65"/>
      <c r="HK55" s="65"/>
      <c r="HL55" s="65"/>
      <c r="HM55" s="65"/>
      <c r="HN55" s="65"/>
      <c r="HO55" s="65"/>
    </row>
    <row r="56" spans="1:223" s="78" customFormat="1" ht="34.5" customHeight="1" x14ac:dyDescent="0.25">
      <c r="A56" s="353">
        <v>2025</v>
      </c>
      <c r="B56" s="354">
        <v>7</v>
      </c>
      <c r="C56" s="353">
        <v>22878</v>
      </c>
      <c r="D56" s="279">
        <v>45849</v>
      </c>
      <c r="E56" s="81" t="s">
        <v>2447</v>
      </c>
      <c r="F56" s="81" t="s">
        <v>2448</v>
      </c>
      <c r="G56" s="78" t="s">
        <v>95</v>
      </c>
      <c r="H56" s="78">
        <v>3104077302</v>
      </c>
      <c r="I56" s="78">
        <v>6043227069</v>
      </c>
      <c r="J56" s="66">
        <v>45880</v>
      </c>
      <c r="K56" s="78" t="s">
        <v>95</v>
      </c>
      <c r="L56" s="79" t="s">
        <v>2449</v>
      </c>
      <c r="M56" s="78" t="s">
        <v>136</v>
      </c>
      <c r="O56" s="78">
        <v>6942</v>
      </c>
      <c r="P56" s="78">
        <v>9087</v>
      </c>
      <c r="Q56" s="78">
        <v>5661</v>
      </c>
      <c r="R56" s="78" t="s">
        <v>136</v>
      </c>
      <c r="S56" s="78" t="s">
        <v>134</v>
      </c>
      <c r="T56" s="78" t="s">
        <v>134</v>
      </c>
      <c r="U56" s="78" t="s">
        <v>136</v>
      </c>
      <c r="V56" s="81" t="s">
        <v>93</v>
      </c>
      <c r="W56" s="66"/>
      <c r="X56" s="66"/>
      <c r="Z56" s="80" t="s">
        <v>114</v>
      </c>
      <c r="AA56" s="371"/>
      <c r="AC56" s="228">
        <v>18504601</v>
      </c>
      <c r="AD56" s="228">
        <f t="shared" si="0"/>
        <v>22020475.189999998</v>
      </c>
      <c r="AE56" s="303">
        <v>11010238</v>
      </c>
      <c r="AG56" s="210"/>
      <c r="AH56" s="438"/>
      <c r="AI56" s="66">
        <v>45859</v>
      </c>
      <c r="AJ56" s="78" t="s">
        <v>1705</v>
      </c>
      <c r="AL56" s="65"/>
      <c r="AM56" s="65"/>
      <c r="AN56" s="65"/>
      <c r="AO56" s="65"/>
      <c r="AP56" s="65"/>
      <c r="AQ56" s="65"/>
      <c r="AR56" s="65"/>
      <c r="AS56" s="65"/>
      <c r="AT56" s="65"/>
      <c r="AU56" s="65"/>
      <c r="AV56" s="65"/>
      <c r="AW56" s="65"/>
      <c r="AX56" s="65"/>
      <c r="AY56" s="65"/>
      <c r="AZ56" s="65"/>
      <c r="BA56" s="65"/>
      <c r="BB56" s="65"/>
      <c r="BC56" s="65"/>
      <c r="BD56" s="65"/>
      <c r="BE56" s="65"/>
      <c r="BF56" s="65"/>
      <c r="BG56" s="65"/>
      <c r="BH56" s="65"/>
      <c r="BI56" s="65"/>
      <c r="BJ56" s="65"/>
      <c r="BK56" s="65"/>
      <c r="BL56" s="65"/>
      <c r="BM56" s="65"/>
      <c r="BN56" s="65"/>
      <c r="BO56" s="65"/>
      <c r="BP56" s="65"/>
      <c r="BQ56" s="65"/>
      <c r="BR56" s="65"/>
      <c r="BS56" s="65"/>
      <c r="BT56" s="65"/>
      <c r="BU56" s="65"/>
      <c r="BV56" s="65"/>
      <c r="BW56" s="65"/>
      <c r="BX56" s="65"/>
      <c r="BY56" s="65"/>
      <c r="BZ56" s="65"/>
      <c r="CA56" s="65"/>
      <c r="CB56" s="65"/>
      <c r="CC56" s="65"/>
      <c r="CD56" s="65"/>
      <c r="CE56" s="65"/>
      <c r="CF56" s="65"/>
      <c r="CG56" s="65"/>
      <c r="CH56" s="65"/>
      <c r="CI56" s="65"/>
      <c r="CJ56" s="65"/>
      <c r="CK56" s="65"/>
      <c r="CL56" s="65"/>
      <c r="CM56" s="65"/>
      <c r="CN56" s="65"/>
      <c r="CO56" s="65"/>
      <c r="CP56" s="65"/>
      <c r="CQ56" s="65"/>
      <c r="CR56" s="65"/>
      <c r="CS56" s="65"/>
      <c r="CT56" s="65"/>
      <c r="CU56" s="65"/>
      <c r="CV56" s="65"/>
      <c r="CW56" s="65"/>
      <c r="CX56" s="65"/>
      <c r="CY56" s="65"/>
      <c r="CZ56" s="65"/>
      <c r="DA56" s="65"/>
      <c r="DB56" s="65"/>
      <c r="DC56" s="65"/>
      <c r="DD56" s="65"/>
      <c r="DE56" s="65"/>
      <c r="DF56" s="65"/>
      <c r="DG56" s="65"/>
      <c r="DH56" s="65"/>
      <c r="DI56" s="65"/>
      <c r="DJ56" s="65"/>
      <c r="DK56" s="65"/>
      <c r="DL56" s="65"/>
      <c r="DM56" s="65"/>
      <c r="DN56" s="65"/>
      <c r="DO56" s="65"/>
      <c r="DP56" s="65"/>
      <c r="DQ56" s="65"/>
      <c r="DR56" s="65"/>
      <c r="DS56" s="65"/>
      <c r="DT56" s="65"/>
      <c r="DU56" s="65"/>
      <c r="DV56" s="65"/>
      <c r="DW56" s="65"/>
      <c r="DX56" s="65"/>
      <c r="DY56" s="65"/>
      <c r="DZ56" s="65"/>
      <c r="EA56" s="65"/>
      <c r="EB56" s="65"/>
      <c r="EC56" s="65"/>
      <c r="ED56" s="65"/>
      <c r="EE56" s="65"/>
      <c r="EF56" s="65"/>
      <c r="EG56" s="65"/>
      <c r="EH56" s="65"/>
      <c r="EI56" s="65"/>
      <c r="EJ56" s="65"/>
      <c r="EK56" s="65"/>
      <c r="EL56" s="65"/>
      <c r="EM56" s="65"/>
      <c r="EN56" s="65"/>
      <c r="EO56" s="65"/>
      <c r="EP56" s="65"/>
      <c r="EQ56" s="65"/>
      <c r="ER56" s="65"/>
      <c r="ES56" s="65"/>
      <c r="ET56" s="65"/>
      <c r="EU56" s="65"/>
      <c r="EV56" s="65"/>
      <c r="EW56" s="65"/>
      <c r="EX56" s="65"/>
      <c r="EY56" s="65"/>
      <c r="EZ56" s="65"/>
      <c r="FA56" s="65"/>
      <c r="FB56" s="65"/>
      <c r="FC56" s="65"/>
      <c r="FD56" s="65"/>
      <c r="FE56" s="65"/>
      <c r="FF56" s="65"/>
      <c r="FG56" s="65"/>
      <c r="FH56" s="65"/>
      <c r="FI56" s="65"/>
      <c r="FJ56" s="65"/>
      <c r="FK56" s="65"/>
      <c r="FL56" s="65"/>
      <c r="FM56" s="65"/>
      <c r="FN56" s="65"/>
      <c r="FO56" s="65"/>
      <c r="FP56" s="65"/>
      <c r="FQ56" s="65"/>
      <c r="FR56" s="65"/>
      <c r="FS56" s="65"/>
      <c r="FT56" s="65"/>
      <c r="FU56" s="65"/>
      <c r="FV56" s="65"/>
      <c r="FW56" s="65"/>
      <c r="FX56" s="65"/>
      <c r="FY56" s="65"/>
      <c r="FZ56" s="65"/>
      <c r="GA56" s="65"/>
      <c r="GB56" s="65"/>
      <c r="GC56" s="65"/>
      <c r="GD56" s="65"/>
      <c r="GE56" s="65"/>
      <c r="GF56" s="65"/>
      <c r="GG56" s="65"/>
      <c r="GH56" s="65"/>
      <c r="GI56" s="65"/>
      <c r="GJ56" s="65"/>
      <c r="GK56" s="65"/>
      <c r="GL56" s="65"/>
      <c r="GM56" s="65"/>
      <c r="GN56" s="65"/>
      <c r="GO56" s="65"/>
      <c r="GP56" s="65"/>
      <c r="GQ56" s="65"/>
      <c r="GR56" s="65"/>
      <c r="GS56" s="65"/>
      <c r="GT56" s="65"/>
      <c r="GU56" s="65"/>
      <c r="GV56" s="65"/>
      <c r="GW56" s="65"/>
      <c r="GX56" s="65"/>
      <c r="GY56" s="65"/>
      <c r="GZ56" s="65"/>
      <c r="HA56" s="65"/>
      <c r="HB56" s="65"/>
      <c r="HC56" s="65"/>
      <c r="HD56" s="65"/>
      <c r="HE56" s="65"/>
      <c r="HF56" s="65"/>
      <c r="HG56" s="65"/>
      <c r="HH56" s="65"/>
      <c r="HI56" s="65"/>
      <c r="HJ56" s="65"/>
      <c r="HK56" s="65"/>
      <c r="HL56" s="65"/>
      <c r="HM56" s="65"/>
      <c r="HN56" s="65"/>
      <c r="HO56" s="65"/>
    </row>
    <row r="57" spans="1:223" s="78" customFormat="1" ht="34.5" customHeight="1" x14ac:dyDescent="0.25">
      <c r="A57" s="353">
        <v>2025</v>
      </c>
      <c r="B57" s="354">
        <v>7</v>
      </c>
      <c r="C57" s="355">
        <v>22879</v>
      </c>
      <c r="D57" s="279">
        <v>45850</v>
      </c>
      <c r="E57" s="81" t="s">
        <v>2177</v>
      </c>
      <c r="F57" s="81" t="s">
        <v>2177</v>
      </c>
      <c r="G57" s="78" t="s">
        <v>143</v>
      </c>
      <c r="H57" s="78">
        <v>3006005374</v>
      </c>
      <c r="I57" s="78">
        <v>3006005374</v>
      </c>
      <c r="J57" s="66">
        <v>45860</v>
      </c>
      <c r="K57" s="78" t="s">
        <v>84</v>
      </c>
      <c r="L57" s="79" t="s">
        <v>2444</v>
      </c>
      <c r="M57" s="78" t="s">
        <v>136</v>
      </c>
      <c r="N57" s="78">
        <v>6101</v>
      </c>
      <c r="O57" s="78" t="s">
        <v>136</v>
      </c>
      <c r="P57" s="78" t="s">
        <v>136</v>
      </c>
      <c r="Q57" s="78" t="s">
        <v>136</v>
      </c>
      <c r="R57" s="78" t="s">
        <v>136</v>
      </c>
      <c r="S57" s="78" t="s">
        <v>134</v>
      </c>
      <c r="T57" s="78" t="s">
        <v>134</v>
      </c>
      <c r="U57" s="78" t="s">
        <v>136</v>
      </c>
      <c r="V57" s="81" t="s">
        <v>119</v>
      </c>
      <c r="W57" s="66">
        <v>45857</v>
      </c>
      <c r="X57" s="66"/>
      <c r="Z57" s="80" t="s">
        <v>90</v>
      </c>
      <c r="AA57" s="371"/>
      <c r="AC57" s="228"/>
      <c r="AD57" s="228">
        <f t="shared" si="0"/>
        <v>0</v>
      </c>
      <c r="AE57" s="303"/>
      <c r="AG57" s="210" t="s">
        <v>2445</v>
      </c>
      <c r="AH57" s="241"/>
      <c r="AI57" s="66">
        <v>45859</v>
      </c>
      <c r="AJ57" s="78" t="s">
        <v>1705</v>
      </c>
      <c r="AL57" s="65"/>
      <c r="AM57" s="65"/>
      <c r="AN57" s="65"/>
      <c r="AO57" s="65"/>
      <c r="AP57" s="65"/>
      <c r="AQ57" s="65"/>
      <c r="AR57" s="65"/>
      <c r="AS57" s="65"/>
      <c r="AT57" s="65"/>
      <c r="AU57" s="65"/>
      <c r="AV57" s="65"/>
      <c r="AW57" s="65"/>
      <c r="AX57" s="65"/>
      <c r="AY57" s="65"/>
      <c r="AZ57" s="65"/>
      <c r="BA57" s="65"/>
      <c r="BB57" s="65"/>
      <c r="BC57" s="65"/>
      <c r="BD57" s="65"/>
      <c r="BE57" s="65"/>
      <c r="BF57" s="65"/>
      <c r="BG57" s="65"/>
      <c r="BH57" s="65"/>
      <c r="BI57" s="65"/>
      <c r="BJ57" s="65"/>
      <c r="BK57" s="65"/>
      <c r="BL57" s="65"/>
      <c r="BM57" s="65"/>
      <c r="BN57" s="65"/>
      <c r="BO57" s="65"/>
      <c r="BP57" s="65"/>
      <c r="BQ57" s="65"/>
      <c r="BR57" s="65"/>
      <c r="BS57" s="65"/>
      <c r="BT57" s="65"/>
      <c r="BU57" s="65"/>
      <c r="BV57" s="65"/>
      <c r="BW57" s="65"/>
      <c r="BX57" s="65"/>
      <c r="BY57" s="65"/>
      <c r="BZ57" s="65"/>
      <c r="CA57" s="65"/>
      <c r="CB57" s="65"/>
      <c r="CC57" s="65"/>
      <c r="CD57" s="65"/>
      <c r="CE57" s="65"/>
      <c r="CF57" s="65"/>
      <c r="CG57" s="65"/>
      <c r="CH57" s="65"/>
      <c r="CI57" s="65"/>
      <c r="CJ57" s="65"/>
      <c r="CK57" s="65"/>
      <c r="CL57" s="65"/>
      <c r="CM57" s="65"/>
      <c r="CN57" s="65"/>
      <c r="CO57" s="65"/>
      <c r="CP57" s="65"/>
      <c r="CQ57" s="65"/>
      <c r="CR57" s="65"/>
      <c r="CS57" s="65"/>
      <c r="CT57" s="65"/>
      <c r="CU57" s="65"/>
      <c r="CV57" s="65"/>
      <c r="CW57" s="65"/>
      <c r="CX57" s="65"/>
      <c r="CY57" s="65"/>
      <c r="CZ57" s="65"/>
      <c r="DA57" s="65"/>
      <c r="DB57" s="65"/>
      <c r="DC57" s="65"/>
      <c r="DD57" s="65"/>
      <c r="DE57" s="65"/>
      <c r="DF57" s="65"/>
      <c r="DG57" s="65"/>
      <c r="DH57" s="65"/>
      <c r="DI57" s="65"/>
      <c r="DJ57" s="65"/>
      <c r="DK57" s="65"/>
      <c r="DL57" s="65"/>
      <c r="DM57" s="65"/>
      <c r="DN57" s="65"/>
      <c r="DO57" s="65"/>
      <c r="DP57" s="65"/>
      <c r="DQ57" s="65"/>
      <c r="DR57" s="65"/>
      <c r="DS57" s="65"/>
      <c r="DT57" s="65"/>
      <c r="DU57" s="65"/>
      <c r="DV57" s="65"/>
      <c r="DW57" s="65"/>
      <c r="DX57" s="65"/>
      <c r="DY57" s="65"/>
      <c r="DZ57" s="65"/>
      <c r="EA57" s="65"/>
      <c r="EB57" s="65"/>
      <c r="EC57" s="65"/>
      <c r="ED57" s="65"/>
      <c r="EE57" s="65"/>
      <c r="EF57" s="65"/>
      <c r="EG57" s="65"/>
      <c r="EH57" s="65"/>
      <c r="EI57" s="65"/>
      <c r="EJ57" s="65"/>
      <c r="EK57" s="65"/>
      <c r="EL57" s="65"/>
      <c r="EM57" s="65"/>
      <c r="EN57" s="65"/>
      <c r="EO57" s="65"/>
      <c r="EP57" s="65"/>
      <c r="EQ57" s="65"/>
      <c r="ER57" s="65"/>
      <c r="ES57" s="65"/>
      <c r="ET57" s="65"/>
      <c r="EU57" s="65"/>
      <c r="EV57" s="65"/>
      <c r="EW57" s="65"/>
      <c r="EX57" s="65"/>
      <c r="EY57" s="65"/>
      <c r="EZ57" s="65"/>
      <c r="FA57" s="65"/>
      <c r="FB57" s="65"/>
      <c r="FC57" s="65"/>
      <c r="FD57" s="65"/>
      <c r="FE57" s="65"/>
      <c r="FF57" s="65"/>
      <c r="FG57" s="65"/>
      <c r="FH57" s="65"/>
      <c r="FI57" s="65"/>
      <c r="FJ57" s="65"/>
      <c r="FK57" s="65"/>
      <c r="FL57" s="65"/>
      <c r="FM57" s="65"/>
      <c r="FN57" s="65"/>
      <c r="FO57" s="65"/>
      <c r="FP57" s="65"/>
      <c r="FQ57" s="65"/>
      <c r="FR57" s="65"/>
      <c r="FS57" s="65"/>
      <c r="FT57" s="65"/>
      <c r="FU57" s="65"/>
      <c r="FV57" s="65"/>
      <c r="FW57" s="65"/>
      <c r="FX57" s="65"/>
      <c r="FY57" s="65"/>
      <c r="FZ57" s="65"/>
      <c r="GA57" s="65"/>
      <c r="GB57" s="65"/>
      <c r="GC57" s="65"/>
      <c r="GD57" s="65"/>
      <c r="GE57" s="65"/>
      <c r="GF57" s="65"/>
      <c r="GG57" s="65"/>
      <c r="GH57" s="65"/>
      <c r="GI57" s="65"/>
      <c r="GJ57" s="65"/>
      <c r="GK57" s="65"/>
      <c r="GL57" s="65"/>
      <c r="GM57" s="65"/>
      <c r="GN57" s="65"/>
      <c r="GO57" s="65"/>
      <c r="GP57" s="65"/>
      <c r="GQ57" s="65"/>
      <c r="GR57" s="65"/>
      <c r="GS57" s="65"/>
      <c r="GT57" s="65"/>
      <c r="GU57" s="65"/>
      <c r="GV57" s="65"/>
      <c r="GW57" s="65"/>
      <c r="GX57" s="65"/>
      <c r="GY57" s="65"/>
      <c r="GZ57" s="65"/>
      <c r="HA57" s="65"/>
      <c r="HB57" s="65"/>
      <c r="HC57" s="65"/>
      <c r="HD57" s="65"/>
      <c r="HE57" s="65"/>
      <c r="HF57" s="65"/>
      <c r="HG57" s="65"/>
      <c r="HH57" s="65"/>
      <c r="HI57" s="65"/>
      <c r="HJ57" s="65"/>
      <c r="HK57" s="65"/>
      <c r="HL57" s="65"/>
      <c r="HM57" s="65"/>
      <c r="HN57" s="65"/>
      <c r="HO57" s="65"/>
    </row>
    <row r="58" spans="1:223" s="78" customFormat="1" ht="34.5" customHeight="1" x14ac:dyDescent="0.25">
      <c r="A58" s="353">
        <v>2025</v>
      </c>
      <c r="B58" s="354">
        <v>7</v>
      </c>
      <c r="C58" s="353">
        <v>22880</v>
      </c>
      <c r="D58" s="279">
        <v>45852</v>
      </c>
      <c r="E58" s="81" t="s">
        <v>2475</v>
      </c>
      <c r="F58" s="81" t="s">
        <v>2476</v>
      </c>
      <c r="H58" s="78">
        <v>3217106257</v>
      </c>
      <c r="I58" s="78">
        <v>4238382</v>
      </c>
      <c r="J58" s="66">
        <v>45855</v>
      </c>
      <c r="K58" s="78" t="s">
        <v>88</v>
      </c>
      <c r="L58" s="79" t="s">
        <v>2477</v>
      </c>
      <c r="M58" s="78" t="s">
        <v>136</v>
      </c>
      <c r="N58" s="78" t="s">
        <v>136</v>
      </c>
      <c r="O58" s="78" t="s">
        <v>136</v>
      </c>
      <c r="P58" s="78" t="s">
        <v>136</v>
      </c>
      <c r="Q58" s="78" t="s">
        <v>136</v>
      </c>
      <c r="R58" s="78" t="s">
        <v>136</v>
      </c>
      <c r="S58" s="78" t="s">
        <v>136</v>
      </c>
      <c r="T58" s="78" t="s">
        <v>136</v>
      </c>
      <c r="U58" s="78" t="s">
        <v>136</v>
      </c>
      <c r="V58" s="81" t="s">
        <v>89</v>
      </c>
      <c r="W58" s="66"/>
      <c r="X58" s="66">
        <v>45854</v>
      </c>
      <c r="Z58" s="80" t="s">
        <v>97</v>
      </c>
      <c r="AA58" s="371"/>
      <c r="AB58" s="78">
        <v>6078</v>
      </c>
      <c r="AC58" s="228"/>
      <c r="AD58" s="228">
        <f t="shared" si="0"/>
        <v>0</v>
      </c>
      <c r="AE58" s="303"/>
      <c r="AG58" s="210" t="s">
        <v>2478</v>
      </c>
      <c r="AH58" s="438"/>
      <c r="AI58" s="66">
        <v>45861</v>
      </c>
      <c r="AJ58" s="78" t="s">
        <v>1705</v>
      </c>
      <c r="AL58" s="65"/>
      <c r="AM58" s="65"/>
      <c r="AN58" s="65"/>
      <c r="AO58" s="65"/>
      <c r="AP58" s="65"/>
      <c r="AQ58" s="65"/>
      <c r="AR58" s="65"/>
      <c r="AS58" s="65"/>
      <c r="AT58" s="65"/>
      <c r="AU58" s="65"/>
      <c r="AV58" s="65"/>
      <c r="AW58" s="65"/>
      <c r="AX58" s="65"/>
      <c r="AY58" s="65"/>
      <c r="AZ58" s="65"/>
      <c r="BA58" s="65"/>
      <c r="BB58" s="65"/>
      <c r="BC58" s="65"/>
      <c r="BD58" s="65"/>
      <c r="BE58" s="65"/>
      <c r="BF58" s="65"/>
      <c r="BG58" s="65"/>
      <c r="BH58" s="65"/>
      <c r="BI58" s="65"/>
      <c r="BJ58" s="65"/>
      <c r="BK58" s="65"/>
      <c r="BL58" s="65"/>
      <c r="BM58" s="65"/>
      <c r="BN58" s="65"/>
      <c r="BO58" s="65"/>
      <c r="BP58" s="65"/>
      <c r="BQ58" s="65"/>
      <c r="BR58" s="65"/>
      <c r="BS58" s="65"/>
      <c r="BT58" s="65"/>
      <c r="BU58" s="65"/>
      <c r="BV58" s="65"/>
      <c r="BW58" s="65"/>
      <c r="BX58" s="65"/>
      <c r="BY58" s="65"/>
      <c r="BZ58" s="65"/>
      <c r="CA58" s="65"/>
      <c r="CB58" s="65"/>
      <c r="CC58" s="65"/>
      <c r="CD58" s="65"/>
      <c r="CE58" s="65"/>
      <c r="CF58" s="65"/>
      <c r="CG58" s="65"/>
      <c r="CH58" s="65"/>
      <c r="CI58" s="65"/>
      <c r="CJ58" s="65"/>
      <c r="CK58" s="65"/>
      <c r="CL58" s="65"/>
      <c r="CM58" s="65"/>
      <c r="CN58" s="65"/>
      <c r="CO58" s="65"/>
      <c r="CP58" s="65"/>
      <c r="CQ58" s="65"/>
      <c r="CR58" s="65"/>
      <c r="CS58" s="65"/>
      <c r="CT58" s="65"/>
      <c r="CU58" s="65"/>
      <c r="CV58" s="65"/>
      <c r="CW58" s="65"/>
      <c r="CX58" s="65"/>
      <c r="CY58" s="65"/>
      <c r="CZ58" s="65"/>
      <c r="DA58" s="65"/>
      <c r="DB58" s="65"/>
      <c r="DC58" s="65"/>
      <c r="DD58" s="65"/>
      <c r="DE58" s="65"/>
      <c r="DF58" s="65"/>
      <c r="DG58" s="65"/>
      <c r="DH58" s="65"/>
      <c r="DI58" s="65"/>
      <c r="DJ58" s="65"/>
      <c r="DK58" s="65"/>
      <c r="DL58" s="65"/>
      <c r="DM58" s="65"/>
      <c r="DN58" s="65"/>
      <c r="DO58" s="65"/>
      <c r="DP58" s="65"/>
      <c r="DQ58" s="65"/>
      <c r="DR58" s="65"/>
      <c r="DS58" s="65"/>
      <c r="DT58" s="65"/>
      <c r="DU58" s="65"/>
      <c r="DV58" s="65"/>
      <c r="DW58" s="65"/>
      <c r="DX58" s="65"/>
      <c r="DY58" s="65"/>
      <c r="DZ58" s="65"/>
      <c r="EA58" s="65"/>
      <c r="EB58" s="65"/>
      <c r="EC58" s="65"/>
      <c r="ED58" s="65"/>
      <c r="EE58" s="65"/>
      <c r="EF58" s="65"/>
      <c r="EG58" s="65"/>
      <c r="EH58" s="65"/>
      <c r="EI58" s="65"/>
      <c r="EJ58" s="65"/>
      <c r="EK58" s="65"/>
      <c r="EL58" s="65"/>
      <c r="EM58" s="65"/>
      <c r="EN58" s="65"/>
      <c r="EO58" s="65"/>
      <c r="EP58" s="65"/>
      <c r="EQ58" s="65"/>
      <c r="ER58" s="65"/>
      <c r="ES58" s="65"/>
      <c r="ET58" s="65"/>
      <c r="EU58" s="65"/>
      <c r="EV58" s="65"/>
      <c r="EW58" s="65"/>
      <c r="EX58" s="65"/>
      <c r="EY58" s="65"/>
      <c r="EZ58" s="65"/>
      <c r="FA58" s="65"/>
      <c r="FB58" s="65"/>
      <c r="FC58" s="65"/>
      <c r="FD58" s="65"/>
      <c r="FE58" s="65"/>
      <c r="FF58" s="65"/>
      <c r="FG58" s="65"/>
      <c r="FH58" s="65"/>
      <c r="FI58" s="65"/>
      <c r="FJ58" s="65"/>
      <c r="FK58" s="65"/>
      <c r="FL58" s="65"/>
      <c r="FM58" s="65"/>
      <c r="FN58" s="65"/>
      <c r="FO58" s="65"/>
      <c r="FP58" s="65"/>
      <c r="FQ58" s="65"/>
      <c r="FR58" s="65"/>
      <c r="FS58" s="65"/>
      <c r="FT58" s="65"/>
      <c r="FU58" s="65"/>
      <c r="FV58" s="65"/>
      <c r="FW58" s="65"/>
      <c r="FX58" s="65"/>
      <c r="FY58" s="65"/>
      <c r="FZ58" s="65"/>
      <c r="GA58" s="65"/>
      <c r="GB58" s="65"/>
      <c r="GC58" s="65"/>
      <c r="GD58" s="65"/>
      <c r="GE58" s="65"/>
      <c r="GF58" s="65"/>
      <c r="GG58" s="65"/>
      <c r="GH58" s="65"/>
      <c r="GI58" s="65"/>
      <c r="GJ58" s="65"/>
      <c r="GK58" s="65"/>
      <c r="GL58" s="65"/>
      <c r="GM58" s="65"/>
      <c r="GN58" s="65"/>
      <c r="GO58" s="65"/>
      <c r="GP58" s="65"/>
      <c r="GQ58" s="65"/>
      <c r="GR58" s="65"/>
      <c r="GS58" s="65"/>
      <c r="GT58" s="65"/>
      <c r="GU58" s="65"/>
      <c r="GV58" s="65"/>
      <c r="GW58" s="65"/>
      <c r="GX58" s="65"/>
      <c r="GY58" s="65"/>
      <c r="GZ58" s="65"/>
      <c r="HA58" s="65"/>
      <c r="HB58" s="65"/>
      <c r="HC58" s="65"/>
      <c r="HD58" s="65"/>
      <c r="HE58" s="65"/>
      <c r="HF58" s="65"/>
      <c r="HG58" s="65"/>
      <c r="HH58" s="65"/>
      <c r="HI58" s="65"/>
      <c r="HJ58" s="65"/>
      <c r="HK58" s="65"/>
      <c r="HL58" s="65"/>
      <c r="HM58" s="65"/>
      <c r="HN58" s="65"/>
      <c r="HO58" s="65"/>
    </row>
    <row r="59" spans="1:223" s="78" customFormat="1" ht="34.5" customHeight="1" x14ac:dyDescent="0.25">
      <c r="A59" s="353">
        <v>2025</v>
      </c>
      <c r="B59" s="354">
        <v>7</v>
      </c>
      <c r="C59" s="353">
        <v>22881</v>
      </c>
      <c r="D59" s="279">
        <v>45856</v>
      </c>
      <c r="E59" s="81" t="s">
        <v>2316</v>
      </c>
      <c r="F59" s="81" t="s">
        <v>394</v>
      </c>
      <c r="G59" s="78" t="s">
        <v>98</v>
      </c>
      <c r="H59" s="78">
        <v>3182855494</v>
      </c>
      <c r="I59" s="78">
        <v>3182855494</v>
      </c>
      <c r="J59" s="66">
        <v>45866</v>
      </c>
      <c r="K59" s="78" t="s">
        <v>88</v>
      </c>
      <c r="L59" s="79" t="s">
        <v>2450</v>
      </c>
      <c r="M59" s="78" t="s">
        <v>136</v>
      </c>
      <c r="N59" s="78">
        <v>6108</v>
      </c>
      <c r="O59" s="78" t="s">
        <v>136</v>
      </c>
      <c r="P59" s="78">
        <v>9470</v>
      </c>
      <c r="Q59" s="78" t="s">
        <v>136</v>
      </c>
      <c r="R59" s="78" t="s">
        <v>136</v>
      </c>
      <c r="S59" s="78" t="s">
        <v>134</v>
      </c>
      <c r="T59" s="78" t="s">
        <v>136</v>
      </c>
      <c r="U59" s="78" t="s">
        <v>136</v>
      </c>
      <c r="V59" s="81" t="s">
        <v>119</v>
      </c>
      <c r="W59" s="66"/>
      <c r="X59" s="66"/>
      <c r="Z59" s="80" t="s">
        <v>114</v>
      </c>
      <c r="AA59" s="371">
        <v>261800</v>
      </c>
      <c r="AC59" s="228">
        <v>220000</v>
      </c>
      <c r="AD59" s="228">
        <f t="shared" si="0"/>
        <v>261800</v>
      </c>
      <c r="AE59" s="303"/>
      <c r="AG59" s="210"/>
      <c r="AH59" s="403"/>
      <c r="AI59" s="66">
        <v>45859</v>
      </c>
      <c r="AJ59" s="78" t="s">
        <v>1705</v>
      </c>
      <c r="AL59" s="65"/>
      <c r="AM59" s="65"/>
      <c r="AN59" s="65"/>
      <c r="AO59" s="65"/>
      <c r="AP59" s="65"/>
      <c r="AQ59" s="65"/>
      <c r="AR59" s="65"/>
      <c r="AS59" s="65"/>
      <c r="AT59" s="65"/>
      <c r="AU59" s="65"/>
      <c r="AV59" s="65"/>
      <c r="AW59" s="65"/>
      <c r="AX59" s="65"/>
      <c r="AY59" s="65"/>
      <c r="AZ59" s="65"/>
      <c r="BA59" s="65"/>
      <c r="BB59" s="65"/>
      <c r="BC59" s="65"/>
      <c r="BD59" s="65"/>
      <c r="BE59" s="65"/>
      <c r="BF59" s="65"/>
      <c r="BG59" s="65"/>
      <c r="BH59" s="65"/>
      <c r="BI59" s="65"/>
      <c r="BJ59" s="65"/>
      <c r="BK59" s="65"/>
      <c r="BL59" s="65"/>
      <c r="BM59" s="65"/>
      <c r="BN59" s="65"/>
      <c r="BO59" s="65"/>
      <c r="BP59" s="65"/>
      <c r="BQ59" s="65"/>
      <c r="BR59" s="65"/>
      <c r="BS59" s="65"/>
      <c r="BT59" s="65"/>
      <c r="BU59" s="65"/>
      <c r="BV59" s="65"/>
      <c r="BW59" s="65"/>
      <c r="BX59" s="65"/>
      <c r="BY59" s="65"/>
      <c r="BZ59" s="65"/>
      <c r="CA59" s="65"/>
      <c r="CB59" s="65"/>
      <c r="CC59" s="65"/>
      <c r="CD59" s="65"/>
      <c r="CE59" s="65"/>
      <c r="CF59" s="65"/>
      <c r="CG59" s="65"/>
      <c r="CH59" s="65"/>
      <c r="CI59" s="65"/>
      <c r="CJ59" s="65"/>
      <c r="CK59" s="65"/>
      <c r="CL59" s="65"/>
      <c r="CM59" s="65"/>
      <c r="CN59" s="65"/>
      <c r="CO59" s="65"/>
      <c r="CP59" s="65"/>
      <c r="CQ59" s="65"/>
      <c r="CR59" s="65"/>
      <c r="CS59" s="65"/>
      <c r="CT59" s="65"/>
      <c r="CU59" s="65"/>
      <c r="CV59" s="65"/>
      <c r="CW59" s="65"/>
      <c r="CX59" s="65"/>
      <c r="CY59" s="65"/>
      <c r="CZ59" s="65"/>
      <c r="DA59" s="65"/>
      <c r="DB59" s="65"/>
      <c r="DC59" s="65"/>
      <c r="DD59" s="65"/>
      <c r="DE59" s="65"/>
      <c r="DF59" s="65"/>
      <c r="DG59" s="65"/>
      <c r="DH59" s="65"/>
      <c r="DI59" s="65"/>
      <c r="DJ59" s="65"/>
      <c r="DK59" s="65"/>
      <c r="DL59" s="65"/>
      <c r="DM59" s="65"/>
      <c r="DN59" s="65"/>
      <c r="DO59" s="65"/>
      <c r="DP59" s="65"/>
      <c r="DQ59" s="65"/>
      <c r="DR59" s="65"/>
      <c r="DS59" s="65"/>
      <c r="DT59" s="65"/>
      <c r="DU59" s="65"/>
      <c r="DV59" s="65"/>
      <c r="DW59" s="65"/>
      <c r="DX59" s="65"/>
      <c r="DY59" s="65"/>
      <c r="DZ59" s="65"/>
      <c r="EA59" s="65"/>
      <c r="EB59" s="65"/>
      <c r="EC59" s="65"/>
      <c r="ED59" s="65"/>
      <c r="EE59" s="65"/>
      <c r="EF59" s="65"/>
      <c r="EG59" s="65"/>
      <c r="EH59" s="65"/>
      <c r="EI59" s="65"/>
      <c r="EJ59" s="65"/>
      <c r="EK59" s="65"/>
      <c r="EL59" s="65"/>
      <c r="EM59" s="65"/>
      <c r="EN59" s="65"/>
      <c r="EO59" s="65"/>
      <c r="EP59" s="65"/>
      <c r="EQ59" s="65"/>
      <c r="ER59" s="65"/>
      <c r="ES59" s="65"/>
      <c r="ET59" s="65"/>
      <c r="EU59" s="65"/>
      <c r="EV59" s="65"/>
      <c r="EW59" s="65"/>
      <c r="EX59" s="65"/>
      <c r="EY59" s="65"/>
      <c r="EZ59" s="65"/>
      <c r="FA59" s="65"/>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c r="GO59" s="65"/>
      <c r="GP59" s="65"/>
      <c r="GQ59" s="65"/>
      <c r="GR59" s="65"/>
      <c r="GS59" s="65"/>
      <c r="GT59" s="65"/>
      <c r="GU59" s="65"/>
      <c r="GV59" s="65"/>
      <c r="GW59" s="65"/>
      <c r="GX59" s="65"/>
      <c r="GY59" s="65"/>
      <c r="GZ59" s="65"/>
      <c r="HA59" s="65"/>
      <c r="HB59" s="65"/>
      <c r="HC59" s="65"/>
      <c r="HD59" s="65"/>
      <c r="HE59" s="65"/>
      <c r="HF59" s="65"/>
      <c r="HG59" s="65"/>
      <c r="HH59" s="65"/>
      <c r="HI59" s="65"/>
      <c r="HJ59" s="65"/>
      <c r="HK59" s="65"/>
      <c r="HL59" s="65"/>
      <c r="HM59" s="65"/>
      <c r="HN59" s="65"/>
      <c r="HO59" s="65"/>
    </row>
    <row r="60" spans="1:223" s="78" customFormat="1" ht="34.5" customHeight="1" x14ac:dyDescent="0.25">
      <c r="A60" s="353">
        <v>2025</v>
      </c>
      <c r="B60" s="354">
        <v>7</v>
      </c>
      <c r="C60" s="355">
        <v>22882</v>
      </c>
      <c r="D60" s="279">
        <v>45856</v>
      </c>
      <c r="E60" s="81" t="s">
        <v>1837</v>
      </c>
      <c r="F60" s="81" t="s">
        <v>1837</v>
      </c>
      <c r="G60" s="78" t="s">
        <v>143</v>
      </c>
      <c r="H60" s="78">
        <v>3012431470</v>
      </c>
      <c r="I60" s="78">
        <v>3012431470</v>
      </c>
      <c r="J60" s="66">
        <v>45868</v>
      </c>
      <c r="K60" s="78" t="s">
        <v>84</v>
      </c>
      <c r="L60" s="79" t="s">
        <v>2451</v>
      </c>
      <c r="M60" s="78" t="s">
        <v>136</v>
      </c>
      <c r="N60" s="78">
        <v>6109</v>
      </c>
      <c r="O60" s="78">
        <v>6943</v>
      </c>
      <c r="P60" s="78">
        <v>9475</v>
      </c>
      <c r="Q60" s="78" t="s">
        <v>136</v>
      </c>
      <c r="R60" s="78" t="s">
        <v>134</v>
      </c>
      <c r="S60" s="78" t="s">
        <v>134</v>
      </c>
      <c r="T60" s="78" t="s">
        <v>134</v>
      </c>
      <c r="U60" s="78" t="s">
        <v>136</v>
      </c>
      <c r="V60" s="81" t="s">
        <v>119</v>
      </c>
      <c r="W60" s="66"/>
      <c r="X60" s="66"/>
      <c r="Z60" s="80" t="s">
        <v>114</v>
      </c>
      <c r="AA60" s="371">
        <v>393797</v>
      </c>
      <c r="AC60" s="228">
        <v>3309222</v>
      </c>
      <c r="AD60" s="228">
        <f t="shared" si="0"/>
        <v>3937974.1799999997</v>
      </c>
      <c r="AE60" s="303"/>
      <c r="AG60" s="210"/>
      <c r="AH60" s="403"/>
      <c r="AI60" s="66">
        <v>45859</v>
      </c>
      <c r="AJ60" s="78" t="s">
        <v>1705</v>
      </c>
      <c r="AL60" s="65"/>
      <c r="AM60" s="65"/>
      <c r="AN60" s="65"/>
      <c r="AO60" s="65"/>
      <c r="AP60" s="65"/>
      <c r="AQ60" s="65"/>
      <c r="AR60" s="65"/>
      <c r="AS60" s="65"/>
      <c r="AT60" s="65"/>
      <c r="AU60" s="65"/>
      <c r="AV60" s="65"/>
      <c r="AW60" s="65"/>
      <c r="AX60" s="65"/>
      <c r="AY60" s="65"/>
      <c r="AZ60" s="65"/>
      <c r="BA60" s="65"/>
      <c r="BB60" s="65"/>
      <c r="BC60" s="65"/>
      <c r="BD60" s="65"/>
      <c r="BE60" s="65"/>
      <c r="BF60" s="65"/>
      <c r="BG60" s="65"/>
      <c r="BH60" s="65"/>
      <c r="BI60" s="65"/>
      <c r="BJ60" s="65"/>
      <c r="BK60" s="65"/>
      <c r="BL60" s="65"/>
      <c r="BM60" s="65"/>
      <c r="BN60" s="65"/>
      <c r="BO60" s="65"/>
      <c r="BP60" s="65"/>
      <c r="BQ60" s="65"/>
      <c r="BR60" s="65"/>
      <c r="BS60" s="65"/>
      <c r="BT60" s="65"/>
      <c r="BU60" s="65"/>
      <c r="BV60" s="65"/>
      <c r="BW60" s="65"/>
      <c r="BX60" s="65"/>
      <c r="BY60" s="65"/>
      <c r="BZ60" s="65"/>
      <c r="CA60" s="65"/>
      <c r="CB60" s="65"/>
      <c r="CC60" s="65"/>
      <c r="CD60" s="65"/>
      <c r="CE60" s="65"/>
      <c r="CF60" s="65"/>
      <c r="CG60" s="65"/>
      <c r="CH60" s="65"/>
      <c r="CI60" s="65"/>
      <c r="CJ60" s="65"/>
      <c r="CK60" s="65"/>
      <c r="CL60" s="65"/>
      <c r="CM60" s="65"/>
      <c r="CN60" s="65"/>
      <c r="CO60" s="65"/>
      <c r="CP60" s="65"/>
      <c r="CQ60" s="65"/>
      <c r="CR60" s="65"/>
      <c r="CS60" s="65"/>
      <c r="CT60" s="65"/>
      <c r="CU60" s="65"/>
      <c r="CV60" s="65"/>
      <c r="CW60" s="65"/>
      <c r="CX60" s="65"/>
      <c r="CY60" s="65"/>
      <c r="CZ60" s="65"/>
      <c r="DA60" s="65"/>
      <c r="DB60" s="65"/>
      <c r="DC60" s="65"/>
      <c r="DD60" s="65"/>
      <c r="DE60" s="65"/>
      <c r="DF60" s="65"/>
      <c r="DG60" s="65"/>
      <c r="DH60" s="65"/>
      <c r="DI60" s="65"/>
      <c r="DJ60" s="65"/>
      <c r="DK60" s="65"/>
      <c r="DL60" s="65"/>
      <c r="DM60" s="65"/>
      <c r="DN60" s="65"/>
      <c r="DO60" s="65"/>
      <c r="DP60" s="65"/>
      <c r="DQ60" s="65"/>
      <c r="DR60" s="65"/>
      <c r="DS60" s="65"/>
      <c r="DT60" s="65"/>
      <c r="DU60" s="65"/>
      <c r="DV60" s="65"/>
      <c r="DW60" s="65"/>
      <c r="DX60" s="65"/>
      <c r="DY60" s="65"/>
      <c r="DZ60" s="65"/>
      <c r="EA60" s="65"/>
      <c r="EB60" s="65"/>
      <c r="EC60" s="65"/>
      <c r="ED60" s="65"/>
      <c r="EE60" s="65"/>
      <c r="EF60" s="65"/>
      <c r="EG60" s="65"/>
      <c r="EH60" s="65"/>
      <c r="EI60" s="65"/>
      <c r="EJ60" s="65"/>
      <c r="EK60" s="65"/>
      <c r="EL60" s="65"/>
      <c r="EM60" s="65"/>
      <c r="EN60" s="65"/>
      <c r="EO60" s="65"/>
      <c r="EP60" s="65"/>
      <c r="EQ60" s="65"/>
      <c r="ER60" s="65"/>
      <c r="ES60" s="65"/>
      <c r="ET60" s="65"/>
      <c r="EU60" s="65"/>
      <c r="EV60" s="65"/>
      <c r="EW60" s="65"/>
      <c r="EX60" s="65"/>
      <c r="EY60" s="65"/>
      <c r="EZ60" s="65"/>
      <c r="FA60" s="65"/>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c r="GO60" s="65"/>
      <c r="GP60" s="65"/>
      <c r="GQ60" s="65"/>
      <c r="GR60" s="65"/>
      <c r="GS60" s="65"/>
      <c r="GT60" s="65"/>
      <c r="GU60" s="65"/>
      <c r="GV60" s="65"/>
      <c r="GW60" s="65"/>
      <c r="GX60" s="65"/>
      <c r="GY60" s="65"/>
      <c r="GZ60" s="65"/>
      <c r="HA60" s="65"/>
      <c r="HB60" s="65"/>
      <c r="HC60" s="65"/>
      <c r="HD60" s="65"/>
      <c r="HE60" s="65"/>
      <c r="HF60" s="65"/>
      <c r="HG60" s="65"/>
      <c r="HH60" s="65"/>
      <c r="HI60" s="65"/>
      <c r="HJ60" s="65"/>
      <c r="HK60" s="65"/>
      <c r="HL60" s="65"/>
      <c r="HM60" s="65"/>
      <c r="HN60" s="65"/>
      <c r="HO60" s="65"/>
    </row>
    <row r="61" spans="1:223" s="78" customFormat="1" ht="34.5" customHeight="1" x14ac:dyDescent="0.25">
      <c r="A61" s="353">
        <v>2025</v>
      </c>
      <c r="B61" s="354">
        <v>7</v>
      </c>
      <c r="C61" s="353">
        <v>22883</v>
      </c>
      <c r="D61" s="279">
        <v>45856</v>
      </c>
      <c r="E61" s="81" t="s">
        <v>2491</v>
      </c>
      <c r="F61" s="81" t="s">
        <v>2492</v>
      </c>
      <c r="G61" s="78" t="s">
        <v>143</v>
      </c>
      <c r="H61" s="78">
        <v>3176392675</v>
      </c>
      <c r="I61" s="78">
        <v>2314403</v>
      </c>
      <c r="J61" s="66">
        <v>45869</v>
      </c>
      <c r="K61" s="78" t="s">
        <v>88</v>
      </c>
      <c r="L61" s="79" t="s">
        <v>2493</v>
      </c>
      <c r="M61" s="78" t="s">
        <v>136</v>
      </c>
      <c r="N61" s="78">
        <v>6110</v>
      </c>
      <c r="O61" s="78">
        <v>6944</v>
      </c>
      <c r="P61" s="78">
        <v>9477</v>
      </c>
      <c r="Q61" s="78">
        <v>5600</v>
      </c>
      <c r="R61" s="78" t="s">
        <v>136</v>
      </c>
      <c r="S61" s="78" t="s">
        <v>134</v>
      </c>
      <c r="T61" s="78" t="s">
        <v>134</v>
      </c>
      <c r="U61" s="78" t="s">
        <v>136</v>
      </c>
      <c r="V61" s="81" t="s">
        <v>119</v>
      </c>
      <c r="W61" s="66"/>
      <c r="X61" s="66"/>
      <c r="Z61" s="80" t="s">
        <v>114</v>
      </c>
      <c r="AA61" s="371"/>
      <c r="AC61" s="228">
        <v>2670573</v>
      </c>
      <c r="AD61" s="228">
        <f t="shared" si="0"/>
        <v>3177981.8699999996</v>
      </c>
      <c r="AE61" s="303">
        <v>1600000</v>
      </c>
      <c r="AG61" s="210"/>
      <c r="AH61" s="403"/>
      <c r="AI61" s="66">
        <v>45861</v>
      </c>
      <c r="AL61" s="65"/>
      <c r="AM61" s="65"/>
      <c r="AN61" s="65"/>
      <c r="AO61" s="65"/>
      <c r="AP61" s="65"/>
      <c r="AQ61" s="65"/>
      <c r="AR61" s="65"/>
      <c r="AS61" s="65"/>
      <c r="AT61" s="65"/>
      <c r="AU61" s="65"/>
      <c r="AV61" s="65"/>
      <c r="AW61" s="65"/>
      <c r="AX61" s="65"/>
      <c r="AY61" s="65"/>
      <c r="AZ61" s="65"/>
      <c r="BA61" s="65"/>
      <c r="BB61" s="65"/>
      <c r="BC61" s="65"/>
      <c r="BD61" s="65"/>
      <c r="BE61" s="65"/>
      <c r="BF61" s="65"/>
      <c r="BG61" s="65"/>
      <c r="BH61" s="65"/>
      <c r="BI61" s="65"/>
      <c r="BJ61" s="65"/>
      <c r="BK61" s="65"/>
      <c r="BL61" s="65"/>
      <c r="BM61" s="65"/>
      <c r="BN61" s="65"/>
      <c r="BO61" s="65"/>
      <c r="BP61" s="65"/>
      <c r="BQ61" s="65"/>
      <c r="BR61" s="65"/>
      <c r="BS61" s="65"/>
      <c r="BT61" s="65"/>
      <c r="BU61" s="65"/>
      <c r="BV61" s="65"/>
      <c r="BW61" s="65"/>
      <c r="BX61" s="65"/>
      <c r="BY61" s="65"/>
      <c r="BZ61" s="65"/>
      <c r="CA61" s="65"/>
      <c r="CB61" s="65"/>
      <c r="CC61" s="65"/>
      <c r="CD61" s="65"/>
      <c r="CE61" s="65"/>
      <c r="CF61" s="65"/>
      <c r="CG61" s="65"/>
      <c r="CH61" s="65"/>
      <c r="CI61" s="65"/>
      <c r="CJ61" s="65"/>
      <c r="CK61" s="65"/>
      <c r="CL61" s="65"/>
      <c r="CM61" s="65"/>
      <c r="CN61" s="65"/>
      <c r="CO61" s="65"/>
      <c r="CP61" s="65"/>
      <c r="CQ61" s="65"/>
      <c r="CR61" s="65"/>
      <c r="CS61" s="65"/>
      <c r="CT61" s="65"/>
      <c r="CU61" s="65"/>
      <c r="CV61" s="65"/>
      <c r="CW61" s="65"/>
      <c r="CX61" s="65"/>
      <c r="CY61" s="65"/>
      <c r="CZ61" s="65"/>
      <c r="DA61" s="65"/>
      <c r="DB61" s="65"/>
      <c r="DC61" s="65"/>
      <c r="DD61" s="65"/>
      <c r="DE61" s="65"/>
      <c r="DF61" s="65"/>
      <c r="DG61" s="65"/>
      <c r="DH61" s="65"/>
      <c r="DI61" s="65"/>
      <c r="DJ61" s="65"/>
      <c r="DK61" s="65"/>
      <c r="DL61" s="65"/>
      <c r="DM61" s="65"/>
      <c r="DN61" s="65"/>
      <c r="DO61" s="65"/>
      <c r="DP61" s="65"/>
      <c r="DQ61" s="65"/>
      <c r="DR61" s="65"/>
      <c r="DS61" s="65"/>
      <c r="DT61" s="65"/>
      <c r="DU61" s="65"/>
      <c r="DV61" s="65"/>
      <c r="DW61" s="65"/>
      <c r="DX61" s="65"/>
      <c r="DY61" s="65"/>
      <c r="DZ61" s="65"/>
      <c r="EA61" s="65"/>
      <c r="EB61" s="65"/>
      <c r="EC61" s="65"/>
      <c r="ED61" s="65"/>
      <c r="EE61" s="65"/>
      <c r="EF61" s="65"/>
      <c r="EG61" s="65"/>
      <c r="EH61" s="65"/>
      <c r="EI61" s="65"/>
      <c r="EJ61" s="65"/>
      <c r="EK61" s="65"/>
      <c r="EL61" s="65"/>
      <c r="EM61" s="65"/>
      <c r="EN61" s="65"/>
      <c r="EO61" s="65"/>
      <c r="EP61" s="65"/>
      <c r="EQ61" s="65"/>
      <c r="ER61" s="65"/>
      <c r="ES61" s="65"/>
      <c r="ET61" s="65"/>
      <c r="EU61" s="65"/>
      <c r="EV61" s="65"/>
      <c r="EW61" s="65"/>
      <c r="EX61" s="65"/>
      <c r="EY61" s="65"/>
      <c r="EZ61" s="65"/>
      <c r="FA61" s="65"/>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c r="GO61" s="65"/>
      <c r="GP61" s="65"/>
      <c r="GQ61" s="65"/>
      <c r="GR61" s="65"/>
      <c r="GS61" s="65"/>
      <c r="GT61" s="65"/>
      <c r="GU61" s="65"/>
      <c r="GV61" s="65"/>
      <c r="GW61" s="65"/>
      <c r="GX61" s="65"/>
      <c r="GY61" s="65"/>
      <c r="GZ61" s="65"/>
      <c r="HA61" s="65"/>
      <c r="HB61" s="65"/>
      <c r="HC61" s="65"/>
      <c r="HD61" s="65"/>
      <c r="HE61" s="65"/>
      <c r="HF61" s="65"/>
      <c r="HG61" s="65"/>
      <c r="HH61" s="65"/>
      <c r="HI61" s="65"/>
      <c r="HJ61" s="65"/>
      <c r="HK61" s="65"/>
      <c r="HL61" s="65"/>
      <c r="HM61" s="65"/>
      <c r="HN61" s="65"/>
      <c r="HO61" s="65"/>
    </row>
    <row r="62" spans="1:223" s="78" customFormat="1" ht="34.5" customHeight="1" x14ac:dyDescent="0.25">
      <c r="A62" s="353">
        <v>2025</v>
      </c>
      <c r="B62" s="354">
        <v>7</v>
      </c>
      <c r="C62" s="353">
        <v>22884</v>
      </c>
      <c r="D62" s="279">
        <v>45853</v>
      </c>
      <c r="E62" s="81" t="s">
        <v>2452</v>
      </c>
      <c r="F62" s="81" t="s">
        <v>2453</v>
      </c>
      <c r="H62" s="78">
        <v>3156170995</v>
      </c>
      <c r="I62" s="78">
        <v>4005100</v>
      </c>
      <c r="J62" s="66">
        <v>45863</v>
      </c>
      <c r="K62" s="78" t="s">
        <v>88</v>
      </c>
      <c r="L62" s="79" t="s">
        <v>2454</v>
      </c>
      <c r="M62" s="78" t="s">
        <v>136</v>
      </c>
      <c r="N62" s="78">
        <v>6104</v>
      </c>
      <c r="O62" s="78">
        <v>6938</v>
      </c>
      <c r="P62" s="78">
        <v>9472</v>
      </c>
      <c r="Q62" s="78">
        <v>5653</v>
      </c>
      <c r="R62" s="78" t="s">
        <v>134</v>
      </c>
      <c r="S62" s="78" t="s">
        <v>134</v>
      </c>
      <c r="T62" s="78" t="s">
        <v>134</v>
      </c>
      <c r="U62" s="78" t="s">
        <v>136</v>
      </c>
      <c r="V62" s="81" t="s">
        <v>2336</v>
      </c>
      <c r="W62" s="66"/>
      <c r="X62" s="66"/>
      <c r="Z62" s="80" t="s">
        <v>114</v>
      </c>
      <c r="AA62" s="371"/>
      <c r="AC62" s="228">
        <v>1178113</v>
      </c>
      <c r="AD62" s="228">
        <f t="shared" si="0"/>
        <v>1401954.47</v>
      </c>
      <c r="AE62" s="303"/>
      <c r="AG62" s="210" t="s">
        <v>2484</v>
      </c>
      <c r="AH62" s="66"/>
      <c r="AI62" s="66">
        <v>45861</v>
      </c>
      <c r="AJ62" s="78" t="s">
        <v>1705</v>
      </c>
      <c r="AK62" s="434"/>
      <c r="AL62" s="65"/>
      <c r="AM62" s="65"/>
      <c r="AN62" s="65"/>
      <c r="AO62" s="65"/>
      <c r="AP62" s="65"/>
      <c r="AQ62" s="65"/>
      <c r="AR62" s="65"/>
      <c r="AS62" s="65"/>
      <c r="AT62" s="65"/>
      <c r="AU62" s="65"/>
      <c r="AV62" s="65"/>
      <c r="AW62" s="65"/>
      <c r="AX62" s="65"/>
      <c r="AY62" s="65"/>
      <c r="AZ62" s="65"/>
      <c r="BA62" s="65"/>
      <c r="BB62" s="65"/>
      <c r="BC62" s="65"/>
      <c r="BD62" s="65"/>
      <c r="BE62" s="65"/>
      <c r="BF62" s="65"/>
      <c r="BG62" s="65"/>
      <c r="BH62" s="65"/>
      <c r="BI62" s="65"/>
      <c r="BJ62" s="65"/>
      <c r="BK62" s="65"/>
      <c r="BL62" s="65"/>
      <c r="BM62" s="65"/>
      <c r="BN62" s="65"/>
      <c r="BO62" s="65"/>
      <c r="BP62" s="65"/>
      <c r="BQ62" s="65"/>
      <c r="BR62" s="65"/>
      <c r="BS62" s="65"/>
      <c r="BT62" s="65"/>
      <c r="BU62" s="65"/>
      <c r="BV62" s="65"/>
      <c r="BW62" s="65"/>
      <c r="BX62" s="65"/>
      <c r="BY62" s="65"/>
      <c r="BZ62" s="65"/>
      <c r="CA62" s="65"/>
      <c r="CB62" s="65"/>
      <c r="CC62" s="65"/>
      <c r="CD62" s="65"/>
      <c r="CE62" s="65"/>
      <c r="CF62" s="65"/>
      <c r="CG62" s="65"/>
      <c r="CH62" s="65"/>
      <c r="CI62" s="65"/>
      <c r="CJ62" s="65"/>
      <c r="CK62" s="65"/>
      <c r="CL62" s="65"/>
      <c r="CM62" s="65"/>
      <c r="CN62" s="65"/>
      <c r="CO62" s="65"/>
      <c r="CP62" s="65"/>
      <c r="CQ62" s="65"/>
      <c r="CR62" s="65"/>
      <c r="CS62" s="65"/>
      <c r="CT62" s="65"/>
      <c r="CU62" s="65"/>
      <c r="CV62" s="65"/>
      <c r="CW62" s="65"/>
      <c r="CX62" s="65"/>
      <c r="CY62" s="65"/>
      <c r="CZ62" s="65"/>
      <c r="DA62" s="65"/>
      <c r="DB62" s="65"/>
      <c r="DC62" s="65"/>
      <c r="DD62" s="65"/>
      <c r="DE62" s="65"/>
      <c r="DF62" s="65"/>
      <c r="DG62" s="65"/>
      <c r="DH62" s="65"/>
      <c r="DI62" s="65"/>
      <c r="DJ62" s="65"/>
      <c r="DK62" s="65"/>
      <c r="DL62" s="65"/>
      <c r="DM62" s="65"/>
      <c r="DN62" s="65"/>
      <c r="DO62" s="65"/>
      <c r="DP62" s="65"/>
      <c r="DQ62" s="65"/>
      <c r="DR62" s="65"/>
      <c r="DS62" s="65"/>
      <c r="DT62" s="65"/>
      <c r="DU62" s="65"/>
      <c r="DV62" s="65"/>
      <c r="DW62" s="65"/>
      <c r="DX62" s="65"/>
      <c r="DY62" s="65"/>
      <c r="DZ62" s="65"/>
      <c r="EA62" s="65"/>
      <c r="EB62" s="65"/>
      <c r="EC62" s="65"/>
      <c r="ED62" s="65"/>
      <c r="EE62" s="65"/>
      <c r="EF62" s="65"/>
      <c r="EG62" s="65"/>
      <c r="EH62" s="65"/>
      <c r="EI62" s="65"/>
      <c r="EJ62" s="65"/>
      <c r="EK62" s="65"/>
      <c r="EL62" s="65"/>
      <c r="EM62" s="65"/>
      <c r="EN62" s="65"/>
      <c r="EO62" s="65"/>
      <c r="EP62" s="65"/>
      <c r="EQ62" s="65"/>
      <c r="ER62" s="65"/>
      <c r="ES62" s="65"/>
      <c r="ET62" s="65"/>
      <c r="EU62" s="65"/>
      <c r="EV62" s="65"/>
      <c r="EW62" s="65"/>
      <c r="EX62" s="65"/>
      <c r="EY62" s="65"/>
      <c r="EZ62" s="65"/>
      <c r="FA62" s="65"/>
      <c r="FB62" s="65"/>
      <c r="FC62" s="65"/>
      <c r="FD62" s="65"/>
      <c r="FE62" s="65"/>
      <c r="FF62" s="65"/>
      <c r="FG62" s="65"/>
      <c r="FH62" s="65"/>
      <c r="FI62" s="65"/>
      <c r="FJ62" s="65"/>
      <c r="FK62" s="65"/>
      <c r="FL62" s="65"/>
      <c r="FM62" s="65"/>
      <c r="FN62" s="65"/>
      <c r="FO62" s="65"/>
      <c r="FP62" s="65"/>
      <c r="FQ62" s="65"/>
      <c r="FR62" s="65"/>
      <c r="FS62" s="65"/>
      <c r="FT62" s="65"/>
      <c r="FU62" s="65"/>
      <c r="FV62" s="65"/>
      <c r="FW62" s="65"/>
      <c r="FX62" s="65"/>
      <c r="FY62" s="65"/>
      <c r="FZ62" s="65"/>
      <c r="GA62" s="65"/>
      <c r="GB62" s="65"/>
      <c r="GC62" s="65"/>
      <c r="GD62" s="65"/>
      <c r="GE62" s="65"/>
      <c r="GF62" s="65"/>
      <c r="GG62" s="65"/>
      <c r="GH62" s="65"/>
      <c r="GI62" s="65"/>
      <c r="GJ62" s="65"/>
      <c r="GK62" s="65"/>
      <c r="GL62" s="65"/>
      <c r="GM62" s="65"/>
      <c r="GN62" s="65"/>
      <c r="GO62" s="65"/>
      <c r="GP62" s="65"/>
      <c r="GQ62" s="65"/>
      <c r="GR62" s="65"/>
      <c r="GS62" s="65"/>
      <c r="GT62" s="65"/>
      <c r="GU62" s="65"/>
      <c r="GV62" s="65"/>
      <c r="GW62" s="65"/>
      <c r="GX62" s="65"/>
      <c r="GY62" s="65"/>
      <c r="GZ62" s="65"/>
      <c r="HA62" s="65"/>
      <c r="HB62" s="65"/>
      <c r="HC62" s="65"/>
      <c r="HD62" s="65"/>
      <c r="HE62" s="65"/>
      <c r="HF62" s="65"/>
      <c r="HG62" s="65"/>
      <c r="HH62" s="65"/>
      <c r="HI62" s="65"/>
      <c r="HJ62" s="65"/>
      <c r="HK62" s="65"/>
      <c r="HL62" s="65"/>
      <c r="HM62" s="65"/>
      <c r="HN62" s="65"/>
      <c r="HO62" s="65"/>
    </row>
    <row r="63" spans="1:223" s="78" customFormat="1" ht="34.5" customHeight="1" x14ac:dyDescent="0.25">
      <c r="A63" s="353">
        <v>2025</v>
      </c>
      <c r="B63" s="354">
        <v>7</v>
      </c>
      <c r="C63" s="355">
        <v>22885</v>
      </c>
      <c r="D63" s="279">
        <v>45853</v>
      </c>
      <c r="E63" s="81" t="s">
        <v>2489</v>
      </c>
      <c r="F63" s="81" t="s">
        <v>2489</v>
      </c>
      <c r="H63" s="78">
        <v>3246158659</v>
      </c>
      <c r="I63" s="78">
        <v>3246158659</v>
      </c>
      <c r="J63" s="66">
        <v>45864</v>
      </c>
      <c r="K63" s="78" t="s">
        <v>88</v>
      </c>
      <c r="L63" s="79" t="s">
        <v>2490</v>
      </c>
      <c r="M63" s="78" t="s">
        <v>136</v>
      </c>
      <c r="N63" s="78">
        <v>6111</v>
      </c>
      <c r="O63" s="78">
        <v>6946</v>
      </c>
      <c r="P63" s="78">
        <v>9284</v>
      </c>
      <c r="Q63" s="78">
        <v>5667</v>
      </c>
      <c r="R63" s="78" t="s">
        <v>136</v>
      </c>
      <c r="S63" s="78" t="s">
        <v>134</v>
      </c>
      <c r="T63" s="78" t="s">
        <v>134</v>
      </c>
      <c r="U63" s="78" t="s">
        <v>136</v>
      </c>
      <c r="V63" s="81" t="s">
        <v>119</v>
      </c>
      <c r="W63" s="66"/>
      <c r="X63" s="66"/>
      <c r="Z63" s="80" t="s">
        <v>114</v>
      </c>
      <c r="AA63" s="371"/>
      <c r="AC63" s="228">
        <v>6495577</v>
      </c>
      <c r="AD63" s="228">
        <f t="shared" si="0"/>
        <v>7729736.6299999999</v>
      </c>
      <c r="AE63" s="303">
        <v>4000000</v>
      </c>
      <c r="AG63" s="210"/>
      <c r="AH63" s="66"/>
      <c r="AI63" s="66">
        <v>45861</v>
      </c>
      <c r="AJ63" s="78" t="s">
        <v>1705</v>
      </c>
      <c r="AL63" s="65"/>
      <c r="AM63" s="65"/>
      <c r="AN63" s="65"/>
      <c r="AO63" s="65"/>
      <c r="AP63" s="65"/>
      <c r="AQ63" s="65"/>
      <c r="AR63" s="65"/>
      <c r="AS63" s="65"/>
      <c r="AT63" s="65"/>
      <c r="AU63" s="65"/>
      <c r="AV63" s="65"/>
      <c r="AW63" s="65"/>
      <c r="AX63" s="65"/>
      <c r="AY63" s="65"/>
      <c r="AZ63" s="65"/>
      <c r="BA63" s="65"/>
      <c r="BB63" s="65"/>
      <c r="BC63" s="65"/>
      <c r="BD63" s="65"/>
      <c r="BE63" s="65"/>
      <c r="BF63" s="65"/>
      <c r="BG63" s="65"/>
      <c r="BH63" s="65"/>
      <c r="BI63" s="65"/>
      <c r="BJ63" s="65"/>
      <c r="BK63" s="65"/>
      <c r="BL63" s="65"/>
      <c r="BM63" s="65"/>
      <c r="BN63" s="65"/>
      <c r="BO63" s="65"/>
      <c r="BP63" s="65"/>
      <c r="BQ63" s="65"/>
      <c r="BR63" s="65"/>
      <c r="BS63" s="65"/>
      <c r="BT63" s="65"/>
      <c r="BU63" s="65"/>
      <c r="BV63" s="65"/>
      <c r="BW63" s="65"/>
      <c r="BX63" s="65"/>
      <c r="BY63" s="65"/>
      <c r="BZ63" s="65"/>
      <c r="CA63" s="65"/>
      <c r="CB63" s="65"/>
      <c r="CC63" s="65"/>
      <c r="CD63" s="65"/>
      <c r="CE63" s="65"/>
      <c r="CF63" s="65"/>
      <c r="CG63" s="65"/>
      <c r="CH63" s="65"/>
      <c r="CI63" s="65"/>
      <c r="CJ63" s="65"/>
      <c r="CK63" s="65"/>
      <c r="CL63" s="65"/>
      <c r="CM63" s="65"/>
      <c r="CN63" s="65"/>
      <c r="CO63" s="65"/>
      <c r="CP63" s="65"/>
      <c r="CQ63" s="65"/>
      <c r="CR63" s="65"/>
      <c r="CS63" s="65"/>
      <c r="CT63" s="65"/>
      <c r="CU63" s="65"/>
      <c r="CV63" s="65"/>
      <c r="CW63" s="65"/>
      <c r="CX63" s="65"/>
      <c r="CY63" s="65"/>
      <c r="CZ63" s="65"/>
      <c r="DA63" s="65"/>
      <c r="DB63" s="65"/>
      <c r="DC63" s="65"/>
      <c r="DD63" s="65"/>
      <c r="DE63" s="65"/>
      <c r="DF63" s="65"/>
      <c r="DG63" s="65"/>
      <c r="DH63" s="65"/>
      <c r="DI63" s="65"/>
      <c r="DJ63" s="65"/>
      <c r="DK63" s="65"/>
      <c r="DL63" s="65"/>
      <c r="DM63" s="65"/>
      <c r="DN63" s="65"/>
      <c r="DO63" s="65"/>
      <c r="DP63" s="65"/>
      <c r="DQ63" s="65"/>
      <c r="DR63" s="65"/>
      <c r="DS63" s="65"/>
      <c r="DT63" s="65"/>
      <c r="DU63" s="65"/>
      <c r="DV63" s="65"/>
      <c r="DW63" s="65"/>
      <c r="DX63" s="65"/>
      <c r="DY63" s="65"/>
      <c r="DZ63" s="65"/>
      <c r="EA63" s="65"/>
      <c r="EB63" s="65"/>
      <c r="EC63" s="65"/>
      <c r="ED63" s="65"/>
      <c r="EE63" s="65"/>
      <c r="EF63" s="65"/>
      <c r="EG63" s="65"/>
      <c r="EH63" s="65"/>
      <c r="EI63" s="65"/>
      <c r="EJ63" s="65"/>
      <c r="EK63" s="65"/>
      <c r="EL63" s="65"/>
      <c r="EM63" s="65"/>
      <c r="EN63" s="65"/>
      <c r="EO63" s="65"/>
      <c r="EP63" s="65"/>
      <c r="EQ63" s="65"/>
      <c r="ER63" s="65"/>
      <c r="ES63" s="65"/>
      <c r="ET63" s="65"/>
      <c r="EU63" s="65"/>
      <c r="EV63" s="65"/>
      <c r="EW63" s="65"/>
      <c r="EX63" s="65"/>
      <c r="EY63" s="65"/>
      <c r="EZ63" s="65"/>
      <c r="FA63" s="65"/>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c r="GO63" s="65"/>
      <c r="GP63" s="65"/>
      <c r="GQ63" s="65"/>
      <c r="GR63" s="65"/>
      <c r="GS63" s="65"/>
      <c r="GT63" s="65"/>
      <c r="GU63" s="65"/>
      <c r="GV63" s="65"/>
      <c r="GW63" s="65"/>
      <c r="GX63" s="65"/>
      <c r="GY63" s="65"/>
      <c r="GZ63" s="65"/>
      <c r="HA63" s="65"/>
      <c r="HB63" s="65"/>
      <c r="HC63" s="65"/>
      <c r="HD63" s="65"/>
      <c r="HE63" s="65"/>
      <c r="HF63" s="65"/>
      <c r="HG63" s="65"/>
      <c r="HH63" s="65"/>
      <c r="HI63" s="65"/>
      <c r="HJ63" s="65"/>
      <c r="HK63" s="65"/>
      <c r="HL63" s="65"/>
      <c r="HM63" s="65"/>
      <c r="HN63" s="65"/>
      <c r="HO63" s="65"/>
    </row>
    <row r="64" spans="1:223" s="78" customFormat="1" ht="45" x14ac:dyDescent="0.25">
      <c r="A64" s="353">
        <v>2025</v>
      </c>
      <c r="B64" s="354">
        <v>7</v>
      </c>
      <c r="C64" s="353">
        <v>22886</v>
      </c>
      <c r="D64" s="279">
        <v>45853</v>
      </c>
      <c r="E64" s="81" t="s">
        <v>2487</v>
      </c>
      <c r="F64" s="81" t="s">
        <v>2487</v>
      </c>
      <c r="G64" s="78" t="s">
        <v>143</v>
      </c>
      <c r="H64" s="78">
        <v>3194048228</v>
      </c>
      <c r="I64" s="78">
        <v>3194048228</v>
      </c>
      <c r="J64" s="66">
        <v>45863</v>
      </c>
      <c r="K64" s="78" t="s">
        <v>84</v>
      </c>
      <c r="L64" s="79" t="s">
        <v>2488</v>
      </c>
      <c r="M64" s="78" t="s">
        <v>136</v>
      </c>
      <c r="N64" s="78">
        <v>6112</v>
      </c>
      <c r="O64" s="78">
        <v>6947</v>
      </c>
      <c r="P64" s="78">
        <v>9484</v>
      </c>
      <c r="Q64" s="78">
        <v>5669</v>
      </c>
      <c r="R64" s="78" t="s">
        <v>136</v>
      </c>
      <c r="S64" s="78" t="s">
        <v>134</v>
      </c>
      <c r="T64" s="78" t="s">
        <v>134</v>
      </c>
      <c r="U64" s="78" t="s">
        <v>136</v>
      </c>
      <c r="V64" s="81" t="s">
        <v>119</v>
      </c>
      <c r="W64" s="439"/>
      <c r="X64" s="66"/>
      <c r="Z64" s="80" t="s">
        <v>114</v>
      </c>
      <c r="AA64" s="371"/>
      <c r="AC64" s="228">
        <v>557148</v>
      </c>
      <c r="AD64" s="228">
        <f t="shared" si="0"/>
        <v>663006.12</v>
      </c>
      <c r="AE64" s="303">
        <v>340000</v>
      </c>
      <c r="AG64" s="210"/>
      <c r="AH64" s="438"/>
      <c r="AI64" s="66">
        <v>45861</v>
      </c>
      <c r="AJ64" s="78" t="s">
        <v>1705</v>
      </c>
      <c r="AL64" s="65"/>
      <c r="AM64" s="65"/>
      <c r="AN64" s="65"/>
      <c r="AO64" s="65"/>
      <c r="AP64" s="65"/>
      <c r="AQ64" s="65"/>
      <c r="AR64" s="65"/>
      <c r="AS64" s="65"/>
      <c r="AT64" s="65"/>
      <c r="AU64" s="65"/>
      <c r="AV64" s="65"/>
      <c r="AW64" s="65"/>
      <c r="AX64" s="65"/>
      <c r="AY64" s="65"/>
      <c r="AZ64" s="65"/>
      <c r="BA64" s="65"/>
      <c r="BB64" s="65"/>
      <c r="BC64" s="65"/>
      <c r="BD64" s="65"/>
      <c r="BE64" s="65"/>
      <c r="BF64" s="65"/>
      <c r="BG64" s="65"/>
      <c r="BH64" s="65"/>
      <c r="BI64" s="65"/>
      <c r="BJ64" s="65"/>
      <c r="BK64" s="65"/>
      <c r="BL64" s="65"/>
      <c r="BM64" s="65"/>
      <c r="BN64" s="65"/>
      <c r="BO64" s="65"/>
      <c r="BP64" s="65"/>
      <c r="BQ64" s="65"/>
      <c r="BR64" s="65"/>
      <c r="BS64" s="65"/>
      <c r="BT64" s="65"/>
      <c r="BU64" s="65"/>
      <c r="BV64" s="65"/>
      <c r="BW64" s="65"/>
      <c r="BX64" s="65"/>
      <c r="BY64" s="65"/>
      <c r="BZ64" s="65"/>
      <c r="CA64" s="65"/>
      <c r="CB64" s="65"/>
      <c r="CC64" s="65"/>
      <c r="CD64" s="65"/>
      <c r="CE64" s="65"/>
      <c r="CF64" s="65"/>
      <c r="CG64" s="65"/>
      <c r="CH64" s="65"/>
      <c r="CI64" s="65"/>
      <c r="CJ64" s="65"/>
      <c r="CK64" s="65"/>
      <c r="CL64" s="65"/>
      <c r="CM64" s="65"/>
      <c r="CN64" s="65"/>
      <c r="CO64" s="65"/>
      <c r="CP64" s="65"/>
      <c r="CQ64" s="65"/>
      <c r="CR64" s="65"/>
      <c r="CS64" s="65"/>
      <c r="CT64" s="65"/>
      <c r="CU64" s="65"/>
      <c r="CV64" s="65"/>
      <c r="CW64" s="65"/>
      <c r="CX64" s="65"/>
      <c r="CY64" s="65"/>
      <c r="CZ64" s="65"/>
      <c r="DA64" s="65"/>
      <c r="DB64" s="65"/>
      <c r="DC64" s="65"/>
      <c r="DD64" s="65"/>
      <c r="DE64" s="65"/>
      <c r="DF64" s="65"/>
      <c r="DG64" s="65"/>
      <c r="DH64" s="65"/>
      <c r="DI64" s="65"/>
      <c r="DJ64" s="65"/>
      <c r="DK64" s="65"/>
      <c r="DL64" s="65"/>
      <c r="DM64" s="65"/>
      <c r="DN64" s="65"/>
      <c r="DO64" s="65"/>
      <c r="DP64" s="65"/>
      <c r="DQ64" s="65"/>
      <c r="DR64" s="65"/>
      <c r="DS64" s="65"/>
      <c r="DT64" s="65"/>
      <c r="DU64" s="65"/>
      <c r="DV64" s="65"/>
      <c r="DW64" s="65"/>
      <c r="DX64" s="65"/>
      <c r="DY64" s="65"/>
      <c r="DZ64" s="65"/>
      <c r="EA64" s="65"/>
      <c r="EB64" s="65"/>
      <c r="EC64" s="65"/>
      <c r="ED64" s="65"/>
      <c r="EE64" s="65"/>
      <c r="EF64" s="65"/>
      <c r="EG64" s="65"/>
      <c r="EH64" s="65"/>
      <c r="EI64" s="65"/>
      <c r="EJ64" s="65"/>
      <c r="EK64" s="65"/>
      <c r="EL64" s="65"/>
      <c r="EM64" s="65"/>
      <c r="EN64" s="65"/>
      <c r="EO64" s="65"/>
      <c r="EP64" s="65"/>
      <c r="EQ64" s="65"/>
      <c r="ER64" s="65"/>
      <c r="ES64" s="65"/>
      <c r="ET64" s="65"/>
      <c r="EU64" s="65"/>
      <c r="EV64" s="65"/>
      <c r="EW64" s="65"/>
      <c r="EX64" s="65"/>
      <c r="EY64" s="65"/>
      <c r="EZ64" s="65"/>
      <c r="FA64" s="65"/>
      <c r="FB64" s="65"/>
      <c r="FC64" s="65"/>
      <c r="FD64" s="65"/>
      <c r="FE64" s="65"/>
      <c r="FF64" s="65"/>
      <c r="FG64" s="65"/>
      <c r="FH64" s="65"/>
      <c r="FI64" s="65"/>
      <c r="FJ64" s="65"/>
      <c r="FK64" s="65"/>
      <c r="FL64" s="65"/>
      <c r="FM64" s="65"/>
      <c r="FN64" s="65"/>
      <c r="FO64" s="65"/>
      <c r="FP64" s="65"/>
      <c r="FQ64" s="65"/>
      <c r="FR64" s="65"/>
      <c r="FS64" s="65"/>
      <c r="FT64" s="65"/>
      <c r="FU64" s="65"/>
      <c r="FV64" s="65"/>
      <c r="FW64" s="65"/>
      <c r="FX64" s="65"/>
      <c r="FY64" s="65"/>
      <c r="FZ64" s="65"/>
      <c r="GA64" s="65"/>
      <c r="GB64" s="65"/>
      <c r="GC64" s="65"/>
      <c r="GD64" s="65"/>
      <c r="GE64" s="65"/>
      <c r="GF64" s="65"/>
      <c r="GG64" s="65"/>
      <c r="GH64" s="65"/>
      <c r="GI64" s="65"/>
      <c r="GJ64" s="65"/>
      <c r="GK64" s="65"/>
      <c r="GL64" s="65"/>
      <c r="GM64" s="65"/>
      <c r="GN64" s="65"/>
      <c r="GO64" s="65"/>
      <c r="GP64" s="65"/>
      <c r="GQ64" s="65"/>
      <c r="GR64" s="65"/>
      <c r="GS64" s="65"/>
      <c r="GT64" s="65"/>
      <c r="GU64" s="65"/>
      <c r="GV64" s="65"/>
      <c r="GW64" s="65"/>
      <c r="GX64" s="65"/>
      <c r="GY64" s="65"/>
      <c r="GZ64" s="65"/>
      <c r="HA64" s="65"/>
      <c r="HB64" s="65"/>
      <c r="HC64" s="65"/>
      <c r="HD64" s="65"/>
      <c r="HE64" s="65"/>
      <c r="HF64" s="65"/>
      <c r="HG64" s="65"/>
      <c r="HH64" s="65"/>
      <c r="HI64" s="65"/>
      <c r="HJ64" s="65"/>
      <c r="HK64" s="65"/>
      <c r="HL64" s="65"/>
      <c r="HM64" s="65"/>
      <c r="HN64" s="65"/>
      <c r="HO64" s="65"/>
    </row>
    <row r="65" spans="1:223" s="78" customFormat="1" ht="34.5" customHeight="1" x14ac:dyDescent="0.25">
      <c r="A65" s="353">
        <v>2025</v>
      </c>
      <c r="B65" s="354">
        <v>7</v>
      </c>
      <c r="C65" s="353">
        <v>22887</v>
      </c>
      <c r="D65" s="279">
        <v>45856</v>
      </c>
      <c r="E65" s="81" t="s">
        <v>2459</v>
      </c>
      <c r="F65" s="81" t="s">
        <v>2459</v>
      </c>
      <c r="G65" s="78" t="s">
        <v>143</v>
      </c>
      <c r="H65" s="78">
        <v>3147727335</v>
      </c>
      <c r="I65" s="78">
        <v>3147727335</v>
      </c>
      <c r="J65" s="66">
        <v>45861</v>
      </c>
      <c r="K65" s="78" t="s">
        <v>88</v>
      </c>
      <c r="L65" s="79" t="s">
        <v>2460</v>
      </c>
      <c r="M65" s="78" t="s">
        <v>136</v>
      </c>
      <c r="N65" s="78" t="s">
        <v>136</v>
      </c>
      <c r="O65" s="78">
        <v>6948</v>
      </c>
      <c r="P65" s="78">
        <v>9338</v>
      </c>
      <c r="Q65" s="78">
        <v>5656</v>
      </c>
      <c r="R65" s="78" t="s">
        <v>136</v>
      </c>
      <c r="S65" s="78" t="s">
        <v>134</v>
      </c>
      <c r="T65" s="78" t="s">
        <v>134</v>
      </c>
      <c r="U65" s="78" t="s">
        <v>134</v>
      </c>
      <c r="V65" s="81" t="s">
        <v>119</v>
      </c>
      <c r="X65" s="66"/>
      <c r="Z65" s="80" t="s">
        <v>114</v>
      </c>
      <c r="AA65" s="371"/>
      <c r="AC65" s="228">
        <v>890755</v>
      </c>
      <c r="AD65" s="228">
        <f t="shared" si="0"/>
        <v>1059998.45</v>
      </c>
      <c r="AE65" s="303">
        <v>500000</v>
      </c>
      <c r="AG65" s="210"/>
      <c r="AH65" s="241"/>
      <c r="AI65" s="66">
        <v>45861</v>
      </c>
      <c r="AJ65" s="78" t="s">
        <v>1705</v>
      </c>
      <c r="AL65" s="65"/>
      <c r="AM65" s="65"/>
      <c r="AN65" s="65"/>
      <c r="AO65" s="65"/>
      <c r="AP65" s="65"/>
      <c r="AQ65" s="65"/>
      <c r="AR65" s="65"/>
      <c r="AS65" s="65"/>
      <c r="AT65" s="65"/>
      <c r="AU65" s="65"/>
      <c r="AV65" s="65"/>
      <c r="AW65" s="65"/>
      <c r="AX65" s="65"/>
      <c r="AY65" s="65"/>
      <c r="AZ65" s="65"/>
      <c r="BA65" s="65"/>
      <c r="BB65" s="65"/>
      <c r="BC65" s="65"/>
      <c r="BD65" s="65"/>
      <c r="BE65" s="65"/>
      <c r="BF65" s="65"/>
      <c r="BG65" s="65"/>
      <c r="BH65" s="65"/>
      <c r="BI65" s="65"/>
      <c r="BJ65" s="65"/>
      <c r="BK65" s="65"/>
      <c r="BL65" s="65"/>
      <c r="BM65" s="65"/>
      <c r="BN65" s="65"/>
      <c r="BO65" s="65"/>
      <c r="BP65" s="65"/>
      <c r="BQ65" s="65"/>
      <c r="BR65" s="65"/>
      <c r="BS65" s="65"/>
      <c r="BT65" s="65"/>
      <c r="BU65" s="65"/>
      <c r="BV65" s="65"/>
      <c r="BW65" s="65"/>
      <c r="BX65" s="65"/>
      <c r="BY65" s="65"/>
      <c r="BZ65" s="65"/>
      <c r="CA65" s="65"/>
      <c r="CB65" s="65"/>
      <c r="CC65" s="65"/>
      <c r="CD65" s="65"/>
      <c r="CE65" s="65"/>
      <c r="CF65" s="65"/>
      <c r="CG65" s="65"/>
      <c r="CH65" s="65"/>
      <c r="CI65" s="65"/>
      <c r="CJ65" s="65"/>
      <c r="CK65" s="65"/>
      <c r="CL65" s="65"/>
      <c r="CM65" s="65"/>
      <c r="CN65" s="65"/>
      <c r="CO65" s="65"/>
      <c r="CP65" s="65"/>
      <c r="CQ65" s="65"/>
      <c r="CR65" s="65"/>
      <c r="CS65" s="65"/>
      <c r="CT65" s="65"/>
      <c r="CU65" s="65"/>
      <c r="CV65" s="65"/>
      <c r="CW65" s="65"/>
      <c r="CX65" s="65"/>
      <c r="CY65" s="65"/>
      <c r="CZ65" s="65"/>
      <c r="DA65" s="65"/>
      <c r="DB65" s="65"/>
      <c r="DC65" s="65"/>
      <c r="DD65" s="65"/>
      <c r="DE65" s="65"/>
      <c r="DF65" s="65"/>
      <c r="DG65" s="65"/>
      <c r="DH65" s="65"/>
      <c r="DI65" s="65"/>
      <c r="DJ65" s="65"/>
      <c r="DK65" s="65"/>
      <c r="DL65" s="65"/>
      <c r="DM65" s="65"/>
      <c r="DN65" s="65"/>
      <c r="DO65" s="65"/>
      <c r="DP65" s="65"/>
      <c r="DQ65" s="65"/>
      <c r="DR65" s="65"/>
      <c r="DS65" s="65"/>
      <c r="DT65" s="65"/>
      <c r="DU65" s="65"/>
      <c r="DV65" s="65"/>
      <c r="DW65" s="65"/>
      <c r="DX65" s="65"/>
      <c r="DY65" s="65"/>
      <c r="DZ65" s="65"/>
      <c r="EA65" s="65"/>
      <c r="EB65" s="65"/>
      <c r="EC65" s="65"/>
      <c r="ED65" s="65"/>
      <c r="EE65" s="65"/>
      <c r="EF65" s="65"/>
      <c r="EG65" s="65"/>
      <c r="EH65" s="65"/>
      <c r="EI65" s="65"/>
      <c r="EJ65" s="65"/>
      <c r="EK65" s="65"/>
      <c r="EL65" s="65"/>
      <c r="EM65" s="65"/>
      <c r="EN65" s="65"/>
      <c r="EO65" s="65"/>
      <c r="EP65" s="65"/>
      <c r="EQ65" s="65"/>
      <c r="ER65" s="65"/>
      <c r="ES65" s="65"/>
      <c r="ET65" s="65"/>
      <c r="EU65" s="65"/>
      <c r="EV65" s="65"/>
      <c r="EW65" s="65"/>
      <c r="EX65" s="65"/>
      <c r="EY65" s="65"/>
      <c r="EZ65" s="65"/>
      <c r="FA65" s="65"/>
      <c r="FB65" s="65"/>
      <c r="FC65" s="65"/>
      <c r="FD65" s="65"/>
      <c r="FE65" s="65"/>
      <c r="FF65" s="65"/>
      <c r="FG65" s="65"/>
      <c r="FH65" s="65"/>
      <c r="FI65" s="65"/>
      <c r="FJ65" s="65"/>
      <c r="FK65" s="65"/>
      <c r="FL65" s="65"/>
      <c r="FM65" s="65"/>
      <c r="FN65" s="65"/>
      <c r="FO65" s="65"/>
      <c r="FP65" s="65"/>
      <c r="FQ65" s="65"/>
      <c r="FR65" s="65"/>
      <c r="FS65" s="65"/>
      <c r="FT65" s="65"/>
      <c r="FU65" s="65"/>
      <c r="FV65" s="65"/>
      <c r="FW65" s="65"/>
      <c r="FX65" s="65"/>
      <c r="FY65" s="65"/>
      <c r="FZ65" s="65"/>
      <c r="GA65" s="65"/>
      <c r="GB65" s="65"/>
      <c r="GC65" s="65"/>
      <c r="GD65" s="65"/>
      <c r="GE65" s="65"/>
      <c r="GF65" s="65"/>
      <c r="GG65" s="65"/>
      <c r="GH65" s="65"/>
      <c r="GI65" s="65"/>
      <c r="GJ65" s="65"/>
      <c r="GK65" s="65"/>
      <c r="GL65" s="65"/>
      <c r="GM65" s="65"/>
      <c r="GN65" s="65"/>
      <c r="GO65" s="65"/>
      <c r="GP65" s="65"/>
      <c r="GQ65" s="65"/>
      <c r="GR65" s="65"/>
      <c r="GS65" s="65"/>
      <c r="GT65" s="65"/>
      <c r="GU65" s="65"/>
      <c r="GV65" s="65"/>
      <c r="GW65" s="65"/>
      <c r="GX65" s="65"/>
      <c r="GY65" s="65"/>
      <c r="GZ65" s="65"/>
      <c r="HA65" s="65"/>
      <c r="HB65" s="65"/>
      <c r="HC65" s="65"/>
      <c r="HD65" s="65"/>
      <c r="HE65" s="65"/>
      <c r="HF65" s="65"/>
      <c r="HG65" s="65"/>
      <c r="HH65" s="65"/>
      <c r="HI65" s="65"/>
      <c r="HJ65" s="65"/>
      <c r="HK65" s="65"/>
      <c r="HL65" s="65"/>
      <c r="HM65" s="65"/>
      <c r="HN65" s="65"/>
      <c r="HO65" s="65"/>
    </row>
    <row r="66" spans="1:223" s="78" customFormat="1" ht="34.5" customHeight="1" x14ac:dyDescent="0.25">
      <c r="A66" s="353">
        <v>2025</v>
      </c>
      <c r="B66" s="354">
        <v>7</v>
      </c>
      <c r="C66" s="355">
        <v>22888</v>
      </c>
      <c r="D66" s="279">
        <v>45853</v>
      </c>
      <c r="E66" s="81" t="s">
        <v>2461</v>
      </c>
      <c r="F66" s="81"/>
      <c r="I66" s="78">
        <v>4279300</v>
      </c>
      <c r="J66" s="66">
        <v>45863</v>
      </c>
      <c r="K66" s="78" t="s">
        <v>88</v>
      </c>
      <c r="L66" s="79" t="s">
        <v>2462</v>
      </c>
      <c r="M66" s="78" t="s">
        <v>136</v>
      </c>
      <c r="N66" s="78">
        <v>6103</v>
      </c>
      <c r="O66" s="78">
        <v>6939</v>
      </c>
      <c r="P66" s="78" t="s">
        <v>136</v>
      </c>
      <c r="Q66" s="78">
        <v>5655</v>
      </c>
      <c r="R66" s="78" t="s">
        <v>136</v>
      </c>
      <c r="S66" s="78" t="s">
        <v>134</v>
      </c>
      <c r="T66" s="78" t="s">
        <v>134</v>
      </c>
      <c r="U66" s="78" t="s">
        <v>136</v>
      </c>
      <c r="V66" s="81" t="s">
        <v>89</v>
      </c>
      <c r="W66" s="435">
        <v>45861</v>
      </c>
      <c r="X66" s="66"/>
      <c r="Z66" s="80" t="s">
        <v>92</v>
      </c>
      <c r="AA66" s="371"/>
      <c r="AC66" s="228"/>
      <c r="AD66" s="228">
        <f t="shared" si="0"/>
        <v>0</v>
      </c>
      <c r="AE66" s="303"/>
      <c r="AG66" s="210"/>
      <c r="AH66" s="241"/>
      <c r="AI66" s="66">
        <v>45861</v>
      </c>
      <c r="AJ66" s="78" t="s">
        <v>1705</v>
      </c>
      <c r="AL66" s="65"/>
      <c r="AM66" s="65"/>
      <c r="AN66" s="65"/>
      <c r="AO66" s="65"/>
      <c r="AP66" s="65"/>
      <c r="AQ66" s="65"/>
      <c r="AR66" s="65"/>
      <c r="AS66" s="65"/>
      <c r="AT66" s="65"/>
      <c r="AU66" s="65"/>
      <c r="AV66" s="65"/>
      <c r="AW66" s="65"/>
      <c r="AX66" s="65"/>
      <c r="AY66" s="65"/>
      <c r="AZ66" s="65"/>
      <c r="BA66" s="65"/>
      <c r="BB66" s="65"/>
      <c r="BC66" s="65"/>
      <c r="BD66" s="65"/>
      <c r="BE66" s="65"/>
      <c r="BF66" s="65"/>
      <c r="BG66" s="65"/>
      <c r="BH66" s="65"/>
      <c r="BI66" s="65"/>
      <c r="BJ66" s="65"/>
      <c r="BK66" s="65"/>
      <c r="BL66" s="65"/>
      <c r="BM66" s="65"/>
      <c r="BN66" s="65"/>
      <c r="BO66" s="65"/>
      <c r="BP66" s="65"/>
      <c r="BQ66" s="65"/>
      <c r="BR66" s="65"/>
      <c r="BS66" s="65"/>
      <c r="BT66" s="65"/>
      <c r="BU66" s="65"/>
      <c r="BV66" s="65"/>
      <c r="BW66" s="65"/>
      <c r="BX66" s="65"/>
      <c r="BY66" s="65"/>
      <c r="BZ66" s="65"/>
      <c r="CA66" s="65"/>
      <c r="CB66" s="65"/>
      <c r="CC66" s="65"/>
      <c r="CD66" s="65"/>
      <c r="CE66" s="65"/>
      <c r="CF66" s="65"/>
      <c r="CG66" s="65"/>
      <c r="CH66" s="65"/>
      <c r="CI66" s="65"/>
      <c r="CJ66" s="65"/>
      <c r="CK66" s="65"/>
      <c r="CL66" s="65"/>
      <c r="CM66" s="65"/>
      <c r="CN66" s="65"/>
      <c r="CO66" s="65"/>
      <c r="CP66" s="65"/>
      <c r="CQ66" s="65"/>
      <c r="CR66" s="65"/>
      <c r="CS66" s="65"/>
      <c r="CT66" s="65"/>
      <c r="CU66" s="65"/>
      <c r="CV66" s="65"/>
      <c r="CW66" s="65"/>
      <c r="CX66" s="65"/>
      <c r="CY66" s="65"/>
      <c r="CZ66" s="65"/>
      <c r="DA66" s="65"/>
      <c r="DB66" s="65"/>
      <c r="DC66" s="65"/>
      <c r="DD66" s="65"/>
      <c r="DE66" s="65"/>
      <c r="DF66" s="65"/>
      <c r="DG66" s="65"/>
      <c r="DH66" s="65"/>
      <c r="DI66" s="65"/>
      <c r="DJ66" s="65"/>
      <c r="DK66" s="65"/>
      <c r="DL66" s="65"/>
      <c r="DM66" s="65"/>
      <c r="DN66" s="65"/>
      <c r="DO66" s="65"/>
      <c r="DP66" s="65"/>
      <c r="DQ66" s="65"/>
      <c r="DR66" s="65"/>
      <c r="DS66" s="65"/>
      <c r="DT66" s="65"/>
      <c r="DU66" s="65"/>
      <c r="DV66" s="65"/>
      <c r="DW66" s="65"/>
      <c r="DX66" s="65"/>
      <c r="DY66" s="65"/>
      <c r="DZ66" s="65"/>
      <c r="EA66" s="65"/>
      <c r="EB66" s="65"/>
      <c r="EC66" s="65"/>
      <c r="ED66" s="65"/>
      <c r="EE66" s="65"/>
      <c r="EF66" s="65"/>
      <c r="EG66" s="65"/>
      <c r="EH66" s="65"/>
      <c r="EI66" s="65"/>
      <c r="EJ66" s="65"/>
      <c r="EK66" s="65"/>
      <c r="EL66" s="65"/>
      <c r="EM66" s="65"/>
      <c r="EN66" s="65"/>
      <c r="EO66" s="65"/>
      <c r="EP66" s="65"/>
      <c r="EQ66" s="65"/>
      <c r="ER66" s="65"/>
      <c r="ES66" s="65"/>
      <c r="ET66" s="65"/>
      <c r="EU66" s="65"/>
      <c r="EV66" s="65"/>
      <c r="EW66" s="65"/>
      <c r="EX66" s="65"/>
      <c r="EY66" s="65"/>
      <c r="EZ66" s="65"/>
      <c r="FA66" s="65"/>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c r="GO66" s="65"/>
      <c r="GP66" s="65"/>
      <c r="GQ66" s="65"/>
      <c r="GR66" s="65"/>
      <c r="GS66" s="65"/>
      <c r="GT66" s="65"/>
      <c r="GU66" s="65"/>
      <c r="GV66" s="65"/>
      <c r="GW66" s="65"/>
      <c r="GX66" s="65"/>
      <c r="GY66" s="65"/>
      <c r="GZ66" s="65"/>
      <c r="HA66" s="65"/>
      <c r="HB66" s="65"/>
      <c r="HC66" s="65"/>
      <c r="HD66" s="65"/>
      <c r="HE66" s="65"/>
      <c r="HF66" s="65"/>
      <c r="HG66" s="65"/>
      <c r="HH66" s="65"/>
      <c r="HI66" s="65"/>
      <c r="HJ66" s="65"/>
      <c r="HK66" s="65"/>
      <c r="HL66" s="65"/>
      <c r="HM66" s="65"/>
      <c r="HN66" s="65"/>
      <c r="HO66" s="65"/>
    </row>
    <row r="67" spans="1:223" s="78" customFormat="1" ht="34.5" customHeight="1" x14ac:dyDescent="0.25">
      <c r="A67" s="353">
        <v>2025</v>
      </c>
      <c r="B67" s="354">
        <v>7</v>
      </c>
      <c r="C67" s="353">
        <v>22889</v>
      </c>
      <c r="D67" s="279">
        <v>45856</v>
      </c>
      <c r="E67" s="81" t="s">
        <v>2509</v>
      </c>
      <c r="F67" s="81" t="s">
        <v>2509</v>
      </c>
      <c r="G67" s="78" t="s">
        <v>143</v>
      </c>
      <c r="H67" s="78">
        <v>3106632533</v>
      </c>
      <c r="I67" s="78">
        <v>3106632533</v>
      </c>
      <c r="J67" s="66">
        <v>45867</v>
      </c>
      <c r="K67" s="78" t="s">
        <v>88</v>
      </c>
      <c r="L67" s="79" t="s">
        <v>2510</v>
      </c>
      <c r="M67" s="78" t="s">
        <v>136</v>
      </c>
      <c r="N67" s="78">
        <v>6113</v>
      </c>
      <c r="O67" s="78" t="s">
        <v>136</v>
      </c>
      <c r="P67" s="78" t="s">
        <v>136</v>
      </c>
      <c r="Q67" s="78" t="s">
        <v>136</v>
      </c>
      <c r="R67" s="78" t="s">
        <v>136</v>
      </c>
      <c r="S67" s="78" t="s">
        <v>136</v>
      </c>
      <c r="T67" s="78" t="s">
        <v>136</v>
      </c>
      <c r="U67" s="78" t="s">
        <v>136</v>
      </c>
      <c r="V67" s="81" t="s">
        <v>119</v>
      </c>
      <c r="X67" s="66"/>
      <c r="Z67" s="80" t="s">
        <v>114</v>
      </c>
      <c r="AA67" s="371">
        <v>120000</v>
      </c>
      <c r="AC67" s="228">
        <v>100840</v>
      </c>
      <c r="AD67" s="228">
        <f t="shared" ref="AD67:AD114" si="1">AC67*1.19</f>
        <v>119999.59999999999</v>
      </c>
      <c r="AE67" s="303"/>
      <c r="AG67" s="210"/>
      <c r="AH67" s="241"/>
      <c r="AI67" s="66">
        <v>45861</v>
      </c>
      <c r="AJ67" s="78" t="s">
        <v>1705</v>
      </c>
      <c r="AL67" s="65"/>
      <c r="AM67" s="65"/>
      <c r="AN67" s="65"/>
      <c r="AO67" s="65"/>
      <c r="AP67" s="65"/>
      <c r="AQ67" s="65"/>
      <c r="AR67" s="65"/>
      <c r="AS67" s="65"/>
      <c r="AT67" s="65"/>
      <c r="AU67" s="65"/>
      <c r="AV67" s="65"/>
      <c r="AW67" s="65"/>
      <c r="AX67" s="65"/>
      <c r="AY67" s="65"/>
      <c r="AZ67" s="65"/>
      <c r="BA67" s="65"/>
      <c r="BB67" s="65"/>
      <c r="BC67" s="65"/>
      <c r="BD67" s="65"/>
      <c r="BE67" s="65"/>
      <c r="BF67" s="65"/>
      <c r="BG67" s="65"/>
      <c r="BH67" s="65"/>
      <c r="BI67" s="65"/>
      <c r="BJ67" s="65"/>
      <c r="BK67" s="65"/>
      <c r="BL67" s="65"/>
      <c r="BM67" s="65"/>
      <c r="BN67" s="65"/>
      <c r="BO67" s="65"/>
      <c r="BP67" s="65"/>
      <c r="BQ67" s="65"/>
      <c r="BR67" s="65"/>
      <c r="BS67" s="65"/>
      <c r="BT67" s="65"/>
      <c r="BU67" s="65"/>
      <c r="BV67" s="65"/>
      <c r="BW67" s="65"/>
      <c r="BX67" s="65"/>
      <c r="BY67" s="65"/>
      <c r="BZ67" s="65"/>
      <c r="CA67" s="65"/>
      <c r="CB67" s="65"/>
      <c r="CC67" s="65"/>
      <c r="CD67" s="65"/>
      <c r="CE67" s="65"/>
      <c r="CF67" s="65"/>
      <c r="CG67" s="65"/>
      <c r="CH67" s="65"/>
      <c r="CI67" s="65"/>
      <c r="CJ67" s="65"/>
      <c r="CK67" s="65"/>
      <c r="CL67" s="65"/>
      <c r="CM67" s="65"/>
      <c r="CN67" s="65"/>
      <c r="CO67" s="65"/>
      <c r="CP67" s="65"/>
      <c r="CQ67" s="65"/>
      <c r="CR67" s="65"/>
      <c r="CS67" s="65"/>
      <c r="CT67" s="65"/>
      <c r="CU67" s="65"/>
      <c r="CV67" s="65"/>
      <c r="CW67" s="65"/>
      <c r="CX67" s="65"/>
      <c r="CY67" s="65"/>
      <c r="CZ67" s="65"/>
      <c r="DA67" s="65"/>
      <c r="DB67" s="65"/>
      <c r="DC67" s="65"/>
      <c r="DD67" s="65"/>
      <c r="DE67" s="65"/>
      <c r="DF67" s="65"/>
      <c r="DG67" s="65"/>
      <c r="DH67" s="65"/>
      <c r="DI67" s="65"/>
      <c r="DJ67" s="65"/>
      <c r="DK67" s="65"/>
      <c r="DL67" s="65"/>
      <c r="DM67" s="65"/>
      <c r="DN67" s="65"/>
      <c r="DO67" s="65"/>
      <c r="DP67" s="65"/>
      <c r="DQ67" s="65"/>
      <c r="DR67" s="65"/>
      <c r="DS67" s="65"/>
      <c r="DT67" s="65"/>
      <c r="DU67" s="65"/>
      <c r="DV67" s="65"/>
      <c r="DW67" s="65"/>
      <c r="DX67" s="65"/>
      <c r="DY67" s="65"/>
      <c r="DZ67" s="65"/>
      <c r="EA67" s="65"/>
      <c r="EB67" s="65"/>
      <c r="EC67" s="65"/>
      <c r="ED67" s="65"/>
      <c r="EE67" s="65"/>
      <c r="EF67" s="65"/>
      <c r="EG67" s="65"/>
      <c r="EH67" s="65"/>
      <c r="EI67" s="65"/>
      <c r="EJ67" s="65"/>
      <c r="EK67" s="65"/>
      <c r="EL67" s="65"/>
      <c r="EM67" s="65"/>
      <c r="EN67" s="65"/>
      <c r="EO67" s="65"/>
      <c r="EP67" s="65"/>
      <c r="EQ67" s="65"/>
      <c r="ER67" s="65"/>
      <c r="ES67" s="65"/>
      <c r="ET67" s="65"/>
      <c r="EU67" s="65"/>
      <c r="EV67" s="65"/>
      <c r="EW67" s="65"/>
      <c r="EX67" s="65"/>
      <c r="EY67" s="65"/>
      <c r="EZ67" s="65"/>
      <c r="FA67" s="65"/>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c r="GO67" s="65"/>
      <c r="GP67" s="65"/>
      <c r="GQ67" s="65"/>
      <c r="GR67" s="65"/>
      <c r="GS67" s="65"/>
      <c r="GT67" s="65"/>
      <c r="GU67" s="65"/>
      <c r="GV67" s="65"/>
      <c r="GW67" s="65"/>
      <c r="GX67" s="65"/>
      <c r="GY67" s="65"/>
      <c r="GZ67" s="65"/>
      <c r="HA67" s="65"/>
      <c r="HB67" s="65"/>
      <c r="HC67" s="65"/>
      <c r="HD67" s="65"/>
      <c r="HE67" s="65"/>
      <c r="HF67" s="65"/>
      <c r="HG67" s="65"/>
      <c r="HH67" s="65"/>
      <c r="HI67" s="65"/>
      <c r="HJ67" s="65"/>
      <c r="HK67" s="65"/>
      <c r="HL67" s="65"/>
      <c r="HM67" s="65"/>
      <c r="HN67" s="65"/>
      <c r="HO67" s="65"/>
    </row>
    <row r="68" spans="1:223" s="78" customFormat="1" ht="34.5" customHeight="1" x14ac:dyDescent="0.25">
      <c r="A68" s="353">
        <v>2025</v>
      </c>
      <c r="B68" s="354">
        <v>7</v>
      </c>
      <c r="C68" s="353">
        <v>22890</v>
      </c>
      <c r="D68" s="279">
        <v>45854</v>
      </c>
      <c r="E68" s="81" t="s">
        <v>2463</v>
      </c>
      <c r="F68" s="81"/>
      <c r="I68" s="78">
        <v>3216969610</v>
      </c>
      <c r="J68" s="66">
        <v>45868</v>
      </c>
      <c r="K68" s="78" t="s">
        <v>95</v>
      </c>
      <c r="L68" s="79" t="s">
        <v>2464</v>
      </c>
      <c r="M68" s="78" t="s">
        <v>136</v>
      </c>
      <c r="N68" s="78">
        <v>1904</v>
      </c>
      <c r="O68" s="78" t="s">
        <v>136</v>
      </c>
      <c r="P68" s="78">
        <v>9483</v>
      </c>
      <c r="Q68" s="78">
        <v>5659</v>
      </c>
      <c r="R68" s="78" t="s">
        <v>136</v>
      </c>
      <c r="S68" s="78" t="s">
        <v>134</v>
      </c>
      <c r="T68" s="78" t="s">
        <v>134</v>
      </c>
      <c r="U68" s="78" t="s">
        <v>136</v>
      </c>
      <c r="V68" s="81" t="s">
        <v>2336</v>
      </c>
      <c r="W68" s="435"/>
      <c r="X68" s="66"/>
      <c r="Z68" s="80" t="s">
        <v>114</v>
      </c>
      <c r="AA68" s="371"/>
      <c r="AC68" s="228">
        <v>494737</v>
      </c>
      <c r="AD68" s="228">
        <f t="shared" si="1"/>
        <v>588737.03</v>
      </c>
      <c r="AE68" s="303">
        <v>300000</v>
      </c>
      <c r="AG68" s="210"/>
      <c r="AH68" s="241"/>
      <c r="AI68" s="66">
        <v>45861</v>
      </c>
      <c r="AJ68" s="78" t="s">
        <v>1705</v>
      </c>
      <c r="AL68" s="65"/>
      <c r="AM68" s="65"/>
      <c r="AN68" s="65"/>
      <c r="AO68" s="65"/>
      <c r="AP68" s="65"/>
      <c r="AQ68" s="65"/>
      <c r="AR68" s="65"/>
      <c r="AS68" s="65"/>
      <c r="AT68" s="65"/>
      <c r="AU68" s="65"/>
      <c r="AV68" s="65"/>
      <c r="AW68" s="65"/>
      <c r="AX68" s="65"/>
      <c r="AY68" s="65"/>
      <c r="AZ68" s="65"/>
      <c r="BA68" s="65"/>
      <c r="BB68" s="65"/>
      <c r="BC68" s="65"/>
      <c r="BD68" s="65"/>
      <c r="BE68" s="65"/>
      <c r="BF68" s="65"/>
      <c r="BG68" s="65"/>
      <c r="BH68" s="65"/>
      <c r="BI68" s="65"/>
      <c r="BJ68" s="65"/>
      <c r="BK68" s="65"/>
      <c r="BL68" s="65"/>
      <c r="BM68" s="65"/>
      <c r="BN68" s="65"/>
      <c r="BO68" s="65"/>
      <c r="BP68" s="65"/>
      <c r="BQ68" s="65"/>
      <c r="BR68" s="65"/>
      <c r="BS68" s="65"/>
      <c r="BT68" s="65"/>
      <c r="BU68" s="65"/>
      <c r="BV68" s="65"/>
      <c r="BW68" s="65"/>
      <c r="BX68" s="65"/>
      <c r="BY68" s="65"/>
      <c r="BZ68" s="65"/>
      <c r="CA68" s="65"/>
      <c r="CB68" s="65"/>
      <c r="CC68" s="65"/>
      <c r="CD68" s="65"/>
      <c r="CE68" s="65"/>
      <c r="CF68" s="65"/>
      <c r="CG68" s="65"/>
      <c r="CH68" s="65"/>
      <c r="CI68" s="65"/>
      <c r="CJ68" s="65"/>
      <c r="CK68" s="65"/>
      <c r="CL68" s="65"/>
      <c r="CM68" s="65"/>
      <c r="CN68" s="65"/>
      <c r="CO68" s="65"/>
      <c r="CP68" s="65"/>
      <c r="CQ68" s="65"/>
      <c r="CR68" s="65"/>
      <c r="CS68" s="65"/>
      <c r="CT68" s="65"/>
      <c r="CU68" s="65"/>
      <c r="CV68" s="65"/>
      <c r="CW68" s="65"/>
      <c r="CX68" s="65"/>
      <c r="CY68" s="65"/>
      <c r="CZ68" s="65"/>
      <c r="DA68" s="65"/>
      <c r="DB68" s="65"/>
      <c r="DC68" s="65"/>
      <c r="DD68" s="65"/>
      <c r="DE68" s="65"/>
      <c r="DF68" s="65"/>
      <c r="DG68" s="65"/>
      <c r="DH68" s="65"/>
      <c r="DI68" s="65"/>
      <c r="DJ68" s="65"/>
      <c r="DK68" s="65"/>
      <c r="DL68" s="65"/>
      <c r="DM68" s="65"/>
      <c r="DN68" s="65"/>
      <c r="DO68" s="65"/>
      <c r="DP68" s="65"/>
      <c r="DQ68" s="65"/>
      <c r="DR68" s="65"/>
      <c r="DS68" s="65"/>
      <c r="DT68" s="65"/>
      <c r="DU68" s="65"/>
      <c r="DV68" s="65"/>
      <c r="DW68" s="65"/>
      <c r="DX68" s="65"/>
      <c r="DY68" s="65"/>
      <c r="DZ68" s="65"/>
      <c r="EA68" s="65"/>
      <c r="EB68" s="65"/>
      <c r="EC68" s="65"/>
      <c r="ED68" s="65"/>
      <c r="EE68" s="65"/>
      <c r="EF68" s="65"/>
      <c r="EG68" s="65"/>
      <c r="EH68" s="65"/>
      <c r="EI68" s="65"/>
      <c r="EJ68" s="65"/>
      <c r="EK68" s="65"/>
      <c r="EL68" s="65"/>
      <c r="EM68" s="65"/>
      <c r="EN68" s="65"/>
      <c r="EO68" s="65"/>
      <c r="EP68" s="65"/>
      <c r="EQ68" s="65"/>
      <c r="ER68" s="65"/>
      <c r="ES68" s="65"/>
      <c r="ET68" s="65"/>
      <c r="EU68" s="65"/>
      <c r="EV68" s="65"/>
      <c r="EW68" s="65"/>
      <c r="EX68" s="65"/>
      <c r="EY68" s="65"/>
      <c r="EZ68" s="65"/>
      <c r="FA68" s="65"/>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c r="GO68" s="65"/>
      <c r="GP68" s="65"/>
      <c r="GQ68" s="65"/>
      <c r="GR68" s="65"/>
      <c r="GS68" s="65"/>
      <c r="GT68" s="65"/>
      <c r="GU68" s="65"/>
      <c r="GV68" s="65"/>
      <c r="GW68" s="65"/>
      <c r="GX68" s="65"/>
      <c r="GY68" s="65"/>
      <c r="GZ68" s="65"/>
      <c r="HA68" s="65"/>
      <c r="HB68" s="65"/>
      <c r="HC68" s="65"/>
      <c r="HD68" s="65"/>
      <c r="HE68" s="65"/>
      <c r="HF68" s="65"/>
      <c r="HG68" s="65"/>
      <c r="HH68" s="65"/>
      <c r="HI68" s="65"/>
      <c r="HJ68" s="65"/>
      <c r="HK68" s="65"/>
      <c r="HL68" s="65"/>
      <c r="HM68" s="65"/>
      <c r="HN68" s="65"/>
      <c r="HO68" s="65"/>
    </row>
    <row r="69" spans="1:223" s="78" customFormat="1" ht="34.5" customHeight="1" x14ac:dyDescent="0.25">
      <c r="A69" s="353">
        <v>2025</v>
      </c>
      <c r="B69" s="354">
        <v>7</v>
      </c>
      <c r="C69" s="355">
        <v>22891</v>
      </c>
      <c r="D69" s="273">
        <v>45856</v>
      </c>
      <c r="E69" s="81" t="s">
        <v>2506</v>
      </c>
      <c r="F69" s="81" t="s">
        <v>2507</v>
      </c>
      <c r="H69" s="78">
        <v>3215016042</v>
      </c>
      <c r="I69" s="78">
        <v>3106095328</v>
      </c>
      <c r="J69" s="66">
        <v>45869</v>
      </c>
      <c r="K69" s="78" t="s">
        <v>88</v>
      </c>
      <c r="L69" s="79" t="s">
        <v>2508</v>
      </c>
      <c r="M69" s="78" t="s">
        <v>136</v>
      </c>
      <c r="N69" s="78">
        <v>6114</v>
      </c>
      <c r="O69" s="78">
        <v>6950</v>
      </c>
      <c r="P69" s="78">
        <v>9211</v>
      </c>
      <c r="Q69" s="78">
        <v>5590</v>
      </c>
      <c r="R69" s="78" t="s">
        <v>136</v>
      </c>
      <c r="S69" s="78" t="s">
        <v>134</v>
      </c>
      <c r="T69" s="78" t="s">
        <v>134</v>
      </c>
      <c r="U69" s="78" t="s">
        <v>136</v>
      </c>
      <c r="V69" s="81" t="s">
        <v>89</v>
      </c>
      <c r="X69" s="66"/>
      <c r="Z69" s="80" t="s">
        <v>114</v>
      </c>
      <c r="AA69" s="371"/>
      <c r="AC69" s="228">
        <v>2525490</v>
      </c>
      <c r="AD69" s="228">
        <f t="shared" si="1"/>
        <v>3005333.1</v>
      </c>
      <c r="AE69" s="303">
        <v>1471098</v>
      </c>
      <c r="AG69" s="210"/>
      <c r="AH69" s="241"/>
      <c r="AI69" s="66">
        <v>45861</v>
      </c>
      <c r="AJ69" s="78" t="s">
        <v>1705</v>
      </c>
      <c r="AL69" s="65"/>
      <c r="AM69" s="65"/>
      <c r="AN69" s="65"/>
      <c r="AO69" s="65"/>
      <c r="AP69" s="65"/>
      <c r="AQ69" s="65"/>
      <c r="AR69" s="65"/>
      <c r="AS69" s="65"/>
      <c r="AT69" s="65"/>
      <c r="AU69" s="65"/>
      <c r="AV69" s="65"/>
      <c r="AW69" s="65"/>
      <c r="AX69" s="65"/>
      <c r="AY69" s="65"/>
      <c r="AZ69" s="65"/>
      <c r="BA69" s="65"/>
      <c r="BB69" s="65"/>
      <c r="BC69" s="65"/>
      <c r="BD69" s="65"/>
      <c r="BE69" s="65"/>
      <c r="BF69" s="65"/>
      <c r="BG69" s="65"/>
      <c r="BH69" s="65"/>
      <c r="BI69" s="65"/>
      <c r="BJ69" s="65"/>
      <c r="BK69" s="65"/>
      <c r="BL69" s="65"/>
      <c r="BM69" s="65"/>
      <c r="BN69" s="65"/>
      <c r="BO69" s="65"/>
      <c r="BP69" s="65"/>
      <c r="BQ69" s="65"/>
      <c r="BR69" s="65"/>
      <c r="BS69" s="65"/>
      <c r="BT69" s="65"/>
      <c r="BU69" s="65"/>
      <c r="BV69" s="65"/>
      <c r="BW69" s="65"/>
      <c r="BX69" s="65"/>
      <c r="BY69" s="65"/>
      <c r="BZ69" s="65"/>
      <c r="CA69" s="65"/>
      <c r="CB69" s="65"/>
      <c r="CC69" s="65"/>
      <c r="CD69" s="65"/>
      <c r="CE69" s="65"/>
      <c r="CF69" s="65"/>
      <c r="CG69" s="65"/>
      <c r="CH69" s="65"/>
      <c r="CI69" s="65"/>
      <c r="CJ69" s="65"/>
      <c r="CK69" s="65"/>
      <c r="CL69" s="65"/>
      <c r="CM69" s="65"/>
      <c r="CN69" s="65"/>
      <c r="CO69" s="65"/>
      <c r="CP69" s="65"/>
      <c r="CQ69" s="65"/>
      <c r="CR69" s="65"/>
      <c r="CS69" s="65"/>
      <c r="CT69" s="65"/>
      <c r="CU69" s="65"/>
      <c r="CV69" s="65"/>
      <c r="CW69" s="65"/>
      <c r="CX69" s="65"/>
      <c r="CY69" s="65"/>
      <c r="CZ69" s="65"/>
      <c r="DA69" s="65"/>
      <c r="DB69" s="65"/>
      <c r="DC69" s="65"/>
      <c r="DD69" s="65"/>
      <c r="DE69" s="65"/>
      <c r="DF69" s="65"/>
      <c r="DG69" s="65"/>
      <c r="DH69" s="65"/>
      <c r="DI69" s="65"/>
      <c r="DJ69" s="65"/>
      <c r="DK69" s="65"/>
      <c r="DL69" s="65"/>
      <c r="DM69" s="65"/>
      <c r="DN69" s="65"/>
      <c r="DO69" s="65"/>
      <c r="DP69" s="65"/>
      <c r="DQ69" s="65"/>
      <c r="DR69" s="65"/>
      <c r="DS69" s="65"/>
      <c r="DT69" s="65"/>
      <c r="DU69" s="65"/>
      <c r="DV69" s="65"/>
      <c r="DW69" s="65"/>
      <c r="DX69" s="65"/>
      <c r="DY69" s="65"/>
      <c r="DZ69" s="65"/>
      <c r="EA69" s="65"/>
      <c r="EB69" s="65"/>
      <c r="EC69" s="65"/>
      <c r="ED69" s="65"/>
      <c r="EE69" s="65"/>
      <c r="EF69" s="65"/>
      <c r="EG69" s="65"/>
      <c r="EH69" s="65"/>
      <c r="EI69" s="65"/>
      <c r="EJ69" s="65"/>
      <c r="EK69" s="65"/>
      <c r="EL69" s="65"/>
      <c r="EM69" s="65"/>
      <c r="EN69" s="65"/>
      <c r="EO69" s="65"/>
      <c r="EP69" s="65"/>
      <c r="EQ69" s="65"/>
      <c r="ER69" s="65"/>
      <c r="ES69" s="65"/>
      <c r="ET69" s="65"/>
      <c r="EU69" s="65"/>
      <c r="EV69" s="65"/>
      <c r="EW69" s="65"/>
      <c r="EX69" s="65"/>
      <c r="EY69" s="65"/>
      <c r="EZ69" s="65"/>
      <c r="FA69" s="65"/>
      <c r="FB69" s="65"/>
      <c r="FC69" s="65"/>
      <c r="FD69" s="65"/>
      <c r="FE69" s="65"/>
      <c r="FF69" s="65"/>
      <c r="FG69" s="65"/>
      <c r="FH69" s="65"/>
      <c r="FI69" s="65"/>
      <c r="FJ69" s="65"/>
      <c r="FK69" s="65"/>
      <c r="FL69" s="65"/>
      <c r="FM69" s="65"/>
      <c r="FN69" s="65"/>
      <c r="FO69" s="65"/>
      <c r="FP69" s="65"/>
      <c r="FQ69" s="65"/>
      <c r="FR69" s="65"/>
      <c r="FS69" s="65"/>
      <c r="FT69" s="65"/>
      <c r="FU69" s="65"/>
      <c r="FV69" s="65"/>
      <c r="FW69" s="65"/>
      <c r="FX69" s="65"/>
      <c r="FY69" s="65"/>
      <c r="FZ69" s="65"/>
      <c r="GA69" s="65"/>
      <c r="GB69" s="65"/>
      <c r="GC69" s="65"/>
      <c r="GD69" s="65"/>
      <c r="GE69" s="65"/>
      <c r="GF69" s="65"/>
      <c r="GG69" s="65"/>
      <c r="GH69" s="65"/>
      <c r="GI69" s="65"/>
      <c r="GJ69" s="65"/>
      <c r="GK69" s="65"/>
      <c r="GL69" s="65"/>
      <c r="GM69" s="65"/>
      <c r="GN69" s="65"/>
      <c r="GO69" s="65"/>
      <c r="GP69" s="65"/>
      <c r="GQ69" s="65"/>
      <c r="GR69" s="65"/>
      <c r="GS69" s="65"/>
      <c r="GT69" s="65"/>
      <c r="GU69" s="65"/>
      <c r="GV69" s="65"/>
      <c r="GW69" s="65"/>
      <c r="GX69" s="65"/>
      <c r="GY69" s="65"/>
      <c r="GZ69" s="65"/>
      <c r="HA69" s="65"/>
      <c r="HB69" s="65"/>
      <c r="HC69" s="65"/>
      <c r="HD69" s="65"/>
      <c r="HE69" s="65"/>
      <c r="HF69" s="65"/>
      <c r="HG69" s="65"/>
      <c r="HH69" s="65"/>
      <c r="HI69" s="65"/>
      <c r="HJ69" s="65"/>
      <c r="HK69" s="65"/>
      <c r="HL69" s="65"/>
      <c r="HM69" s="65"/>
      <c r="HN69" s="65"/>
      <c r="HO69" s="65"/>
    </row>
    <row r="70" spans="1:223" s="78" customFormat="1" ht="34.5" customHeight="1" x14ac:dyDescent="0.25">
      <c r="A70" s="353">
        <v>2025</v>
      </c>
      <c r="B70" s="354">
        <v>7</v>
      </c>
      <c r="C70" s="353">
        <v>22892</v>
      </c>
      <c r="D70" s="273">
        <v>45856</v>
      </c>
      <c r="E70" s="81" t="s">
        <v>2504</v>
      </c>
      <c r="F70" s="81" t="s">
        <v>2179</v>
      </c>
      <c r="H70" s="78">
        <v>3128344221</v>
      </c>
      <c r="I70" s="78">
        <v>3128344221</v>
      </c>
      <c r="J70" s="66">
        <v>45864</v>
      </c>
      <c r="K70" s="78" t="s">
        <v>84</v>
      </c>
      <c r="L70" s="79" t="s">
        <v>2505</v>
      </c>
      <c r="M70" s="78" t="s">
        <v>136</v>
      </c>
      <c r="N70" s="78">
        <v>6115</v>
      </c>
      <c r="O70" s="78">
        <v>6949</v>
      </c>
      <c r="P70" s="78" t="s">
        <v>136</v>
      </c>
      <c r="Q70" s="78" t="s">
        <v>136</v>
      </c>
      <c r="R70" s="78" t="s">
        <v>136</v>
      </c>
      <c r="S70" s="78" t="s">
        <v>134</v>
      </c>
      <c r="T70" s="78" t="s">
        <v>134</v>
      </c>
      <c r="U70" s="78" t="s">
        <v>136</v>
      </c>
      <c r="V70" s="81" t="s">
        <v>119</v>
      </c>
      <c r="X70" s="66"/>
      <c r="Z70" s="80" t="s">
        <v>114</v>
      </c>
      <c r="AA70" s="371">
        <v>470000</v>
      </c>
      <c r="AC70" s="228">
        <v>394958</v>
      </c>
      <c r="AD70" s="228">
        <f t="shared" si="1"/>
        <v>470000.01999999996</v>
      </c>
      <c r="AE70" s="303"/>
      <c r="AG70" s="210"/>
      <c r="AH70" s="241"/>
      <c r="AI70" s="66">
        <v>45861</v>
      </c>
      <c r="AJ70" s="78" t="s">
        <v>1705</v>
      </c>
      <c r="AL70" s="65"/>
      <c r="AM70" s="65"/>
      <c r="AN70" s="65"/>
      <c r="AO70" s="65"/>
      <c r="AP70" s="65"/>
      <c r="AQ70" s="65"/>
      <c r="AR70" s="65"/>
      <c r="AS70" s="65"/>
      <c r="AT70" s="65"/>
      <c r="AU70" s="65"/>
      <c r="AV70" s="65"/>
      <c r="AW70" s="65"/>
      <c r="AX70" s="65"/>
      <c r="AY70" s="65"/>
      <c r="AZ70" s="65"/>
      <c r="BA70" s="65"/>
      <c r="BB70" s="65"/>
      <c r="BC70" s="65"/>
      <c r="BD70" s="65"/>
      <c r="BE70" s="65"/>
      <c r="BF70" s="65"/>
      <c r="BG70" s="65"/>
      <c r="BH70" s="65"/>
      <c r="BI70" s="65"/>
      <c r="BJ70" s="65"/>
      <c r="BK70" s="65"/>
      <c r="BL70" s="65"/>
      <c r="BM70" s="65"/>
      <c r="BN70" s="65"/>
      <c r="BO70" s="65"/>
      <c r="BP70" s="65"/>
      <c r="BQ70" s="65"/>
      <c r="BR70" s="65"/>
      <c r="BS70" s="65"/>
      <c r="BT70" s="65"/>
      <c r="BU70" s="65"/>
      <c r="BV70" s="65"/>
      <c r="BW70" s="65"/>
      <c r="BX70" s="65"/>
      <c r="BY70" s="65"/>
      <c r="BZ70" s="65"/>
      <c r="CA70" s="65"/>
      <c r="CB70" s="65"/>
      <c r="CC70" s="65"/>
      <c r="CD70" s="65"/>
      <c r="CE70" s="65"/>
      <c r="CF70" s="65"/>
      <c r="CG70" s="65"/>
      <c r="CH70" s="65"/>
      <c r="CI70" s="65"/>
      <c r="CJ70" s="65"/>
      <c r="CK70" s="65"/>
      <c r="CL70" s="65"/>
      <c r="CM70" s="65"/>
      <c r="CN70" s="65"/>
      <c r="CO70" s="65"/>
      <c r="CP70" s="65"/>
      <c r="CQ70" s="65"/>
      <c r="CR70" s="65"/>
      <c r="CS70" s="65"/>
      <c r="CT70" s="65"/>
      <c r="CU70" s="65"/>
      <c r="CV70" s="65"/>
      <c r="CW70" s="65"/>
      <c r="CX70" s="65"/>
      <c r="CY70" s="65"/>
      <c r="CZ70" s="65"/>
      <c r="DA70" s="65"/>
      <c r="DB70" s="65"/>
      <c r="DC70" s="65"/>
      <c r="DD70" s="65"/>
      <c r="DE70" s="65"/>
      <c r="DF70" s="65"/>
      <c r="DG70" s="65"/>
      <c r="DH70" s="65"/>
      <c r="DI70" s="65"/>
      <c r="DJ70" s="65"/>
      <c r="DK70" s="65"/>
      <c r="DL70" s="65"/>
      <c r="DM70" s="65"/>
      <c r="DN70" s="65"/>
      <c r="DO70" s="65"/>
      <c r="DP70" s="65"/>
      <c r="DQ70" s="65"/>
      <c r="DR70" s="65"/>
      <c r="DS70" s="65"/>
      <c r="DT70" s="65"/>
      <c r="DU70" s="65"/>
      <c r="DV70" s="65"/>
      <c r="DW70" s="65"/>
      <c r="DX70" s="65"/>
      <c r="DY70" s="65"/>
      <c r="DZ70" s="65"/>
      <c r="EA70" s="65"/>
      <c r="EB70" s="65"/>
      <c r="EC70" s="65"/>
      <c r="ED70" s="65"/>
      <c r="EE70" s="65"/>
      <c r="EF70" s="65"/>
      <c r="EG70" s="65"/>
      <c r="EH70" s="65"/>
      <c r="EI70" s="65"/>
      <c r="EJ70" s="65"/>
      <c r="EK70" s="65"/>
      <c r="EL70" s="65"/>
      <c r="EM70" s="65"/>
      <c r="EN70" s="65"/>
      <c r="EO70" s="65"/>
      <c r="EP70" s="65"/>
      <c r="EQ70" s="65"/>
      <c r="ER70" s="65"/>
      <c r="ES70" s="65"/>
      <c r="ET70" s="65"/>
      <c r="EU70" s="65"/>
      <c r="EV70" s="65"/>
      <c r="EW70" s="65"/>
      <c r="EX70" s="65"/>
      <c r="EY70" s="65"/>
      <c r="EZ70" s="65"/>
      <c r="FA70" s="65"/>
      <c r="FB70" s="65"/>
      <c r="FC70" s="65"/>
      <c r="FD70" s="65"/>
      <c r="FE70" s="65"/>
      <c r="FF70" s="65"/>
      <c r="FG70" s="65"/>
      <c r="FH70" s="65"/>
      <c r="FI70" s="65"/>
      <c r="FJ70" s="65"/>
      <c r="FK70" s="65"/>
      <c r="FL70" s="65"/>
      <c r="FM70" s="65"/>
      <c r="FN70" s="65"/>
      <c r="FO70" s="65"/>
      <c r="FP70" s="65"/>
      <c r="FQ70" s="65"/>
      <c r="FR70" s="65"/>
      <c r="FS70" s="65"/>
      <c r="FT70" s="65"/>
      <c r="FU70" s="65"/>
      <c r="FV70" s="65"/>
      <c r="FW70" s="65"/>
      <c r="FX70" s="65"/>
      <c r="FY70" s="65"/>
      <c r="FZ70" s="65"/>
      <c r="GA70" s="65"/>
      <c r="GB70" s="65"/>
      <c r="GC70" s="65"/>
      <c r="GD70" s="65"/>
      <c r="GE70" s="65"/>
      <c r="GF70" s="65"/>
      <c r="GG70" s="65"/>
      <c r="GH70" s="65"/>
      <c r="GI70" s="65"/>
      <c r="GJ70" s="65"/>
      <c r="GK70" s="65"/>
      <c r="GL70" s="65"/>
      <c r="GM70" s="65"/>
      <c r="GN70" s="65"/>
      <c r="GO70" s="65"/>
      <c r="GP70" s="65"/>
      <c r="GQ70" s="65"/>
      <c r="GR70" s="65"/>
      <c r="GS70" s="65"/>
      <c r="GT70" s="65"/>
      <c r="GU70" s="65"/>
      <c r="GV70" s="65"/>
      <c r="GW70" s="65"/>
      <c r="GX70" s="65"/>
      <c r="GY70" s="65"/>
      <c r="GZ70" s="65"/>
      <c r="HA70" s="65"/>
      <c r="HB70" s="65"/>
      <c r="HC70" s="65"/>
      <c r="HD70" s="65"/>
      <c r="HE70" s="65"/>
      <c r="HF70" s="65"/>
      <c r="HG70" s="65"/>
      <c r="HH70" s="65"/>
      <c r="HI70" s="65"/>
      <c r="HJ70" s="65"/>
      <c r="HK70" s="65"/>
      <c r="HL70" s="65"/>
      <c r="HM70" s="65"/>
      <c r="HN70" s="65"/>
      <c r="HO70" s="65"/>
    </row>
    <row r="71" spans="1:223" s="78" customFormat="1" ht="34.5" customHeight="1" x14ac:dyDescent="0.25">
      <c r="A71" s="353">
        <v>2025</v>
      </c>
      <c r="B71" s="354">
        <v>7</v>
      </c>
      <c r="C71" s="353">
        <v>22893</v>
      </c>
      <c r="D71" s="273">
        <v>45854</v>
      </c>
      <c r="E71" s="81" t="s">
        <v>2502</v>
      </c>
      <c r="F71" s="81" t="s">
        <v>2502</v>
      </c>
      <c r="G71" s="78" t="s">
        <v>143</v>
      </c>
      <c r="H71" s="78">
        <v>3014163344</v>
      </c>
      <c r="I71" s="78">
        <v>3014163344</v>
      </c>
      <c r="J71" s="66">
        <v>45866</v>
      </c>
      <c r="K71" s="78" t="s">
        <v>84</v>
      </c>
      <c r="L71" s="79" t="s">
        <v>2503</v>
      </c>
      <c r="M71" s="78" t="s">
        <v>136</v>
      </c>
      <c r="N71" s="78">
        <v>6116</v>
      </c>
      <c r="O71" s="78" t="s">
        <v>136</v>
      </c>
      <c r="P71" s="78" t="s">
        <v>136</v>
      </c>
      <c r="Q71" s="78" t="s">
        <v>136</v>
      </c>
      <c r="R71" s="78" t="s">
        <v>134</v>
      </c>
      <c r="S71" s="78" t="s">
        <v>136</v>
      </c>
      <c r="T71" s="78" t="s">
        <v>136</v>
      </c>
      <c r="U71" s="78" t="s">
        <v>136</v>
      </c>
      <c r="V71" s="81" t="s">
        <v>119</v>
      </c>
      <c r="X71" s="66"/>
      <c r="Z71" s="80" t="s">
        <v>114</v>
      </c>
      <c r="AA71" s="371"/>
      <c r="AC71" s="228">
        <v>138852</v>
      </c>
      <c r="AD71" s="228">
        <f t="shared" si="1"/>
        <v>165233.88</v>
      </c>
      <c r="AE71" s="303">
        <v>50000</v>
      </c>
      <c r="AG71" s="210"/>
      <c r="AH71" s="241"/>
      <c r="AI71" s="66">
        <v>45861</v>
      </c>
      <c r="AJ71" s="78" t="s">
        <v>1705</v>
      </c>
      <c r="AL71" s="65"/>
      <c r="AM71" s="65"/>
      <c r="AN71" s="65"/>
      <c r="AO71" s="65"/>
      <c r="AP71" s="65"/>
      <c r="AQ71" s="65"/>
      <c r="AR71" s="65"/>
      <c r="AS71" s="65"/>
      <c r="AT71" s="65"/>
      <c r="AU71" s="65"/>
      <c r="AV71" s="65"/>
      <c r="AW71" s="65"/>
      <c r="AX71" s="65"/>
      <c r="AY71" s="65"/>
      <c r="AZ71" s="65"/>
      <c r="BA71" s="65"/>
      <c r="BB71" s="65"/>
      <c r="BC71" s="65"/>
      <c r="BD71" s="65"/>
      <c r="BE71" s="65"/>
      <c r="BF71" s="65"/>
      <c r="BG71" s="65"/>
      <c r="BH71" s="65"/>
      <c r="BI71" s="65"/>
      <c r="BJ71" s="65"/>
      <c r="BK71" s="65"/>
      <c r="BL71" s="65"/>
      <c r="BM71" s="65"/>
      <c r="BN71" s="65"/>
      <c r="BO71" s="65"/>
      <c r="BP71" s="65"/>
      <c r="BQ71" s="65"/>
      <c r="BR71" s="65"/>
      <c r="BS71" s="65"/>
      <c r="BT71" s="65"/>
      <c r="BU71" s="65"/>
      <c r="BV71" s="65"/>
      <c r="BW71" s="65"/>
      <c r="BX71" s="65"/>
      <c r="BY71" s="65"/>
      <c r="BZ71" s="65"/>
      <c r="CA71" s="65"/>
      <c r="CB71" s="65"/>
      <c r="CC71" s="65"/>
      <c r="CD71" s="65"/>
      <c r="CE71" s="65"/>
      <c r="CF71" s="65"/>
      <c r="CG71" s="65"/>
      <c r="CH71" s="65"/>
      <c r="CI71" s="65"/>
      <c r="CJ71" s="65"/>
      <c r="CK71" s="65"/>
      <c r="CL71" s="65"/>
      <c r="CM71" s="65"/>
      <c r="CN71" s="65"/>
      <c r="CO71" s="65"/>
      <c r="CP71" s="6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c r="GO71" s="65"/>
      <c r="GP71" s="65"/>
      <c r="GQ71" s="65"/>
      <c r="GR71" s="65"/>
      <c r="GS71" s="65"/>
      <c r="GT71" s="65"/>
      <c r="GU71" s="65"/>
      <c r="GV71" s="65"/>
      <c r="GW71" s="65"/>
      <c r="GX71" s="65"/>
      <c r="GY71" s="65"/>
      <c r="GZ71" s="65"/>
      <c r="HA71" s="65"/>
      <c r="HB71" s="65"/>
      <c r="HC71" s="65"/>
      <c r="HD71" s="65"/>
      <c r="HE71" s="65"/>
      <c r="HF71" s="65"/>
      <c r="HG71" s="65"/>
      <c r="HH71" s="65"/>
      <c r="HI71" s="65"/>
      <c r="HJ71" s="65"/>
      <c r="HK71" s="65"/>
      <c r="HL71" s="65"/>
      <c r="HM71" s="65"/>
      <c r="HN71" s="65"/>
      <c r="HO71" s="65"/>
    </row>
    <row r="72" spans="1:223" s="78" customFormat="1" ht="34.5" customHeight="1" x14ac:dyDescent="0.25">
      <c r="A72" s="353">
        <v>2025</v>
      </c>
      <c r="B72" s="354">
        <v>7</v>
      </c>
      <c r="C72" s="355">
        <v>22894</v>
      </c>
      <c r="D72" s="273">
        <v>45855</v>
      </c>
      <c r="E72" s="81" t="s">
        <v>2465</v>
      </c>
      <c r="F72" s="81"/>
      <c r="I72" s="78">
        <v>3155801850</v>
      </c>
      <c r="J72" s="66">
        <v>45866</v>
      </c>
      <c r="K72" s="78" t="s">
        <v>94</v>
      </c>
      <c r="L72" s="79" t="s">
        <v>2466</v>
      </c>
      <c r="M72" s="78" t="s">
        <v>136</v>
      </c>
      <c r="N72" s="78">
        <v>6105</v>
      </c>
      <c r="O72" s="78" t="s">
        <v>136</v>
      </c>
      <c r="P72" s="78" t="s">
        <v>136</v>
      </c>
      <c r="Q72" s="78" t="s">
        <v>136</v>
      </c>
      <c r="R72" s="78" t="s">
        <v>136</v>
      </c>
      <c r="S72" s="78" t="s">
        <v>136</v>
      </c>
      <c r="T72" s="78" t="s">
        <v>136</v>
      </c>
      <c r="U72" s="78" t="s">
        <v>136</v>
      </c>
      <c r="V72" s="81" t="s">
        <v>2336</v>
      </c>
      <c r="X72" s="66"/>
      <c r="Z72" s="80" t="s">
        <v>114</v>
      </c>
      <c r="AA72" s="371">
        <v>107500</v>
      </c>
      <c r="AC72" s="228">
        <v>90336</v>
      </c>
      <c r="AD72" s="228">
        <f t="shared" si="1"/>
        <v>107499.84</v>
      </c>
      <c r="AE72" s="303"/>
      <c r="AG72" s="210"/>
      <c r="AH72" s="241"/>
      <c r="AI72" s="66">
        <v>45861</v>
      </c>
      <c r="AJ72" s="78" t="s">
        <v>1705</v>
      </c>
      <c r="AL72" s="65"/>
      <c r="AM72" s="65"/>
      <c r="AN72" s="65"/>
      <c r="AO72" s="65"/>
      <c r="AP72" s="65"/>
      <c r="AQ72" s="65"/>
      <c r="AR72" s="65"/>
      <c r="AS72" s="65"/>
      <c r="AT72" s="65"/>
      <c r="AU72" s="65"/>
      <c r="AV72" s="65"/>
      <c r="AW72" s="65"/>
      <c r="AX72" s="65"/>
      <c r="AY72" s="65"/>
      <c r="AZ72" s="65"/>
      <c r="BA72" s="65"/>
      <c r="BB72" s="65"/>
      <c r="BC72" s="65"/>
      <c r="BD72" s="65"/>
      <c r="BE72" s="65"/>
      <c r="BF72" s="65"/>
      <c r="BG72" s="65"/>
      <c r="BH72" s="65"/>
      <c r="BI72" s="65"/>
      <c r="BJ72" s="65"/>
      <c r="BK72" s="65"/>
      <c r="BL72" s="65"/>
      <c r="BM72" s="65"/>
      <c r="BN72" s="65"/>
      <c r="BO72" s="65"/>
      <c r="BP72" s="65"/>
      <c r="BQ72" s="65"/>
      <c r="BR72" s="65"/>
      <c r="BS72" s="65"/>
      <c r="BT72" s="65"/>
      <c r="BU72" s="65"/>
      <c r="BV72" s="65"/>
      <c r="BW72" s="65"/>
      <c r="BX72" s="65"/>
      <c r="BY72" s="65"/>
      <c r="BZ72" s="65"/>
      <c r="CA72" s="65"/>
      <c r="CB72" s="65"/>
      <c r="CC72" s="65"/>
      <c r="CD72" s="65"/>
      <c r="CE72" s="65"/>
      <c r="CF72" s="65"/>
      <c r="CG72" s="65"/>
      <c r="CH72" s="65"/>
      <c r="CI72" s="65"/>
      <c r="CJ72" s="65"/>
      <c r="CK72" s="65"/>
      <c r="CL72" s="65"/>
      <c r="CM72" s="65"/>
      <c r="CN72" s="65"/>
      <c r="CO72" s="65"/>
      <c r="CP72" s="65"/>
      <c r="CQ72" s="65"/>
      <c r="CR72" s="65"/>
      <c r="CS72" s="65"/>
      <c r="CT72" s="65"/>
      <c r="CU72" s="65"/>
      <c r="CV72" s="65"/>
      <c r="CW72" s="65"/>
      <c r="CX72" s="65"/>
      <c r="CY72" s="65"/>
      <c r="CZ72" s="65"/>
      <c r="DA72" s="65"/>
      <c r="DB72" s="65"/>
      <c r="DC72" s="65"/>
      <c r="DD72" s="65"/>
      <c r="DE72" s="65"/>
      <c r="DF72" s="65"/>
      <c r="DG72" s="65"/>
      <c r="DH72" s="65"/>
      <c r="DI72" s="65"/>
      <c r="DJ72" s="65"/>
      <c r="DK72" s="65"/>
      <c r="DL72" s="65"/>
      <c r="DM72" s="65"/>
      <c r="DN72" s="65"/>
      <c r="DO72" s="65"/>
      <c r="DP72" s="65"/>
      <c r="DQ72" s="65"/>
      <c r="DR72" s="65"/>
      <c r="DS72" s="65"/>
      <c r="DT72" s="65"/>
      <c r="DU72" s="65"/>
      <c r="DV72" s="65"/>
      <c r="DW72" s="65"/>
      <c r="DX72" s="65"/>
      <c r="DY72" s="65"/>
      <c r="DZ72" s="65"/>
      <c r="EA72" s="65"/>
      <c r="EB72" s="65"/>
      <c r="EC72" s="65"/>
      <c r="ED72" s="65"/>
      <c r="EE72" s="65"/>
      <c r="EF72" s="65"/>
      <c r="EG72" s="65"/>
      <c r="EH72" s="65"/>
      <c r="EI72" s="65"/>
      <c r="EJ72" s="65"/>
      <c r="EK72" s="65"/>
      <c r="EL72" s="65"/>
      <c r="EM72" s="65"/>
      <c r="EN72" s="65"/>
      <c r="EO72" s="65"/>
      <c r="EP72" s="65"/>
      <c r="EQ72" s="65"/>
      <c r="ER72" s="65"/>
      <c r="ES72" s="65"/>
      <c r="ET72" s="65"/>
      <c r="EU72" s="65"/>
      <c r="EV72" s="65"/>
      <c r="EW72" s="65"/>
      <c r="EX72" s="65"/>
      <c r="EY72" s="65"/>
      <c r="EZ72" s="65"/>
      <c r="FA72" s="65"/>
      <c r="FB72" s="65"/>
      <c r="FC72" s="65"/>
      <c r="FD72" s="65"/>
      <c r="FE72" s="65"/>
      <c r="FF72" s="65"/>
      <c r="FG72" s="65"/>
      <c r="FH72" s="65"/>
      <c r="FI72" s="65"/>
      <c r="FJ72" s="65"/>
      <c r="FK72" s="65"/>
      <c r="FL72" s="65"/>
      <c r="FM72" s="65"/>
      <c r="FN72" s="65"/>
      <c r="FO72" s="65"/>
      <c r="FP72" s="65"/>
      <c r="FQ72" s="65"/>
      <c r="FR72" s="65"/>
      <c r="FS72" s="65"/>
      <c r="FT72" s="65"/>
      <c r="FU72" s="65"/>
      <c r="FV72" s="65"/>
      <c r="FW72" s="65"/>
      <c r="FX72" s="65"/>
      <c r="FY72" s="65"/>
      <c r="FZ72" s="65"/>
      <c r="GA72" s="65"/>
      <c r="GB72" s="65"/>
      <c r="GC72" s="65"/>
      <c r="GD72" s="65"/>
      <c r="GE72" s="65"/>
      <c r="GF72" s="65"/>
      <c r="GG72" s="65"/>
      <c r="GH72" s="65"/>
      <c r="GI72" s="65"/>
      <c r="GJ72" s="65"/>
      <c r="GK72" s="65"/>
      <c r="GL72" s="65"/>
      <c r="GM72" s="65"/>
      <c r="GN72" s="65"/>
      <c r="GO72" s="65"/>
      <c r="GP72" s="65"/>
      <c r="GQ72" s="65"/>
      <c r="GR72" s="65"/>
      <c r="GS72" s="65"/>
      <c r="GT72" s="65"/>
      <c r="GU72" s="65"/>
      <c r="GV72" s="65"/>
      <c r="GW72" s="65"/>
      <c r="GX72" s="65"/>
      <c r="GY72" s="65"/>
      <c r="GZ72" s="65"/>
      <c r="HA72" s="65"/>
      <c r="HB72" s="65"/>
      <c r="HC72" s="65"/>
      <c r="HD72" s="65"/>
      <c r="HE72" s="65"/>
      <c r="HF72" s="65"/>
      <c r="HG72" s="65"/>
      <c r="HH72" s="65"/>
      <c r="HI72" s="65"/>
      <c r="HJ72" s="65"/>
      <c r="HK72" s="65"/>
      <c r="HL72" s="65"/>
      <c r="HM72" s="65"/>
      <c r="HN72" s="65"/>
      <c r="HO72" s="65"/>
    </row>
    <row r="73" spans="1:223" s="78" customFormat="1" ht="42.75" customHeight="1" x14ac:dyDescent="0.25">
      <c r="A73" s="152">
        <v>2025</v>
      </c>
      <c r="B73" s="379">
        <v>7</v>
      </c>
      <c r="C73" s="152">
        <v>22895</v>
      </c>
      <c r="D73" s="444">
        <v>45855</v>
      </c>
      <c r="E73" s="111" t="s">
        <v>2425</v>
      </c>
      <c r="F73" s="111" t="s">
        <v>2426</v>
      </c>
      <c r="G73" s="110"/>
      <c r="H73" s="110"/>
      <c r="I73" s="110">
        <v>3326694</v>
      </c>
      <c r="J73" s="108">
        <v>45855</v>
      </c>
      <c r="K73" s="110" t="s">
        <v>84</v>
      </c>
      <c r="L73" s="112" t="s">
        <v>2427</v>
      </c>
      <c r="M73" s="110" t="s">
        <v>136</v>
      </c>
      <c r="N73" s="110" t="s">
        <v>136</v>
      </c>
      <c r="O73" s="110">
        <v>6945</v>
      </c>
      <c r="P73" s="110" t="s">
        <v>136</v>
      </c>
      <c r="Q73" s="110" t="s">
        <v>136</v>
      </c>
      <c r="R73" s="110" t="s">
        <v>136</v>
      </c>
      <c r="S73" s="110" t="s">
        <v>134</v>
      </c>
      <c r="T73" s="110" t="s">
        <v>136</v>
      </c>
      <c r="U73" s="110" t="s">
        <v>136</v>
      </c>
      <c r="V73" s="111" t="s">
        <v>89</v>
      </c>
      <c r="W73" s="108">
        <v>45857</v>
      </c>
      <c r="X73" s="108">
        <v>45857</v>
      </c>
      <c r="Y73" s="110"/>
      <c r="Z73" s="126" t="s">
        <v>85</v>
      </c>
      <c r="AA73" s="380">
        <v>295166</v>
      </c>
      <c r="AB73" s="110">
        <v>6075</v>
      </c>
      <c r="AC73" s="212">
        <v>253361</v>
      </c>
      <c r="AD73" s="212">
        <f t="shared" si="1"/>
        <v>301499.58999999997</v>
      </c>
      <c r="AE73" s="130">
        <v>0</v>
      </c>
      <c r="AF73" s="110"/>
      <c r="AG73" s="142" t="s">
        <v>2429</v>
      </c>
      <c r="AH73" s="248">
        <v>45854</v>
      </c>
      <c r="AI73" s="108">
        <v>45856</v>
      </c>
      <c r="AJ73" s="110" t="s">
        <v>1705</v>
      </c>
      <c r="AK73" s="110"/>
      <c r="AL73" s="65"/>
      <c r="AM73" s="65"/>
      <c r="AN73" s="65"/>
      <c r="AO73" s="65"/>
      <c r="AP73" s="65"/>
      <c r="AQ73" s="65"/>
      <c r="AR73" s="65"/>
      <c r="AS73" s="65"/>
      <c r="AT73" s="65"/>
      <c r="AU73" s="65"/>
      <c r="AV73" s="65"/>
      <c r="AW73" s="65"/>
      <c r="AX73" s="65"/>
      <c r="AY73" s="65"/>
      <c r="AZ73" s="65"/>
      <c r="BA73" s="65"/>
      <c r="BB73" s="65"/>
      <c r="BC73" s="65"/>
      <c r="BD73" s="65"/>
      <c r="BE73" s="65"/>
      <c r="BF73" s="65"/>
      <c r="BG73" s="65"/>
      <c r="BH73" s="65"/>
      <c r="BI73" s="65"/>
      <c r="BJ73" s="65"/>
      <c r="BK73" s="65"/>
      <c r="BL73" s="65"/>
      <c r="BM73" s="65"/>
      <c r="BN73" s="65"/>
      <c r="BO73" s="65"/>
      <c r="BP73" s="65"/>
      <c r="BQ73" s="65"/>
      <c r="BR73" s="65"/>
      <c r="BS73" s="65"/>
      <c r="BT73" s="65"/>
      <c r="BU73" s="65"/>
      <c r="BV73" s="65"/>
      <c r="BW73" s="65"/>
      <c r="BX73" s="65"/>
      <c r="BY73" s="65"/>
      <c r="BZ73" s="65"/>
      <c r="CA73" s="65"/>
      <c r="CB73" s="65"/>
      <c r="CC73" s="65"/>
      <c r="CD73" s="65"/>
      <c r="CE73" s="65"/>
      <c r="CF73" s="65"/>
      <c r="CG73" s="65"/>
      <c r="CH73" s="65"/>
      <c r="CI73" s="65"/>
      <c r="CJ73" s="65"/>
      <c r="CK73" s="65"/>
      <c r="CL73" s="65"/>
      <c r="CM73" s="65"/>
      <c r="CN73" s="65"/>
      <c r="CO73" s="65"/>
      <c r="CP73" s="65"/>
      <c r="CQ73" s="65"/>
      <c r="CR73" s="65"/>
      <c r="CS73" s="65"/>
      <c r="CT73" s="65"/>
      <c r="CU73" s="65"/>
      <c r="CV73" s="65"/>
      <c r="CW73" s="65"/>
      <c r="CX73" s="65"/>
      <c r="CY73" s="65"/>
      <c r="CZ73" s="65"/>
      <c r="DA73" s="65"/>
      <c r="DB73" s="65"/>
      <c r="DC73" s="65"/>
      <c r="DD73" s="65"/>
      <c r="DE73" s="65"/>
      <c r="DF73" s="65"/>
      <c r="DG73" s="65"/>
      <c r="DH73" s="65"/>
      <c r="DI73" s="65"/>
      <c r="DJ73" s="65"/>
      <c r="DK73" s="65"/>
      <c r="DL73" s="65"/>
      <c r="DM73" s="65"/>
      <c r="DN73" s="65"/>
      <c r="DO73" s="65"/>
      <c r="DP73" s="65"/>
      <c r="DQ73" s="65"/>
      <c r="DR73" s="65"/>
      <c r="DS73" s="65"/>
      <c r="DT73" s="65"/>
      <c r="DU73" s="65"/>
      <c r="DV73" s="65"/>
      <c r="DW73" s="65"/>
      <c r="DX73" s="65"/>
      <c r="DY73" s="65"/>
      <c r="DZ73" s="65"/>
      <c r="EA73" s="65"/>
      <c r="EB73" s="65"/>
      <c r="EC73" s="65"/>
      <c r="ED73" s="65"/>
      <c r="EE73" s="65"/>
      <c r="EF73" s="65"/>
      <c r="EG73" s="65"/>
      <c r="EH73" s="65"/>
      <c r="EI73" s="65"/>
      <c r="EJ73" s="65"/>
      <c r="EK73" s="65"/>
      <c r="EL73" s="65"/>
      <c r="EM73" s="65"/>
      <c r="EN73" s="65"/>
      <c r="EO73" s="65"/>
      <c r="EP73" s="65"/>
      <c r="EQ73" s="65"/>
      <c r="ER73" s="65"/>
      <c r="ES73" s="65"/>
      <c r="ET73" s="65"/>
      <c r="EU73" s="65"/>
      <c r="EV73" s="65"/>
      <c r="EW73" s="65"/>
      <c r="EX73" s="65"/>
      <c r="EY73" s="65"/>
      <c r="EZ73" s="65"/>
      <c r="FA73" s="65"/>
      <c r="FB73" s="65"/>
      <c r="FC73" s="65"/>
      <c r="FD73" s="65"/>
      <c r="FE73" s="65"/>
      <c r="FF73" s="65"/>
      <c r="FG73" s="65"/>
      <c r="FH73" s="65"/>
      <c r="FI73" s="65"/>
      <c r="FJ73" s="65"/>
      <c r="FK73" s="65"/>
      <c r="FL73" s="65"/>
      <c r="FM73" s="65"/>
      <c r="FN73" s="65"/>
      <c r="FO73" s="65"/>
      <c r="FP73" s="65"/>
      <c r="FQ73" s="65"/>
      <c r="FR73" s="65"/>
      <c r="FS73" s="65"/>
      <c r="FT73" s="65"/>
      <c r="FU73" s="65"/>
      <c r="FV73" s="65"/>
      <c r="FW73" s="65"/>
      <c r="FX73" s="65"/>
      <c r="FY73" s="65"/>
      <c r="FZ73" s="65"/>
      <c r="GA73" s="65"/>
      <c r="GB73" s="65"/>
      <c r="GC73" s="65"/>
      <c r="GD73" s="65"/>
      <c r="GE73" s="65"/>
      <c r="GF73" s="65"/>
      <c r="GG73" s="65"/>
      <c r="GH73" s="65"/>
      <c r="GI73" s="65"/>
      <c r="GJ73" s="65"/>
      <c r="GK73" s="65"/>
      <c r="GL73" s="65"/>
      <c r="GM73" s="65"/>
      <c r="GN73" s="65"/>
      <c r="GO73" s="65"/>
      <c r="GP73" s="65"/>
      <c r="GQ73" s="65"/>
      <c r="GR73" s="65"/>
      <c r="GS73" s="65"/>
      <c r="GT73" s="65"/>
      <c r="GU73" s="65"/>
      <c r="GV73" s="65"/>
      <c r="GW73" s="65"/>
      <c r="GX73" s="65"/>
      <c r="GY73" s="65"/>
      <c r="GZ73" s="65"/>
      <c r="HA73" s="65"/>
      <c r="HB73" s="65"/>
      <c r="HC73" s="65"/>
      <c r="HD73" s="65"/>
      <c r="HE73" s="65"/>
      <c r="HF73" s="65"/>
      <c r="HG73" s="65"/>
      <c r="HH73" s="65"/>
      <c r="HI73" s="65"/>
      <c r="HJ73" s="65"/>
      <c r="HK73" s="65"/>
      <c r="HL73" s="65"/>
      <c r="HM73" s="65"/>
      <c r="HN73" s="65"/>
      <c r="HO73" s="65"/>
    </row>
    <row r="74" spans="1:223" s="78" customFormat="1" ht="34.5" customHeight="1" x14ac:dyDescent="0.25">
      <c r="A74" s="353">
        <v>2025</v>
      </c>
      <c r="B74" s="354">
        <v>7</v>
      </c>
      <c r="C74" s="353">
        <v>22896</v>
      </c>
      <c r="D74" s="273">
        <v>45855</v>
      </c>
      <c r="E74" s="81" t="s">
        <v>1880</v>
      </c>
      <c r="F74" s="81" t="s">
        <v>1880</v>
      </c>
      <c r="G74" s="78" t="s">
        <v>143</v>
      </c>
      <c r="H74" s="78">
        <v>3136395595</v>
      </c>
      <c r="I74" s="78">
        <v>3136395595</v>
      </c>
      <c r="J74" s="66">
        <v>45867</v>
      </c>
      <c r="K74" s="78" t="s">
        <v>84</v>
      </c>
      <c r="L74" s="79" t="s">
        <v>2501</v>
      </c>
      <c r="M74" s="78" t="s">
        <v>136</v>
      </c>
      <c r="N74" s="78">
        <v>6117</v>
      </c>
      <c r="O74" s="78">
        <v>6954</v>
      </c>
      <c r="P74" s="78" t="s">
        <v>136</v>
      </c>
      <c r="Q74" s="78" t="s">
        <v>136</v>
      </c>
      <c r="R74" s="78" t="s">
        <v>136</v>
      </c>
      <c r="S74" s="78" t="s">
        <v>134</v>
      </c>
      <c r="T74" s="78" t="s">
        <v>134</v>
      </c>
      <c r="U74" s="78" t="s">
        <v>136</v>
      </c>
      <c r="V74" s="81" t="s">
        <v>119</v>
      </c>
      <c r="W74" s="435"/>
      <c r="X74" s="66"/>
      <c r="Z74" s="80" t="s">
        <v>114</v>
      </c>
      <c r="AA74" s="371"/>
      <c r="AC74" s="228">
        <v>840336</v>
      </c>
      <c r="AD74" s="228">
        <f t="shared" si="1"/>
        <v>999999.84</v>
      </c>
      <c r="AE74" s="303">
        <v>500000</v>
      </c>
      <c r="AG74" s="210"/>
      <c r="AH74" s="241"/>
      <c r="AI74" s="66">
        <v>45861</v>
      </c>
      <c r="AJ74" s="78" t="s">
        <v>1705</v>
      </c>
      <c r="AL74" s="65"/>
      <c r="AM74" s="65"/>
      <c r="AN74" s="65"/>
      <c r="AO74" s="65"/>
      <c r="AP74" s="65"/>
      <c r="AQ74" s="65"/>
      <c r="AR74" s="65"/>
      <c r="AS74" s="65"/>
      <c r="AT74" s="65"/>
      <c r="AU74" s="65"/>
      <c r="AV74" s="65"/>
      <c r="AW74" s="65"/>
      <c r="AX74" s="65"/>
      <c r="AY74" s="65"/>
      <c r="AZ74" s="65"/>
      <c r="BA74" s="65"/>
      <c r="BB74" s="65"/>
      <c r="BC74" s="65"/>
      <c r="BD74" s="65"/>
      <c r="BE74" s="65"/>
      <c r="BF74" s="65"/>
      <c r="BG74" s="65"/>
      <c r="BH74" s="65"/>
      <c r="BI74" s="65"/>
      <c r="BJ74" s="65"/>
      <c r="BK74" s="65"/>
      <c r="BL74" s="65"/>
      <c r="BM74" s="65"/>
      <c r="BN74" s="65"/>
      <c r="BO74" s="65"/>
      <c r="BP74" s="65"/>
      <c r="BQ74" s="65"/>
      <c r="BR74" s="65"/>
      <c r="BS74" s="65"/>
      <c r="BT74" s="65"/>
      <c r="BU74" s="65"/>
      <c r="BV74" s="65"/>
      <c r="BW74" s="65"/>
      <c r="BX74" s="65"/>
      <c r="BY74" s="65"/>
      <c r="BZ74" s="65"/>
      <c r="CA74" s="65"/>
      <c r="CB74" s="65"/>
      <c r="CC74" s="65"/>
      <c r="CD74" s="65"/>
      <c r="CE74" s="65"/>
      <c r="CF74" s="65"/>
      <c r="CG74" s="65"/>
      <c r="CH74" s="65"/>
      <c r="CI74" s="65"/>
      <c r="CJ74" s="65"/>
      <c r="CK74" s="65"/>
      <c r="CL74" s="65"/>
      <c r="CM74" s="65"/>
      <c r="CN74" s="65"/>
      <c r="CO74" s="65"/>
      <c r="CP74" s="65"/>
      <c r="CQ74" s="65"/>
      <c r="CR74" s="65"/>
      <c r="CS74" s="65"/>
      <c r="CT74" s="65"/>
      <c r="CU74" s="65"/>
      <c r="CV74" s="65"/>
      <c r="CW74" s="65"/>
      <c r="CX74" s="65"/>
      <c r="CY74" s="65"/>
      <c r="CZ74" s="65"/>
      <c r="DA74" s="65"/>
      <c r="DB74" s="65"/>
      <c r="DC74" s="65"/>
      <c r="DD74" s="65"/>
      <c r="DE74" s="65"/>
      <c r="DF74" s="65"/>
      <c r="DG74" s="65"/>
      <c r="DH74" s="65"/>
      <c r="DI74" s="65"/>
      <c r="DJ74" s="65"/>
      <c r="DK74" s="65"/>
      <c r="DL74" s="65"/>
      <c r="DM74" s="65"/>
      <c r="DN74" s="65"/>
      <c r="DO74" s="65"/>
      <c r="DP74" s="65"/>
      <c r="DQ74" s="65"/>
      <c r="DR74" s="65"/>
      <c r="DS74" s="65"/>
      <c r="DT74" s="65"/>
      <c r="DU74" s="65"/>
      <c r="DV74" s="65"/>
      <c r="DW74" s="65"/>
      <c r="DX74" s="65"/>
      <c r="DY74" s="65"/>
      <c r="DZ74" s="65"/>
      <c r="EA74" s="65"/>
      <c r="EB74" s="65"/>
      <c r="EC74" s="65"/>
      <c r="ED74" s="65"/>
      <c r="EE74" s="65"/>
      <c r="EF74" s="65"/>
      <c r="EG74" s="65"/>
      <c r="EH74" s="65"/>
      <c r="EI74" s="65"/>
      <c r="EJ74" s="65"/>
      <c r="EK74" s="65"/>
      <c r="EL74" s="65"/>
      <c r="EM74" s="65"/>
      <c r="EN74" s="65"/>
      <c r="EO74" s="65"/>
      <c r="EP74" s="65"/>
      <c r="EQ74" s="65"/>
      <c r="ER74" s="65"/>
      <c r="ES74" s="65"/>
      <c r="ET74" s="65"/>
      <c r="EU74" s="65"/>
      <c r="EV74" s="65"/>
      <c r="EW74" s="65"/>
      <c r="EX74" s="65"/>
      <c r="EY74" s="65"/>
      <c r="EZ74" s="65"/>
      <c r="FA74" s="65"/>
      <c r="FB74" s="65"/>
      <c r="FC74" s="65"/>
      <c r="FD74" s="65"/>
      <c r="FE74" s="65"/>
      <c r="FF74" s="65"/>
      <c r="FG74" s="65"/>
      <c r="FH74" s="65"/>
      <c r="FI74" s="65"/>
      <c r="FJ74" s="65"/>
      <c r="FK74" s="65"/>
      <c r="FL74" s="65"/>
      <c r="FM74" s="65"/>
      <c r="FN74" s="65"/>
      <c r="FO74" s="65"/>
      <c r="FP74" s="65"/>
      <c r="FQ74" s="65"/>
      <c r="FR74" s="65"/>
      <c r="FS74" s="65"/>
      <c r="FT74" s="65"/>
      <c r="FU74" s="65"/>
      <c r="FV74" s="65"/>
      <c r="FW74" s="65"/>
      <c r="FX74" s="65"/>
      <c r="FY74" s="65"/>
      <c r="FZ74" s="65"/>
      <c r="GA74" s="65"/>
      <c r="GB74" s="65"/>
      <c r="GC74" s="65"/>
      <c r="GD74" s="65"/>
      <c r="GE74" s="65"/>
      <c r="GF74" s="65"/>
      <c r="GG74" s="65"/>
      <c r="GH74" s="65"/>
      <c r="GI74" s="65"/>
      <c r="GJ74" s="65"/>
      <c r="GK74" s="65"/>
      <c r="GL74" s="65"/>
      <c r="GM74" s="65"/>
      <c r="GN74" s="65"/>
      <c r="GO74" s="65"/>
      <c r="GP74" s="65"/>
      <c r="GQ74" s="65"/>
      <c r="GR74" s="65"/>
      <c r="GS74" s="65"/>
      <c r="GT74" s="65"/>
      <c r="GU74" s="65"/>
      <c r="GV74" s="65"/>
      <c r="GW74" s="65"/>
      <c r="GX74" s="65"/>
      <c r="GY74" s="65"/>
      <c r="GZ74" s="65"/>
      <c r="HA74" s="65"/>
      <c r="HB74" s="65"/>
      <c r="HC74" s="65"/>
      <c r="HD74" s="65"/>
      <c r="HE74" s="65"/>
      <c r="HF74" s="65"/>
      <c r="HG74" s="65"/>
      <c r="HH74" s="65"/>
      <c r="HI74" s="65"/>
      <c r="HJ74" s="65"/>
      <c r="HK74" s="65"/>
      <c r="HL74" s="65"/>
      <c r="HM74" s="65"/>
      <c r="HN74" s="65"/>
      <c r="HO74" s="65"/>
    </row>
    <row r="75" spans="1:223" s="78" customFormat="1" ht="34.5" customHeight="1" x14ac:dyDescent="0.25">
      <c r="A75" s="353">
        <v>2025</v>
      </c>
      <c r="B75" s="354">
        <v>7</v>
      </c>
      <c r="C75" s="355">
        <v>22897</v>
      </c>
      <c r="D75" s="273">
        <v>45856</v>
      </c>
      <c r="E75" s="81" t="s">
        <v>2467</v>
      </c>
      <c r="F75" s="81" t="s">
        <v>2467</v>
      </c>
      <c r="G75" s="78" t="s">
        <v>143</v>
      </c>
      <c r="H75" s="78">
        <v>3197831188</v>
      </c>
      <c r="I75" s="78">
        <v>3197831188</v>
      </c>
      <c r="J75" s="66">
        <v>45867</v>
      </c>
      <c r="K75" s="78" t="s">
        <v>84</v>
      </c>
      <c r="L75" s="79" t="s">
        <v>2468</v>
      </c>
      <c r="M75" s="78" t="s">
        <v>136</v>
      </c>
      <c r="N75" s="78">
        <v>6106</v>
      </c>
      <c r="O75" s="78" t="s">
        <v>136</v>
      </c>
      <c r="P75" s="78" t="s">
        <v>136</v>
      </c>
      <c r="Q75" s="78" t="s">
        <v>136</v>
      </c>
      <c r="R75" s="78" t="s">
        <v>136</v>
      </c>
      <c r="S75" s="78" t="s">
        <v>136</v>
      </c>
      <c r="T75" s="78" t="s">
        <v>136</v>
      </c>
      <c r="U75" s="78" t="s">
        <v>136</v>
      </c>
      <c r="V75" s="81" t="s">
        <v>2336</v>
      </c>
      <c r="W75" s="435"/>
      <c r="X75" s="66"/>
      <c r="Z75" s="80" t="s">
        <v>114</v>
      </c>
      <c r="AC75" s="228">
        <v>145400</v>
      </c>
      <c r="AD75" s="228">
        <f t="shared" si="1"/>
        <v>173026</v>
      </c>
      <c r="AE75" s="303">
        <v>86513</v>
      </c>
      <c r="AG75" s="210"/>
      <c r="AH75" s="241"/>
      <c r="AI75" s="66">
        <v>45861</v>
      </c>
      <c r="AJ75" s="78" t="s">
        <v>1705</v>
      </c>
      <c r="AL75" s="65"/>
      <c r="AM75" s="65"/>
      <c r="AN75" s="65"/>
      <c r="AO75" s="65"/>
      <c r="AP75" s="65"/>
      <c r="AQ75" s="65"/>
      <c r="AR75" s="65"/>
      <c r="AS75" s="65"/>
      <c r="AT75" s="65"/>
      <c r="AU75" s="65"/>
      <c r="AV75" s="65"/>
      <c r="AW75" s="65"/>
      <c r="AX75" s="65"/>
      <c r="AY75" s="65"/>
      <c r="AZ75" s="65"/>
      <c r="BA75" s="65"/>
      <c r="BB75" s="65"/>
      <c r="BC75" s="65"/>
      <c r="BD75" s="65"/>
      <c r="BE75" s="65"/>
      <c r="BF75" s="65"/>
      <c r="BG75" s="65"/>
      <c r="BH75" s="65"/>
      <c r="BI75" s="65"/>
      <c r="BJ75" s="65"/>
      <c r="BK75" s="65"/>
      <c r="BL75" s="65"/>
      <c r="BM75" s="65"/>
      <c r="BN75" s="65"/>
      <c r="BO75" s="65"/>
      <c r="BP75" s="65"/>
      <c r="BQ75" s="65"/>
      <c r="BR75" s="65"/>
      <c r="BS75" s="65"/>
      <c r="BT75" s="65"/>
      <c r="BU75" s="65"/>
      <c r="BV75" s="65"/>
      <c r="BW75" s="65"/>
      <c r="BX75" s="65"/>
      <c r="BY75" s="65"/>
      <c r="BZ75" s="65"/>
      <c r="CA75" s="65"/>
      <c r="CB75" s="65"/>
      <c r="CC75" s="65"/>
      <c r="CD75" s="65"/>
      <c r="CE75" s="65"/>
      <c r="CF75" s="65"/>
      <c r="CG75" s="65"/>
      <c r="CH75" s="65"/>
      <c r="CI75" s="65"/>
      <c r="CJ75" s="65"/>
      <c r="CK75" s="65"/>
      <c r="CL75" s="65"/>
      <c r="CM75" s="65"/>
      <c r="CN75" s="65"/>
      <c r="CO75" s="65"/>
      <c r="CP75" s="65"/>
      <c r="CQ75" s="65"/>
      <c r="CR75" s="65"/>
      <c r="CS75" s="65"/>
      <c r="CT75" s="65"/>
      <c r="CU75" s="65"/>
      <c r="CV75" s="65"/>
      <c r="CW75" s="65"/>
      <c r="CX75" s="65"/>
      <c r="CY75" s="65"/>
      <c r="CZ75" s="65"/>
      <c r="DA75" s="65"/>
      <c r="DB75" s="65"/>
      <c r="DC75" s="65"/>
      <c r="DD75" s="65"/>
      <c r="DE75" s="65"/>
      <c r="DF75" s="65"/>
      <c r="DG75" s="65"/>
      <c r="DH75" s="65"/>
      <c r="DI75" s="65"/>
      <c r="DJ75" s="65"/>
      <c r="DK75" s="65"/>
      <c r="DL75" s="65"/>
      <c r="DM75" s="65"/>
      <c r="DN75" s="65"/>
      <c r="DO75" s="65"/>
      <c r="DP75" s="65"/>
      <c r="DQ75" s="65"/>
      <c r="DR75" s="65"/>
      <c r="DS75" s="65"/>
      <c r="DT75" s="65"/>
      <c r="DU75" s="65"/>
      <c r="DV75" s="65"/>
      <c r="DW75" s="65"/>
      <c r="DX75" s="65"/>
      <c r="DY75" s="65"/>
      <c r="DZ75" s="65"/>
      <c r="EA75" s="65"/>
      <c r="EB75" s="65"/>
      <c r="EC75" s="65"/>
      <c r="ED75" s="65"/>
      <c r="EE75" s="65"/>
      <c r="EF75" s="65"/>
      <c r="EG75" s="65"/>
      <c r="EH75" s="65"/>
      <c r="EI75" s="65"/>
      <c r="EJ75" s="65"/>
      <c r="EK75" s="65"/>
      <c r="EL75" s="65"/>
      <c r="EM75" s="65"/>
      <c r="EN75" s="65"/>
      <c r="EO75" s="65"/>
      <c r="EP75" s="65"/>
      <c r="EQ75" s="65"/>
      <c r="ER75" s="65"/>
      <c r="ES75" s="65"/>
      <c r="ET75" s="65"/>
      <c r="EU75" s="65"/>
      <c r="EV75" s="65"/>
      <c r="EW75" s="65"/>
      <c r="EX75" s="65"/>
      <c r="EY75" s="65"/>
      <c r="EZ75" s="65"/>
      <c r="FA75" s="65"/>
      <c r="FB75" s="65"/>
      <c r="FC75" s="65"/>
      <c r="FD75" s="65"/>
      <c r="FE75" s="65"/>
      <c r="FF75" s="65"/>
      <c r="FG75" s="65"/>
      <c r="FH75" s="65"/>
      <c r="FI75" s="65"/>
      <c r="FJ75" s="65"/>
      <c r="FK75" s="65"/>
      <c r="FL75" s="65"/>
      <c r="FM75" s="65"/>
      <c r="FN75" s="65"/>
      <c r="FO75" s="65"/>
      <c r="FP75" s="65"/>
      <c r="FQ75" s="65"/>
      <c r="FR75" s="65"/>
      <c r="FS75" s="65"/>
      <c r="FT75" s="65"/>
      <c r="FU75" s="65"/>
      <c r="FV75" s="65"/>
      <c r="FW75" s="65"/>
      <c r="FX75" s="65"/>
      <c r="FY75" s="65"/>
      <c r="FZ75" s="65"/>
      <c r="GA75" s="65"/>
      <c r="GB75" s="65"/>
      <c r="GC75" s="65"/>
      <c r="GD75" s="65"/>
      <c r="GE75" s="65"/>
      <c r="GF75" s="65"/>
      <c r="GG75" s="65"/>
      <c r="GH75" s="65"/>
      <c r="GI75" s="65"/>
      <c r="GJ75" s="65"/>
      <c r="GK75" s="65"/>
      <c r="GL75" s="65"/>
      <c r="GM75" s="65"/>
      <c r="GN75" s="65"/>
      <c r="GO75" s="65"/>
      <c r="GP75" s="65"/>
      <c r="GQ75" s="65"/>
      <c r="GR75" s="65"/>
      <c r="GS75" s="65"/>
      <c r="GT75" s="65"/>
      <c r="GU75" s="65"/>
      <c r="GV75" s="65"/>
      <c r="GW75" s="65"/>
      <c r="GX75" s="65"/>
      <c r="GY75" s="65"/>
      <c r="GZ75" s="65"/>
      <c r="HA75" s="65"/>
      <c r="HB75" s="65"/>
      <c r="HC75" s="65"/>
      <c r="HD75" s="65"/>
      <c r="HE75" s="65"/>
      <c r="HF75" s="65"/>
      <c r="HG75" s="65"/>
      <c r="HH75" s="65"/>
      <c r="HI75" s="65"/>
      <c r="HJ75" s="65"/>
      <c r="HK75" s="65"/>
      <c r="HL75" s="65"/>
      <c r="HM75" s="65"/>
      <c r="HN75" s="65"/>
      <c r="HO75" s="65"/>
    </row>
    <row r="76" spans="1:223" s="78" customFormat="1" ht="34.5" customHeight="1" x14ac:dyDescent="0.25">
      <c r="A76" s="353">
        <v>2025</v>
      </c>
      <c r="B76" s="354">
        <v>7</v>
      </c>
      <c r="C76" s="353">
        <v>22898</v>
      </c>
      <c r="D76" s="273"/>
      <c r="E76" s="81"/>
      <c r="F76" s="81"/>
      <c r="J76" s="66"/>
      <c r="L76" s="79"/>
      <c r="V76" s="81"/>
      <c r="X76" s="66"/>
      <c r="Z76" s="80"/>
      <c r="AA76" s="371"/>
      <c r="AC76" s="228"/>
      <c r="AD76" s="228">
        <f t="shared" si="1"/>
        <v>0</v>
      </c>
      <c r="AE76" s="303"/>
      <c r="AG76" s="210"/>
      <c r="AH76" s="241"/>
      <c r="AI76" s="66"/>
      <c r="AL76" s="65"/>
      <c r="AM76" s="65"/>
      <c r="AN76" s="65"/>
      <c r="AO76" s="65"/>
      <c r="AP76" s="65"/>
      <c r="AQ76" s="65"/>
      <c r="AR76" s="65"/>
      <c r="AS76" s="65"/>
      <c r="AT76" s="65"/>
      <c r="AU76" s="65"/>
      <c r="AV76" s="65"/>
      <c r="AW76" s="65"/>
      <c r="AX76" s="65"/>
      <c r="AY76" s="65"/>
      <c r="AZ76" s="65"/>
      <c r="BA76" s="65"/>
      <c r="BB76" s="65"/>
      <c r="BC76" s="65"/>
      <c r="BD76" s="65"/>
      <c r="BE76" s="65"/>
      <c r="BF76" s="65"/>
      <c r="BG76" s="65"/>
      <c r="BH76" s="65"/>
      <c r="BI76" s="65"/>
      <c r="BJ76" s="65"/>
      <c r="BK76" s="65"/>
      <c r="BL76" s="65"/>
      <c r="BM76" s="65"/>
      <c r="BN76" s="65"/>
      <c r="BO76" s="65"/>
      <c r="BP76" s="65"/>
      <c r="BQ76" s="65"/>
      <c r="BR76" s="65"/>
      <c r="BS76" s="65"/>
      <c r="BT76" s="65"/>
      <c r="BU76" s="65"/>
      <c r="BV76" s="65"/>
      <c r="BW76" s="65"/>
      <c r="BX76" s="65"/>
      <c r="BY76" s="65"/>
      <c r="BZ76" s="65"/>
      <c r="CA76" s="65"/>
      <c r="CB76" s="65"/>
      <c r="CC76" s="65"/>
      <c r="CD76" s="65"/>
      <c r="CE76" s="65"/>
      <c r="CF76" s="65"/>
      <c r="CG76" s="65"/>
      <c r="CH76" s="65"/>
      <c r="CI76" s="65"/>
      <c r="CJ76" s="65"/>
      <c r="CK76" s="65"/>
      <c r="CL76" s="65"/>
      <c r="CM76" s="65"/>
      <c r="CN76" s="65"/>
      <c r="CO76" s="65"/>
      <c r="CP76" s="65"/>
      <c r="CQ76" s="65"/>
      <c r="CR76" s="65"/>
      <c r="CS76" s="65"/>
      <c r="CT76" s="65"/>
      <c r="CU76" s="65"/>
      <c r="CV76" s="65"/>
      <c r="CW76" s="65"/>
      <c r="CX76" s="65"/>
      <c r="CY76" s="65"/>
      <c r="CZ76" s="65"/>
      <c r="DA76" s="65"/>
      <c r="DB76" s="65"/>
      <c r="DC76" s="65"/>
      <c r="DD76" s="65"/>
      <c r="DE76" s="65"/>
      <c r="DF76" s="65"/>
      <c r="DG76" s="65"/>
      <c r="DH76" s="65"/>
      <c r="DI76" s="65"/>
      <c r="DJ76" s="65"/>
      <c r="DK76" s="65"/>
      <c r="DL76" s="65"/>
      <c r="DM76" s="65"/>
      <c r="DN76" s="65"/>
      <c r="DO76" s="65"/>
      <c r="DP76" s="65"/>
      <c r="DQ76" s="65"/>
      <c r="DR76" s="65"/>
      <c r="DS76" s="65"/>
      <c r="DT76" s="65"/>
      <c r="DU76" s="65"/>
      <c r="DV76" s="65"/>
      <c r="DW76" s="65"/>
      <c r="DX76" s="65"/>
      <c r="DY76" s="65"/>
      <c r="DZ76" s="65"/>
      <c r="EA76" s="65"/>
      <c r="EB76" s="65"/>
      <c r="EC76" s="65"/>
      <c r="ED76" s="65"/>
      <c r="EE76" s="65"/>
      <c r="EF76" s="65"/>
      <c r="EG76" s="65"/>
      <c r="EH76" s="65"/>
      <c r="EI76" s="65"/>
      <c r="EJ76" s="65"/>
      <c r="EK76" s="65"/>
      <c r="EL76" s="65"/>
      <c r="EM76" s="65"/>
      <c r="EN76" s="65"/>
      <c r="EO76" s="65"/>
      <c r="EP76" s="65"/>
      <c r="EQ76" s="65"/>
      <c r="ER76" s="65"/>
      <c r="ES76" s="65"/>
      <c r="ET76" s="65"/>
      <c r="EU76" s="65"/>
      <c r="EV76" s="65"/>
      <c r="EW76" s="65"/>
      <c r="EX76" s="65"/>
      <c r="EY76" s="65"/>
      <c r="EZ76" s="65"/>
      <c r="FA76" s="65"/>
      <c r="FB76" s="65"/>
      <c r="FC76" s="65"/>
      <c r="FD76" s="65"/>
      <c r="FE76" s="65"/>
      <c r="FF76" s="65"/>
      <c r="FG76" s="65"/>
      <c r="FH76" s="65"/>
      <c r="FI76" s="65"/>
      <c r="FJ76" s="65"/>
      <c r="FK76" s="65"/>
      <c r="FL76" s="65"/>
      <c r="FM76" s="65"/>
      <c r="FN76" s="65"/>
      <c r="FO76" s="65"/>
      <c r="FP76" s="65"/>
      <c r="FQ76" s="65"/>
      <c r="FR76" s="65"/>
      <c r="FS76" s="65"/>
      <c r="FT76" s="65"/>
      <c r="FU76" s="65"/>
      <c r="FV76" s="65"/>
      <c r="FW76" s="65"/>
      <c r="FX76" s="65"/>
      <c r="FY76" s="65"/>
      <c r="FZ76" s="65"/>
      <c r="GA76" s="65"/>
      <c r="GB76" s="65"/>
      <c r="GC76" s="65"/>
      <c r="GD76" s="65"/>
      <c r="GE76" s="65"/>
      <c r="GF76" s="65"/>
      <c r="GG76" s="65"/>
      <c r="GH76" s="65"/>
      <c r="GI76" s="65"/>
      <c r="GJ76" s="65"/>
      <c r="GK76" s="65"/>
      <c r="GL76" s="65"/>
      <c r="GM76" s="65"/>
      <c r="GN76" s="65"/>
      <c r="GO76" s="65"/>
      <c r="GP76" s="65"/>
      <c r="GQ76" s="65"/>
      <c r="GR76" s="65"/>
      <c r="GS76" s="65"/>
      <c r="GT76" s="65"/>
      <c r="GU76" s="65"/>
      <c r="GV76" s="65"/>
      <c r="GW76" s="65"/>
      <c r="GX76" s="65"/>
      <c r="GY76" s="65"/>
      <c r="GZ76" s="65"/>
      <c r="HA76" s="65"/>
      <c r="HB76" s="65"/>
      <c r="HC76" s="65"/>
      <c r="HD76" s="65"/>
      <c r="HE76" s="65"/>
      <c r="HF76" s="65"/>
      <c r="HG76" s="65"/>
      <c r="HH76" s="65"/>
      <c r="HI76" s="65"/>
      <c r="HJ76" s="65"/>
      <c r="HK76" s="65"/>
      <c r="HL76" s="65"/>
      <c r="HM76" s="65"/>
      <c r="HN76" s="65"/>
      <c r="HO76" s="65"/>
    </row>
    <row r="77" spans="1:223" s="78" customFormat="1" ht="34.5" customHeight="1" x14ac:dyDescent="0.25">
      <c r="A77" s="353">
        <v>2025</v>
      </c>
      <c r="B77" s="354">
        <v>7</v>
      </c>
      <c r="C77" s="353">
        <v>22899</v>
      </c>
      <c r="D77" s="273">
        <v>45857</v>
      </c>
      <c r="E77" s="81" t="s">
        <v>2494</v>
      </c>
      <c r="F77" s="81" t="s">
        <v>2494</v>
      </c>
      <c r="G77" s="78" t="s">
        <v>143</v>
      </c>
      <c r="H77" s="78">
        <v>3137018878</v>
      </c>
      <c r="I77" s="78">
        <v>3137018878</v>
      </c>
      <c r="J77" s="66">
        <v>45868</v>
      </c>
      <c r="K77" s="78" t="s">
        <v>84</v>
      </c>
      <c r="L77" s="79" t="s">
        <v>2500</v>
      </c>
      <c r="M77" s="78" t="s">
        <v>136</v>
      </c>
      <c r="N77" s="78">
        <v>6118</v>
      </c>
      <c r="O77" s="78">
        <v>6952</v>
      </c>
      <c r="P77" s="78">
        <v>9518</v>
      </c>
      <c r="Q77" s="78">
        <v>5625</v>
      </c>
      <c r="R77" s="78" t="s">
        <v>136</v>
      </c>
      <c r="S77" s="78" t="s">
        <v>134</v>
      </c>
      <c r="T77" s="78" t="s">
        <v>134</v>
      </c>
      <c r="U77" s="78" t="s">
        <v>136</v>
      </c>
      <c r="V77" s="81" t="s">
        <v>119</v>
      </c>
      <c r="X77" s="66"/>
      <c r="Z77" s="80" t="s">
        <v>114</v>
      </c>
      <c r="AA77" s="371"/>
      <c r="AC77" s="228">
        <v>1734557</v>
      </c>
      <c r="AD77" s="228">
        <f t="shared" si="1"/>
        <v>2064122.8299999998</v>
      </c>
      <c r="AE77" s="303">
        <v>1064123</v>
      </c>
      <c r="AG77" s="210"/>
      <c r="AH77" s="241"/>
      <c r="AI77" s="66">
        <v>45861</v>
      </c>
      <c r="AJ77" s="78" t="s">
        <v>1705</v>
      </c>
      <c r="AL77" s="65"/>
      <c r="AM77" s="65"/>
      <c r="AN77" s="65"/>
      <c r="AO77" s="65"/>
      <c r="AP77" s="65"/>
      <c r="AQ77" s="65"/>
      <c r="AR77" s="65"/>
      <c r="AS77" s="65"/>
      <c r="AT77" s="65"/>
      <c r="AU77" s="65"/>
      <c r="AV77" s="65"/>
      <c r="AW77" s="65"/>
      <c r="AX77" s="65"/>
      <c r="AY77" s="65"/>
      <c r="AZ77" s="65"/>
      <c r="BA77" s="65"/>
      <c r="BB77" s="65"/>
      <c r="BC77" s="65"/>
      <c r="BD77" s="65"/>
      <c r="BE77" s="65"/>
      <c r="BF77" s="65"/>
      <c r="BG77" s="65"/>
      <c r="BH77" s="65"/>
      <c r="BI77" s="65"/>
      <c r="BJ77" s="65"/>
      <c r="BK77" s="65"/>
      <c r="BL77" s="65"/>
      <c r="BM77" s="65"/>
      <c r="BN77" s="65"/>
      <c r="BO77" s="65"/>
      <c r="BP77" s="65"/>
      <c r="BQ77" s="65"/>
      <c r="BR77" s="65"/>
      <c r="BS77" s="65"/>
      <c r="BT77" s="65"/>
      <c r="BU77" s="65"/>
      <c r="BV77" s="65"/>
      <c r="BW77" s="65"/>
      <c r="BX77" s="65"/>
      <c r="BY77" s="65"/>
      <c r="BZ77" s="65"/>
      <c r="CA77" s="65"/>
      <c r="CB77" s="65"/>
      <c r="CC77" s="65"/>
      <c r="CD77" s="65"/>
      <c r="CE77" s="65"/>
      <c r="CF77" s="65"/>
      <c r="CG77" s="65"/>
      <c r="CH77" s="65"/>
      <c r="CI77" s="65"/>
      <c r="CJ77" s="65"/>
      <c r="CK77" s="65"/>
      <c r="CL77" s="65"/>
      <c r="CM77" s="65"/>
      <c r="CN77" s="65"/>
      <c r="CO77" s="65"/>
      <c r="CP77" s="65"/>
      <c r="CQ77" s="65"/>
      <c r="CR77" s="65"/>
      <c r="CS77" s="65"/>
      <c r="CT77" s="65"/>
      <c r="CU77" s="65"/>
      <c r="CV77" s="65"/>
      <c r="CW77" s="65"/>
      <c r="CX77" s="65"/>
      <c r="CY77" s="65"/>
      <c r="CZ77" s="65"/>
      <c r="DA77" s="65"/>
      <c r="DB77" s="65"/>
      <c r="DC77" s="65"/>
      <c r="DD77" s="65"/>
      <c r="DE77" s="65"/>
      <c r="DF77" s="65"/>
      <c r="DG77" s="65"/>
      <c r="DH77" s="65"/>
      <c r="DI77" s="65"/>
      <c r="DJ77" s="65"/>
      <c r="DK77" s="65"/>
      <c r="DL77" s="65"/>
      <c r="DM77" s="65"/>
      <c r="DN77" s="65"/>
      <c r="DO77" s="65"/>
      <c r="DP77" s="65"/>
      <c r="DQ77" s="65"/>
      <c r="DR77" s="65"/>
      <c r="DS77" s="65"/>
      <c r="DT77" s="65"/>
      <c r="DU77" s="65"/>
      <c r="DV77" s="65"/>
      <c r="DW77" s="65"/>
      <c r="DX77" s="65"/>
      <c r="DY77" s="65"/>
      <c r="DZ77" s="65"/>
      <c r="EA77" s="65"/>
      <c r="EB77" s="65"/>
      <c r="EC77" s="65"/>
      <c r="ED77" s="65"/>
      <c r="EE77" s="65"/>
      <c r="EF77" s="65"/>
      <c r="EG77" s="65"/>
      <c r="EH77" s="65"/>
      <c r="EI77" s="65"/>
      <c r="EJ77" s="65"/>
      <c r="EK77" s="65"/>
      <c r="EL77" s="65"/>
      <c r="EM77" s="65"/>
      <c r="EN77" s="65"/>
      <c r="EO77" s="65"/>
      <c r="EP77" s="65"/>
      <c r="EQ77" s="65"/>
      <c r="ER77" s="65"/>
      <c r="ES77" s="65"/>
      <c r="ET77" s="65"/>
      <c r="EU77" s="65"/>
      <c r="EV77" s="65"/>
      <c r="EW77" s="65"/>
      <c r="EX77" s="65"/>
      <c r="EY77" s="65"/>
      <c r="EZ77" s="65"/>
      <c r="FA77" s="65"/>
      <c r="FB77" s="65"/>
      <c r="FC77" s="65"/>
      <c r="FD77" s="65"/>
      <c r="FE77" s="65"/>
      <c r="FF77" s="65"/>
      <c r="FG77" s="65"/>
      <c r="FH77" s="65"/>
      <c r="FI77" s="65"/>
      <c r="FJ77" s="65"/>
      <c r="FK77" s="65"/>
      <c r="FL77" s="65"/>
      <c r="FM77" s="65"/>
      <c r="FN77" s="65"/>
      <c r="FO77" s="65"/>
      <c r="FP77" s="65"/>
      <c r="FQ77" s="65"/>
      <c r="FR77" s="65"/>
      <c r="FS77" s="65"/>
      <c r="FT77" s="65"/>
      <c r="FU77" s="65"/>
      <c r="FV77" s="65"/>
      <c r="FW77" s="65"/>
      <c r="FX77" s="65"/>
      <c r="FY77" s="65"/>
      <c r="FZ77" s="65"/>
      <c r="GA77" s="65"/>
      <c r="GB77" s="65"/>
      <c r="GC77" s="65"/>
      <c r="GD77" s="65"/>
      <c r="GE77" s="65"/>
      <c r="GF77" s="65"/>
      <c r="GG77" s="65"/>
      <c r="GH77" s="65"/>
      <c r="GI77" s="65"/>
      <c r="GJ77" s="65"/>
      <c r="GK77" s="65"/>
      <c r="GL77" s="65"/>
      <c r="GM77" s="65"/>
      <c r="GN77" s="65"/>
      <c r="GO77" s="65"/>
      <c r="GP77" s="65"/>
      <c r="GQ77" s="65"/>
      <c r="GR77" s="65"/>
      <c r="GS77" s="65"/>
      <c r="GT77" s="65"/>
      <c r="GU77" s="65"/>
      <c r="GV77" s="65"/>
      <c r="GW77" s="65"/>
      <c r="GX77" s="65"/>
      <c r="GY77" s="65"/>
      <c r="GZ77" s="65"/>
      <c r="HA77" s="65"/>
      <c r="HB77" s="65"/>
      <c r="HC77" s="65"/>
      <c r="HD77" s="65"/>
      <c r="HE77" s="65"/>
      <c r="HF77" s="65"/>
      <c r="HG77" s="65"/>
      <c r="HH77" s="65"/>
      <c r="HI77" s="65"/>
      <c r="HJ77" s="65"/>
      <c r="HK77" s="65"/>
      <c r="HL77" s="65"/>
      <c r="HM77" s="65"/>
      <c r="HN77" s="65"/>
      <c r="HO77" s="65"/>
    </row>
    <row r="78" spans="1:223" s="78" customFormat="1" ht="34.5" customHeight="1" x14ac:dyDescent="0.25">
      <c r="A78" s="353">
        <v>2025</v>
      </c>
      <c r="B78" s="354">
        <v>7</v>
      </c>
      <c r="C78" s="355">
        <v>22900</v>
      </c>
      <c r="D78" s="273">
        <v>45857</v>
      </c>
      <c r="E78" s="81" t="s">
        <v>2514</v>
      </c>
      <c r="F78" s="81" t="s">
        <v>2514</v>
      </c>
      <c r="G78" s="78" t="s">
        <v>143</v>
      </c>
      <c r="H78" s="78">
        <v>3002071187</v>
      </c>
      <c r="I78" s="78">
        <v>3002071187</v>
      </c>
      <c r="J78" s="66">
        <v>45869</v>
      </c>
      <c r="K78" s="78" t="s">
        <v>84</v>
      </c>
      <c r="L78" s="79" t="s">
        <v>2515</v>
      </c>
      <c r="M78" s="78" t="s">
        <v>136</v>
      </c>
      <c r="N78" s="78">
        <v>6119</v>
      </c>
      <c r="O78" s="78">
        <v>6956</v>
      </c>
      <c r="P78" s="78">
        <v>9507</v>
      </c>
      <c r="Q78" s="78">
        <v>5668</v>
      </c>
      <c r="R78" s="78" t="s">
        <v>134</v>
      </c>
      <c r="S78" s="78" t="s">
        <v>134</v>
      </c>
      <c r="T78" s="78" t="s">
        <v>134</v>
      </c>
      <c r="U78" s="78" t="s">
        <v>136</v>
      </c>
      <c r="V78" s="81" t="s">
        <v>93</v>
      </c>
      <c r="X78" s="66"/>
      <c r="Z78" s="80" t="s">
        <v>114</v>
      </c>
      <c r="AA78" s="371"/>
      <c r="AC78" s="228">
        <v>1676413</v>
      </c>
      <c r="AD78" s="228">
        <f t="shared" si="1"/>
        <v>1994931.47</v>
      </c>
      <c r="AE78" s="303">
        <v>1000000</v>
      </c>
      <c r="AG78" s="210"/>
      <c r="AH78" s="403"/>
      <c r="AI78" s="66">
        <v>45861</v>
      </c>
      <c r="AJ78" s="78" t="s">
        <v>1705</v>
      </c>
      <c r="AL78" s="65"/>
      <c r="AM78" s="65"/>
      <c r="AN78" s="65"/>
      <c r="AO78" s="65"/>
      <c r="AP78" s="65"/>
      <c r="AQ78" s="65"/>
      <c r="AR78" s="65"/>
      <c r="AS78" s="65"/>
      <c r="AT78" s="65"/>
      <c r="AU78" s="65"/>
      <c r="AV78" s="65"/>
      <c r="AW78" s="65"/>
      <c r="AX78" s="65"/>
      <c r="AY78" s="65"/>
      <c r="AZ78" s="65"/>
      <c r="BA78" s="65"/>
      <c r="BB78" s="65"/>
      <c r="BC78" s="65"/>
      <c r="BD78" s="65"/>
      <c r="BE78" s="65"/>
      <c r="BF78" s="65"/>
      <c r="BG78" s="65"/>
      <c r="BH78" s="65"/>
      <c r="BI78" s="65"/>
      <c r="BJ78" s="65"/>
      <c r="BK78" s="65"/>
      <c r="BL78" s="65"/>
      <c r="BM78" s="65"/>
      <c r="BN78" s="65"/>
      <c r="BO78" s="65"/>
      <c r="BP78" s="65"/>
      <c r="BQ78" s="65"/>
      <c r="BR78" s="65"/>
      <c r="BS78" s="65"/>
      <c r="BT78" s="65"/>
      <c r="BU78" s="65"/>
      <c r="BV78" s="65"/>
      <c r="BW78" s="65"/>
      <c r="BX78" s="65"/>
      <c r="BY78" s="65"/>
      <c r="BZ78" s="65"/>
      <c r="CA78" s="65"/>
      <c r="CB78" s="65"/>
      <c r="CC78" s="65"/>
      <c r="CD78" s="65"/>
      <c r="CE78" s="65"/>
      <c r="CF78" s="65"/>
      <c r="CG78" s="65"/>
      <c r="CH78" s="65"/>
      <c r="CI78" s="65"/>
      <c r="CJ78" s="65"/>
      <c r="CK78" s="65"/>
      <c r="CL78" s="65"/>
      <c r="CM78" s="65"/>
      <c r="CN78" s="65"/>
      <c r="CO78" s="65"/>
      <c r="CP78" s="65"/>
      <c r="CQ78" s="65"/>
      <c r="CR78" s="65"/>
      <c r="CS78" s="65"/>
      <c r="CT78" s="65"/>
      <c r="CU78" s="65"/>
      <c r="CV78" s="65"/>
      <c r="CW78" s="65"/>
      <c r="CX78" s="65"/>
      <c r="CY78" s="65"/>
      <c r="CZ78" s="65"/>
      <c r="DA78" s="65"/>
      <c r="DB78" s="65"/>
      <c r="DC78" s="65"/>
      <c r="DD78" s="65"/>
      <c r="DE78" s="65"/>
      <c r="DF78" s="65"/>
      <c r="DG78" s="65"/>
      <c r="DH78" s="65"/>
      <c r="DI78" s="65"/>
      <c r="DJ78" s="65"/>
      <c r="DK78" s="65"/>
      <c r="DL78" s="65"/>
      <c r="DM78" s="65"/>
      <c r="DN78" s="65"/>
      <c r="DO78" s="65"/>
      <c r="DP78" s="65"/>
      <c r="DQ78" s="65"/>
      <c r="DR78" s="65"/>
      <c r="DS78" s="65"/>
      <c r="DT78" s="65"/>
      <c r="DU78" s="65"/>
      <c r="DV78" s="65"/>
      <c r="DW78" s="65"/>
      <c r="DX78" s="65"/>
      <c r="DY78" s="65"/>
      <c r="DZ78" s="65"/>
      <c r="EA78" s="65"/>
      <c r="EB78" s="65"/>
      <c r="EC78" s="65"/>
      <c r="ED78" s="65"/>
      <c r="EE78" s="65"/>
      <c r="EF78" s="65"/>
      <c r="EG78" s="65"/>
      <c r="EH78" s="65"/>
      <c r="EI78" s="65"/>
      <c r="EJ78" s="65"/>
      <c r="EK78" s="65"/>
      <c r="EL78" s="65"/>
      <c r="EM78" s="65"/>
      <c r="EN78" s="65"/>
      <c r="EO78" s="65"/>
      <c r="EP78" s="65"/>
      <c r="EQ78" s="65"/>
      <c r="ER78" s="65"/>
      <c r="ES78" s="65"/>
      <c r="ET78" s="65"/>
      <c r="EU78" s="65"/>
      <c r="EV78" s="65"/>
      <c r="EW78" s="65"/>
      <c r="EX78" s="65"/>
      <c r="EY78" s="65"/>
      <c r="EZ78" s="65"/>
      <c r="FA78" s="65"/>
      <c r="FB78" s="65"/>
      <c r="FC78" s="65"/>
      <c r="FD78" s="65"/>
      <c r="FE78" s="65"/>
      <c r="FF78" s="65"/>
      <c r="FG78" s="65"/>
      <c r="FH78" s="65"/>
      <c r="FI78" s="65"/>
      <c r="FJ78" s="65"/>
      <c r="FK78" s="65"/>
      <c r="FL78" s="65"/>
      <c r="FM78" s="65"/>
      <c r="FN78" s="65"/>
      <c r="FO78" s="65"/>
      <c r="FP78" s="65"/>
      <c r="FQ78" s="65"/>
      <c r="FR78" s="65"/>
      <c r="FS78" s="65"/>
      <c r="FT78" s="65"/>
      <c r="FU78" s="65"/>
      <c r="FV78" s="65"/>
      <c r="FW78" s="65"/>
      <c r="FX78" s="65"/>
      <c r="FY78" s="65"/>
      <c r="FZ78" s="65"/>
      <c r="GA78" s="65"/>
      <c r="GB78" s="65"/>
      <c r="GC78" s="65"/>
      <c r="GD78" s="65"/>
      <c r="GE78" s="65"/>
      <c r="GF78" s="65"/>
      <c r="GG78" s="65"/>
      <c r="GH78" s="65"/>
      <c r="GI78" s="65"/>
      <c r="GJ78" s="65"/>
      <c r="GK78" s="65"/>
      <c r="GL78" s="65"/>
      <c r="GM78" s="65"/>
      <c r="GN78" s="65"/>
      <c r="GO78" s="65"/>
      <c r="GP78" s="65"/>
      <c r="GQ78" s="65"/>
      <c r="GR78" s="65"/>
      <c r="GS78" s="65"/>
      <c r="GT78" s="65"/>
      <c r="GU78" s="65"/>
      <c r="GV78" s="65"/>
      <c r="GW78" s="65"/>
      <c r="GX78" s="65"/>
      <c r="GY78" s="65"/>
      <c r="GZ78" s="65"/>
      <c r="HA78" s="65"/>
      <c r="HB78" s="65"/>
      <c r="HC78" s="65"/>
      <c r="HD78" s="65"/>
      <c r="HE78" s="65"/>
      <c r="HF78" s="65"/>
      <c r="HG78" s="65"/>
      <c r="HH78" s="65"/>
      <c r="HI78" s="65"/>
      <c r="HJ78" s="65"/>
      <c r="HK78" s="65"/>
      <c r="HL78" s="65"/>
      <c r="HM78" s="65"/>
      <c r="HN78" s="65"/>
      <c r="HO78" s="65"/>
    </row>
    <row r="79" spans="1:223" s="78" customFormat="1" ht="34.5" customHeight="1" x14ac:dyDescent="0.25">
      <c r="A79" s="353">
        <v>2025</v>
      </c>
      <c r="B79" s="354">
        <v>7</v>
      </c>
      <c r="C79" s="353">
        <v>22901</v>
      </c>
      <c r="D79" s="273">
        <v>45857</v>
      </c>
      <c r="E79" s="81" t="s">
        <v>2511</v>
      </c>
      <c r="F79" s="81" t="s">
        <v>2512</v>
      </c>
      <c r="H79" s="78">
        <v>3245726181</v>
      </c>
      <c r="I79" s="78">
        <v>2513500</v>
      </c>
      <c r="J79" s="66">
        <v>45868</v>
      </c>
      <c r="K79" s="78" t="s">
        <v>88</v>
      </c>
      <c r="L79" s="79" t="s">
        <v>2513</v>
      </c>
      <c r="M79" s="78" t="s">
        <v>136</v>
      </c>
      <c r="N79" s="78">
        <v>6120</v>
      </c>
      <c r="O79" s="78">
        <v>6951</v>
      </c>
      <c r="P79" s="78">
        <v>9400</v>
      </c>
      <c r="Q79" s="78" t="s">
        <v>136</v>
      </c>
      <c r="R79" s="78" t="s">
        <v>134</v>
      </c>
      <c r="S79" s="78" t="s">
        <v>134</v>
      </c>
      <c r="T79" s="78" t="s">
        <v>134</v>
      </c>
      <c r="U79" s="78" t="s">
        <v>136</v>
      </c>
      <c r="V79" s="81" t="s">
        <v>119</v>
      </c>
      <c r="X79" s="66"/>
      <c r="Z79" s="80" t="s">
        <v>114</v>
      </c>
      <c r="AA79" s="371"/>
      <c r="AC79" s="228">
        <v>1535695</v>
      </c>
      <c r="AD79" s="228">
        <f t="shared" si="1"/>
        <v>1827477.0499999998</v>
      </c>
      <c r="AE79" s="303">
        <v>913000</v>
      </c>
      <c r="AG79" s="210"/>
      <c r="AH79" s="241"/>
      <c r="AI79" s="66">
        <v>45861</v>
      </c>
      <c r="AJ79" s="78" t="s">
        <v>1705</v>
      </c>
      <c r="AL79" s="65"/>
      <c r="AM79" s="65"/>
      <c r="AN79" s="65"/>
      <c r="AO79" s="65"/>
      <c r="AP79" s="65"/>
      <c r="AQ79" s="65"/>
      <c r="AR79" s="65"/>
      <c r="AS79" s="65"/>
      <c r="AT79" s="65"/>
      <c r="AU79" s="65"/>
      <c r="AV79" s="65"/>
      <c r="AW79" s="65"/>
      <c r="AX79" s="65"/>
      <c r="AY79" s="65"/>
      <c r="AZ79" s="65"/>
      <c r="BA79" s="65"/>
      <c r="BB79" s="65"/>
      <c r="BC79" s="65"/>
      <c r="BD79" s="65"/>
      <c r="BE79" s="65"/>
      <c r="BF79" s="65"/>
      <c r="BG79" s="65"/>
      <c r="BH79" s="65"/>
      <c r="BI79" s="65"/>
      <c r="BJ79" s="65"/>
      <c r="BK79" s="65"/>
      <c r="BL79" s="65"/>
      <c r="BM79" s="65"/>
      <c r="BN79" s="65"/>
      <c r="BO79" s="65"/>
      <c r="BP79" s="65"/>
      <c r="BQ79" s="65"/>
      <c r="BR79" s="65"/>
      <c r="BS79" s="65"/>
      <c r="BT79" s="65"/>
      <c r="BU79" s="65"/>
      <c r="BV79" s="65"/>
      <c r="BW79" s="65"/>
      <c r="BX79" s="65"/>
      <c r="BY79" s="65"/>
      <c r="BZ79" s="65"/>
      <c r="CA79" s="65"/>
      <c r="CB79" s="65"/>
      <c r="CC79" s="65"/>
      <c r="CD79" s="65"/>
      <c r="CE79" s="65"/>
      <c r="CF79" s="65"/>
      <c r="CG79" s="65"/>
      <c r="CH79" s="65"/>
      <c r="CI79" s="65"/>
      <c r="CJ79" s="65"/>
      <c r="CK79" s="65"/>
      <c r="CL79" s="65"/>
      <c r="CM79" s="65"/>
      <c r="CN79" s="65"/>
      <c r="CO79" s="65"/>
      <c r="CP79" s="65"/>
      <c r="CQ79" s="65"/>
      <c r="CR79" s="65"/>
      <c r="CS79" s="65"/>
      <c r="CT79" s="65"/>
      <c r="CU79" s="65"/>
      <c r="CV79" s="65"/>
      <c r="CW79" s="65"/>
      <c r="CX79" s="65"/>
      <c r="CY79" s="65"/>
      <c r="CZ79" s="65"/>
      <c r="DA79" s="65"/>
      <c r="DB79" s="65"/>
      <c r="DC79" s="65"/>
      <c r="DD79" s="65"/>
      <c r="DE79" s="65"/>
      <c r="DF79" s="65"/>
      <c r="DG79" s="65"/>
      <c r="DH79" s="65"/>
      <c r="DI79" s="65"/>
      <c r="DJ79" s="65"/>
      <c r="DK79" s="65"/>
      <c r="DL79" s="65"/>
      <c r="DM79" s="65"/>
      <c r="DN79" s="65"/>
      <c r="DO79" s="65"/>
      <c r="DP79" s="65"/>
      <c r="DQ79" s="65"/>
      <c r="DR79" s="65"/>
      <c r="DS79" s="65"/>
      <c r="DT79" s="65"/>
      <c r="DU79" s="65"/>
      <c r="DV79" s="65"/>
      <c r="DW79" s="65"/>
      <c r="DX79" s="65"/>
      <c r="DY79" s="65"/>
      <c r="DZ79" s="65"/>
      <c r="EA79" s="65"/>
      <c r="EB79" s="65"/>
      <c r="EC79" s="65"/>
      <c r="ED79" s="65"/>
      <c r="EE79" s="65"/>
      <c r="EF79" s="65"/>
      <c r="EG79" s="65"/>
      <c r="EH79" s="65"/>
      <c r="EI79" s="65"/>
      <c r="EJ79" s="65"/>
      <c r="EK79" s="65"/>
      <c r="EL79" s="65"/>
      <c r="EM79" s="65"/>
      <c r="EN79" s="65"/>
      <c r="EO79" s="65"/>
      <c r="EP79" s="65"/>
      <c r="EQ79" s="65"/>
      <c r="ER79" s="65"/>
      <c r="ES79" s="65"/>
      <c r="ET79" s="65"/>
      <c r="EU79" s="65"/>
      <c r="EV79" s="65"/>
      <c r="EW79" s="65"/>
      <c r="EX79" s="65"/>
      <c r="EY79" s="65"/>
      <c r="EZ79" s="65"/>
      <c r="FA79" s="65"/>
      <c r="FB79" s="65"/>
      <c r="FC79" s="65"/>
      <c r="FD79" s="65"/>
      <c r="FE79" s="65"/>
      <c r="FF79" s="65"/>
      <c r="FG79" s="65"/>
      <c r="FH79" s="65"/>
      <c r="FI79" s="65"/>
      <c r="FJ79" s="65"/>
      <c r="FK79" s="65"/>
      <c r="FL79" s="65"/>
      <c r="FM79" s="65"/>
      <c r="FN79" s="65"/>
      <c r="FO79" s="65"/>
      <c r="FP79" s="65"/>
      <c r="FQ79" s="65"/>
      <c r="FR79" s="65"/>
      <c r="FS79" s="65"/>
      <c r="FT79" s="65"/>
      <c r="FU79" s="65"/>
      <c r="FV79" s="65"/>
      <c r="FW79" s="65"/>
      <c r="FX79" s="65"/>
      <c r="FY79" s="65"/>
      <c r="FZ79" s="65"/>
      <c r="GA79" s="65"/>
      <c r="GB79" s="65"/>
      <c r="GC79" s="65"/>
      <c r="GD79" s="65"/>
      <c r="GE79" s="65"/>
      <c r="GF79" s="65"/>
      <c r="GG79" s="65"/>
      <c r="GH79" s="65"/>
      <c r="GI79" s="65"/>
      <c r="GJ79" s="65"/>
      <c r="GK79" s="65"/>
      <c r="GL79" s="65"/>
      <c r="GM79" s="65"/>
      <c r="GN79" s="65"/>
      <c r="GO79" s="65"/>
      <c r="GP79" s="65"/>
      <c r="GQ79" s="65"/>
      <c r="GR79" s="65"/>
      <c r="GS79" s="65"/>
      <c r="GT79" s="65"/>
      <c r="GU79" s="65"/>
      <c r="GV79" s="65"/>
      <c r="GW79" s="65"/>
      <c r="GX79" s="65"/>
      <c r="GY79" s="65"/>
      <c r="GZ79" s="65"/>
      <c r="HA79" s="65"/>
      <c r="HB79" s="65"/>
      <c r="HC79" s="65"/>
      <c r="HD79" s="65"/>
      <c r="HE79" s="65"/>
      <c r="HF79" s="65"/>
      <c r="HG79" s="65"/>
      <c r="HH79" s="65"/>
      <c r="HI79" s="65"/>
      <c r="HJ79" s="65"/>
      <c r="HK79" s="65"/>
      <c r="HL79" s="65"/>
      <c r="HM79" s="65"/>
      <c r="HN79" s="65"/>
      <c r="HO79" s="65"/>
    </row>
    <row r="80" spans="1:223" s="78" customFormat="1" ht="34.5" customHeight="1" x14ac:dyDescent="0.25">
      <c r="A80" s="353">
        <v>2025</v>
      </c>
      <c r="B80" s="354">
        <v>7</v>
      </c>
      <c r="C80" s="353">
        <v>22902</v>
      </c>
      <c r="D80" s="273"/>
      <c r="E80" s="81"/>
      <c r="F80" s="81"/>
      <c r="J80" s="66"/>
      <c r="L80" s="79"/>
      <c r="V80" s="81"/>
      <c r="X80" s="66"/>
      <c r="Z80" s="80"/>
      <c r="AA80" s="371"/>
      <c r="AC80" s="228"/>
      <c r="AD80" s="228">
        <f t="shared" si="1"/>
        <v>0</v>
      </c>
      <c r="AE80" s="303"/>
      <c r="AG80" s="210"/>
      <c r="AH80" s="241"/>
      <c r="AI80" s="66"/>
      <c r="AL80" s="65"/>
      <c r="AM80" s="65"/>
      <c r="AN80" s="65"/>
      <c r="AO80" s="65"/>
      <c r="AP80" s="65"/>
      <c r="AQ80" s="65"/>
      <c r="AR80" s="65"/>
      <c r="AS80" s="65"/>
      <c r="AT80" s="65"/>
      <c r="AU80" s="65"/>
      <c r="AV80" s="65"/>
      <c r="AW80" s="65"/>
      <c r="AX80" s="65"/>
      <c r="AY80" s="65"/>
      <c r="AZ80" s="65"/>
      <c r="BA80" s="65"/>
      <c r="BB80" s="65"/>
      <c r="BC80" s="65"/>
      <c r="BD80" s="65"/>
      <c r="BE80" s="65"/>
      <c r="BF80" s="65"/>
      <c r="BG80" s="65"/>
      <c r="BH80" s="65"/>
      <c r="BI80" s="65"/>
      <c r="BJ80" s="65"/>
      <c r="BK80" s="65"/>
      <c r="BL80" s="65"/>
      <c r="BM80" s="65"/>
      <c r="BN80" s="65"/>
      <c r="BO80" s="65"/>
      <c r="BP80" s="65"/>
      <c r="BQ80" s="65"/>
      <c r="BR80" s="65"/>
      <c r="BS80" s="65"/>
      <c r="BT80" s="65"/>
      <c r="BU80" s="65"/>
      <c r="BV80" s="65"/>
      <c r="BW80" s="65"/>
      <c r="BX80" s="65"/>
      <c r="BY80" s="65"/>
      <c r="BZ80" s="65"/>
      <c r="CA80" s="65"/>
      <c r="CB80" s="65"/>
      <c r="CC80" s="65"/>
      <c r="CD80" s="65"/>
      <c r="CE80" s="65"/>
      <c r="CF80" s="65"/>
      <c r="CG80" s="65"/>
      <c r="CH80" s="65"/>
      <c r="CI80" s="65"/>
      <c r="CJ80" s="65"/>
      <c r="CK80" s="65"/>
      <c r="CL80" s="65"/>
      <c r="CM80" s="65"/>
      <c r="CN80" s="65"/>
      <c r="CO80" s="65"/>
      <c r="CP80" s="65"/>
      <c r="CQ80" s="65"/>
      <c r="CR80" s="65"/>
      <c r="CS80" s="65"/>
      <c r="CT80" s="65"/>
      <c r="CU80" s="65"/>
      <c r="CV80" s="65"/>
      <c r="CW80" s="65"/>
      <c r="CX80" s="65"/>
      <c r="CY80" s="65"/>
      <c r="CZ80" s="65"/>
      <c r="DA80" s="65"/>
      <c r="DB80" s="65"/>
      <c r="DC80" s="65"/>
      <c r="DD80" s="65"/>
      <c r="DE80" s="65"/>
      <c r="DF80" s="65"/>
      <c r="DG80" s="65"/>
      <c r="DH80" s="65"/>
      <c r="DI80" s="65"/>
      <c r="DJ80" s="65"/>
      <c r="DK80" s="65"/>
      <c r="DL80" s="65"/>
      <c r="DM80" s="65"/>
      <c r="DN80" s="65"/>
      <c r="DO80" s="65"/>
      <c r="DP80" s="65"/>
      <c r="DQ80" s="65"/>
      <c r="DR80" s="65"/>
      <c r="DS80" s="65"/>
      <c r="DT80" s="65"/>
      <c r="DU80" s="65"/>
      <c r="DV80" s="65"/>
      <c r="DW80" s="65"/>
      <c r="DX80" s="65"/>
      <c r="DY80" s="65"/>
      <c r="DZ80" s="65"/>
      <c r="EA80" s="65"/>
      <c r="EB80" s="65"/>
      <c r="EC80" s="65"/>
      <c r="ED80" s="65"/>
      <c r="EE80" s="65"/>
      <c r="EF80" s="65"/>
      <c r="EG80" s="65"/>
      <c r="EH80" s="65"/>
      <c r="EI80" s="65"/>
      <c r="EJ80" s="65"/>
      <c r="EK80" s="65"/>
      <c r="EL80" s="65"/>
      <c r="EM80" s="65"/>
      <c r="EN80" s="65"/>
      <c r="EO80" s="65"/>
      <c r="EP80" s="65"/>
      <c r="EQ80" s="65"/>
      <c r="ER80" s="65"/>
      <c r="ES80" s="65"/>
      <c r="ET80" s="65"/>
      <c r="EU80" s="65"/>
      <c r="EV80" s="65"/>
      <c r="EW80" s="65"/>
      <c r="EX80" s="65"/>
      <c r="EY80" s="65"/>
      <c r="EZ80" s="65"/>
      <c r="FA80" s="65"/>
      <c r="FB80" s="65"/>
      <c r="FC80" s="65"/>
      <c r="FD80" s="65"/>
      <c r="FE80" s="65"/>
      <c r="FF80" s="65"/>
      <c r="FG80" s="65"/>
      <c r="FH80" s="65"/>
      <c r="FI80" s="65"/>
      <c r="FJ80" s="65"/>
      <c r="FK80" s="65"/>
      <c r="FL80" s="65"/>
      <c r="FM80" s="65"/>
      <c r="FN80" s="65"/>
      <c r="FO80" s="65"/>
      <c r="FP80" s="65"/>
      <c r="FQ80" s="65"/>
      <c r="FR80" s="65"/>
      <c r="FS80" s="65"/>
      <c r="FT80" s="65"/>
      <c r="FU80" s="65"/>
      <c r="FV80" s="65"/>
      <c r="FW80" s="65"/>
      <c r="FX80" s="65"/>
      <c r="FY80" s="65"/>
      <c r="FZ80" s="65"/>
      <c r="GA80" s="65"/>
      <c r="GB80" s="65"/>
      <c r="GC80" s="65"/>
      <c r="GD80" s="65"/>
      <c r="GE80" s="65"/>
      <c r="GF80" s="65"/>
      <c r="GG80" s="65"/>
      <c r="GH80" s="65"/>
      <c r="GI80" s="65"/>
      <c r="GJ80" s="65"/>
      <c r="GK80" s="65"/>
      <c r="GL80" s="65"/>
      <c r="GM80" s="65"/>
      <c r="GN80" s="65"/>
      <c r="GO80" s="65"/>
      <c r="GP80" s="65"/>
      <c r="GQ80" s="65"/>
      <c r="GR80" s="65"/>
      <c r="GS80" s="65"/>
      <c r="GT80" s="65"/>
      <c r="GU80" s="65"/>
      <c r="GV80" s="65"/>
      <c r="GW80" s="65"/>
      <c r="GX80" s="65"/>
      <c r="GY80" s="65"/>
      <c r="GZ80" s="65"/>
      <c r="HA80" s="65"/>
      <c r="HB80" s="65"/>
      <c r="HC80" s="65"/>
      <c r="HD80" s="65"/>
      <c r="HE80" s="65"/>
      <c r="HF80" s="65"/>
      <c r="HG80" s="65"/>
      <c r="HH80" s="65"/>
      <c r="HI80" s="65"/>
      <c r="HJ80" s="65"/>
      <c r="HK80" s="65"/>
      <c r="HL80" s="65"/>
      <c r="HM80" s="65"/>
      <c r="HN80" s="65"/>
      <c r="HO80" s="65"/>
    </row>
    <row r="81" spans="1:223" s="78" customFormat="1" ht="34.5" customHeight="1" x14ac:dyDescent="0.25">
      <c r="A81" s="353">
        <v>2025</v>
      </c>
      <c r="B81" s="354">
        <v>7</v>
      </c>
      <c r="C81" s="355">
        <v>22903</v>
      </c>
      <c r="D81" s="273">
        <v>45857</v>
      </c>
      <c r="E81" s="81" t="s">
        <v>2469</v>
      </c>
      <c r="F81" s="81" t="s">
        <v>2470</v>
      </c>
      <c r="I81" s="78">
        <v>31148203936</v>
      </c>
      <c r="J81" s="66">
        <v>45868</v>
      </c>
      <c r="K81" s="78" t="s">
        <v>88</v>
      </c>
      <c r="L81" s="79" t="s">
        <v>2471</v>
      </c>
      <c r="M81" s="78" t="s">
        <v>281</v>
      </c>
      <c r="N81" s="78" t="s">
        <v>136</v>
      </c>
      <c r="O81" s="78">
        <v>6955</v>
      </c>
      <c r="P81" s="78">
        <v>9455</v>
      </c>
      <c r="Q81" s="78">
        <v>5672</v>
      </c>
      <c r="R81" s="78" t="s">
        <v>134</v>
      </c>
      <c r="S81" s="78" t="s">
        <v>134</v>
      </c>
      <c r="T81" s="78" t="s">
        <v>134</v>
      </c>
      <c r="U81" s="78" t="s">
        <v>136</v>
      </c>
      <c r="V81" s="81" t="s">
        <v>89</v>
      </c>
      <c r="X81" s="66"/>
      <c r="Z81" s="80" t="s">
        <v>114</v>
      </c>
      <c r="AA81" s="371"/>
      <c r="AC81" s="228">
        <v>1217019</v>
      </c>
      <c r="AD81" s="228">
        <f t="shared" si="1"/>
        <v>1448252.6099999999</v>
      </c>
      <c r="AE81" s="303">
        <v>724126</v>
      </c>
      <c r="AG81" s="210"/>
      <c r="AH81" s="241"/>
      <c r="AI81" s="66">
        <v>45861</v>
      </c>
      <c r="AJ81" s="78" t="s">
        <v>1705</v>
      </c>
      <c r="AL81" s="65"/>
      <c r="AM81" s="65"/>
      <c r="AN81" s="65"/>
      <c r="AO81" s="65"/>
      <c r="AP81" s="65"/>
      <c r="AQ81" s="65"/>
      <c r="AR81" s="65"/>
      <c r="AS81" s="65"/>
      <c r="AT81" s="65"/>
      <c r="AU81" s="65"/>
      <c r="AV81" s="65"/>
      <c r="AW81" s="65"/>
      <c r="AX81" s="65"/>
      <c r="AY81" s="65"/>
      <c r="AZ81" s="65"/>
      <c r="BA81" s="65"/>
      <c r="BB81" s="65"/>
      <c r="BC81" s="65"/>
      <c r="BD81" s="65"/>
      <c r="BE81" s="65"/>
      <c r="BF81" s="65"/>
      <c r="BG81" s="65"/>
      <c r="BH81" s="65"/>
      <c r="BI81" s="65"/>
      <c r="BJ81" s="65"/>
      <c r="BK81" s="65"/>
      <c r="BL81" s="65"/>
      <c r="BM81" s="65"/>
      <c r="BN81" s="65"/>
      <c r="BO81" s="65"/>
      <c r="BP81" s="65"/>
      <c r="BQ81" s="65"/>
      <c r="BR81" s="65"/>
      <c r="BS81" s="65"/>
      <c r="BT81" s="65"/>
      <c r="BU81" s="65"/>
      <c r="BV81" s="65"/>
      <c r="BW81" s="65"/>
      <c r="BX81" s="65"/>
      <c r="BY81" s="65"/>
      <c r="BZ81" s="65"/>
      <c r="CA81" s="65"/>
      <c r="CB81" s="65"/>
      <c r="CC81" s="65"/>
      <c r="CD81" s="65"/>
      <c r="CE81" s="65"/>
      <c r="CF81" s="65"/>
      <c r="CG81" s="65"/>
      <c r="CH81" s="65"/>
      <c r="CI81" s="65"/>
      <c r="CJ81" s="65"/>
      <c r="CK81" s="65"/>
      <c r="CL81" s="65"/>
      <c r="CM81" s="65"/>
      <c r="CN81" s="65"/>
      <c r="CO81" s="65"/>
      <c r="CP81" s="65"/>
      <c r="CQ81" s="65"/>
      <c r="CR81" s="65"/>
      <c r="CS81" s="65"/>
      <c r="CT81" s="65"/>
      <c r="CU81" s="65"/>
      <c r="CV81" s="65"/>
      <c r="CW81" s="65"/>
      <c r="CX81" s="65"/>
      <c r="CY81" s="65"/>
      <c r="CZ81" s="65"/>
      <c r="DA81" s="65"/>
      <c r="DB81" s="65"/>
      <c r="DC81" s="65"/>
      <c r="DD81" s="65"/>
      <c r="DE81" s="65"/>
      <c r="DF81" s="65"/>
      <c r="DG81" s="65"/>
      <c r="DH81" s="65"/>
      <c r="DI81" s="65"/>
      <c r="DJ81" s="65"/>
      <c r="DK81" s="65"/>
      <c r="DL81" s="65"/>
      <c r="DM81" s="65"/>
      <c r="DN81" s="65"/>
      <c r="DO81" s="65"/>
      <c r="DP81" s="65"/>
      <c r="DQ81" s="65"/>
      <c r="DR81" s="65"/>
      <c r="DS81" s="65"/>
      <c r="DT81" s="65"/>
      <c r="DU81" s="65"/>
      <c r="DV81" s="65"/>
      <c r="DW81" s="65"/>
      <c r="DX81" s="65"/>
      <c r="DY81" s="65"/>
      <c r="DZ81" s="65"/>
      <c r="EA81" s="65"/>
      <c r="EB81" s="65"/>
      <c r="EC81" s="65"/>
      <c r="ED81" s="65"/>
      <c r="EE81" s="65"/>
      <c r="EF81" s="65"/>
      <c r="EG81" s="65"/>
      <c r="EH81" s="65"/>
      <c r="EI81" s="65"/>
      <c r="EJ81" s="65"/>
      <c r="EK81" s="65"/>
      <c r="EL81" s="65"/>
      <c r="EM81" s="65"/>
      <c r="EN81" s="65"/>
      <c r="EO81" s="65"/>
      <c r="EP81" s="65"/>
      <c r="EQ81" s="65"/>
      <c r="ER81" s="65"/>
      <c r="ES81" s="65"/>
      <c r="ET81" s="65"/>
      <c r="EU81" s="65"/>
      <c r="EV81" s="65"/>
      <c r="EW81" s="65"/>
      <c r="EX81" s="65"/>
      <c r="EY81" s="65"/>
      <c r="EZ81" s="65"/>
      <c r="FA81" s="65"/>
      <c r="FB81" s="65"/>
      <c r="FC81" s="65"/>
      <c r="FD81" s="65"/>
      <c r="FE81" s="65"/>
      <c r="FF81" s="65"/>
      <c r="FG81" s="65"/>
      <c r="FH81" s="65"/>
      <c r="FI81" s="65"/>
      <c r="FJ81" s="65"/>
      <c r="FK81" s="65"/>
      <c r="FL81" s="65"/>
      <c r="FM81" s="65"/>
      <c r="FN81" s="65"/>
      <c r="FO81" s="65"/>
      <c r="FP81" s="65"/>
      <c r="FQ81" s="65"/>
      <c r="FR81" s="65"/>
      <c r="FS81" s="65"/>
      <c r="FT81" s="65"/>
      <c r="FU81" s="65"/>
      <c r="FV81" s="65"/>
      <c r="FW81" s="65"/>
      <c r="FX81" s="65"/>
      <c r="FY81" s="65"/>
      <c r="FZ81" s="65"/>
      <c r="GA81" s="65"/>
      <c r="GB81" s="65"/>
      <c r="GC81" s="65"/>
      <c r="GD81" s="65"/>
      <c r="GE81" s="65"/>
      <c r="GF81" s="65"/>
      <c r="GG81" s="65"/>
      <c r="GH81" s="65"/>
      <c r="GI81" s="65"/>
      <c r="GJ81" s="65"/>
      <c r="GK81" s="65"/>
      <c r="GL81" s="65"/>
      <c r="GM81" s="65"/>
      <c r="GN81" s="65"/>
      <c r="GO81" s="65"/>
      <c r="GP81" s="65"/>
      <c r="GQ81" s="65"/>
      <c r="GR81" s="65"/>
      <c r="GS81" s="65"/>
      <c r="GT81" s="65"/>
      <c r="GU81" s="65"/>
      <c r="GV81" s="65"/>
      <c r="GW81" s="65"/>
      <c r="GX81" s="65"/>
      <c r="GY81" s="65"/>
      <c r="GZ81" s="65"/>
      <c r="HA81" s="65"/>
      <c r="HB81" s="65"/>
      <c r="HC81" s="65"/>
      <c r="HD81" s="65"/>
      <c r="HE81" s="65"/>
      <c r="HF81" s="65"/>
      <c r="HG81" s="65"/>
      <c r="HH81" s="65"/>
      <c r="HI81" s="65"/>
      <c r="HJ81" s="65"/>
      <c r="HK81" s="65"/>
      <c r="HL81" s="65"/>
      <c r="HM81" s="65"/>
      <c r="HN81" s="65"/>
      <c r="HO81" s="65"/>
    </row>
    <row r="82" spans="1:223" s="78" customFormat="1" ht="34.5" customHeight="1" x14ac:dyDescent="0.25">
      <c r="A82" s="353">
        <v>2025</v>
      </c>
      <c r="B82" s="354">
        <v>7</v>
      </c>
      <c r="C82" s="353">
        <v>22904</v>
      </c>
      <c r="D82" s="273">
        <v>45856</v>
      </c>
      <c r="E82" s="81" t="s">
        <v>2457</v>
      </c>
      <c r="F82" s="81" t="s">
        <v>1730</v>
      </c>
      <c r="H82" s="78">
        <v>3205221009</v>
      </c>
      <c r="I82" s="78">
        <v>3217457540</v>
      </c>
      <c r="J82" s="66">
        <v>45869</v>
      </c>
      <c r="K82" s="78" t="s">
        <v>88</v>
      </c>
      <c r="L82" s="79" t="s">
        <v>2458</v>
      </c>
      <c r="M82" s="78" t="s">
        <v>281</v>
      </c>
      <c r="N82" s="78" t="s">
        <v>136</v>
      </c>
      <c r="O82" s="78">
        <v>6960</v>
      </c>
      <c r="P82" s="78">
        <v>9517</v>
      </c>
      <c r="Q82" s="78">
        <v>5678</v>
      </c>
      <c r="R82" s="78" t="s">
        <v>136</v>
      </c>
      <c r="S82" s="78" t="s">
        <v>134</v>
      </c>
      <c r="T82" s="78" t="s">
        <v>134</v>
      </c>
      <c r="U82" s="78" t="s">
        <v>136</v>
      </c>
      <c r="V82" s="81" t="s">
        <v>2336</v>
      </c>
      <c r="W82" s="435"/>
      <c r="X82" s="66"/>
      <c r="Z82" s="80" t="s">
        <v>114</v>
      </c>
      <c r="AA82" s="371"/>
      <c r="AC82" s="228">
        <v>2785701</v>
      </c>
      <c r="AD82" s="228">
        <f t="shared" si="1"/>
        <v>3314984.19</v>
      </c>
      <c r="AE82" s="303">
        <v>1657493</v>
      </c>
      <c r="AG82" s="210"/>
      <c r="AH82" s="241"/>
      <c r="AI82" s="66">
        <v>45861</v>
      </c>
      <c r="AJ82" s="78" t="s">
        <v>1705</v>
      </c>
      <c r="AL82" s="65"/>
      <c r="AM82" s="65"/>
      <c r="AN82" s="65"/>
      <c r="AO82" s="65"/>
      <c r="AP82" s="65"/>
      <c r="AQ82" s="65"/>
      <c r="AR82" s="65"/>
      <c r="AS82" s="65"/>
      <c r="AT82" s="65"/>
      <c r="AU82" s="65"/>
      <c r="AV82" s="65"/>
      <c r="AW82" s="65"/>
      <c r="AX82" s="65"/>
      <c r="AY82" s="65"/>
      <c r="AZ82" s="65"/>
      <c r="BA82" s="65"/>
      <c r="BB82" s="65"/>
      <c r="BC82" s="65"/>
      <c r="BD82" s="65"/>
      <c r="BE82" s="65"/>
      <c r="BF82" s="65"/>
      <c r="BG82" s="65"/>
      <c r="BH82" s="65"/>
      <c r="BI82" s="65"/>
      <c r="BJ82" s="65"/>
      <c r="BK82" s="65"/>
      <c r="BL82" s="65"/>
      <c r="BM82" s="65"/>
      <c r="BN82" s="65"/>
      <c r="BO82" s="65"/>
      <c r="BP82" s="65"/>
      <c r="BQ82" s="65"/>
      <c r="BR82" s="65"/>
      <c r="BS82" s="65"/>
      <c r="BT82" s="65"/>
      <c r="BU82" s="65"/>
      <c r="BV82" s="65"/>
      <c r="BW82" s="65"/>
      <c r="BX82" s="65"/>
      <c r="BY82" s="65"/>
      <c r="BZ82" s="65"/>
      <c r="CA82" s="65"/>
      <c r="CB82" s="65"/>
      <c r="CC82" s="65"/>
      <c r="CD82" s="65"/>
      <c r="CE82" s="65"/>
      <c r="CF82" s="65"/>
      <c r="CG82" s="65"/>
      <c r="CH82" s="65"/>
      <c r="CI82" s="65"/>
      <c r="CJ82" s="65"/>
      <c r="CK82" s="65"/>
      <c r="CL82" s="65"/>
      <c r="CM82" s="65"/>
      <c r="CN82" s="65"/>
      <c r="CO82" s="65"/>
      <c r="CP82" s="65"/>
      <c r="CQ82" s="65"/>
      <c r="CR82" s="65"/>
      <c r="CS82" s="65"/>
      <c r="CT82" s="65"/>
      <c r="CU82" s="65"/>
      <c r="CV82" s="65"/>
      <c r="CW82" s="65"/>
      <c r="CX82" s="65"/>
      <c r="CY82" s="65"/>
      <c r="CZ82" s="65"/>
      <c r="DA82" s="65"/>
      <c r="DB82" s="65"/>
      <c r="DC82" s="65"/>
      <c r="DD82" s="65"/>
      <c r="DE82" s="65"/>
      <c r="DF82" s="65"/>
      <c r="DG82" s="65"/>
      <c r="DH82" s="65"/>
      <c r="DI82" s="65"/>
      <c r="DJ82" s="65"/>
      <c r="DK82" s="65"/>
      <c r="DL82" s="65"/>
      <c r="DM82" s="65"/>
      <c r="DN82" s="65"/>
      <c r="DO82" s="65"/>
      <c r="DP82" s="65"/>
      <c r="DQ82" s="65"/>
      <c r="DR82" s="65"/>
      <c r="DS82" s="65"/>
      <c r="DT82" s="65"/>
      <c r="DU82" s="65"/>
      <c r="DV82" s="65"/>
      <c r="DW82" s="65"/>
      <c r="DX82" s="65"/>
      <c r="DY82" s="65"/>
      <c r="DZ82" s="65"/>
      <c r="EA82" s="65"/>
      <c r="EB82" s="65"/>
      <c r="EC82" s="65"/>
      <c r="ED82" s="65"/>
      <c r="EE82" s="65"/>
      <c r="EF82" s="65"/>
      <c r="EG82" s="65"/>
      <c r="EH82" s="65"/>
      <c r="EI82" s="65"/>
      <c r="EJ82" s="65"/>
      <c r="EK82" s="65"/>
      <c r="EL82" s="65"/>
      <c r="EM82" s="65"/>
      <c r="EN82" s="65"/>
      <c r="EO82" s="65"/>
      <c r="EP82" s="65"/>
      <c r="EQ82" s="65"/>
      <c r="ER82" s="65"/>
      <c r="ES82" s="65"/>
      <c r="ET82" s="65"/>
      <c r="EU82" s="65"/>
      <c r="EV82" s="65"/>
      <c r="EW82" s="65"/>
      <c r="EX82" s="65"/>
      <c r="EY82" s="65"/>
      <c r="EZ82" s="65"/>
      <c r="FA82" s="65"/>
      <c r="FB82" s="65"/>
      <c r="FC82" s="65"/>
      <c r="FD82" s="65"/>
      <c r="FE82" s="65"/>
      <c r="FF82" s="65"/>
      <c r="FG82" s="65"/>
      <c r="FH82" s="65"/>
      <c r="FI82" s="65"/>
      <c r="FJ82" s="65"/>
      <c r="FK82" s="65"/>
      <c r="FL82" s="65"/>
      <c r="FM82" s="65"/>
      <c r="FN82" s="65"/>
      <c r="FO82" s="65"/>
      <c r="FP82" s="65"/>
      <c r="FQ82" s="65"/>
      <c r="FR82" s="65"/>
      <c r="FS82" s="65"/>
      <c r="FT82" s="65"/>
      <c r="FU82" s="65"/>
      <c r="FV82" s="65"/>
      <c r="FW82" s="65"/>
      <c r="FX82" s="65"/>
      <c r="FY82" s="65"/>
      <c r="FZ82" s="65"/>
      <c r="GA82" s="65"/>
      <c r="GB82" s="65"/>
      <c r="GC82" s="65"/>
      <c r="GD82" s="65"/>
      <c r="GE82" s="65"/>
      <c r="GF82" s="65"/>
      <c r="GG82" s="65"/>
      <c r="GH82" s="65"/>
      <c r="GI82" s="65"/>
      <c r="GJ82" s="65"/>
      <c r="GK82" s="65"/>
      <c r="GL82" s="65"/>
      <c r="GM82" s="65"/>
      <c r="GN82" s="65"/>
      <c r="GO82" s="65"/>
      <c r="GP82" s="65"/>
      <c r="GQ82" s="65"/>
      <c r="GR82" s="65"/>
      <c r="GS82" s="65"/>
      <c r="GT82" s="65"/>
      <c r="GU82" s="65"/>
      <c r="GV82" s="65"/>
      <c r="GW82" s="65"/>
      <c r="GX82" s="65"/>
      <c r="GY82" s="65"/>
      <c r="GZ82" s="65"/>
      <c r="HA82" s="65"/>
      <c r="HB82" s="65"/>
      <c r="HC82" s="65"/>
      <c r="HD82" s="65"/>
      <c r="HE82" s="65"/>
      <c r="HF82" s="65"/>
      <c r="HG82" s="65"/>
      <c r="HH82" s="65"/>
      <c r="HI82" s="65"/>
      <c r="HJ82" s="65"/>
      <c r="HK82" s="65"/>
      <c r="HL82" s="65"/>
      <c r="HM82" s="65"/>
      <c r="HN82" s="65"/>
      <c r="HO82" s="65"/>
    </row>
    <row r="83" spans="1:223" s="78" customFormat="1" ht="34.5" customHeight="1" x14ac:dyDescent="0.25">
      <c r="A83" s="353">
        <v>2025</v>
      </c>
      <c r="B83" s="354">
        <v>7</v>
      </c>
      <c r="C83" s="353">
        <v>22905</v>
      </c>
      <c r="D83" s="273">
        <v>45857</v>
      </c>
      <c r="E83" s="81" t="s">
        <v>712</v>
      </c>
      <c r="F83" s="81"/>
      <c r="H83" s="78">
        <v>3103706402</v>
      </c>
      <c r="I83" s="78">
        <v>6045902430</v>
      </c>
      <c r="K83" s="78" t="s">
        <v>88</v>
      </c>
      <c r="L83" s="79" t="s">
        <v>2472</v>
      </c>
      <c r="M83" s="78" t="s">
        <v>136</v>
      </c>
      <c r="N83" s="78" t="s">
        <v>2473</v>
      </c>
      <c r="O83" s="78" t="s">
        <v>2473</v>
      </c>
      <c r="P83" s="78">
        <v>9275</v>
      </c>
      <c r="Q83" s="78" t="s">
        <v>2473</v>
      </c>
      <c r="R83" s="78" t="s">
        <v>136</v>
      </c>
      <c r="S83" s="78" t="s">
        <v>134</v>
      </c>
      <c r="T83" s="78" t="s">
        <v>134</v>
      </c>
      <c r="U83" s="78" t="s">
        <v>136</v>
      </c>
      <c r="V83" s="81" t="s">
        <v>119</v>
      </c>
      <c r="X83" s="66"/>
      <c r="Z83" s="80" t="s">
        <v>114</v>
      </c>
      <c r="AA83" s="371">
        <v>2278772</v>
      </c>
      <c r="AC83" s="228">
        <v>1914934</v>
      </c>
      <c r="AD83" s="228">
        <f t="shared" si="1"/>
        <v>2278771.46</v>
      </c>
      <c r="AE83" s="303"/>
      <c r="AG83" s="210"/>
      <c r="AH83" s="241"/>
      <c r="AI83" s="66">
        <v>45861</v>
      </c>
      <c r="AJ83" s="78" t="s">
        <v>1705</v>
      </c>
      <c r="AL83" s="65"/>
      <c r="AM83" s="65"/>
      <c r="AN83" s="65"/>
      <c r="AO83" s="65"/>
      <c r="AP83" s="65"/>
      <c r="AQ83" s="65"/>
      <c r="AR83" s="65"/>
      <c r="AS83" s="65"/>
      <c r="AT83" s="65"/>
      <c r="AU83" s="65"/>
      <c r="AV83" s="65"/>
      <c r="AW83" s="65"/>
      <c r="AX83" s="65"/>
      <c r="AY83" s="65"/>
      <c r="AZ83" s="65"/>
      <c r="BA83" s="65"/>
      <c r="BB83" s="65"/>
      <c r="BC83" s="65"/>
      <c r="BD83" s="65"/>
      <c r="BE83" s="65"/>
      <c r="BF83" s="65"/>
      <c r="BG83" s="65"/>
      <c r="BH83" s="65"/>
      <c r="BI83" s="65"/>
      <c r="BJ83" s="65"/>
      <c r="BK83" s="65"/>
      <c r="BL83" s="65"/>
      <c r="BM83" s="65"/>
      <c r="BN83" s="65"/>
      <c r="BO83" s="65"/>
      <c r="BP83" s="65"/>
      <c r="BQ83" s="65"/>
      <c r="BR83" s="65"/>
      <c r="BS83" s="65"/>
      <c r="BT83" s="65"/>
      <c r="BU83" s="65"/>
      <c r="BV83" s="65"/>
      <c r="BW83" s="65"/>
      <c r="BX83" s="65"/>
      <c r="BY83" s="65"/>
      <c r="BZ83" s="65"/>
      <c r="CA83" s="65"/>
      <c r="CB83" s="65"/>
      <c r="CC83" s="65"/>
      <c r="CD83" s="65"/>
      <c r="CE83" s="65"/>
      <c r="CF83" s="65"/>
      <c r="CG83" s="65"/>
      <c r="CH83" s="65"/>
      <c r="CI83" s="65"/>
      <c r="CJ83" s="65"/>
      <c r="CK83" s="65"/>
      <c r="CL83" s="65"/>
      <c r="CM83" s="65"/>
      <c r="CN83" s="65"/>
      <c r="CO83" s="65"/>
      <c r="CP83" s="65"/>
      <c r="CQ83" s="65"/>
      <c r="CR83" s="65"/>
      <c r="CS83" s="65"/>
      <c r="CT83" s="65"/>
      <c r="CU83" s="65"/>
      <c r="CV83" s="65"/>
      <c r="CW83" s="65"/>
      <c r="CX83" s="65"/>
      <c r="CY83" s="65"/>
      <c r="CZ83" s="65"/>
      <c r="DA83" s="65"/>
      <c r="DB83" s="65"/>
      <c r="DC83" s="65"/>
      <c r="DD83" s="65"/>
      <c r="DE83" s="65"/>
      <c r="DF83" s="65"/>
      <c r="DG83" s="65"/>
      <c r="DH83" s="65"/>
      <c r="DI83" s="65"/>
      <c r="DJ83" s="65"/>
      <c r="DK83" s="65"/>
      <c r="DL83" s="65"/>
      <c r="DM83" s="65"/>
      <c r="DN83" s="65"/>
      <c r="DO83" s="65"/>
      <c r="DP83" s="65"/>
      <c r="DQ83" s="65"/>
      <c r="DR83" s="65"/>
      <c r="DS83" s="65"/>
      <c r="DT83" s="65"/>
      <c r="DU83" s="65"/>
      <c r="DV83" s="65"/>
      <c r="DW83" s="65"/>
      <c r="DX83" s="65"/>
      <c r="DY83" s="65"/>
      <c r="DZ83" s="65"/>
      <c r="EA83" s="65"/>
      <c r="EB83" s="65"/>
      <c r="EC83" s="65"/>
      <c r="ED83" s="65"/>
      <c r="EE83" s="65"/>
      <c r="EF83" s="65"/>
      <c r="EG83" s="65"/>
      <c r="EH83" s="65"/>
      <c r="EI83" s="65"/>
      <c r="EJ83" s="65"/>
      <c r="EK83" s="65"/>
      <c r="EL83" s="65"/>
      <c r="EM83" s="65"/>
      <c r="EN83" s="65"/>
      <c r="EO83" s="65"/>
      <c r="EP83" s="65"/>
      <c r="EQ83" s="65"/>
      <c r="ER83" s="65"/>
      <c r="ES83" s="65"/>
      <c r="ET83" s="65"/>
      <c r="EU83" s="65"/>
      <c r="EV83" s="65"/>
      <c r="EW83" s="65"/>
      <c r="EX83" s="65"/>
      <c r="EY83" s="65"/>
      <c r="EZ83" s="65"/>
      <c r="FA83" s="65"/>
      <c r="FB83" s="65"/>
      <c r="FC83" s="65"/>
      <c r="FD83" s="65"/>
      <c r="FE83" s="65"/>
      <c r="FF83" s="65"/>
      <c r="FG83" s="65"/>
      <c r="FH83" s="65"/>
      <c r="FI83" s="65"/>
      <c r="FJ83" s="65"/>
      <c r="FK83" s="65"/>
      <c r="FL83" s="65"/>
      <c r="FM83" s="65"/>
      <c r="FN83" s="65"/>
      <c r="FO83" s="65"/>
      <c r="FP83" s="65"/>
      <c r="FQ83" s="65"/>
      <c r="FR83" s="65"/>
      <c r="FS83" s="65"/>
      <c r="FT83" s="65"/>
      <c r="FU83" s="65"/>
      <c r="FV83" s="65"/>
      <c r="FW83" s="65"/>
      <c r="FX83" s="65"/>
      <c r="FY83" s="65"/>
      <c r="FZ83" s="65"/>
      <c r="GA83" s="65"/>
      <c r="GB83" s="65"/>
      <c r="GC83" s="65"/>
      <c r="GD83" s="65"/>
      <c r="GE83" s="65"/>
      <c r="GF83" s="65"/>
      <c r="GG83" s="65"/>
      <c r="GH83" s="65"/>
      <c r="GI83" s="65"/>
      <c r="GJ83" s="65"/>
      <c r="GK83" s="65"/>
      <c r="GL83" s="65"/>
      <c r="GM83" s="65"/>
      <c r="GN83" s="65"/>
      <c r="GO83" s="65"/>
      <c r="GP83" s="65"/>
      <c r="GQ83" s="65"/>
      <c r="GR83" s="65"/>
      <c r="GS83" s="65"/>
      <c r="GT83" s="65"/>
      <c r="GU83" s="65"/>
      <c r="GV83" s="65"/>
      <c r="GW83" s="65"/>
      <c r="GX83" s="65"/>
      <c r="GY83" s="65"/>
      <c r="GZ83" s="65"/>
      <c r="HA83" s="65"/>
      <c r="HB83" s="65"/>
      <c r="HC83" s="65"/>
      <c r="HD83" s="65"/>
      <c r="HE83" s="65"/>
      <c r="HF83" s="65"/>
      <c r="HG83" s="65"/>
      <c r="HH83" s="65"/>
      <c r="HI83" s="65"/>
      <c r="HJ83" s="65"/>
      <c r="HK83" s="65"/>
      <c r="HL83" s="65"/>
      <c r="HM83" s="65"/>
      <c r="HN83" s="65"/>
      <c r="HO83" s="65"/>
    </row>
    <row r="84" spans="1:223" s="78" customFormat="1" ht="34.5" customHeight="1" x14ac:dyDescent="0.25">
      <c r="A84" s="353">
        <v>2025</v>
      </c>
      <c r="B84" s="354">
        <v>7</v>
      </c>
      <c r="C84" s="355">
        <v>22906</v>
      </c>
      <c r="D84" s="273">
        <v>45859</v>
      </c>
      <c r="E84" s="81" t="s">
        <v>2479</v>
      </c>
      <c r="F84" s="81" t="s">
        <v>2480</v>
      </c>
      <c r="I84" s="78">
        <v>3222757</v>
      </c>
      <c r="J84" s="435">
        <v>45866</v>
      </c>
      <c r="K84" s="78" t="s">
        <v>84</v>
      </c>
      <c r="L84" s="79" t="s">
        <v>2481</v>
      </c>
      <c r="M84" s="78" t="s">
        <v>281</v>
      </c>
      <c r="N84" s="78" t="s">
        <v>136</v>
      </c>
      <c r="O84" s="78">
        <v>6957</v>
      </c>
      <c r="P84" s="78" t="s">
        <v>136</v>
      </c>
      <c r="Q84" s="78" t="s">
        <v>136</v>
      </c>
      <c r="R84" s="78" t="s">
        <v>134</v>
      </c>
      <c r="S84" s="78" t="s">
        <v>134</v>
      </c>
      <c r="T84" s="78" t="s">
        <v>134</v>
      </c>
      <c r="U84" s="78" t="s">
        <v>136</v>
      </c>
      <c r="V84" s="81" t="s">
        <v>89</v>
      </c>
      <c r="W84" s="435">
        <v>45861</v>
      </c>
      <c r="X84" s="66">
        <v>45853</v>
      </c>
      <c r="Z84" s="80" t="s">
        <v>92</v>
      </c>
      <c r="AA84" s="371"/>
      <c r="AB84" s="78">
        <v>6080</v>
      </c>
      <c r="AC84" s="228">
        <v>240000</v>
      </c>
      <c r="AD84" s="228">
        <f t="shared" si="1"/>
        <v>285600</v>
      </c>
      <c r="AE84" s="303"/>
      <c r="AG84" s="210" t="s">
        <v>2482</v>
      </c>
      <c r="AH84" s="241"/>
      <c r="AI84" s="66">
        <v>45861</v>
      </c>
      <c r="AJ84" s="78" t="s">
        <v>1705</v>
      </c>
      <c r="AL84" s="65"/>
      <c r="AM84" s="65"/>
      <c r="AN84" s="65"/>
      <c r="AO84" s="65"/>
      <c r="AP84" s="65"/>
      <c r="AQ84" s="65"/>
      <c r="AR84" s="65"/>
      <c r="AS84" s="65"/>
      <c r="AT84" s="65"/>
      <c r="AU84" s="65"/>
      <c r="AV84" s="65"/>
      <c r="AW84" s="65"/>
      <c r="AX84" s="65"/>
      <c r="AY84" s="65"/>
      <c r="AZ84" s="65"/>
      <c r="BA84" s="65"/>
      <c r="BB84" s="65"/>
      <c r="BC84" s="65"/>
      <c r="BD84" s="65"/>
      <c r="BE84" s="65"/>
      <c r="BF84" s="65"/>
      <c r="BG84" s="65"/>
      <c r="BH84" s="65"/>
      <c r="BI84" s="65"/>
      <c r="BJ84" s="65"/>
      <c r="BK84" s="65"/>
      <c r="BL84" s="65"/>
      <c r="BM84" s="65"/>
      <c r="BN84" s="65"/>
      <c r="BO84" s="65"/>
      <c r="BP84" s="65"/>
      <c r="BQ84" s="65"/>
      <c r="BR84" s="65"/>
      <c r="BS84" s="65"/>
      <c r="BT84" s="65"/>
      <c r="BU84" s="65"/>
      <c r="BV84" s="65"/>
      <c r="BW84" s="65"/>
      <c r="BX84" s="65"/>
      <c r="BY84" s="65"/>
      <c r="BZ84" s="65"/>
      <c r="CA84" s="65"/>
      <c r="CB84" s="65"/>
      <c r="CC84" s="65"/>
      <c r="CD84" s="65"/>
      <c r="CE84" s="65"/>
      <c r="CF84" s="65"/>
      <c r="CG84" s="65"/>
      <c r="CH84" s="65"/>
      <c r="CI84" s="65"/>
      <c r="CJ84" s="65"/>
      <c r="CK84" s="65"/>
      <c r="CL84" s="65"/>
      <c r="CM84" s="65"/>
      <c r="CN84" s="65"/>
      <c r="CO84" s="65"/>
      <c r="CP84" s="65"/>
      <c r="CQ84" s="65"/>
      <c r="CR84" s="65"/>
      <c r="CS84" s="65"/>
      <c r="CT84" s="65"/>
      <c r="CU84" s="65"/>
      <c r="CV84" s="65"/>
      <c r="CW84" s="65"/>
      <c r="CX84" s="65"/>
      <c r="CY84" s="65"/>
      <c r="CZ84" s="65"/>
      <c r="DA84" s="65"/>
      <c r="DB84" s="65"/>
      <c r="DC84" s="65"/>
      <c r="DD84" s="65"/>
      <c r="DE84" s="65"/>
      <c r="DF84" s="65"/>
      <c r="DG84" s="65"/>
      <c r="DH84" s="65"/>
      <c r="DI84" s="65"/>
      <c r="DJ84" s="65"/>
      <c r="DK84" s="65"/>
      <c r="DL84" s="65"/>
      <c r="DM84" s="65"/>
      <c r="DN84" s="65"/>
      <c r="DO84" s="65"/>
      <c r="DP84" s="65"/>
      <c r="DQ84" s="65"/>
      <c r="DR84" s="65"/>
      <c r="DS84" s="65"/>
      <c r="DT84" s="65"/>
      <c r="DU84" s="65"/>
      <c r="DV84" s="65"/>
      <c r="DW84" s="65"/>
      <c r="DX84" s="65"/>
      <c r="DY84" s="65"/>
      <c r="DZ84" s="65"/>
      <c r="EA84" s="65"/>
      <c r="EB84" s="65"/>
      <c r="EC84" s="65"/>
      <c r="ED84" s="65"/>
      <c r="EE84" s="65"/>
      <c r="EF84" s="65"/>
      <c r="EG84" s="65"/>
      <c r="EH84" s="65"/>
      <c r="EI84" s="65"/>
      <c r="EJ84" s="65"/>
      <c r="EK84" s="65"/>
      <c r="EL84" s="65"/>
      <c r="EM84" s="65"/>
      <c r="EN84" s="65"/>
      <c r="EO84" s="65"/>
      <c r="EP84" s="65"/>
      <c r="EQ84" s="65"/>
      <c r="ER84" s="65"/>
      <c r="ES84" s="65"/>
      <c r="ET84" s="65"/>
      <c r="EU84" s="65"/>
      <c r="EV84" s="65"/>
      <c r="EW84" s="65"/>
      <c r="EX84" s="65"/>
      <c r="EY84" s="65"/>
      <c r="EZ84" s="65"/>
      <c r="FA84" s="65"/>
      <c r="FB84" s="65"/>
      <c r="FC84" s="65"/>
      <c r="FD84" s="65"/>
      <c r="FE84" s="65"/>
      <c r="FF84" s="65"/>
      <c r="FG84" s="65"/>
      <c r="FH84" s="65"/>
      <c r="FI84" s="65"/>
      <c r="FJ84" s="65"/>
      <c r="FK84" s="65"/>
      <c r="FL84" s="65"/>
      <c r="FM84" s="65"/>
      <c r="FN84" s="65"/>
      <c r="FO84" s="65"/>
      <c r="FP84" s="65"/>
      <c r="FQ84" s="65"/>
      <c r="FR84" s="65"/>
      <c r="FS84" s="65"/>
      <c r="FT84" s="65"/>
      <c r="FU84" s="65"/>
      <c r="FV84" s="65"/>
      <c r="FW84" s="65"/>
      <c r="FX84" s="65"/>
      <c r="FY84" s="65"/>
      <c r="FZ84" s="65"/>
      <c r="GA84" s="65"/>
      <c r="GB84" s="65"/>
      <c r="GC84" s="65"/>
      <c r="GD84" s="65"/>
      <c r="GE84" s="65"/>
      <c r="GF84" s="65"/>
      <c r="GG84" s="65"/>
      <c r="GH84" s="65"/>
      <c r="GI84" s="65"/>
      <c r="GJ84" s="65"/>
      <c r="GK84" s="65"/>
      <c r="GL84" s="65"/>
      <c r="GM84" s="65"/>
      <c r="GN84" s="65"/>
      <c r="GO84" s="65"/>
      <c r="GP84" s="65"/>
      <c r="GQ84" s="65"/>
      <c r="GR84" s="65"/>
      <c r="GS84" s="65"/>
      <c r="GT84" s="65"/>
      <c r="GU84" s="65"/>
      <c r="GV84" s="65"/>
      <c r="GW84" s="65"/>
      <c r="GX84" s="65"/>
      <c r="GY84" s="65"/>
      <c r="GZ84" s="65"/>
      <c r="HA84" s="65"/>
      <c r="HB84" s="65"/>
      <c r="HC84" s="65"/>
      <c r="HD84" s="65"/>
      <c r="HE84" s="65"/>
      <c r="HF84" s="65"/>
      <c r="HG84" s="65"/>
      <c r="HH84" s="65"/>
      <c r="HI84" s="65"/>
      <c r="HJ84" s="65"/>
      <c r="HK84" s="65"/>
      <c r="HL84" s="65"/>
      <c r="HM84" s="65"/>
      <c r="HN84" s="65"/>
      <c r="HO84" s="65"/>
    </row>
    <row r="85" spans="1:223" s="78" customFormat="1" ht="34.5" customHeight="1" x14ac:dyDescent="0.25">
      <c r="A85" s="353">
        <v>2025</v>
      </c>
      <c r="B85" s="354">
        <v>7</v>
      </c>
      <c r="C85" s="353">
        <v>22907</v>
      </c>
      <c r="D85" s="273"/>
      <c r="E85" s="81"/>
      <c r="F85" s="81"/>
      <c r="L85" s="79"/>
      <c r="V85" s="81"/>
      <c r="X85" s="66"/>
      <c r="Z85" s="80"/>
      <c r="AA85" s="371"/>
      <c r="AC85" s="228"/>
      <c r="AD85" s="228">
        <f t="shared" si="1"/>
        <v>0</v>
      </c>
      <c r="AE85" s="303"/>
      <c r="AG85" s="210"/>
      <c r="AH85" s="241"/>
      <c r="AI85" s="66"/>
      <c r="AL85" s="65"/>
      <c r="AM85" s="65"/>
      <c r="AN85" s="65"/>
      <c r="AO85" s="65"/>
      <c r="AP85" s="65"/>
      <c r="AQ85" s="65"/>
      <c r="AR85" s="65"/>
      <c r="AS85" s="65"/>
      <c r="AT85" s="65"/>
      <c r="AU85" s="65"/>
      <c r="AV85" s="65"/>
      <c r="AW85" s="65"/>
      <c r="AX85" s="65"/>
      <c r="AY85" s="65"/>
      <c r="AZ85" s="65"/>
      <c r="BA85" s="65"/>
      <c r="BB85" s="65"/>
      <c r="BC85" s="65"/>
      <c r="BD85" s="65"/>
      <c r="BE85" s="65"/>
      <c r="BF85" s="65"/>
      <c r="BG85" s="65"/>
      <c r="BH85" s="65"/>
      <c r="BI85" s="65"/>
      <c r="BJ85" s="65"/>
      <c r="BK85" s="65"/>
      <c r="BL85" s="65"/>
      <c r="BM85" s="65"/>
      <c r="BN85" s="65"/>
      <c r="BO85" s="65"/>
      <c r="BP85" s="65"/>
      <c r="BQ85" s="65"/>
      <c r="BR85" s="65"/>
      <c r="BS85" s="65"/>
      <c r="BT85" s="65"/>
      <c r="BU85" s="65"/>
      <c r="BV85" s="65"/>
      <c r="BW85" s="65"/>
      <c r="BX85" s="65"/>
      <c r="BY85" s="65"/>
      <c r="BZ85" s="65"/>
      <c r="CA85" s="65"/>
      <c r="CB85" s="65"/>
      <c r="CC85" s="65"/>
      <c r="CD85" s="65"/>
      <c r="CE85" s="65"/>
      <c r="CF85" s="65"/>
      <c r="CG85" s="65"/>
      <c r="CH85" s="65"/>
      <c r="CI85" s="65"/>
      <c r="CJ85" s="65"/>
      <c r="CK85" s="65"/>
      <c r="CL85" s="65"/>
      <c r="CM85" s="65"/>
      <c r="CN85" s="65"/>
      <c r="CO85" s="65"/>
      <c r="CP85" s="65"/>
      <c r="CQ85" s="65"/>
      <c r="CR85" s="65"/>
      <c r="CS85" s="65"/>
      <c r="CT85" s="65"/>
      <c r="CU85" s="65"/>
      <c r="CV85" s="65"/>
      <c r="CW85" s="65"/>
      <c r="CX85" s="65"/>
      <c r="CY85" s="65"/>
      <c r="CZ85" s="65"/>
      <c r="DA85" s="65"/>
      <c r="DB85" s="65"/>
      <c r="DC85" s="65"/>
      <c r="DD85" s="65"/>
      <c r="DE85" s="65"/>
      <c r="DF85" s="65"/>
      <c r="DG85" s="65"/>
      <c r="DH85" s="65"/>
      <c r="DI85" s="65"/>
      <c r="DJ85" s="65"/>
      <c r="DK85" s="65"/>
      <c r="DL85" s="65"/>
      <c r="DM85" s="65"/>
      <c r="DN85" s="65"/>
      <c r="DO85" s="65"/>
      <c r="DP85" s="65"/>
      <c r="DQ85" s="65"/>
      <c r="DR85" s="65"/>
      <c r="DS85" s="65"/>
      <c r="DT85" s="65"/>
      <c r="DU85" s="65"/>
      <c r="DV85" s="65"/>
      <c r="DW85" s="65"/>
      <c r="DX85" s="65"/>
      <c r="DY85" s="65"/>
      <c r="DZ85" s="65"/>
      <c r="EA85" s="65"/>
      <c r="EB85" s="65"/>
      <c r="EC85" s="65"/>
      <c r="ED85" s="65"/>
      <c r="EE85" s="65"/>
      <c r="EF85" s="65"/>
      <c r="EG85" s="65"/>
      <c r="EH85" s="65"/>
      <c r="EI85" s="65"/>
      <c r="EJ85" s="65"/>
      <c r="EK85" s="65"/>
      <c r="EL85" s="65"/>
      <c r="EM85" s="65"/>
      <c r="EN85" s="65"/>
      <c r="EO85" s="65"/>
      <c r="EP85" s="65"/>
      <c r="EQ85" s="65"/>
      <c r="ER85" s="65"/>
      <c r="ES85" s="65"/>
      <c r="ET85" s="65"/>
      <c r="EU85" s="65"/>
      <c r="EV85" s="65"/>
      <c r="EW85" s="65"/>
      <c r="EX85" s="65"/>
      <c r="EY85" s="65"/>
      <c r="EZ85" s="65"/>
      <c r="FA85" s="65"/>
      <c r="FB85" s="65"/>
      <c r="FC85" s="65"/>
      <c r="FD85" s="65"/>
      <c r="FE85" s="65"/>
      <c r="FF85" s="65"/>
      <c r="FG85" s="65"/>
      <c r="FH85" s="65"/>
      <c r="FI85" s="65"/>
      <c r="FJ85" s="65"/>
      <c r="FK85" s="65"/>
      <c r="FL85" s="65"/>
      <c r="FM85" s="65"/>
      <c r="FN85" s="65"/>
      <c r="FO85" s="65"/>
      <c r="FP85" s="65"/>
      <c r="FQ85" s="65"/>
      <c r="FR85" s="65"/>
      <c r="FS85" s="65"/>
      <c r="FT85" s="65"/>
      <c r="FU85" s="65"/>
      <c r="FV85" s="65"/>
      <c r="FW85" s="65"/>
      <c r="FX85" s="65"/>
      <c r="FY85" s="65"/>
      <c r="FZ85" s="65"/>
      <c r="GA85" s="65"/>
      <c r="GB85" s="65"/>
      <c r="GC85" s="65"/>
      <c r="GD85" s="65"/>
      <c r="GE85" s="65"/>
      <c r="GF85" s="65"/>
      <c r="GG85" s="65"/>
      <c r="GH85" s="65"/>
      <c r="GI85" s="65"/>
      <c r="GJ85" s="65"/>
      <c r="GK85" s="65"/>
      <c r="GL85" s="65"/>
      <c r="GM85" s="65"/>
      <c r="GN85" s="65"/>
      <c r="GO85" s="65"/>
      <c r="GP85" s="65"/>
      <c r="GQ85" s="65"/>
      <c r="GR85" s="65"/>
      <c r="GS85" s="65"/>
      <c r="GT85" s="65"/>
      <c r="GU85" s="65"/>
      <c r="GV85" s="65"/>
      <c r="GW85" s="65"/>
      <c r="GX85" s="65"/>
      <c r="GY85" s="65"/>
      <c r="GZ85" s="65"/>
      <c r="HA85" s="65"/>
      <c r="HB85" s="65"/>
      <c r="HC85" s="65"/>
      <c r="HD85" s="65"/>
      <c r="HE85" s="65"/>
      <c r="HF85" s="65"/>
      <c r="HG85" s="65"/>
      <c r="HH85" s="65"/>
      <c r="HI85" s="65"/>
      <c r="HJ85" s="65"/>
      <c r="HK85" s="65"/>
      <c r="HL85" s="65"/>
      <c r="HM85" s="65"/>
      <c r="HN85" s="65"/>
      <c r="HO85" s="65"/>
    </row>
    <row r="86" spans="1:223" s="78" customFormat="1" ht="34.5" customHeight="1" x14ac:dyDescent="0.25">
      <c r="A86" s="353">
        <v>2025</v>
      </c>
      <c r="B86" s="354">
        <v>7</v>
      </c>
      <c r="C86" s="353">
        <v>22908</v>
      </c>
      <c r="D86" s="273"/>
      <c r="E86" s="81"/>
      <c r="F86" s="81"/>
      <c r="J86" s="435"/>
      <c r="L86" s="79"/>
      <c r="V86" s="81"/>
      <c r="X86" s="66"/>
      <c r="Z86" s="80"/>
      <c r="AA86" s="371"/>
      <c r="AC86" s="228"/>
      <c r="AD86" s="228">
        <f t="shared" si="1"/>
        <v>0</v>
      </c>
      <c r="AE86" s="303"/>
      <c r="AG86" s="210"/>
      <c r="AH86" s="241"/>
      <c r="AI86" s="66"/>
      <c r="AL86" s="65"/>
      <c r="AM86" s="65"/>
      <c r="AN86" s="65"/>
      <c r="AO86" s="65"/>
      <c r="AP86" s="65"/>
      <c r="AQ86" s="65"/>
      <c r="AR86" s="65"/>
      <c r="AS86" s="65"/>
      <c r="AT86" s="65"/>
      <c r="AU86" s="65"/>
      <c r="AV86" s="65"/>
      <c r="AW86" s="65"/>
      <c r="AX86" s="65"/>
      <c r="AY86" s="65"/>
      <c r="AZ86" s="65"/>
      <c r="BA86" s="65"/>
      <c r="BB86" s="65"/>
      <c r="BC86" s="65"/>
      <c r="BD86" s="65"/>
      <c r="BE86" s="65"/>
      <c r="BF86" s="65"/>
      <c r="BG86" s="65"/>
      <c r="BH86" s="65"/>
      <c r="BI86" s="65"/>
      <c r="BJ86" s="65"/>
      <c r="BK86" s="65"/>
      <c r="BL86" s="65"/>
      <c r="BM86" s="65"/>
      <c r="BN86" s="65"/>
      <c r="BO86" s="65"/>
      <c r="BP86" s="65"/>
      <c r="BQ86" s="65"/>
      <c r="BR86" s="65"/>
      <c r="BS86" s="65"/>
      <c r="BT86" s="65"/>
      <c r="BU86" s="65"/>
      <c r="BV86" s="65"/>
      <c r="BW86" s="65"/>
      <c r="BX86" s="65"/>
      <c r="BY86" s="65"/>
      <c r="BZ86" s="65"/>
      <c r="CA86" s="65"/>
      <c r="CB86" s="65"/>
      <c r="CC86" s="65"/>
      <c r="CD86" s="65"/>
      <c r="CE86" s="65"/>
      <c r="CF86" s="65"/>
      <c r="CG86" s="65"/>
      <c r="CH86" s="65"/>
      <c r="CI86" s="65"/>
      <c r="CJ86" s="65"/>
      <c r="CK86" s="65"/>
      <c r="CL86" s="65"/>
      <c r="CM86" s="65"/>
      <c r="CN86" s="65"/>
      <c r="CO86" s="65"/>
      <c r="CP86" s="65"/>
      <c r="CQ86" s="65"/>
      <c r="CR86" s="65"/>
      <c r="CS86" s="65"/>
      <c r="CT86" s="65"/>
      <c r="CU86" s="65"/>
      <c r="CV86" s="65"/>
      <c r="CW86" s="65"/>
      <c r="CX86" s="65"/>
      <c r="CY86" s="65"/>
      <c r="CZ86" s="65"/>
      <c r="DA86" s="65"/>
      <c r="DB86" s="65"/>
      <c r="DC86" s="65"/>
      <c r="DD86" s="65"/>
      <c r="DE86" s="65"/>
      <c r="DF86" s="65"/>
      <c r="DG86" s="65"/>
      <c r="DH86" s="65"/>
      <c r="DI86" s="65"/>
      <c r="DJ86" s="65"/>
      <c r="DK86" s="65"/>
      <c r="DL86" s="65"/>
      <c r="DM86" s="65"/>
      <c r="DN86" s="65"/>
      <c r="DO86" s="65"/>
      <c r="DP86" s="65"/>
      <c r="DQ86" s="65"/>
      <c r="DR86" s="65"/>
      <c r="DS86" s="65"/>
      <c r="DT86" s="65"/>
      <c r="DU86" s="65"/>
      <c r="DV86" s="65"/>
      <c r="DW86" s="65"/>
      <c r="DX86" s="65"/>
      <c r="DY86" s="65"/>
      <c r="DZ86" s="65"/>
      <c r="EA86" s="65"/>
      <c r="EB86" s="65"/>
      <c r="EC86" s="65"/>
      <c r="ED86" s="65"/>
      <c r="EE86" s="65"/>
      <c r="EF86" s="65"/>
      <c r="EG86" s="65"/>
      <c r="EH86" s="65"/>
      <c r="EI86" s="65"/>
      <c r="EJ86" s="65"/>
      <c r="EK86" s="65"/>
      <c r="EL86" s="65"/>
      <c r="EM86" s="65"/>
      <c r="EN86" s="65"/>
      <c r="EO86" s="65"/>
      <c r="EP86" s="65"/>
      <c r="EQ86" s="65"/>
      <c r="ER86" s="65"/>
      <c r="ES86" s="65"/>
      <c r="ET86" s="65"/>
      <c r="EU86" s="65"/>
      <c r="EV86" s="65"/>
      <c r="EW86" s="65"/>
      <c r="EX86" s="65"/>
      <c r="EY86" s="65"/>
      <c r="EZ86" s="65"/>
      <c r="FA86" s="65"/>
      <c r="FB86" s="65"/>
      <c r="FC86" s="65"/>
      <c r="FD86" s="65"/>
      <c r="FE86" s="65"/>
      <c r="FF86" s="65"/>
      <c r="FG86" s="65"/>
      <c r="FH86" s="65"/>
      <c r="FI86" s="65"/>
      <c r="FJ86" s="65"/>
      <c r="FK86" s="65"/>
      <c r="FL86" s="65"/>
      <c r="FM86" s="65"/>
      <c r="FN86" s="65"/>
      <c r="FO86" s="65"/>
      <c r="FP86" s="65"/>
      <c r="FQ86" s="65"/>
      <c r="FR86" s="65"/>
      <c r="FS86" s="65"/>
      <c r="FT86" s="65"/>
      <c r="FU86" s="65"/>
      <c r="FV86" s="65"/>
      <c r="FW86" s="65"/>
      <c r="FX86" s="65"/>
      <c r="FY86" s="65"/>
      <c r="FZ86" s="65"/>
      <c r="GA86" s="65"/>
      <c r="GB86" s="65"/>
      <c r="GC86" s="65"/>
      <c r="GD86" s="65"/>
      <c r="GE86" s="65"/>
      <c r="GF86" s="65"/>
      <c r="GG86" s="65"/>
      <c r="GH86" s="65"/>
      <c r="GI86" s="65"/>
      <c r="GJ86" s="65"/>
      <c r="GK86" s="65"/>
      <c r="GL86" s="65"/>
      <c r="GM86" s="65"/>
      <c r="GN86" s="65"/>
      <c r="GO86" s="65"/>
      <c r="GP86" s="65"/>
      <c r="GQ86" s="65"/>
      <c r="GR86" s="65"/>
      <c r="GS86" s="65"/>
      <c r="GT86" s="65"/>
      <c r="GU86" s="65"/>
      <c r="GV86" s="65"/>
      <c r="GW86" s="65"/>
      <c r="GX86" s="65"/>
      <c r="GY86" s="65"/>
      <c r="GZ86" s="65"/>
      <c r="HA86" s="65"/>
      <c r="HB86" s="65"/>
      <c r="HC86" s="65"/>
      <c r="HD86" s="65"/>
      <c r="HE86" s="65"/>
      <c r="HF86" s="65"/>
      <c r="HG86" s="65"/>
      <c r="HH86" s="65"/>
      <c r="HI86" s="65"/>
      <c r="HJ86" s="65"/>
      <c r="HK86" s="65"/>
      <c r="HL86" s="65"/>
      <c r="HM86" s="65"/>
      <c r="HN86" s="65"/>
      <c r="HO86" s="65"/>
    </row>
    <row r="87" spans="1:223" s="78" customFormat="1" ht="34.5" customHeight="1" x14ac:dyDescent="0.25">
      <c r="A87" s="353">
        <v>2025</v>
      </c>
      <c r="B87" s="354">
        <v>7</v>
      </c>
      <c r="C87" s="355">
        <v>22909</v>
      </c>
      <c r="D87" s="273">
        <v>45859</v>
      </c>
      <c r="E87" s="81" t="s">
        <v>2455</v>
      </c>
      <c r="F87" s="81"/>
      <c r="I87" s="78">
        <v>3147777006</v>
      </c>
      <c r="J87" s="435">
        <v>45867</v>
      </c>
      <c r="K87" s="78" t="s">
        <v>94</v>
      </c>
      <c r="L87" s="79" t="s">
        <v>2456</v>
      </c>
      <c r="M87" s="78" t="s">
        <v>281</v>
      </c>
      <c r="N87" s="78" t="s">
        <v>136</v>
      </c>
      <c r="O87" s="78">
        <v>6958</v>
      </c>
      <c r="P87" s="78" t="s">
        <v>136</v>
      </c>
      <c r="Q87" s="78" t="s">
        <v>136</v>
      </c>
      <c r="R87" s="78" t="s">
        <v>134</v>
      </c>
      <c r="S87" s="78" t="s">
        <v>134</v>
      </c>
      <c r="T87" s="78" t="s">
        <v>134</v>
      </c>
      <c r="U87" s="78" t="s">
        <v>136</v>
      </c>
      <c r="V87" s="81" t="s">
        <v>119</v>
      </c>
      <c r="X87" s="66"/>
      <c r="Z87" s="80" t="s">
        <v>114</v>
      </c>
      <c r="AA87" s="371"/>
      <c r="AC87" s="228">
        <v>292437</v>
      </c>
      <c r="AD87" s="228">
        <f t="shared" si="1"/>
        <v>348000.02999999997</v>
      </c>
      <c r="AE87" s="303">
        <v>150000</v>
      </c>
      <c r="AG87" s="210"/>
      <c r="AH87" s="241"/>
      <c r="AI87" s="66">
        <v>45861</v>
      </c>
      <c r="AJ87" s="78" t="s">
        <v>1705</v>
      </c>
      <c r="AL87" s="65"/>
      <c r="AM87" s="65"/>
      <c r="AN87" s="65"/>
      <c r="AO87" s="65"/>
      <c r="AP87" s="65"/>
      <c r="AQ87" s="65"/>
      <c r="AR87" s="65"/>
      <c r="AS87" s="65"/>
      <c r="AT87" s="65"/>
      <c r="AU87" s="65"/>
      <c r="AV87" s="65"/>
      <c r="AW87" s="65"/>
      <c r="AX87" s="65"/>
      <c r="AY87" s="65"/>
      <c r="AZ87" s="65"/>
      <c r="BA87" s="65"/>
      <c r="BB87" s="65"/>
      <c r="BC87" s="65"/>
      <c r="BD87" s="65"/>
      <c r="BE87" s="65"/>
      <c r="BF87" s="65"/>
      <c r="BG87" s="65"/>
      <c r="BH87" s="65"/>
      <c r="BI87" s="65"/>
      <c r="BJ87" s="65"/>
      <c r="BK87" s="65"/>
      <c r="BL87" s="65"/>
      <c r="BM87" s="65"/>
      <c r="BN87" s="65"/>
      <c r="BO87" s="65"/>
      <c r="BP87" s="65"/>
      <c r="BQ87" s="65"/>
      <c r="BR87" s="65"/>
      <c r="BS87" s="65"/>
      <c r="BT87" s="65"/>
      <c r="BU87" s="65"/>
      <c r="BV87" s="65"/>
      <c r="BW87" s="65"/>
      <c r="BX87" s="65"/>
      <c r="BY87" s="65"/>
      <c r="BZ87" s="65"/>
      <c r="CA87" s="65"/>
      <c r="CB87" s="65"/>
      <c r="CC87" s="65"/>
      <c r="CD87" s="65"/>
      <c r="CE87" s="65"/>
      <c r="CF87" s="65"/>
      <c r="CG87" s="65"/>
      <c r="CH87" s="65"/>
      <c r="CI87" s="65"/>
      <c r="CJ87" s="65"/>
      <c r="CK87" s="65"/>
      <c r="CL87" s="65"/>
      <c r="CM87" s="65"/>
      <c r="CN87" s="65"/>
      <c r="CO87" s="65"/>
      <c r="CP87" s="65"/>
      <c r="CQ87" s="65"/>
      <c r="CR87" s="65"/>
      <c r="CS87" s="65"/>
      <c r="CT87" s="65"/>
      <c r="CU87" s="65"/>
      <c r="CV87" s="65"/>
      <c r="CW87" s="65"/>
      <c r="CX87" s="65"/>
      <c r="CY87" s="65"/>
      <c r="CZ87" s="65"/>
      <c r="DA87" s="65"/>
      <c r="DB87" s="65"/>
      <c r="DC87" s="65"/>
      <c r="DD87" s="65"/>
      <c r="DE87" s="65"/>
      <c r="DF87" s="65"/>
      <c r="DG87" s="65"/>
      <c r="DH87" s="65"/>
      <c r="DI87" s="65"/>
      <c r="DJ87" s="65"/>
      <c r="DK87" s="65"/>
      <c r="DL87" s="65"/>
      <c r="DM87" s="65"/>
      <c r="DN87" s="65"/>
      <c r="DO87" s="65"/>
      <c r="DP87" s="65"/>
      <c r="DQ87" s="65"/>
      <c r="DR87" s="65"/>
      <c r="DS87" s="65"/>
      <c r="DT87" s="65"/>
      <c r="DU87" s="65"/>
      <c r="DV87" s="65"/>
      <c r="DW87" s="65"/>
      <c r="DX87" s="65"/>
      <c r="DY87" s="65"/>
      <c r="DZ87" s="65"/>
      <c r="EA87" s="65"/>
      <c r="EB87" s="65"/>
      <c r="EC87" s="65"/>
      <c r="ED87" s="65"/>
      <c r="EE87" s="65"/>
      <c r="EF87" s="65"/>
      <c r="EG87" s="65"/>
      <c r="EH87" s="65"/>
      <c r="EI87" s="65"/>
      <c r="EJ87" s="65"/>
      <c r="EK87" s="65"/>
      <c r="EL87" s="65"/>
      <c r="EM87" s="65"/>
      <c r="EN87" s="65"/>
      <c r="EO87" s="65"/>
      <c r="EP87" s="65"/>
      <c r="EQ87" s="65"/>
      <c r="ER87" s="65"/>
      <c r="ES87" s="65"/>
      <c r="ET87" s="65"/>
      <c r="EU87" s="65"/>
      <c r="EV87" s="65"/>
      <c r="EW87" s="65"/>
      <c r="EX87" s="65"/>
      <c r="EY87" s="65"/>
      <c r="EZ87" s="65"/>
      <c r="FA87" s="65"/>
      <c r="FB87" s="65"/>
      <c r="FC87" s="65"/>
      <c r="FD87" s="65"/>
      <c r="FE87" s="65"/>
      <c r="FF87" s="65"/>
      <c r="FG87" s="65"/>
      <c r="FH87" s="65"/>
      <c r="FI87" s="65"/>
      <c r="FJ87" s="65"/>
      <c r="FK87" s="65"/>
      <c r="FL87" s="65"/>
      <c r="FM87" s="65"/>
      <c r="FN87" s="65"/>
      <c r="FO87" s="65"/>
      <c r="FP87" s="65"/>
      <c r="FQ87" s="65"/>
      <c r="FR87" s="65"/>
      <c r="FS87" s="65"/>
      <c r="FT87" s="65"/>
      <c r="FU87" s="65"/>
      <c r="FV87" s="65"/>
      <c r="FW87" s="65"/>
      <c r="FX87" s="65"/>
      <c r="FY87" s="65"/>
      <c r="FZ87" s="65"/>
      <c r="GA87" s="65"/>
      <c r="GB87" s="65"/>
      <c r="GC87" s="65"/>
      <c r="GD87" s="65"/>
      <c r="GE87" s="65"/>
      <c r="GF87" s="65"/>
      <c r="GG87" s="65"/>
      <c r="GH87" s="65"/>
      <c r="GI87" s="65"/>
      <c r="GJ87" s="65"/>
      <c r="GK87" s="65"/>
      <c r="GL87" s="65"/>
      <c r="GM87" s="65"/>
      <c r="GN87" s="65"/>
      <c r="GO87" s="65"/>
      <c r="GP87" s="65"/>
      <c r="GQ87" s="65"/>
      <c r="GR87" s="65"/>
      <c r="GS87" s="65"/>
      <c r="GT87" s="65"/>
      <c r="GU87" s="65"/>
      <c r="GV87" s="65"/>
      <c r="GW87" s="65"/>
      <c r="GX87" s="65"/>
      <c r="GY87" s="65"/>
      <c r="GZ87" s="65"/>
      <c r="HA87" s="65"/>
      <c r="HB87" s="65"/>
      <c r="HC87" s="65"/>
      <c r="HD87" s="65"/>
      <c r="HE87" s="65"/>
      <c r="HF87" s="65"/>
      <c r="HG87" s="65"/>
      <c r="HH87" s="65"/>
      <c r="HI87" s="65"/>
      <c r="HJ87" s="65"/>
      <c r="HK87" s="65"/>
      <c r="HL87" s="65"/>
      <c r="HM87" s="65"/>
      <c r="HN87" s="65"/>
      <c r="HO87" s="65"/>
    </row>
    <row r="88" spans="1:223" s="78" customFormat="1" ht="34.5" customHeight="1" x14ac:dyDescent="0.25">
      <c r="A88" s="353">
        <v>2025</v>
      </c>
      <c r="B88" s="354">
        <v>7</v>
      </c>
      <c r="C88" s="353">
        <v>22910</v>
      </c>
      <c r="D88" s="273"/>
      <c r="E88" s="81"/>
      <c r="F88" s="81"/>
      <c r="L88" s="79"/>
      <c r="V88" s="81"/>
      <c r="X88" s="66"/>
      <c r="Z88" s="80"/>
      <c r="AA88" s="371"/>
      <c r="AC88" s="228"/>
      <c r="AD88" s="228">
        <f t="shared" si="1"/>
        <v>0</v>
      </c>
      <c r="AE88" s="303"/>
      <c r="AG88" s="210"/>
      <c r="AH88" s="241"/>
      <c r="AI88" s="66"/>
      <c r="AL88" s="65"/>
      <c r="AM88" s="65"/>
      <c r="AN88" s="65"/>
      <c r="AO88" s="65"/>
      <c r="AP88" s="65"/>
      <c r="AQ88" s="65"/>
      <c r="AR88" s="65"/>
      <c r="AS88" s="65"/>
      <c r="AT88" s="65"/>
      <c r="AU88" s="65"/>
      <c r="AV88" s="65"/>
      <c r="AW88" s="65"/>
      <c r="AX88" s="65"/>
      <c r="AY88" s="65"/>
      <c r="AZ88" s="65"/>
      <c r="BA88" s="65"/>
      <c r="BB88" s="65"/>
      <c r="BC88" s="65"/>
      <c r="BD88" s="65"/>
      <c r="BE88" s="65"/>
      <c r="BF88" s="65"/>
      <c r="BG88" s="65"/>
      <c r="BH88" s="65"/>
      <c r="BI88" s="65"/>
      <c r="BJ88" s="65"/>
      <c r="BK88" s="65"/>
      <c r="BL88" s="65"/>
      <c r="BM88" s="65"/>
      <c r="BN88" s="65"/>
      <c r="BO88" s="65"/>
      <c r="BP88" s="65"/>
      <c r="BQ88" s="65"/>
      <c r="BR88" s="65"/>
      <c r="BS88" s="65"/>
      <c r="BT88" s="65"/>
      <c r="BU88" s="65"/>
      <c r="BV88" s="65"/>
      <c r="BW88" s="65"/>
      <c r="BX88" s="65"/>
      <c r="BY88" s="65"/>
      <c r="BZ88" s="65"/>
      <c r="CA88" s="65"/>
      <c r="CB88" s="65"/>
      <c r="CC88" s="65"/>
      <c r="CD88" s="65"/>
      <c r="CE88" s="65"/>
      <c r="CF88" s="65"/>
      <c r="CG88" s="65"/>
      <c r="CH88" s="65"/>
      <c r="CI88" s="65"/>
      <c r="CJ88" s="65"/>
      <c r="CK88" s="65"/>
      <c r="CL88" s="65"/>
      <c r="CM88" s="65"/>
      <c r="CN88" s="65"/>
      <c r="CO88" s="65"/>
      <c r="CP88" s="65"/>
      <c r="CQ88" s="65"/>
      <c r="CR88" s="65"/>
      <c r="CS88" s="65"/>
      <c r="CT88" s="65"/>
      <c r="CU88" s="65"/>
      <c r="CV88" s="65"/>
      <c r="CW88" s="65"/>
      <c r="CX88" s="65"/>
      <c r="CY88" s="65"/>
      <c r="CZ88" s="65"/>
      <c r="DA88" s="65"/>
      <c r="DB88" s="65"/>
      <c r="DC88" s="65"/>
      <c r="DD88" s="65"/>
      <c r="DE88" s="65"/>
      <c r="DF88" s="65"/>
      <c r="DG88" s="65"/>
      <c r="DH88" s="65"/>
      <c r="DI88" s="65"/>
      <c r="DJ88" s="65"/>
      <c r="DK88" s="65"/>
      <c r="DL88" s="65"/>
      <c r="DM88" s="65"/>
      <c r="DN88" s="65"/>
      <c r="DO88" s="65"/>
      <c r="DP88" s="65"/>
      <c r="DQ88" s="65"/>
      <c r="DR88" s="65"/>
      <c r="DS88" s="65"/>
      <c r="DT88" s="65"/>
      <c r="DU88" s="65"/>
      <c r="DV88" s="65"/>
      <c r="DW88" s="65"/>
      <c r="DX88" s="65"/>
      <c r="DY88" s="65"/>
      <c r="DZ88" s="65"/>
      <c r="EA88" s="65"/>
      <c r="EB88" s="65"/>
      <c r="EC88" s="65"/>
      <c r="ED88" s="65"/>
      <c r="EE88" s="65"/>
      <c r="EF88" s="65"/>
      <c r="EG88" s="65"/>
      <c r="EH88" s="65"/>
      <c r="EI88" s="65"/>
      <c r="EJ88" s="65"/>
      <c r="EK88" s="65"/>
      <c r="EL88" s="65"/>
      <c r="EM88" s="65"/>
      <c r="EN88" s="65"/>
      <c r="EO88" s="65"/>
      <c r="EP88" s="65"/>
      <c r="EQ88" s="65"/>
      <c r="ER88" s="65"/>
      <c r="ES88" s="65"/>
      <c r="ET88" s="65"/>
      <c r="EU88" s="65"/>
      <c r="EV88" s="65"/>
      <c r="EW88" s="65"/>
      <c r="EX88" s="65"/>
      <c r="EY88" s="65"/>
      <c r="EZ88" s="65"/>
      <c r="FA88" s="65"/>
      <c r="FB88" s="65"/>
      <c r="FC88" s="65"/>
      <c r="FD88" s="65"/>
      <c r="FE88" s="65"/>
      <c r="FF88" s="65"/>
      <c r="FG88" s="65"/>
      <c r="FH88" s="65"/>
      <c r="FI88" s="65"/>
      <c r="FJ88" s="65"/>
      <c r="FK88" s="65"/>
      <c r="FL88" s="65"/>
      <c r="FM88" s="65"/>
      <c r="FN88" s="65"/>
      <c r="FO88" s="65"/>
      <c r="FP88" s="65"/>
      <c r="FQ88" s="65"/>
      <c r="FR88" s="65"/>
      <c r="FS88" s="65"/>
      <c r="FT88" s="65"/>
      <c r="FU88" s="65"/>
      <c r="FV88" s="65"/>
      <c r="FW88" s="65"/>
      <c r="FX88" s="65"/>
      <c r="FY88" s="65"/>
      <c r="FZ88" s="65"/>
      <c r="GA88" s="65"/>
      <c r="GB88" s="65"/>
      <c r="GC88" s="65"/>
      <c r="GD88" s="65"/>
      <c r="GE88" s="65"/>
      <c r="GF88" s="65"/>
      <c r="GG88" s="65"/>
      <c r="GH88" s="65"/>
      <c r="GI88" s="65"/>
      <c r="GJ88" s="65"/>
      <c r="GK88" s="65"/>
      <c r="GL88" s="65"/>
      <c r="GM88" s="65"/>
      <c r="GN88" s="65"/>
      <c r="GO88" s="65"/>
      <c r="GP88" s="65"/>
      <c r="GQ88" s="65"/>
      <c r="GR88" s="65"/>
      <c r="GS88" s="65"/>
      <c r="GT88" s="65"/>
      <c r="GU88" s="65"/>
      <c r="GV88" s="65"/>
      <c r="GW88" s="65"/>
      <c r="GX88" s="65"/>
      <c r="GY88" s="65"/>
      <c r="GZ88" s="65"/>
      <c r="HA88" s="65"/>
      <c r="HB88" s="65"/>
      <c r="HC88" s="65"/>
      <c r="HD88" s="65"/>
      <c r="HE88" s="65"/>
      <c r="HF88" s="65"/>
      <c r="HG88" s="65"/>
      <c r="HH88" s="65"/>
      <c r="HI88" s="65"/>
      <c r="HJ88" s="65"/>
      <c r="HK88" s="65"/>
      <c r="HL88" s="65"/>
      <c r="HM88" s="65"/>
      <c r="HN88" s="65"/>
      <c r="HO88" s="65"/>
    </row>
    <row r="89" spans="1:223" s="78" customFormat="1" ht="34.5" customHeight="1" x14ac:dyDescent="0.25">
      <c r="A89" s="353">
        <v>2025</v>
      </c>
      <c r="B89" s="354">
        <v>7</v>
      </c>
      <c r="C89" s="353">
        <v>22911</v>
      </c>
      <c r="D89" s="273"/>
      <c r="E89" s="81"/>
      <c r="F89" s="81"/>
      <c r="J89" s="435"/>
      <c r="L89" s="79"/>
      <c r="V89" s="81"/>
      <c r="W89" s="435"/>
      <c r="X89" s="66"/>
      <c r="Z89" s="80"/>
      <c r="AA89" s="371"/>
      <c r="AC89" s="228"/>
      <c r="AD89" s="228">
        <f t="shared" si="1"/>
        <v>0</v>
      </c>
      <c r="AE89" s="303"/>
      <c r="AG89" s="210"/>
      <c r="AH89" s="241"/>
      <c r="AI89" s="66"/>
      <c r="AL89" s="65"/>
      <c r="AM89" s="65"/>
      <c r="AN89" s="65"/>
      <c r="AO89" s="65"/>
      <c r="AP89" s="65"/>
      <c r="AQ89" s="65"/>
      <c r="AR89" s="65"/>
      <c r="AS89" s="65"/>
      <c r="AT89" s="65"/>
      <c r="AU89" s="65"/>
      <c r="AV89" s="65"/>
      <c r="AW89" s="65"/>
      <c r="AX89" s="65"/>
      <c r="AY89" s="65"/>
      <c r="AZ89" s="65"/>
      <c r="BA89" s="65"/>
      <c r="BB89" s="65"/>
      <c r="BC89" s="65"/>
      <c r="BD89" s="65"/>
      <c r="BE89" s="65"/>
      <c r="BF89" s="65"/>
      <c r="BG89" s="65"/>
      <c r="BH89" s="65"/>
      <c r="BI89" s="65"/>
      <c r="BJ89" s="65"/>
      <c r="BK89" s="65"/>
      <c r="BL89" s="65"/>
      <c r="BM89" s="65"/>
      <c r="BN89" s="65"/>
      <c r="BO89" s="65"/>
      <c r="BP89" s="65"/>
      <c r="BQ89" s="65"/>
      <c r="BR89" s="65"/>
      <c r="BS89" s="65"/>
      <c r="BT89" s="65"/>
      <c r="BU89" s="65"/>
      <c r="BV89" s="65"/>
      <c r="BW89" s="65"/>
      <c r="BX89" s="65"/>
      <c r="BY89" s="65"/>
      <c r="BZ89" s="65"/>
      <c r="CA89" s="65"/>
      <c r="CB89" s="65"/>
      <c r="CC89" s="65"/>
      <c r="CD89" s="65"/>
      <c r="CE89" s="65"/>
      <c r="CF89" s="65"/>
      <c r="CG89" s="65"/>
      <c r="CH89" s="65"/>
      <c r="CI89" s="65"/>
      <c r="CJ89" s="65"/>
      <c r="CK89" s="65"/>
      <c r="CL89" s="65"/>
      <c r="CM89" s="65"/>
      <c r="CN89" s="65"/>
      <c r="CO89" s="65"/>
      <c r="CP89" s="65"/>
      <c r="CQ89" s="65"/>
      <c r="CR89" s="65"/>
      <c r="CS89" s="65"/>
      <c r="CT89" s="65"/>
      <c r="CU89" s="65"/>
      <c r="CV89" s="65"/>
      <c r="CW89" s="65"/>
      <c r="CX89" s="65"/>
      <c r="CY89" s="65"/>
      <c r="CZ89" s="65"/>
      <c r="DA89" s="65"/>
      <c r="DB89" s="65"/>
      <c r="DC89" s="65"/>
      <c r="DD89" s="65"/>
      <c r="DE89" s="65"/>
      <c r="DF89" s="65"/>
      <c r="DG89" s="65"/>
      <c r="DH89" s="65"/>
      <c r="DI89" s="65"/>
      <c r="DJ89" s="65"/>
      <c r="DK89" s="65"/>
      <c r="DL89" s="65"/>
      <c r="DM89" s="65"/>
      <c r="DN89" s="65"/>
      <c r="DO89" s="65"/>
      <c r="DP89" s="65"/>
      <c r="DQ89" s="65"/>
      <c r="DR89" s="65"/>
      <c r="DS89" s="65"/>
      <c r="DT89" s="65"/>
      <c r="DU89" s="65"/>
      <c r="DV89" s="65"/>
      <c r="DW89" s="65"/>
      <c r="DX89" s="65"/>
      <c r="DY89" s="65"/>
      <c r="DZ89" s="65"/>
      <c r="EA89" s="65"/>
      <c r="EB89" s="65"/>
      <c r="EC89" s="65"/>
      <c r="ED89" s="65"/>
      <c r="EE89" s="65"/>
      <c r="EF89" s="65"/>
      <c r="EG89" s="65"/>
      <c r="EH89" s="65"/>
      <c r="EI89" s="65"/>
      <c r="EJ89" s="65"/>
      <c r="EK89" s="65"/>
      <c r="EL89" s="65"/>
      <c r="EM89" s="65"/>
      <c r="EN89" s="65"/>
      <c r="EO89" s="65"/>
      <c r="EP89" s="65"/>
      <c r="EQ89" s="65"/>
      <c r="ER89" s="65"/>
      <c r="ES89" s="65"/>
      <c r="ET89" s="65"/>
      <c r="EU89" s="65"/>
      <c r="EV89" s="65"/>
      <c r="EW89" s="65"/>
      <c r="EX89" s="65"/>
      <c r="EY89" s="65"/>
      <c r="EZ89" s="65"/>
      <c r="FA89" s="65"/>
      <c r="FB89" s="65"/>
      <c r="FC89" s="65"/>
      <c r="FD89" s="65"/>
      <c r="FE89" s="65"/>
      <c r="FF89" s="65"/>
      <c r="FG89" s="65"/>
      <c r="FH89" s="65"/>
      <c r="FI89" s="65"/>
      <c r="FJ89" s="65"/>
      <c r="FK89" s="65"/>
      <c r="FL89" s="65"/>
      <c r="FM89" s="65"/>
      <c r="FN89" s="65"/>
      <c r="FO89" s="65"/>
      <c r="FP89" s="65"/>
      <c r="FQ89" s="65"/>
      <c r="FR89" s="65"/>
      <c r="FS89" s="65"/>
      <c r="FT89" s="65"/>
      <c r="FU89" s="65"/>
      <c r="FV89" s="65"/>
      <c r="FW89" s="65"/>
      <c r="FX89" s="65"/>
      <c r="FY89" s="65"/>
      <c r="FZ89" s="65"/>
      <c r="GA89" s="65"/>
      <c r="GB89" s="65"/>
      <c r="GC89" s="65"/>
      <c r="GD89" s="65"/>
      <c r="GE89" s="65"/>
      <c r="GF89" s="65"/>
      <c r="GG89" s="65"/>
      <c r="GH89" s="65"/>
      <c r="GI89" s="65"/>
      <c r="GJ89" s="65"/>
      <c r="GK89" s="65"/>
      <c r="GL89" s="65"/>
      <c r="GM89" s="65"/>
      <c r="GN89" s="65"/>
      <c r="GO89" s="65"/>
      <c r="GP89" s="65"/>
      <c r="GQ89" s="65"/>
      <c r="GR89" s="65"/>
      <c r="GS89" s="65"/>
      <c r="GT89" s="65"/>
      <c r="GU89" s="65"/>
      <c r="GV89" s="65"/>
      <c r="GW89" s="65"/>
      <c r="GX89" s="65"/>
      <c r="GY89" s="65"/>
      <c r="GZ89" s="65"/>
      <c r="HA89" s="65"/>
      <c r="HB89" s="65"/>
      <c r="HC89" s="65"/>
      <c r="HD89" s="65"/>
      <c r="HE89" s="65"/>
      <c r="HF89" s="65"/>
      <c r="HG89" s="65"/>
      <c r="HH89" s="65"/>
      <c r="HI89" s="65"/>
      <c r="HJ89" s="65"/>
      <c r="HK89" s="65"/>
      <c r="HL89" s="65"/>
      <c r="HM89" s="65"/>
      <c r="HN89" s="65"/>
      <c r="HO89" s="65"/>
    </row>
    <row r="90" spans="1:223" s="78" customFormat="1" ht="15" x14ac:dyDescent="0.25">
      <c r="A90" s="353">
        <v>2025</v>
      </c>
      <c r="B90" s="354">
        <v>7</v>
      </c>
      <c r="C90" s="355">
        <v>22912</v>
      </c>
      <c r="D90" s="273"/>
      <c r="E90" s="81"/>
      <c r="F90" s="81"/>
      <c r="J90" s="439"/>
      <c r="L90" s="79"/>
      <c r="V90" s="81"/>
      <c r="W90" s="439"/>
      <c r="X90" s="66"/>
      <c r="Z90" s="80"/>
      <c r="AA90" s="371"/>
      <c r="AC90" s="228"/>
      <c r="AD90" s="228">
        <f t="shared" si="1"/>
        <v>0</v>
      </c>
      <c r="AE90" s="303"/>
      <c r="AG90" s="210"/>
      <c r="AH90" s="438"/>
      <c r="AI90" s="66"/>
      <c r="AL90" s="65"/>
      <c r="AM90" s="65"/>
      <c r="AN90" s="65"/>
      <c r="AO90" s="65"/>
      <c r="AP90" s="65"/>
      <c r="AQ90" s="65"/>
      <c r="AR90" s="65"/>
      <c r="AS90" s="65"/>
      <c r="AT90" s="65"/>
      <c r="AU90" s="65"/>
      <c r="AV90" s="65"/>
      <c r="AW90" s="65"/>
      <c r="AX90" s="65"/>
      <c r="AY90" s="65"/>
      <c r="AZ90" s="65"/>
      <c r="BA90" s="65"/>
      <c r="BB90" s="65"/>
      <c r="BC90" s="65"/>
      <c r="BD90" s="65"/>
      <c r="BE90" s="65"/>
      <c r="BF90" s="65"/>
      <c r="BG90" s="65"/>
      <c r="BH90" s="65"/>
      <c r="BI90" s="65"/>
      <c r="BJ90" s="65"/>
      <c r="BK90" s="65"/>
      <c r="BL90" s="65"/>
      <c r="BM90" s="65"/>
      <c r="BN90" s="65"/>
      <c r="BO90" s="65"/>
      <c r="BP90" s="65"/>
      <c r="BQ90" s="65"/>
      <c r="BR90" s="65"/>
      <c r="BS90" s="65"/>
      <c r="BT90" s="65"/>
      <c r="BU90" s="65"/>
      <c r="BV90" s="65"/>
      <c r="BW90" s="65"/>
      <c r="BX90" s="65"/>
      <c r="BY90" s="65"/>
      <c r="BZ90" s="65"/>
      <c r="CA90" s="65"/>
      <c r="CB90" s="65"/>
      <c r="CC90" s="65"/>
      <c r="CD90" s="65"/>
      <c r="CE90" s="65"/>
      <c r="CF90" s="65"/>
      <c r="CG90" s="65"/>
      <c r="CH90" s="65"/>
      <c r="CI90" s="65"/>
      <c r="CJ90" s="65"/>
      <c r="CK90" s="65"/>
      <c r="CL90" s="65"/>
      <c r="CM90" s="65"/>
      <c r="CN90" s="65"/>
      <c r="CO90" s="65"/>
      <c r="CP90" s="65"/>
      <c r="CQ90" s="65"/>
      <c r="CR90" s="65"/>
      <c r="CS90" s="65"/>
      <c r="CT90" s="65"/>
      <c r="CU90" s="65"/>
      <c r="CV90" s="65"/>
      <c r="CW90" s="65"/>
      <c r="CX90" s="65"/>
      <c r="CY90" s="65"/>
      <c r="CZ90" s="65"/>
      <c r="DA90" s="65"/>
      <c r="DB90" s="65"/>
      <c r="DC90" s="65"/>
      <c r="DD90" s="65"/>
      <c r="DE90" s="65"/>
      <c r="DF90" s="65"/>
      <c r="DG90" s="65"/>
      <c r="DH90" s="65"/>
      <c r="DI90" s="65"/>
      <c r="DJ90" s="65"/>
      <c r="DK90" s="65"/>
      <c r="DL90" s="65"/>
      <c r="DM90" s="65"/>
      <c r="DN90" s="65"/>
      <c r="DO90" s="65"/>
      <c r="DP90" s="65"/>
      <c r="DQ90" s="65"/>
      <c r="DR90" s="65"/>
      <c r="DS90" s="65"/>
      <c r="DT90" s="65"/>
      <c r="DU90" s="65"/>
      <c r="DV90" s="65"/>
      <c r="DW90" s="65"/>
      <c r="DX90" s="65"/>
      <c r="DY90" s="65"/>
      <c r="DZ90" s="65"/>
      <c r="EA90" s="65"/>
      <c r="EB90" s="65"/>
      <c r="EC90" s="65"/>
      <c r="ED90" s="65"/>
      <c r="EE90" s="65"/>
      <c r="EF90" s="65"/>
      <c r="EG90" s="65"/>
      <c r="EH90" s="65"/>
      <c r="EI90" s="65"/>
      <c r="EJ90" s="65"/>
      <c r="EK90" s="65"/>
      <c r="EL90" s="65"/>
      <c r="EM90" s="65"/>
      <c r="EN90" s="65"/>
      <c r="EO90" s="65"/>
      <c r="EP90" s="65"/>
      <c r="EQ90" s="65"/>
      <c r="ER90" s="65"/>
      <c r="ES90" s="65"/>
      <c r="ET90" s="65"/>
      <c r="EU90" s="65"/>
      <c r="EV90" s="65"/>
      <c r="EW90" s="65"/>
      <c r="EX90" s="65"/>
      <c r="EY90" s="65"/>
      <c r="EZ90" s="65"/>
      <c r="FA90" s="65"/>
      <c r="FB90" s="65"/>
      <c r="FC90" s="65"/>
      <c r="FD90" s="65"/>
      <c r="FE90" s="65"/>
      <c r="FF90" s="65"/>
      <c r="FG90" s="65"/>
      <c r="FH90" s="65"/>
      <c r="FI90" s="65"/>
      <c r="FJ90" s="65"/>
      <c r="FK90" s="65"/>
      <c r="FL90" s="65"/>
      <c r="FM90" s="65"/>
      <c r="FN90" s="65"/>
      <c r="FO90" s="65"/>
      <c r="FP90" s="65"/>
      <c r="FQ90" s="65"/>
      <c r="FR90" s="65"/>
      <c r="FS90" s="65"/>
      <c r="FT90" s="65"/>
      <c r="FU90" s="65"/>
      <c r="FV90" s="65"/>
      <c r="FW90" s="65"/>
      <c r="FX90" s="65"/>
      <c r="FY90" s="65"/>
      <c r="FZ90" s="65"/>
      <c r="GA90" s="65"/>
      <c r="GB90" s="65"/>
      <c r="GC90" s="65"/>
      <c r="GD90" s="65"/>
      <c r="GE90" s="65"/>
      <c r="GF90" s="65"/>
      <c r="GG90" s="65"/>
      <c r="GH90" s="65"/>
      <c r="GI90" s="65"/>
      <c r="GJ90" s="65"/>
      <c r="GK90" s="65"/>
      <c r="GL90" s="65"/>
      <c r="GM90" s="65"/>
      <c r="GN90" s="65"/>
      <c r="GO90" s="65"/>
      <c r="GP90" s="65"/>
      <c r="GQ90" s="65"/>
      <c r="GR90" s="65"/>
      <c r="GS90" s="65"/>
      <c r="GT90" s="65"/>
      <c r="GU90" s="65"/>
      <c r="GV90" s="65"/>
      <c r="GW90" s="65"/>
      <c r="GX90" s="65"/>
      <c r="GY90" s="65"/>
      <c r="GZ90" s="65"/>
      <c r="HA90" s="65"/>
      <c r="HB90" s="65"/>
      <c r="HC90" s="65"/>
      <c r="HD90" s="65"/>
      <c r="HE90" s="65"/>
      <c r="HF90" s="65"/>
      <c r="HG90" s="65"/>
      <c r="HH90" s="65"/>
      <c r="HI90" s="65"/>
      <c r="HJ90" s="65"/>
      <c r="HK90" s="65"/>
      <c r="HL90" s="65"/>
      <c r="HM90" s="65"/>
      <c r="HN90" s="65"/>
      <c r="HO90" s="65"/>
    </row>
    <row r="91" spans="1:223" s="78" customFormat="1" ht="34.5" customHeight="1" x14ac:dyDescent="0.25">
      <c r="A91" s="353">
        <v>2025</v>
      </c>
      <c r="B91" s="354">
        <v>7</v>
      </c>
      <c r="C91" s="353">
        <v>22913</v>
      </c>
      <c r="D91" s="273"/>
      <c r="E91" s="81"/>
      <c r="F91" s="81"/>
      <c r="L91" s="79"/>
      <c r="V91" s="81"/>
      <c r="X91" s="66"/>
      <c r="Z91" s="80"/>
      <c r="AA91" s="371"/>
      <c r="AC91" s="228"/>
      <c r="AD91" s="228">
        <f t="shared" si="1"/>
        <v>0</v>
      </c>
      <c r="AE91" s="303"/>
      <c r="AG91" s="210"/>
      <c r="AH91" s="241"/>
      <c r="AI91" s="66"/>
      <c r="AL91" s="65"/>
      <c r="AM91" s="65"/>
      <c r="AN91" s="65"/>
      <c r="AO91" s="65"/>
      <c r="AP91" s="65"/>
      <c r="AQ91" s="65"/>
      <c r="AR91" s="65"/>
      <c r="AS91" s="65"/>
      <c r="AT91" s="65"/>
      <c r="AU91" s="65"/>
      <c r="AV91" s="65"/>
      <c r="AW91" s="65"/>
      <c r="AX91" s="65"/>
      <c r="AY91" s="65"/>
      <c r="AZ91" s="65"/>
      <c r="BA91" s="65"/>
      <c r="BB91" s="65"/>
      <c r="BC91" s="65"/>
      <c r="BD91" s="65"/>
      <c r="BE91" s="65"/>
      <c r="BF91" s="65"/>
      <c r="BG91" s="65"/>
      <c r="BH91" s="65"/>
      <c r="BI91" s="65"/>
      <c r="BJ91" s="65"/>
      <c r="BK91" s="65"/>
      <c r="BL91" s="65"/>
      <c r="BM91" s="65"/>
      <c r="BN91" s="65"/>
      <c r="BO91" s="65"/>
      <c r="BP91" s="65"/>
      <c r="BQ91" s="65"/>
      <c r="BR91" s="65"/>
      <c r="BS91" s="65"/>
      <c r="BT91" s="65"/>
      <c r="BU91" s="65"/>
      <c r="BV91" s="65"/>
      <c r="BW91" s="65"/>
      <c r="BX91" s="65"/>
      <c r="BY91" s="65"/>
      <c r="BZ91" s="65"/>
      <c r="CA91" s="65"/>
      <c r="CB91" s="65"/>
      <c r="CC91" s="65"/>
      <c r="CD91" s="65"/>
      <c r="CE91" s="65"/>
      <c r="CF91" s="65"/>
      <c r="CG91" s="65"/>
      <c r="CH91" s="65"/>
      <c r="CI91" s="65"/>
      <c r="CJ91" s="65"/>
      <c r="CK91" s="65"/>
      <c r="CL91" s="65"/>
      <c r="CM91" s="65"/>
      <c r="CN91" s="65"/>
      <c r="CO91" s="65"/>
      <c r="CP91" s="65"/>
      <c r="CQ91" s="65"/>
      <c r="CR91" s="65"/>
      <c r="CS91" s="65"/>
      <c r="CT91" s="65"/>
      <c r="CU91" s="65"/>
      <c r="CV91" s="65"/>
      <c r="CW91" s="65"/>
      <c r="CX91" s="65"/>
      <c r="CY91" s="65"/>
      <c r="CZ91" s="65"/>
      <c r="DA91" s="65"/>
      <c r="DB91" s="65"/>
      <c r="DC91" s="65"/>
      <c r="DD91" s="65"/>
      <c r="DE91" s="65"/>
      <c r="DF91" s="65"/>
      <c r="DG91" s="65"/>
      <c r="DH91" s="65"/>
      <c r="DI91" s="65"/>
      <c r="DJ91" s="65"/>
      <c r="DK91" s="65"/>
      <c r="DL91" s="65"/>
      <c r="DM91" s="65"/>
      <c r="DN91" s="65"/>
      <c r="DO91" s="65"/>
      <c r="DP91" s="65"/>
      <c r="DQ91" s="65"/>
      <c r="DR91" s="65"/>
      <c r="DS91" s="65"/>
      <c r="DT91" s="65"/>
      <c r="DU91" s="65"/>
      <c r="DV91" s="65"/>
      <c r="DW91" s="65"/>
      <c r="DX91" s="65"/>
      <c r="DY91" s="65"/>
      <c r="DZ91" s="65"/>
      <c r="EA91" s="65"/>
      <c r="EB91" s="65"/>
      <c r="EC91" s="65"/>
      <c r="ED91" s="65"/>
      <c r="EE91" s="65"/>
      <c r="EF91" s="65"/>
      <c r="EG91" s="65"/>
      <c r="EH91" s="65"/>
      <c r="EI91" s="65"/>
      <c r="EJ91" s="65"/>
      <c r="EK91" s="65"/>
      <c r="EL91" s="65"/>
      <c r="EM91" s="65"/>
      <c r="EN91" s="65"/>
      <c r="EO91" s="65"/>
      <c r="EP91" s="65"/>
      <c r="EQ91" s="65"/>
      <c r="ER91" s="65"/>
      <c r="ES91" s="65"/>
      <c r="ET91" s="65"/>
      <c r="EU91" s="65"/>
      <c r="EV91" s="65"/>
      <c r="EW91" s="65"/>
      <c r="EX91" s="65"/>
      <c r="EY91" s="65"/>
      <c r="EZ91" s="65"/>
      <c r="FA91" s="65"/>
      <c r="FB91" s="65"/>
      <c r="FC91" s="65"/>
      <c r="FD91" s="65"/>
      <c r="FE91" s="65"/>
      <c r="FF91" s="65"/>
      <c r="FG91" s="65"/>
      <c r="FH91" s="65"/>
      <c r="FI91" s="65"/>
      <c r="FJ91" s="65"/>
      <c r="FK91" s="65"/>
      <c r="FL91" s="65"/>
      <c r="FM91" s="65"/>
      <c r="FN91" s="65"/>
      <c r="FO91" s="65"/>
      <c r="FP91" s="65"/>
      <c r="FQ91" s="65"/>
      <c r="FR91" s="65"/>
      <c r="FS91" s="65"/>
      <c r="FT91" s="65"/>
      <c r="FU91" s="65"/>
      <c r="FV91" s="65"/>
      <c r="FW91" s="65"/>
      <c r="FX91" s="65"/>
      <c r="FY91" s="65"/>
      <c r="FZ91" s="65"/>
      <c r="GA91" s="65"/>
      <c r="GB91" s="65"/>
      <c r="GC91" s="65"/>
      <c r="GD91" s="65"/>
      <c r="GE91" s="65"/>
      <c r="GF91" s="65"/>
      <c r="GG91" s="65"/>
      <c r="GH91" s="65"/>
      <c r="GI91" s="65"/>
      <c r="GJ91" s="65"/>
      <c r="GK91" s="65"/>
      <c r="GL91" s="65"/>
      <c r="GM91" s="65"/>
      <c r="GN91" s="65"/>
      <c r="GO91" s="65"/>
      <c r="GP91" s="65"/>
      <c r="GQ91" s="65"/>
      <c r="GR91" s="65"/>
      <c r="GS91" s="65"/>
      <c r="GT91" s="65"/>
      <c r="GU91" s="65"/>
      <c r="GV91" s="65"/>
      <c r="GW91" s="65"/>
      <c r="GX91" s="65"/>
      <c r="GY91" s="65"/>
      <c r="GZ91" s="65"/>
      <c r="HA91" s="65"/>
      <c r="HB91" s="65"/>
      <c r="HC91" s="65"/>
      <c r="HD91" s="65"/>
      <c r="HE91" s="65"/>
      <c r="HF91" s="65"/>
      <c r="HG91" s="65"/>
      <c r="HH91" s="65"/>
      <c r="HI91" s="65"/>
      <c r="HJ91" s="65"/>
      <c r="HK91" s="65"/>
      <c r="HL91" s="65"/>
      <c r="HM91" s="65"/>
      <c r="HN91" s="65"/>
      <c r="HO91" s="65"/>
    </row>
    <row r="92" spans="1:223" s="78" customFormat="1" ht="34.5" customHeight="1" x14ac:dyDescent="0.25">
      <c r="A92" s="353">
        <v>2025</v>
      </c>
      <c r="B92" s="354">
        <v>7</v>
      </c>
      <c r="C92" s="353">
        <v>22914</v>
      </c>
      <c r="D92" s="273">
        <v>45861</v>
      </c>
      <c r="E92" s="81" t="s">
        <v>2126</v>
      </c>
      <c r="F92" s="81" t="s">
        <v>2126</v>
      </c>
      <c r="G92" s="78" t="s">
        <v>143</v>
      </c>
      <c r="H92" s="78">
        <v>3126685913</v>
      </c>
      <c r="I92" s="78">
        <v>3126685913</v>
      </c>
      <c r="J92" s="435">
        <v>45870</v>
      </c>
      <c r="K92" s="78" t="s">
        <v>84</v>
      </c>
      <c r="L92" s="79" t="s">
        <v>2485</v>
      </c>
      <c r="M92" s="78" t="s">
        <v>281</v>
      </c>
      <c r="N92" s="78" t="s">
        <v>136</v>
      </c>
      <c r="O92" s="78">
        <v>6964</v>
      </c>
      <c r="P92" s="78" t="s">
        <v>136</v>
      </c>
      <c r="Q92" s="78" t="s">
        <v>136</v>
      </c>
      <c r="R92" s="78" t="s">
        <v>134</v>
      </c>
      <c r="S92" s="78" t="s">
        <v>136</v>
      </c>
      <c r="T92" s="78" t="s">
        <v>136</v>
      </c>
      <c r="U92" s="78" t="s">
        <v>136</v>
      </c>
      <c r="V92" s="81" t="s">
        <v>119</v>
      </c>
      <c r="X92" s="66"/>
      <c r="Z92" s="80" t="s">
        <v>114</v>
      </c>
      <c r="AA92" s="371"/>
      <c r="AC92" s="228">
        <v>268908</v>
      </c>
      <c r="AD92" s="228">
        <f t="shared" si="1"/>
        <v>320000.51999999996</v>
      </c>
      <c r="AE92" s="303">
        <v>160000</v>
      </c>
      <c r="AG92" s="210"/>
      <c r="AH92" s="241"/>
      <c r="AI92" s="66">
        <v>45861</v>
      </c>
      <c r="AJ92" s="78" t="s">
        <v>1705</v>
      </c>
      <c r="AL92" s="65"/>
      <c r="AM92" s="65"/>
      <c r="AN92" s="65"/>
      <c r="AO92" s="65"/>
      <c r="AP92" s="65"/>
      <c r="AQ92" s="65"/>
      <c r="AR92" s="65"/>
      <c r="AS92" s="65"/>
      <c r="AT92" s="65"/>
      <c r="AU92" s="65"/>
      <c r="AV92" s="65"/>
      <c r="AW92" s="65"/>
      <c r="AX92" s="65"/>
      <c r="AY92" s="65"/>
      <c r="AZ92" s="65"/>
      <c r="BA92" s="65"/>
      <c r="BB92" s="65"/>
      <c r="BC92" s="65"/>
      <c r="BD92" s="65"/>
      <c r="BE92" s="65"/>
      <c r="BF92" s="65"/>
      <c r="BG92" s="65"/>
      <c r="BH92" s="65"/>
      <c r="BI92" s="65"/>
      <c r="BJ92" s="65"/>
      <c r="BK92" s="65"/>
      <c r="BL92" s="65"/>
      <c r="BM92" s="65"/>
      <c r="BN92" s="65"/>
      <c r="BO92" s="65"/>
      <c r="BP92" s="65"/>
      <c r="BQ92" s="65"/>
      <c r="BR92" s="65"/>
      <c r="BS92" s="65"/>
      <c r="BT92" s="65"/>
      <c r="BU92" s="65"/>
      <c r="BV92" s="65"/>
      <c r="BW92" s="65"/>
      <c r="BX92" s="65"/>
      <c r="BY92" s="65"/>
      <c r="BZ92" s="65"/>
      <c r="CA92" s="65"/>
      <c r="CB92" s="65"/>
      <c r="CC92" s="65"/>
      <c r="CD92" s="65"/>
      <c r="CE92" s="65"/>
      <c r="CF92" s="65"/>
      <c r="CG92" s="65"/>
      <c r="CH92" s="65"/>
      <c r="CI92" s="65"/>
      <c r="CJ92" s="65"/>
      <c r="CK92" s="65"/>
      <c r="CL92" s="65"/>
      <c r="CM92" s="65"/>
      <c r="CN92" s="65"/>
      <c r="CO92" s="65"/>
      <c r="CP92" s="65"/>
      <c r="CQ92" s="65"/>
      <c r="CR92" s="65"/>
      <c r="CS92" s="65"/>
      <c r="CT92" s="65"/>
      <c r="CU92" s="65"/>
      <c r="CV92" s="65"/>
      <c r="CW92" s="65"/>
      <c r="CX92" s="65"/>
      <c r="CY92" s="65"/>
      <c r="CZ92" s="65"/>
      <c r="DA92" s="65"/>
      <c r="DB92" s="65"/>
      <c r="DC92" s="65"/>
      <c r="DD92" s="65"/>
      <c r="DE92" s="65"/>
      <c r="DF92" s="65"/>
      <c r="DG92" s="65"/>
      <c r="DH92" s="65"/>
      <c r="DI92" s="65"/>
      <c r="DJ92" s="65"/>
      <c r="DK92" s="65"/>
      <c r="DL92" s="65"/>
      <c r="DM92" s="65"/>
      <c r="DN92" s="65"/>
      <c r="DO92" s="65"/>
      <c r="DP92" s="65"/>
      <c r="DQ92" s="65"/>
      <c r="DR92" s="65"/>
      <c r="DS92" s="65"/>
      <c r="DT92" s="65"/>
      <c r="DU92" s="65"/>
      <c r="DV92" s="65"/>
      <c r="DW92" s="65"/>
      <c r="DX92" s="65"/>
      <c r="DY92" s="65"/>
      <c r="DZ92" s="65"/>
      <c r="EA92" s="65"/>
      <c r="EB92" s="65"/>
      <c r="EC92" s="65"/>
      <c r="ED92" s="65"/>
      <c r="EE92" s="65"/>
      <c r="EF92" s="65"/>
      <c r="EG92" s="65"/>
      <c r="EH92" s="65"/>
      <c r="EI92" s="65"/>
      <c r="EJ92" s="65"/>
      <c r="EK92" s="65"/>
      <c r="EL92" s="65"/>
      <c r="EM92" s="65"/>
      <c r="EN92" s="65"/>
      <c r="EO92" s="65"/>
      <c r="EP92" s="65"/>
      <c r="EQ92" s="65"/>
      <c r="ER92" s="65"/>
      <c r="ES92" s="65"/>
      <c r="ET92" s="65"/>
      <c r="EU92" s="65"/>
      <c r="EV92" s="65"/>
      <c r="EW92" s="65"/>
      <c r="EX92" s="65"/>
      <c r="EY92" s="65"/>
      <c r="EZ92" s="65"/>
      <c r="FA92" s="65"/>
      <c r="FB92" s="65"/>
      <c r="FC92" s="65"/>
      <c r="FD92" s="65"/>
      <c r="FE92" s="65"/>
      <c r="FF92" s="65"/>
      <c r="FG92" s="65"/>
      <c r="FH92" s="65"/>
      <c r="FI92" s="65"/>
      <c r="FJ92" s="65"/>
      <c r="FK92" s="65"/>
      <c r="FL92" s="65"/>
      <c r="FM92" s="65"/>
      <c r="FN92" s="65"/>
      <c r="FO92" s="65"/>
      <c r="FP92" s="65"/>
      <c r="FQ92" s="65"/>
      <c r="FR92" s="65"/>
      <c r="FS92" s="65"/>
      <c r="FT92" s="65"/>
      <c r="FU92" s="65"/>
      <c r="FV92" s="65"/>
      <c r="FW92" s="65"/>
      <c r="FX92" s="65"/>
      <c r="FY92" s="65"/>
      <c r="FZ92" s="65"/>
      <c r="GA92" s="65"/>
      <c r="GB92" s="65"/>
      <c r="GC92" s="65"/>
      <c r="GD92" s="65"/>
      <c r="GE92" s="65"/>
      <c r="GF92" s="65"/>
      <c r="GG92" s="65"/>
      <c r="GH92" s="65"/>
      <c r="GI92" s="65"/>
      <c r="GJ92" s="65"/>
      <c r="GK92" s="65"/>
      <c r="GL92" s="65"/>
      <c r="GM92" s="65"/>
      <c r="GN92" s="65"/>
      <c r="GO92" s="65"/>
      <c r="GP92" s="65"/>
      <c r="GQ92" s="65"/>
      <c r="GR92" s="65"/>
      <c r="GS92" s="65"/>
      <c r="GT92" s="65"/>
      <c r="GU92" s="65"/>
      <c r="GV92" s="65"/>
      <c r="GW92" s="65"/>
      <c r="GX92" s="65"/>
      <c r="GY92" s="65"/>
      <c r="GZ92" s="65"/>
      <c r="HA92" s="65"/>
      <c r="HB92" s="65"/>
      <c r="HC92" s="65"/>
      <c r="HD92" s="65"/>
      <c r="HE92" s="65"/>
      <c r="HF92" s="65"/>
      <c r="HG92" s="65"/>
      <c r="HH92" s="65"/>
      <c r="HI92" s="65"/>
      <c r="HJ92" s="65"/>
      <c r="HK92" s="65"/>
      <c r="HL92" s="65"/>
      <c r="HM92" s="65"/>
      <c r="HN92" s="65"/>
      <c r="HO92" s="65"/>
    </row>
    <row r="93" spans="1:223" s="78" customFormat="1" ht="34.5" customHeight="1" x14ac:dyDescent="0.25">
      <c r="A93" s="353">
        <v>2025</v>
      </c>
      <c r="B93" s="354">
        <v>7</v>
      </c>
      <c r="C93" s="355">
        <v>22915</v>
      </c>
      <c r="D93" s="273"/>
      <c r="E93" s="81"/>
      <c r="F93" s="81"/>
      <c r="L93" s="79"/>
      <c r="V93" s="81"/>
      <c r="X93" s="66"/>
      <c r="Z93" s="80"/>
      <c r="AA93" s="371"/>
      <c r="AC93" s="228"/>
      <c r="AD93" s="228">
        <f t="shared" si="1"/>
        <v>0</v>
      </c>
      <c r="AE93" s="303"/>
      <c r="AG93" s="210"/>
      <c r="AH93" s="241"/>
      <c r="AI93" s="66"/>
      <c r="AL93" s="65"/>
      <c r="AM93" s="65"/>
      <c r="AN93" s="65"/>
      <c r="AO93" s="65"/>
      <c r="AP93" s="65"/>
      <c r="AQ93" s="65"/>
      <c r="AR93" s="65"/>
      <c r="AS93" s="65"/>
      <c r="AT93" s="65"/>
      <c r="AU93" s="65"/>
      <c r="AV93" s="65"/>
      <c r="AW93" s="65"/>
      <c r="AX93" s="65"/>
      <c r="AY93" s="65"/>
      <c r="AZ93" s="65"/>
      <c r="BA93" s="65"/>
      <c r="BB93" s="65"/>
      <c r="BC93" s="65"/>
      <c r="BD93" s="65"/>
      <c r="BE93" s="65"/>
      <c r="BF93" s="65"/>
      <c r="BG93" s="65"/>
      <c r="BH93" s="65"/>
      <c r="BI93" s="65"/>
      <c r="BJ93" s="65"/>
      <c r="BK93" s="65"/>
      <c r="BL93" s="65"/>
      <c r="BM93" s="65"/>
      <c r="BN93" s="65"/>
      <c r="BO93" s="65"/>
      <c r="BP93" s="65"/>
      <c r="BQ93" s="65"/>
      <c r="BR93" s="65"/>
      <c r="BS93" s="65"/>
      <c r="BT93" s="65"/>
      <c r="BU93" s="65"/>
      <c r="BV93" s="65"/>
      <c r="BW93" s="65"/>
      <c r="BX93" s="65"/>
      <c r="BY93" s="65"/>
      <c r="BZ93" s="65"/>
      <c r="CA93" s="65"/>
      <c r="CB93" s="65"/>
      <c r="CC93" s="65"/>
      <c r="CD93" s="65"/>
      <c r="CE93" s="65"/>
      <c r="CF93" s="65"/>
      <c r="CG93" s="65"/>
      <c r="CH93" s="65"/>
      <c r="CI93" s="65"/>
      <c r="CJ93" s="65"/>
      <c r="CK93" s="65"/>
      <c r="CL93" s="65"/>
      <c r="CM93" s="65"/>
      <c r="CN93" s="65"/>
      <c r="CO93" s="65"/>
      <c r="CP93" s="65"/>
      <c r="CQ93" s="65"/>
      <c r="CR93" s="65"/>
      <c r="CS93" s="65"/>
      <c r="CT93" s="65"/>
      <c r="CU93" s="65"/>
      <c r="CV93" s="65"/>
      <c r="CW93" s="65"/>
      <c r="CX93" s="65"/>
      <c r="CY93" s="65"/>
      <c r="CZ93" s="65"/>
      <c r="DA93" s="65"/>
      <c r="DB93" s="65"/>
      <c r="DC93" s="65"/>
      <c r="DD93" s="65"/>
      <c r="DE93" s="65"/>
      <c r="DF93" s="65"/>
      <c r="DG93" s="65"/>
      <c r="DH93" s="65"/>
      <c r="DI93" s="65"/>
      <c r="DJ93" s="65"/>
      <c r="DK93" s="65"/>
      <c r="DL93" s="65"/>
      <c r="DM93" s="65"/>
      <c r="DN93" s="65"/>
      <c r="DO93" s="65"/>
      <c r="DP93" s="65"/>
      <c r="DQ93" s="65"/>
      <c r="DR93" s="65"/>
      <c r="DS93" s="65"/>
      <c r="DT93" s="65"/>
      <c r="DU93" s="65"/>
      <c r="DV93" s="65"/>
      <c r="DW93" s="65"/>
      <c r="DX93" s="65"/>
      <c r="DY93" s="65"/>
      <c r="DZ93" s="65"/>
      <c r="EA93" s="65"/>
      <c r="EB93" s="65"/>
      <c r="EC93" s="65"/>
      <c r="ED93" s="65"/>
      <c r="EE93" s="65"/>
      <c r="EF93" s="65"/>
      <c r="EG93" s="65"/>
      <c r="EH93" s="65"/>
      <c r="EI93" s="65"/>
      <c r="EJ93" s="65"/>
      <c r="EK93" s="65"/>
      <c r="EL93" s="65"/>
      <c r="EM93" s="65"/>
      <c r="EN93" s="65"/>
      <c r="EO93" s="65"/>
      <c r="EP93" s="65"/>
      <c r="EQ93" s="65"/>
      <c r="ER93" s="65"/>
      <c r="ES93" s="65"/>
      <c r="ET93" s="65"/>
      <c r="EU93" s="65"/>
      <c r="EV93" s="65"/>
      <c r="EW93" s="65"/>
      <c r="EX93" s="65"/>
      <c r="EY93" s="65"/>
      <c r="EZ93" s="65"/>
      <c r="FA93" s="65"/>
      <c r="FB93" s="65"/>
      <c r="FC93" s="65"/>
      <c r="FD93" s="65"/>
      <c r="FE93" s="65"/>
      <c r="FF93" s="65"/>
      <c r="FG93" s="65"/>
      <c r="FH93" s="65"/>
      <c r="FI93" s="65"/>
      <c r="FJ93" s="65"/>
      <c r="FK93" s="65"/>
      <c r="FL93" s="65"/>
      <c r="FM93" s="65"/>
      <c r="FN93" s="65"/>
      <c r="FO93" s="65"/>
      <c r="FP93" s="65"/>
      <c r="FQ93" s="65"/>
      <c r="FR93" s="65"/>
      <c r="FS93" s="65"/>
      <c r="FT93" s="65"/>
      <c r="FU93" s="65"/>
      <c r="FV93" s="65"/>
      <c r="FW93" s="65"/>
      <c r="FX93" s="65"/>
      <c r="FY93" s="65"/>
      <c r="FZ93" s="65"/>
      <c r="GA93" s="65"/>
      <c r="GB93" s="65"/>
      <c r="GC93" s="65"/>
      <c r="GD93" s="65"/>
      <c r="GE93" s="65"/>
      <c r="GF93" s="65"/>
      <c r="GG93" s="65"/>
      <c r="GH93" s="65"/>
      <c r="GI93" s="65"/>
      <c r="GJ93" s="65"/>
      <c r="GK93" s="65"/>
      <c r="GL93" s="65"/>
      <c r="GM93" s="65"/>
      <c r="GN93" s="65"/>
      <c r="GO93" s="65"/>
      <c r="GP93" s="65"/>
      <c r="GQ93" s="65"/>
      <c r="GR93" s="65"/>
      <c r="GS93" s="65"/>
      <c r="GT93" s="65"/>
      <c r="GU93" s="65"/>
      <c r="GV93" s="65"/>
      <c r="GW93" s="65"/>
      <c r="GX93" s="65"/>
      <c r="GY93" s="65"/>
      <c r="GZ93" s="65"/>
      <c r="HA93" s="65"/>
      <c r="HB93" s="65"/>
      <c r="HC93" s="65"/>
      <c r="HD93" s="65"/>
      <c r="HE93" s="65"/>
      <c r="HF93" s="65"/>
      <c r="HG93" s="65"/>
      <c r="HH93" s="65"/>
      <c r="HI93" s="65"/>
      <c r="HJ93" s="65"/>
      <c r="HK93" s="65"/>
      <c r="HL93" s="65"/>
      <c r="HM93" s="65"/>
      <c r="HN93" s="65"/>
      <c r="HO93" s="65"/>
    </row>
    <row r="94" spans="1:223" s="78" customFormat="1" ht="34.5" customHeight="1" x14ac:dyDescent="0.25">
      <c r="A94" s="353">
        <v>2025</v>
      </c>
      <c r="B94" s="354">
        <v>7</v>
      </c>
      <c r="C94" s="353">
        <v>22916</v>
      </c>
      <c r="D94" s="273"/>
      <c r="E94" s="81"/>
      <c r="F94" s="81"/>
      <c r="J94" s="435"/>
      <c r="L94" s="79"/>
      <c r="V94" s="81"/>
      <c r="W94" s="435"/>
      <c r="X94" s="66"/>
      <c r="Z94" s="80"/>
      <c r="AA94" s="371"/>
      <c r="AC94" s="228"/>
      <c r="AD94" s="228">
        <f t="shared" si="1"/>
        <v>0</v>
      </c>
      <c r="AE94" s="303"/>
      <c r="AG94" s="210"/>
      <c r="AH94" s="241"/>
      <c r="AI94" s="66"/>
      <c r="AL94" s="65"/>
      <c r="AM94" s="65"/>
      <c r="AN94" s="65"/>
      <c r="AO94" s="65"/>
      <c r="AP94" s="65"/>
      <c r="AQ94" s="65"/>
      <c r="AR94" s="65"/>
      <c r="AS94" s="65"/>
      <c r="AT94" s="65"/>
      <c r="AU94" s="65"/>
      <c r="AV94" s="65"/>
      <c r="AW94" s="65"/>
      <c r="AX94" s="65"/>
      <c r="AY94" s="65"/>
      <c r="AZ94" s="65"/>
      <c r="BA94" s="65"/>
      <c r="BB94" s="65"/>
      <c r="BC94" s="65"/>
      <c r="BD94" s="65"/>
      <c r="BE94" s="65"/>
      <c r="BF94" s="65"/>
      <c r="BG94" s="65"/>
      <c r="BH94" s="65"/>
      <c r="BI94" s="65"/>
      <c r="BJ94" s="65"/>
      <c r="BK94" s="65"/>
      <c r="BL94" s="65"/>
      <c r="BM94" s="65"/>
      <c r="BN94" s="65"/>
      <c r="BO94" s="65"/>
      <c r="BP94" s="65"/>
      <c r="BQ94" s="65"/>
      <c r="BR94" s="65"/>
      <c r="BS94" s="65"/>
      <c r="BT94" s="65"/>
      <c r="BU94" s="65"/>
      <c r="BV94" s="65"/>
      <c r="BW94" s="65"/>
      <c r="BX94" s="65"/>
      <c r="BY94" s="65"/>
      <c r="BZ94" s="65"/>
      <c r="CA94" s="65"/>
      <c r="CB94" s="65"/>
      <c r="CC94" s="65"/>
      <c r="CD94" s="65"/>
      <c r="CE94" s="65"/>
      <c r="CF94" s="65"/>
      <c r="CG94" s="65"/>
      <c r="CH94" s="65"/>
      <c r="CI94" s="65"/>
      <c r="CJ94" s="65"/>
      <c r="CK94" s="65"/>
      <c r="CL94" s="65"/>
      <c r="CM94" s="65"/>
      <c r="CN94" s="65"/>
      <c r="CO94" s="65"/>
      <c r="CP94" s="65"/>
      <c r="CQ94" s="65"/>
      <c r="CR94" s="65"/>
      <c r="CS94" s="65"/>
      <c r="CT94" s="65"/>
      <c r="CU94" s="65"/>
      <c r="CV94" s="65"/>
      <c r="CW94" s="65"/>
      <c r="CX94" s="65"/>
      <c r="CY94" s="65"/>
      <c r="CZ94" s="65"/>
      <c r="DA94" s="65"/>
      <c r="DB94" s="65"/>
      <c r="DC94" s="65"/>
      <c r="DD94" s="65"/>
      <c r="DE94" s="65"/>
      <c r="DF94" s="65"/>
      <c r="DG94" s="65"/>
      <c r="DH94" s="65"/>
      <c r="DI94" s="65"/>
      <c r="DJ94" s="65"/>
      <c r="DK94" s="65"/>
      <c r="DL94" s="65"/>
      <c r="DM94" s="65"/>
      <c r="DN94" s="65"/>
      <c r="DO94" s="65"/>
      <c r="DP94" s="65"/>
      <c r="DQ94" s="65"/>
      <c r="DR94" s="65"/>
      <c r="DS94" s="65"/>
      <c r="DT94" s="65"/>
      <c r="DU94" s="65"/>
      <c r="DV94" s="65"/>
      <c r="DW94" s="65"/>
      <c r="DX94" s="65"/>
      <c r="DY94" s="65"/>
      <c r="DZ94" s="65"/>
      <c r="EA94" s="65"/>
      <c r="EB94" s="65"/>
      <c r="EC94" s="65"/>
      <c r="ED94" s="65"/>
      <c r="EE94" s="65"/>
      <c r="EF94" s="65"/>
      <c r="EG94" s="65"/>
      <c r="EH94" s="65"/>
      <c r="EI94" s="65"/>
      <c r="EJ94" s="65"/>
      <c r="EK94" s="65"/>
      <c r="EL94" s="65"/>
      <c r="EM94" s="65"/>
      <c r="EN94" s="65"/>
      <c r="EO94" s="65"/>
      <c r="EP94" s="65"/>
      <c r="EQ94" s="65"/>
      <c r="ER94" s="65"/>
      <c r="ES94" s="65"/>
      <c r="ET94" s="65"/>
      <c r="EU94" s="65"/>
      <c r="EV94" s="65"/>
      <c r="EW94" s="65"/>
      <c r="EX94" s="65"/>
      <c r="EY94" s="65"/>
      <c r="EZ94" s="65"/>
      <c r="FA94" s="65"/>
      <c r="FB94" s="65"/>
      <c r="FC94" s="65"/>
      <c r="FD94" s="65"/>
      <c r="FE94" s="65"/>
      <c r="FF94" s="65"/>
      <c r="FG94" s="65"/>
      <c r="FH94" s="65"/>
      <c r="FI94" s="65"/>
      <c r="FJ94" s="65"/>
      <c r="FK94" s="65"/>
      <c r="FL94" s="65"/>
      <c r="FM94" s="65"/>
      <c r="FN94" s="65"/>
      <c r="FO94" s="65"/>
      <c r="FP94" s="65"/>
      <c r="FQ94" s="65"/>
      <c r="FR94" s="65"/>
      <c r="FS94" s="65"/>
      <c r="FT94" s="65"/>
      <c r="FU94" s="65"/>
      <c r="FV94" s="65"/>
      <c r="FW94" s="65"/>
      <c r="FX94" s="65"/>
      <c r="FY94" s="65"/>
      <c r="FZ94" s="65"/>
      <c r="GA94" s="65"/>
      <c r="GB94" s="65"/>
      <c r="GC94" s="65"/>
      <c r="GD94" s="65"/>
      <c r="GE94" s="65"/>
      <c r="GF94" s="65"/>
      <c r="GG94" s="65"/>
      <c r="GH94" s="65"/>
      <c r="GI94" s="65"/>
      <c r="GJ94" s="65"/>
      <c r="GK94" s="65"/>
      <c r="GL94" s="65"/>
      <c r="GM94" s="65"/>
      <c r="GN94" s="65"/>
      <c r="GO94" s="65"/>
      <c r="GP94" s="65"/>
      <c r="GQ94" s="65"/>
      <c r="GR94" s="65"/>
      <c r="GS94" s="65"/>
      <c r="GT94" s="65"/>
      <c r="GU94" s="65"/>
      <c r="GV94" s="65"/>
      <c r="GW94" s="65"/>
      <c r="GX94" s="65"/>
      <c r="GY94" s="65"/>
      <c r="GZ94" s="65"/>
      <c r="HA94" s="65"/>
      <c r="HB94" s="65"/>
      <c r="HC94" s="65"/>
      <c r="HD94" s="65"/>
      <c r="HE94" s="65"/>
      <c r="HF94" s="65"/>
      <c r="HG94" s="65"/>
      <c r="HH94" s="65"/>
      <c r="HI94" s="65"/>
      <c r="HJ94" s="65"/>
      <c r="HK94" s="65"/>
      <c r="HL94" s="65"/>
      <c r="HM94" s="65"/>
      <c r="HN94" s="65"/>
      <c r="HO94" s="65"/>
    </row>
    <row r="95" spans="1:223" s="78" customFormat="1" ht="34.5" customHeight="1" x14ac:dyDescent="0.25">
      <c r="A95" s="353">
        <v>2025</v>
      </c>
      <c r="B95" s="354">
        <v>7</v>
      </c>
      <c r="C95" s="353">
        <v>22917</v>
      </c>
      <c r="D95" s="273"/>
      <c r="E95" s="81"/>
      <c r="F95" s="81"/>
      <c r="L95" s="79"/>
      <c r="V95" s="81"/>
      <c r="X95" s="66"/>
      <c r="Z95" s="80"/>
      <c r="AA95" s="371"/>
      <c r="AC95" s="228"/>
      <c r="AD95" s="228">
        <f t="shared" si="1"/>
        <v>0</v>
      </c>
      <c r="AE95" s="303"/>
      <c r="AG95" s="210"/>
      <c r="AH95" s="241"/>
      <c r="AI95" s="66"/>
      <c r="AL95" s="65"/>
      <c r="AM95" s="65"/>
      <c r="AN95" s="65"/>
      <c r="AO95" s="65"/>
      <c r="AP95" s="65"/>
      <c r="AQ95" s="65"/>
      <c r="AR95" s="65"/>
      <c r="AS95" s="65"/>
      <c r="AT95" s="65"/>
      <c r="AU95" s="65"/>
      <c r="AV95" s="65"/>
      <c r="AW95" s="65"/>
      <c r="AX95" s="65"/>
      <c r="AY95" s="65"/>
      <c r="AZ95" s="65"/>
      <c r="BA95" s="65"/>
      <c r="BB95" s="65"/>
      <c r="BC95" s="65"/>
      <c r="BD95" s="65"/>
      <c r="BE95" s="65"/>
      <c r="BF95" s="65"/>
      <c r="BG95" s="65"/>
      <c r="BH95" s="65"/>
      <c r="BI95" s="65"/>
      <c r="BJ95" s="65"/>
      <c r="BK95" s="65"/>
      <c r="BL95" s="65"/>
      <c r="BM95" s="65"/>
      <c r="BN95" s="65"/>
      <c r="BO95" s="65"/>
      <c r="BP95" s="65"/>
      <c r="BQ95" s="65"/>
      <c r="BR95" s="65"/>
      <c r="BS95" s="65"/>
      <c r="BT95" s="65"/>
      <c r="BU95" s="65"/>
      <c r="BV95" s="65"/>
      <c r="BW95" s="65"/>
      <c r="BX95" s="65"/>
      <c r="BY95" s="65"/>
      <c r="BZ95" s="65"/>
      <c r="CA95" s="65"/>
      <c r="CB95" s="65"/>
      <c r="CC95" s="65"/>
      <c r="CD95" s="65"/>
      <c r="CE95" s="65"/>
      <c r="CF95" s="65"/>
      <c r="CG95" s="65"/>
      <c r="CH95" s="65"/>
      <c r="CI95" s="65"/>
      <c r="CJ95" s="65"/>
      <c r="CK95" s="65"/>
      <c r="CL95" s="65"/>
      <c r="CM95" s="65"/>
      <c r="CN95" s="65"/>
      <c r="CO95" s="65"/>
      <c r="CP95" s="65"/>
      <c r="CQ95" s="65"/>
      <c r="CR95" s="65"/>
      <c r="CS95" s="65"/>
      <c r="CT95" s="65"/>
      <c r="CU95" s="65"/>
      <c r="CV95" s="65"/>
      <c r="CW95" s="65"/>
      <c r="CX95" s="65"/>
      <c r="CY95" s="65"/>
      <c r="CZ95" s="65"/>
      <c r="DA95" s="65"/>
      <c r="DB95" s="65"/>
      <c r="DC95" s="65"/>
      <c r="DD95" s="65"/>
      <c r="DE95" s="65"/>
      <c r="DF95" s="65"/>
      <c r="DG95" s="65"/>
      <c r="DH95" s="65"/>
      <c r="DI95" s="65"/>
      <c r="DJ95" s="65"/>
      <c r="DK95" s="65"/>
      <c r="DL95" s="65"/>
      <c r="DM95" s="65"/>
      <c r="DN95" s="65"/>
      <c r="DO95" s="65"/>
      <c r="DP95" s="65"/>
      <c r="DQ95" s="65"/>
      <c r="DR95" s="65"/>
      <c r="DS95" s="65"/>
      <c r="DT95" s="65"/>
      <c r="DU95" s="65"/>
      <c r="DV95" s="65"/>
      <c r="DW95" s="65"/>
      <c r="DX95" s="65"/>
      <c r="DY95" s="65"/>
      <c r="DZ95" s="65"/>
      <c r="EA95" s="65"/>
      <c r="EB95" s="65"/>
      <c r="EC95" s="65"/>
      <c r="ED95" s="65"/>
      <c r="EE95" s="65"/>
      <c r="EF95" s="65"/>
      <c r="EG95" s="65"/>
      <c r="EH95" s="65"/>
      <c r="EI95" s="65"/>
      <c r="EJ95" s="65"/>
      <c r="EK95" s="65"/>
      <c r="EL95" s="65"/>
      <c r="EM95" s="65"/>
      <c r="EN95" s="65"/>
      <c r="EO95" s="65"/>
      <c r="EP95" s="65"/>
      <c r="EQ95" s="65"/>
      <c r="ER95" s="65"/>
      <c r="ES95" s="65"/>
      <c r="ET95" s="65"/>
      <c r="EU95" s="65"/>
      <c r="EV95" s="65"/>
      <c r="EW95" s="65"/>
      <c r="EX95" s="65"/>
      <c r="EY95" s="65"/>
      <c r="EZ95" s="65"/>
      <c r="FA95" s="65"/>
      <c r="FB95" s="65"/>
      <c r="FC95" s="65"/>
      <c r="FD95" s="65"/>
      <c r="FE95" s="65"/>
      <c r="FF95" s="65"/>
      <c r="FG95" s="65"/>
      <c r="FH95" s="65"/>
      <c r="FI95" s="65"/>
      <c r="FJ95" s="65"/>
      <c r="FK95" s="65"/>
      <c r="FL95" s="65"/>
      <c r="FM95" s="65"/>
      <c r="FN95" s="65"/>
      <c r="FO95" s="65"/>
      <c r="FP95" s="65"/>
      <c r="FQ95" s="65"/>
      <c r="FR95" s="65"/>
      <c r="FS95" s="65"/>
      <c r="FT95" s="65"/>
      <c r="FU95" s="65"/>
      <c r="FV95" s="65"/>
      <c r="FW95" s="65"/>
      <c r="FX95" s="65"/>
      <c r="FY95" s="65"/>
      <c r="FZ95" s="65"/>
      <c r="GA95" s="65"/>
      <c r="GB95" s="65"/>
      <c r="GC95" s="65"/>
      <c r="GD95" s="65"/>
      <c r="GE95" s="65"/>
      <c r="GF95" s="65"/>
      <c r="GG95" s="65"/>
      <c r="GH95" s="65"/>
      <c r="GI95" s="65"/>
      <c r="GJ95" s="65"/>
      <c r="GK95" s="65"/>
      <c r="GL95" s="65"/>
      <c r="GM95" s="65"/>
      <c r="GN95" s="65"/>
      <c r="GO95" s="65"/>
      <c r="GP95" s="65"/>
      <c r="GQ95" s="65"/>
      <c r="GR95" s="65"/>
      <c r="GS95" s="65"/>
      <c r="GT95" s="65"/>
      <c r="GU95" s="65"/>
      <c r="GV95" s="65"/>
      <c r="GW95" s="65"/>
      <c r="GX95" s="65"/>
      <c r="GY95" s="65"/>
      <c r="GZ95" s="65"/>
      <c r="HA95" s="65"/>
      <c r="HB95" s="65"/>
      <c r="HC95" s="65"/>
      <c r="HD95" s="65"/>
      <c r="HE95" s="65"/>
      <c r="HF95" s="65"/>
      <c r="HG95" s="65"/>
      <c r="HH95" s="65"/>
      <c r="HI95" s="65"/>
      <c r="HJ95" s="65"/>
      <c r="HK95" s="65"/>
      <c r="HL95" s="65"/>
      <c r="HM95" s="65"/>
      <c r="HN95" s="65"/>
      <c r="HO95" s="65"/>
    </row>
    <row r="96" spans="1:223" s="78" customFormat="1" ht="34.5" customHeight="1" x14ac:dyDescent="0.25">
      <c r="A96" s="353">
        <v>2025</v>
      </c>
      <c r="B96" s="354">
        <v>7</v>
      </c>
      <c r="C96" s="355">
        <v>22918</v>
      </c>
      <c r="D96" s="273"/>
      <c r="E96" s="81"/>
      <c r="F96" s="81"/>
      <c r="J96" s="435"/>
      <c r="L96" s="79"/>
      <c r="V96" s="81"/>
      <c r="X96" s="66"/>
      <c r="Z96" s="80"/>
      <c r="AA96" s="371"/>
      <c r="AC96" s="228"/>
      <c r="AD96" s="228">
        <f t="shared" si="1"/>
        <v>0</v>
      </c>
      <c r="AE96" s="303"/>
      <c r="AG96" s="210"/>
      <c r="AH96" s="241"/>
      <c r="AI96" s="66"/>
      <c r="AL96" s="65"/>
      <c r="AM96" s="65"/>
      <c r="AN96" s="65"/>
      <c r="AO96" s="65"/>
      <c r="AP96" s="65"/>
      <c r="AQ96" s="65"/>
      <c r="AR96" s="65"/>
      <c r="AS96" s="65"/>
      <c r="AT96" s="65"/>
      <c r="AU96" s="65"/>
      <c r="AV96" s="65"/>
      <c r="AW96" s="65"/>
      <c r="AX96" s="65"/>
      <c r="AY96" s="65"/>
      <c r="AZ96" s="65"/>
      <c r="BA96" s="65"/>
      <c r="BB96" s="65"/>
      <c r="BC96" s="65"/>
      <c r="BD96" s="65"/>
      <c r="BE96" s="65"/>
      <c r="BF96" s="65"/>
      <c r="BG96" s="65"/>
      <c r="BH96" s="65"/>
      <c r="BI96" s="65"/>
      <c r="BJ96" s="65"/>
      <c r="BK96" s="65"/>
      <c r="BL96" s="65"/>
      <c r="BM96" s="65"/>
      <c r="BN96" s="65"/>
      <c r="BO96" s="65"/>
      <c r="BP96" s="65"/>
      <c r="BQ96" s="65"/>
      <c r="BR96" s="65"/>
      <c r="BS96" s="65"/>
      <c r="BT96" s="65"/>
      <c r="BU96" s="65"/>
      <c r="BV96" s="65"/>
      <c r="BW96" s="65"/>
      <c r="BX96" s="65"/>
      <c r="BY96" s="65"/>
      <c r="BZ96" s="65"/>
      <c r="CA96" s="65"/>
      <c r="CB96" s="65"/>
      <c r="CC96" s="65"/>
      <c r="CD96" s="65"/>
      <c r="CE96" s="65"/>
      <c r="CF96" s="65"/>
      <c r="CG96" s="65"/>
      <c r="CH96" s="65"/>
      <c r="CI96" s="65"/>
      <c r="CJ96" s="65"/>
      <c r="CK96" s="65"/>
      <c r="CL96" s="65"/>
      <c r="CM96" s="65"/>
      <c r="CN96" s="65"/>
      <c r="CO96" s="65"/>
      <c r="CP96" s="65"/>
      <c r="CQ96" s="65"/>
      <c r="CR96" s="65"/>
      <c r="CS96" s="65"/>
      <c r="CT96" s="65"/>
      <c r="CU96" s="65"/>
      <c r="CV96" s="65"/>
      <c r="CW96" s="65"/>
      <c r="CX96" s="65"/>
      <c r="CY96" s="65"/>
      <c r="CZ96" s="65"/>
      <c r="DA96" s="65"/>
      <c r="DB96" s="65"/>
      <c r="DC96" s="65"/>
      <c r="DD96" s="65"/>
      <c r="DE96" s="65"/>
      <c r="DF96" s="65"/>
      <c r="DG96" s="65"/>
      <c r="DH96" s="65"/>
      <c r="DI96" s="65"/>
      <c r="DJ96" s="65"/>
      <c r="DK96" s="65"/>
      <c r="DL96" s="65"/>
      <c r="DM96" s="65"/>
      <c r="DN96" s="65"/>
      <c r="DO96" s="65"/>
      <c r="DP96" s="65"/>
      <c r="DQ96" s="65"/>
      <c r="DR96" s="65"/>
      <c r="DS96" s="65"/>
      <c r="DT96" s="65"/>
      <c r="DU96" s="65"/>
      <c r="DV96" s="65"/>
      <c r="DW96" s="65"/>
      <c r="DX96" s="65"/>
      <c r="DY96" s="65"/>
      <c r="DZ96" s="65"/>
      <c r="EA96" s="65"/>
      <c r="EB96" s="65"/>
      <c r="EC96" s="65"/>
      <c r="ED96" s="65"/>
      <c r="EE96" s="65"/>
      <c r="EF96" s="65"/>
      <c r="EG96" s="65"/>
      <c r="EH96" s="65"/>
      <c r="EI96" s="65"/>
      <c r="EJ96" s="65"/>
      <c r="EK96" s="65"/>
      <c r="EL96" s="65"/>
      <c r="EM96" s="65"/>
      <c r="EN96" s="65"/>
      <c r="EO96" s="65"/>
      <c r="EP96" s="65"/>
      <c r="EQ96" s="65"/>
      <c r="ER96" s="65"/>
      <c r="ES96" s="65"/>
      <c r="ET96" s="65"/>
      <c r="EU96" s="65"/>
      <c r="EV96" s="65"/>
      <c r="EW96" s="65"/>
      <c r="EX96" s="65"/>
      <c r="EY96" s="65"/>
      <c r="EZ96" s="65"/>
      <c r="FA96" s="65"/>
      <c r="FB96" s="65"/>
      <c r="FC96" s="65"/>
      <c r="FD96" s="65"/>
      <c r="FE96" s="65"/>
      <c r="FF96" s="65"/>
      <c r="FG96" s="65"/>
      <c r="FH96" s="65"/>
      <c r="FI96" s="65"/>
      <c r="FJ96" s="65"/>
      <c r="FK96" s="65"/>
      <c r="FL96" s="65"/>
      <c r="FM96" s="65"/>
      <c r="FN96" s="65"/>
      <c r="FO96" s="65"/>
      <c r="FP96" s="65"/>
      <c r="FQ96" s="65"/>
      <c r="FR96" s="65"/>
      <c r="FS96" s="65"/>
      <c r="FT96" s="65"/>
      <c r="FU96" s="65"/>
      <c r="FV96" s="65"/>
      <c r="FW96" s="65"/>
      <c r="FX96" s="65"/>
      <c r="FY96" s="65"/>
      <c r="FZ96" s="65"/>
      <c r="GA96" s="65"/>
      <c r="GB96" s="65"/>
      <c r="GC96" s="65"/>
      <c r="GD96" s="65"/>
      <c r="GE96" s="65"/>
      <c r="GF96" s="65"/>
      <c r="GG96" s="65"/>
      <c r="GH96" s="65"/>
      <c r="GI96" s="65"/>
      <c r="GJ96" s="65"/>
      <c r="GK96" s="65"/>
      <c r="GL96" s="65"/>
      <c r="GM96" s="65"/>
      <c r="GN96" s="65"/>
      <c r="GO96" s="65"/>
      <c r="GP96" s="65"/>
      <c r="GQ96" s="65"/>
      <c r="GR96" s="65"/>
      <c r="GS96" s="65"/>
      <c r="GT96" s="65"/>
      <c r="GU96" s="65"/>
      <c r="GV96" s="65"/>
      <c r="GW96" s="65"/>
      <c r="GX96" s="65"/>
      <c r="GY96" s="65"/>
      <c r="GZ96" s="65"/>
      <c r="HA96" s="65"/>
      <c r="HB96" s="65"/>
      <c r="HC96" s="65"/>
      <c r="HD96" s="65"/>
      <c r="HE96" s="65"/>
      <c r="HF96" s="65"/>
      <c r="HG96" s="65"/>
      <c r="HH96" s="65"/>
      <c r="HI96" s="65"/>
      <c r="HJ96" s="65"/>
      <c r="HK96" s="65"/>
      <c r="HL96" s="65"/>
      <c r="HM96" s="65"/>
      <c r="HN96" s="65"/>
      <c r="HO96" s="65"/>
    </row>
    <row r="97" spans="1:223" s="78" customFormat="1" ht="34.5" customHeight="1" x14ac:dyDescent="0.25">
      <c r="A97" s="353">
        <v>2025</v>
      </c>
      <c r="B97" s="354">
        <v>7</v>
      </c>
      <c r="C97" s="353">
        <v>22919</v>
      </c>
      <c r="D97" s="273"/>
      <c r="E97" s="81"/>
      <c r="F97" s="81"/>
      <c r="L97" s="79"/>
      <c r="V97" s="81"/>
      <c r="X97" s="66"/>
      <c r="Z97" s="80"/>
      <c r="AA97" s="371"/>
      <c r="AC97" s="228"/>
      <c r="AD97" s="228">
        <f t="shared" si="1"/>
        <v>0</v>
      </c>
      <c r="AE97" s="303"/>
      <c r="AG97" s="210"/>
      <c r="AH97" s="241"/>
      <c r="AI97" s="66"/>
      <c r="AL97" s="65"/>
      <c r="AM97" s="65"/>
      <c r="AN97" s="65"/>
      <c r="AO97" s="65"/>
      <c r="AP97" s="65"/>
      <c r="AQ97" s="65"/>
      <c r="AR97" s="65"/>
      <c r="AS97" s="65"/>
      <c r="AT97" s="65"/>
      <c r="AU97" s="65"/>
      <c r="AV97" s="65"/>
      <c r="AW97" s="65"/>
      <c r="AX97" s="65"/>
      <c r="AY97" s="65"/>
      <c r="AZ97" s="65"/>
      <c r="BA97" s="65"/>
      <c r="BB97" s="65"/>
      <c r="BC97" s="65"/>
      <c r="BD97" s="65"/>
      <c r="BE97" s="65"/>
      <c r="BF97" s="65"/>
      <c r="BG97" s="65"/>
      <c r="BH97" s="65"/>
      <c r="BI97" s="65"/>
      <c r="BJ97" s="65"/>
      <c r="BK97" s="65"/>
      <c r="BL97" s="65"/>
      <c r="BM97" s="65"/>
      <c r="BN97" s="65"/>
      <c r="BO97" s="65"/>
      <c r="BP97" s="65"/>
      <c r="BQ97" s="65"/>
      <c r="BR97" s="65"/>
      <c r="BS97" s="65"/>
      <c r="BT97" s="65"/>
      <c r="BU97" s="65"/>
      <c r="BV97" s="65"/>
      <c r="BW97" s="65"/>
      <c r="BX97" s="65"/>
      <c r="BY97" s="65"/>
      <c r="BZ97" s="65"/>
      <c r="CA97" s="65"/>
      <c r="CB97" s="65"/>
      <c r="CC97" s="65"/>
      <c r="CD97" s="65"/>
      <c r="CE97" s="65"/>
      <c r="CF97" s="65"/>
      <c r="CG97" s="65"/>
      <c r="CH97" s="65"/>
      <c r="CI97" s="65"/>
      <c r="CJ97" s="65"/>
      <c r="CK97" s="65"/>
      <c r="CL97" s="65"/>
      <c r="CM97" s="65"/>
      <c r="CN97" s="65"/>
      <c r="CO97" s="65"/>
      <c r="CP97" s="65"/>
      <c r="CQ97" s="65"/>
      <c r="CR97" s="65"/>
      <c r="CS97" s="65"/>
      <c r="CT97" s="65"/>
      <c r="CU97" s="65"/>
      <c r="CV97" s="65"/>
      <c r="CW97" s="65"/>
      <c r="CX97" s="65"/>
      <c r="CY97" s="65"/>
      <c r="CZ97" s="65"/>
      <c r="DA97" s="65"/>
      <c r="DB97" s="65"/>
      <c r="DC97" s="65"/>
      <c r="DD97" s="65"/>
      <c r="DE97" s="65"/>
      <c r="DF97" s="65"/>
      <c r="DG97" s="65"/>
      <c r="DH97" s="65"/>
      <c r="DI97" s="65"/>
      <c r="DJ97" s="65"/>
      <c r="DK97" s="65"/>
      <c r="DL97" s="65"/>
      <c r="DM97" s="65"/>
      <c r="DN97" s="65"/>
      <c r="DO97" s="65"/>
      <c r="DP97" s="65"/>
      <c r="DQ97" s="65"/>
      <c r="DR97" s="65"/>
      <c r="DS97" s="65"/>
      <c r="DT97" s="65"/>
      <c r="DU97" s="65"/>
      <c r="DV97" s="65"/>
      <c r="DW97" s="65"/>
      <c r="DX97" s="65"/>
      <c r="DY97" s="65"/>
      <c r="DZ97" s="65"/>
      <c r="EA97" s="65"/>
      <c r="EB97" s="65"/>
      <c r="EC97" s="65"/>
      <c r="ED97" s="65"/>
      <c r="EE97" s="65"/>
      <c r="EF97" s="65"/>
      <c r="EG97" s="65"/>
      <c r="EH97" s="65"/>
      <c r="EI97" s="65"/>
      <c r="EJ97" s="65"/>
      <c r="EK97" s="65"/>
      <c r="EL97" s="65"/>
      <c r="EM97" s="65"/>
      <c r="EN97" s="65"/>
      <c r="EO97" s="65"/>
      <c r="EP97" s="65"/>
      <c r="EQ97" s="65"/>
      <c r="ER97" s="65"/>
      <c r="ES97" s="65"/>
      <c r="ET97" s="65"/>
      <c r="EU97" s="65"/>
      <c r="EV97" s="65"/>
      <c r="EW97" s="65"/>
      <c r="EX97" s="65"/>
      <c r="EY97" s="65"/>
      <c r="EZ97" s="65"/>
      <c r="FA97" s="65"/>
      <c r="FB97" s="65"/>
      <c r="FC97" s="65"/>
      <c r="FD97" s="65"/>
      <c r="FE97" s="65"/>
      <c r="FF97" s="65"/>
      <c r="FG97" s="65"/>
      <c r="FH97" s="65"/>
      <c r="FI97" s="65"/>
      <c r="FJ97" s="65"/>
      <c r="FK97" s="65"/>
      <c r="FL97" s="65"/>
      <c r="FM97" s="65"/>
      <c r="FN97" s="65"/>
      <c r="FO97" s="65"/>
      <c r="FP97" s="65"/>
      <c r="FQ97" s="65"/>
      <c r="FR97" s="65"/>
      <c r="FS97" s="65"/>
      <c r="FT97" s="65"/>
      <c r="FU97" s="65"/>
      <c r="FV97" s="65"/>
      <c r="FW97" s="65"/>
      <c r="FX97" s="65"/>
      <c r="FY97" s="65"/>
      <c r="FZ97" s="65"/>
      <c r="GA97" s="65"/>
      <c r="GB97" s="65"/>
      <c r="GC97" s="65"/>
      <c r="GD97" s="65"/>
      <c r="GE97" s="65"/>
      <c r="GF97" s="65"/>
      <c r="GG97" s="65"/>
      <c r="GH97" s="65"/>
      <c r="GI97" s="65"/>
      <c r="GJ97" s="65"/>
      <c r="GK97" s="65"/>
      <c r="GL97" s="65"/>
      <c r="GM97" s="65"/>
      <c r="GN97" s="65"/>
      <c r="GO97" s="65"/>
      <c r="GP97" s="65"/>
      <c r="GQ97" s="65"/>
      <c r="GR97" s="65"/>
      <c r="GS97" s="65"/>
      <c r="GT97" s="65"/>
      <c r="GU97" s="65"/>
      <c r="GV97" s="65"/>
      <c r="GW97" s="65"/>
      <c r="GX97" s="65"/>
      <c r="GY97" s="65"/>
      <c r="GZ97" s="65"/>
      <c r="HA97" s="65"/>
      <c r="HB97" s="65"/>
      <c r="HC97" s="65"/>
      <c r="HD97" s="65"/>
      <c r="HE97" s="65"/>
      <c r="HF97" s="65"/>
      <c r="HG97" s="65"/>
      <c r="HH97" s="65"/>
      <c r="HI97" s="65"/>
      <c r="HJ97" s="65"/>
      <c r="HK97" s="65"/>
      <c r="HL97" s="65"/>
      <c r="HM97" s="65"/>
      <c r="HN97" s="65"/>
      <c r="HO97" s="65"/>
    </row>
    <row r="98" spans="1:223" s="78" customFormat="1" ht="34.5" customHeight="1" x14ac:dyDescent="0.25">
      <c r="A98" s="353">
        <v>2025</v>
      </c>
      <c r="B98" s="354">
        <v>7</v>
      </c>
      <c r="C98" s="353">
        <v>22920</v>
      </c>
      <c r="D98" s="273"/>
      <c r="E98" s="81"/>
      <c r="F98" s="81"/>
      <c r="L98" s="79"/>
      <c r="V98" s="81"/>
      <c r="X98" s="66"/>
      <c r="Z98" s="80"/>
      <c r="AA98" s="371"/>
      <c r="AC98" s="228"/>
      <c r="AD98" s="228">
        <f t="shared" si="1"/>
        <v>0</v>
      </c>
      <c r="AE98" s="303"/>
      <c r="AG98" s="210"/>
      <c r="AH98" s="241"/>
      <c r="AI98" s="66"/>
      <c r="AL98" s="65"/>
      <c r="AM98" s="65"/>
      <c r="AN98" s="65"/>
      <c r="AO98" s="65"/>
      <c r="AP98" s="65"/>
      <c r="AQ98" s="65"/>
      <c r="AR98" s="65"/>
      <c r="AS98" s="65"/>
      <c r="AT98" s="65"/>
      <c r="AU98" s="65"/>
      <c r="AV98" s="65"/>
      <c r="AW98" s="65"/>
      <c r="AX98" s="65"/>
      <c r="AY98" s="65"/>
      <c r="AZ98" s="65"/>
      <c r="BA98" s="65"/>
      <c r="BB98" s="65"/>
      <c r="BC98" s="65"/>
      <c r="BD98" s="65"/>
      <c r="BE98" s="65"/>
      <c r="BF98" s="65"/>
      <c r="BG98" s="65"/>
      <c r="BH98" s="65"/>
      <c r="BI98" s="65"/>
      <c r="BJ98" s="65"/>
      <c r="BK98" s="65"/>
      <c r="BL98" s="65"/>
      <c r="BM98" s="65"/>
      <c r="BN98" s="65"/>
      <c r="BO98" s="65"/>
      <c r="BP98" s="65"/>
      <c r="BQ98" s="65"/>
      <c r="BR98" s="65"/>
      <c r="BS98" s="65"/>
      <c r="BT98" s="65"/>
      <c r="BU98" s="65"/>
      <c r="BV98" s="65"/>
      <c r="BW98" s="65"/>
      <c r="BX98" s="65"/>
      <c r="BY98" s="65"/>
      <c r="BZ98" s="65"/>
      <c r="CA98" s="65"/>
      <c r="CB98" s="65"/>
      <c r="CC98" s="65"/>
      <c r="CD98" s="65"/>
      <c r="CE98" s="65"/>
      <c r="CF98" s="65"/>
      <c r="CG98" s="65"/>
      <c r="CH98" s="65"/>
      <c r="CI98" s="65"/>
      <c r="CJ98" s="65"/>
      <c r="CK98" s="65"/>
      <c r="CL98" s="65"/>
      <c r="CM98" s="65"/>
      <c r="CN98" s="65"/>
      <c r="CO98" s="65"/>
      <c r="CP98" s="65"/>
      <c r="CQ98" s="65"/>
      <c r="CR98" s="65"/>
      <c r="CS98" s="65"/>
      <c r="CT98" s="65"/>
      <c r="CU98" s="65"/>
      <c r="CV98" s="65"/>
      <c r="CW98" s="65"/>
      <c r="CX98" s="65"/>
      <c r="CY98" s="65"/>
      <c r="CZ98" s="65"/>
      <c r="DA98" s="65"/>
      <c r="DB98" s="65"/>
      <c r="DC98" s="65"/>
      <c r="DD98" s="65"/>
      <c r="DE98" s="65"/>
      <c r="DF98" s="65"/>
      <c r="DG98" s="65"/>
      <c r="DH98" s="65"/>
      <c r="DI98" s="65"/>
      <c r="DJ98" s="65"/>
      <c r="DK98" s="65"/>
      <c r="DL98" s="65"/>
      <c r="DM98" s="65"/>
      <c r="DN98" s="65"/>
      <c r="DO98" s="65"/>
      <c r="DP98" s="65"/>
      <c r="DQ98" s="65"/>
      <c r="DR98" s="65"/>
      <c r="DS98" s="65"/>
      <c r="DT98" s="65"/>
      <c r="DU98" s="65"/>
      <c r="DV98" s="65"/>
      <c r="DW98" s="65"/>
      <c r="DX98" s="65"/>
      <c r="DY98" s="65"/>
      <c r="DZ98" s="65"/>
      <c r="EA98" s="65"/>
      <c r="EB98" s="65"/>
      <c r="EC98" s="65"/>
      <c r="ED98" s="65"/>
      <c r="EE98" s="65"/>
      <c r="EF98" s="65"/>
      <c r="EG98" s="65"/>
      <c r="EH98" s="65"/>
      <c r="EI98" s="65"/>
      <c r="EJ98" s="65"/>
      <c r="EK98" s="65"/>
      <c r="EL98" s="65"/>
      <c r="EM98" s="65"/>
      <c r="EN98" s="65"/>
      <c r="EO98" s="65"/>
      <c r="EP98" s="65"/>
      <c r="EQ98" s="65"/>
      <c r="ER98" s="65"/>
      <c r="ES98" s="65"/>
      <c r="ET98" s="65"/>
      <c r="EU98" s="65"/>
      <c r="EV98" s="65"/>
      <c r="EW98" s="65"/>
      <c r="EX98" s="65"/>
      <c r="EY98" s="65"/>
      <c r="EZ98" s="65"/>
      <c r="FA98" s="65"/>
      <c r="FB98" s="65"/>
      <c r="FC98" s="65"/>
      <c r="FD98" s="65"/>
      <c r="FE98" s="65"/>
      <c r="FF98" s="65"/>
      <c r="FG98" s="65"/>
      <c r="FH98" s="65"/>
      <c r="FI98" s="65"/>
      <c r="FJ98" s="65"/>
      <c r="FK98" s="65"/>
      <c r="FL98" s="65"/>
      <c r="FM98" s="65"/>
      <c r="FN98" s="65"/>
      <c r="FO98" s="65"/>
      <c r="FP98" s="65"/>
      <c r="FQ98" s="65"/>
      <c r="FR98" s="65"/>
      <c r="FS98" s="65"/>
      <c r="FT98" s="65"/>
      <c r="FU98" s="65"/>
      <c r="FV98" s="65"/>
      <c r="FW98" s="65"/>
      <c r="FX98" s="65"/>
      <c r="FY98" s="65"/>
      <c r="FZ98" s="65"/>
      <c r="GA98" s="65"/>
      <c r="GB98" s="65"/>
      <c r="GC98" s="65"/>
      <c r="GD98" s="65"/>
      <c r="GE98" s="65"/>
      <c r="GF98" s="65"/>
      <c r="GG98" s="65"/>
      <c r="GH98" s="65"/>
      <c r="GI98" s="65"/>
      <c r="GJ98" s="65"/>
      <c r="GK98" s="65"/>
      <c r="GL98" s="65"/>
      <c r="GM98" s="65"/>
      <c r="GN98" s="65"/>
      <c r="GO98" s="65"/>
      <c r="GP98" s="65"/>
      <c r="GQ98" s="65"/>
      <c r="GR98" s="65"/>
      <c r="GS98" s="65"/>
      <c r="GT98" s="65"/>
      <c r="GU98" s="65"/>
      <c r="GV98" s="65"/>
      <c r="GW98" s="65"/>
      <c r="GX98" s="65"/>
      <c r="GY98" s="65"/>
      <c r="GZ98" s="65"/>
      <c r="HA98" s="65"/>
      <c r="HB98" s="65"/>
      <c r="HC98" s="65"/>
      <c r="HD98" s="65"/>
      <c r="HE98" s="65"/>
      <c r="HF98" s="65"/>
      <c r="HG98" s="65"/>
      <c r="HH98" s="65"/>
      <c r="HI98" s="65"/>
      <c r="HJ98" s="65"/>
      <c r="HK98" s="65"/>
      <c r="HL98" s="65"/>
      <c r="HM98" s="65"/>
      <c r="HN98" s="65"/>
      <c r="HO98" s="65"/>
    </row>
    <row r="99" spans="1:223" s="78" customFormat="1" ht="34.5" customHeight="1" x14ac:dyDescent="0.25">
      <c r="A99" s="353">
        <v>2025</v>
      </c>
      <c r="B99" s="354">
        <v>7</v>
      </c>
      <c r="C99" s="355">
        <v>22921</v>
      </c>
      <c r="D99" s="273"/>
      <c r="E99" s="81"/>
      <c r="F99" s="81"/>
      <c r="J99" s="435"/>
      <c r="L99" s="79"/>
      <c r="V99" s="81"/>
      <c r="X99" s="66"/>
      <c r="Z99" s="80"/>
      <c r="AA99" s="371"/>
      <c r="AC99" s="228"/>
      <c r="AD99" s="228">
        <f t="shared" si="1"/>
        <v>0</v>
      </c>
      <c r="AE99" s="303"/>
      <c r="AG99" s="210"/>
      <c r="AH99" s="241"/>
      <c r="AI99" s="66"/>
      <c r="AL99" s="65"/>
      <c r="AM99" s="65"/>
      <c r="AN99" s="65"/>
      <c r="AO99" s="65"/>
      <c r="AP99" s="65"/>
      <c r="AQ99" s="65"/>
      <c r="AR99" s="65"/>
      <c r="AS99" s="65"/>
      <c r="AT99" s="65"/>
      <c r="AU99" s="65"/>
      <c r="AV99" s="65"/>
      <c r="AW99" s="65"/>
      <c r="AX99" s="65"/>
      <c r="AY99" s="65"/>
      <c r="AZ99" s="65"/>
      <c r="BA99" s="65"/>
      <c r="BB99" s="65"/>
      <c r="BC99" s="65"/>
      <c r="BD99" s="65"/>
      <c r="BE99" s="65"/>
      <c r="BF99" s="65"/>
      <c r="BG99" s="65"/>
      <c r="BH99" s="65"/>
      <c r="BI99" s="65"/>
      <c r="BJ99" s="65"/>
      <c r="BK99" s="65"/>
      <c r="BL99" s="65"/>
      <c r="BM99" s="65"/>
      <c r="BN99" s="65"/>
      <c r="BO99" s="65"/>
      <c r="BP99" s="65"/>
      <c r="BQ99" s="65"/>
      <c r="BR99" s="65"/>
      <c r="BS99" s="65"/>
      <c r="BT99" s="65"/>
      <c r="BU99" s="65"/>
      <c r="BV99" s="65"/>
      <c r="BW99" s="65"/>
      <c r="BX99" s="65"/>
      <c r="BY99" s="65"/>
      <c r="BZ99" s="65"/>
      <c r="CA99" s="65"/>
      <c r="CB99" s="65"/>
      <c r="CC99" s="65"/>
      <c r="CD99" s="65"/>
      <c r="CE99" s="65"/>
      <c r="CF99" s="65"/>
      <c r="CG99" s="65"/>
      <c r="CH99" s="65"/>
      <c r="CI99" s="65"/>
      <c r="CJ99" s="65"/>
      <c r="CK99" s="65"/>
      <c r="CL99" s="65"/>
      <c r="CM99" s="65"/>
      <c r="CN99" s="65"/>
      <c r="CO99" s="65"/>
      <c r="CP99" s="65"/>
      <c r="CQ99" s="65"/>
      <c r="CR99" s="65"/>
      <c r="CS99" s="65"/>
      <c r="CT99" s="65"/>
      <c r="CU99" s="65"/>
      <c r="CV99" s="65"/>
      <c r="CW99" s="65"/>
      <c r="CX99" s="65"/>
      <c r="CY99" s="65"/>
      <c r="CZ99" s="65"/>
      <c r="DA99" s="65"/>
      <c r="DB99" s="65"/>
      <c r="DC99" s="65"/>
      <c r="DD99" s="65"/>
      <c r="DE99" s="65"/>
      <c r="DF99" s="65"/>
      <c r="DG99" s="65"/>
      <c r="DH99" s="65"/>
      <c r="DI99" s="65"/>
      <c r="DJ99" s="65"/>
      <c r="DK99" s="65"/>
      <c r="DL99" s="65"/>
      <c r="DM99" s="65"/>
      <c r="DN99" s="65"/>
      <c r="DO99" s="65"/>
      <c r="DP99" s="65"/>
      <c r="DQ99" s="65"/>
      <c r="DR99" s="65"/>
      <c r="DS99" s="65"/>
      <c r="DT99" s="65"/>
      <c r="DU99" s="65"/>
      <c r="DV99" s="65"/>
      <c r="DW99" s="65"/>
      <c r="DX99" s="65"/>
      <c r="DY99" s="65"/>
      <c r="DZ99" s="65"/>
      <c r="EA99" s="65"/>
      <c r="EB99" s="65"/>
      <c r="EC99" s="65"/>
      <c r="ED99" s="65"/>
      <c r="EE99" s="65"/>
      <c r="EF99" s="65"/>
      <c r="EG99" s="65"/>
      <c r="EH99" s="65"/>
      <c r="EI99" s="65"/>
      <c r="EJ99" s="65"/>
      <c r="EK99" s="65"/>
      <c r="EL99" s="65"/>
      <c r="EM99" s="65"/>
      <c r="EN99" s="65"/>
      <c r="EO99" s="65"/>
      <c r="EP99" s="65"/>
      <c r="EQ99" s="65"/>
      <c r="ER99" s="65"/>
      <c r="ES99" s="65"/>
      <c r="ET99" s="65"/>
      <c r="EU99" s="65"/>
      <c r="EV99" s="65"/>
      <c r="EW99" s="65"/>
      <c r="EX99" s="65"/>
      <c r="EY99" s="65"/>
      <c r="EZ99" s="65"/>
      <c r="FA99" s="65"/>
      <c r="FB99" s="65"/>
      <c r="FC99" s="65"/>
      <c r="FD99" s="65"/>
      <c r="FE99" s="65"/>
      <c r="FF99" s="65"/>
      <c r="FG99" s="65"/>
      <c r="FH99" s="65"/>
      <c r="FI99" s="65"/>
      <c r="FJ99" s="65"/>
      <c r="FK99" s="65"/>
      <c r="FL99" s="65"/>
      <c r="FM99" s="65"/>
      <c r="FN99" s="65"/>
      <c r="FO99" s="65"/>
      <c r="FP99" s="65"/>
      <c r="FQ99" s="65"/>
      <c r="FR99" s="65"/>
      <c r="FS99" s="65"/>
      <c r="FT99" s="65"/>
      <c r="FU99" s="65"/>
      <c r="FV99" s="65"/>
      <c r="FW99" s="65"/>
      <c r="FX99" s="65"/>
      <c r="FY99" s="65"/>
      <c r="FZ99" s="65"/>
      <c r="GA99" s="65"/>
      <c r="GB99" s="65"/>
      <c r="GC99" s="65"/>
      <c r="GD99" s="65"/>
      <c r="GE99" s="65"/>
      <c r="GF99" s="65"/>
      <c r="GG99" s="65"/>
      <c r="GH99" s="65"/>
      <c r="GI99" s="65"/>
      <c r="GJ99" s="65"/>
      <c r="GK99" s="65"/>
      <c r="GL99" s="65"/>
      <c r="GM99" s="65"/>
      <c r="GN99" s="65"/>
      <c r="GO99" s="65"/>
      <c r="GP99" s="65"/>
      <c r="GQ99" s="65"/>
      <c r="GR99" s="65"/>
      <c r="GS99" s="65"/>
      <c r="GT99" s="65"/>
      <c r="GU99" s="65"/>
      <c r="GV99" s="65"/>
      <c r="GW99" s="65"/>
      <c r="GX99" s="65"/>
      <c r="GY99" s="65"/>
      <c r="GZ99" s="65"/>
      <c r="HA99" s="65"/>
      <c r="HB99" s="65"/>
      <c r="HC99" s="65"/>
      <c r="HD99" s="65"/>
      <c r="HE99" s="65"/>
      <c r="HF99" s="65"/>
      <c r="HG99" s="65"/>
      <c r="HH99" s="65"/>
      <c r="HI99" s="65"/>
      <c r="HJ99" s="65"/>
      <c r="HK99" s="65"/>
      <c r="HL99" s="65"/>
      <c r="HM99" s="65"/>
      <c r="HN99" s="65"/>
      <c r="HO99" s="65"/>
    </row>
    <row r="100" spans="1:223" s="78" customFormat="1" ht="34.5" customHeight="1" x14ac:dyDescent="0.25">
      <c r="A100" s="353">
        <v>2025</v>
      </c>
      <c r="B100" s="354">
        <v>7</v>
      </c>
      <c r="C100" s="353">
        <v>22922</v>
      </c>
      <c r="D100" s="273"/>
      <c r="E100" s="81"/>
      <c r="F100" s="81"/>
      <c r="J100" s="435"/>
      <c r="L100" s="79"/>
      <c r="V100" s="81"/>
      <c r="X100" s="66"/>
      <c r="Z100" s="80"/>
      <c r="AA100" s="371"/>
      <c r="AC100" s="228"/>
      <c r="AD100" s="228">
        <f t="shared" si="1"/>
        <v>0</v>
      </c>
      <c r="AE100" s="303"/>
      <c r="AG100" s="210"/>
      <c r="AH100" s="241"/>
      <c r="AI100" s="66"/>
      <c r="AL100" s="65"/>
      <c r="AM100" s="65"/>
      <c r="AN100" s="65"/>
      <c r="AO100" s="65"/>
      <c r="AP100" s="65"/>
      <c r="AQ100" s="65"/>
      <c r="AR100" s="65"/>
      <c r="AS100" s="65"/>
      <c r="AT100" s="65"/>
      <c r="AU100" s="65"/>
      <c r="AV100" s="65"/>
      <c r="AW100" s="65"/>
      <c r="AX100" s="65"/>
      <c r="AY100" s="65"/>
      <c r="AZ100" s="65"/>
      <c r="BA100" s="65"/>
      <c r="BB100" s="65"/>
      <c r="BC100" s="65"/>
      <c r="BD100" s="65"/>
      <c r="BE100" s="65"/>
      <c r="BF100" s="65"/>
      <c r="BG100" s="65"/>
      <c r="BH100" s="65"/>
      <c r="BI100" s="65"/>
      <c r="BJ100" s="65"/>
      <c r="BK100" s="65"/>
      <c r="BL100" s="65"/>
      <c r="BM100" s="65"/>
      <c r="BN100" s="65"/>
      <c r="BO100" s="65"/>
      <c r="BP100" s="65"/>
      <c r="BQ100" s="65"/>
      <c r="BR100" s="65"/>
      <c r="BS100" s="65"/>
      <c r="BT100" s="65"/>
      <c r="BU100" s="65"/>
      <c r="BV100" s="65"/>
      <c r="BW100" s="65"/>
      <c r="BX100" s="65"/>
      <c r="BY100" s="65"/>
      <c r="BZ100" s="65"/>
      <c r="CA100" s="65"/>
      <c r="CB100" s="65"/>
      <c r="CC100" s="65"/>
      <c r="CD100" s="65"/>
      <c r="CE100" s="65"/>
      <c r="CF100" s="65"/>
      <c r="CG100" s="65"/>
      <c r="CH100" s="65"/>
      <c r="CI100" s="65"/>
      <c r="CJ100" s="65"/>
      <c r="CK100" s="65"/>
      <c r="CL100" s="65"/>
      <c r="CM100" s="65"/>
      <c r="CN100" s="65"/>
      <c r="CO100" s="65"/>
      <c r="CP100" s="65"/>
      <c r="CQ100" s="65"/>
      <c r="CR100" s="65"/>
      <c r="CS100" s="65"/>
      <c r="CT100" s="65"/>
      <c r="CU100" s="65"/>
      <c r="CV100" s="65"/>
      <c r="CW100" s="65"/>
      <c r="CX100" s="65"/>
      <c r="CY100" s="65"/>
      <c r="CZ100" s="65"/>
      <c r="DA100" s="65"/>
      <c r="DB100" s="65"/>
      <c r="DC100" s="65"/>
      <c r="DD100" s="65"/>
      <c r="DE100" s="65"/>
      <c r="DF100" s="65"/>
      <c r="DG100" s="65"/>
      <c r="DH100" s="65"/>
      <c r="DI100" s="65"/>
      <c r="DJ100" s="65"/>
      <c r="DK100" s="65"/>
      <c r="DL100" s="65"/>
      <c r="DM100" s="65"/>
      <c r="DN100" s="65"/>
      <c r="DO100" s="65"/>
      <c r="DP100" s="65"/>
      <c r="DQ100" s="65"/>
      <c r="DR100" s="65"/>
      <c r="DS100" s="65"/>
      <c r="DT100" s="65"/>
      <c r="DU100" s="65"/>
      <c r="DV100" s="65"/>
      <c r="DW100" s="65"/>
      <c r="DX100" s="65"/>
      <c r="DY100" s="65"/>
      <c r="DZ100" s="65"/>
      <c r="EA100" s="65"/>
      <c r="EB100" s="65"/>
      <c r="EC100" s="65"/>
      <c r="ED100" s="65"/>
      <c r="EE100" s="65"/>
      <c r="EF100" s="65"/>
      <c r="EG100" s="65"/>
      <c r="EH100" s="65"/>
      <c r="EI100" s="65"/>
      <c r="EJ100" s="65"/>
      <c r="EK100" s="65"/>
      <c r="EL100" s="65"/>
      <c r="EM100" s="65"/>
      <c r="EN100" s="65"/>
      <c r="EO100" s="65"/>
      <c r="EP100" s="65"/>
      <c r="EQ100" s="65"/>
      <c r="ER100" s="65"/>
      <c r="ES100" s="65"/>
      <c r="ET100" s="65"/>
      <c r="EU100" s="65"/>
      <c r="EV100" s="65"/>
      <c r="EW100" s="65"/>
      <c r="EX100" s="65"/>
      <c r="EY100" s="65"/>
      <c r="EZ100" s="65"/>
      <c r="FA100" s="65"/>
      <c r="FB100" s="65"/>
      <c r="FC100" s="65"/>
      <c r="FD100" s="65"/>
      <c r="FE100" s="65"/>
      <c r="FF100" s="65"/>
      <c r="FG100" s="65"/>
      <c r="FH100" s="65"/>
      <c r="FI100" s="65"/>
      <c r="FJ100" s="65"/>
      <c r="FK100" s="65"/>
      <c r="FL100" s="65"/>
      <c r="FM100" s="65"/>
      <c r="FN100" s="65"/>
      <c r="FO100" s="65"/>
      <c r="FP100" s="65"/>
      <c r="FQ100" s="65"/>
      <c r="FR100" s="65"/>
      <c r="FS100" s="65"/>
      <c r="FT100" s="65"/>
      <c r="FU100" s="65"/>
      <c r="FV100" s="65"/>
      <c r="FW100" s="65"/>
      <c r="FX100" s="65"/>
      <c r="FY100" s="65"/>
      <c r="FZ100" s="65"/>
      <c r="GA100" s="65"/>
      <c r="GB100" s="65"/>
      <c r="GC100" s="65"/>
      <c r="GD100" s="65"/>
      <c r="GE100" s="65"/>
      <c r="GF100" s="65"/>
      <c r="GG100" s="65"/>
      <c r="GH100" s="65"/>
      <c r="GI100" s="65"/>
      <c r="GJ100" s="65"/>
      <c r="GK100" s="65"/>
      <c r="GL100" s="65"/>
      <c r="GM100" s="65"/>
      <c r="GN100" s="65"/>
      <c r="GO100" s="65"/>
      <c r="GP100" s="65"/>
      <c r="GQ100" s="65"/>
      <c r="GR100" s="65"/>
      <c r="GS100" s="65"/>
      <c r="GT100" s="65"/>
      <c r="GU100" s="65"/>
      <c r="GV100" s="65"/>
      <c r="GW100" s="65"/>
      <c r="GX100" s="65"/>
      <c r="GY100" s="65"/>
      <c r="GZ100" s="65"/>
      <c r="HA100" s="65"/>
      <c r="HB100" s="65"/>
      <c r="HC100" s="65"/>
      <c r="HD100" s="65"/>
      <c r="HE100" s="65"/>
      <c r="HF100" s="65"/>
      <c r="HG100" s="65"/>
      <c r="HH100" s="65"/>
      <c r="HI100" s="65"/>
      <c r="HJ100" s="65"/>
      <c r="HK100" s="65"/>
      <c r="HL100" s="65"/>
      <c r="HM100" s="65"/>
      <c r="HN100" s="65"/>
      <c r="HO100" s="65"/>
    </row>
    <row r="101" spans="1:223" s="78" customFormat="1" ht="34.5" customHeight="1" x14ac:dyDescent="0.25">
      <c r="A101" s="353">
        <v>2025</v>
      </c>
      <c r="B101" s="354">
        <v>7</v>
      </c>
      <c r="C101" s="353">
        <v>22923</v>
      </c>
      <c r="D101" s="273"/>
      <c r="E101" s="81"/>
      <c r="F101" s="81"/>
      <c r="J101" s="435"/>
      <c r="L101" s="79"/>
      <c r="V101" s="81"/>
      <c r="W101" s="435"/>
      <c r="X101" s="66"/>
      <c r="Z101" s="80"/>
      <c r="AA101" s="371"/>
      <c r="AC101" s="228"/>
      <c r="AD101" s="228">
        <f t="shared" si="1"/>
        <v>0</v>
      </c>
      <c r="AE101" s="303"/>
      <c r="AG101" s="210"/>
      <c r="AH101" s="403"/>
      <c r="AI101" s="66"/>
      <c r="AL101" s="65"/>
      <c r="AM101" s="65"/>
      <c r="AN101" s="65"/>
      <c r="AO101" s="65"/>
      <c r="AP101" s="65"/>
      <c r="AQ101" s="65"/>
      <c r="AR101" s="65"/>
      <c r="AS101" s="65"/>
      <c r="AT101" s="65"/>
      <c r="AU101" s="65"/>
      <c r="AV101" s="65"/>
      <c r="AW101" s="65"/>
      <c r="AX101" s="65"/>
      <c r="AY101" s="65"/>
      <c r="AZ101" s="65"/>
      <c r="BA101" s="65"/>
      <c r="BB101" s="65"/>
      <c r="BC101" s="65"/>
      <c r="BD101" s="65"/>
      <c r="BE101" s="65"/>
      <c r="BF101" s="65"/>
      <c r="BG101" s="65"/>
      <c r="BH101" s="65"/>
      <c r="BI101" s="65"/>
      <c r="BJ101" s="65"/>
      <c r="BK101" s="65"/>
      <c r="BL101" s="65"/>
      <c r="BM101" s="65"/>
      <c r="BN101" s="65"/>
      <c r="BO101" s="65"/>
      <c r="BP101" s="65"/>
      <c r="BQ101" s="65"/>
      <c r="BR101" s="65"/>
      <c r="BS101" s="65"/>
      <c r="BT101" s="65"/>
      <c r="BU101" s="65"/>
      <c r="BV101" s="65"/>
      <c r="BW101" s="65"/>
      <c r="BX101" s="65"/>
      <c r="BY101" s="65"/>
      <c r="BZ101" s="65"/>
      <c r="CA101" s="65"/>
      <c r="CB101" s="65"/>
      <c r="CC101" s="65"/>
      <c r="CD101" s="65"/>
      <c r="CE101" s="65"/>
      <c r="CF101" s="65"/>
      <c r="CG101" s="65"/>
      <c r="CH101" s="65"/>
      <c r="CI101" s="65"/>
      <c r="CJ101" s="65"/>
      <c r="CK101" s="65"/>
      <c r="CL101" s="65"/>
      <c r="CM101" s="65"/>
      <c r="CN101" s="65"/>
      <c r="CO101" s="65"/>
      <c r="CP101" s="65"/>
      <c r="CQ101" s="65"/>
      <c r="CR101" s="65"/>
      <c r="CS101" s="65"/>
      <c r="CT101" s="65"/>
      <c r="CU101" s="65"/>
      <c r="CV101" s="65"/>
      <c r="CW101" s="65"/>
      <c r="CX101" s="65"/>
      <c r="CY101" s="65"/>
      <c r="CZ101" s="65"/>
      <c r="DA101" s="65"/>
      <c r="DB101" s="65"/>
      <c r="DC101" s="65"/>
      <c r="DD101" s="65"/>
      <c r="DE101" s="65"/>
      <c r="DF101" s="65"/>
      <c r="DG101" s="65"/>
      <c r="DH101" s="65"/>
      <c r="DI101" s="65"/>
      <c r="DJ101" s="65"/>
      <c r="DK101" s="65"/>
      <c r="DL101" s="65"/>
      <c r="DM101" s="65"/>
      <c r="DN101" s="65"/>
      <c r="DO101" s="65"/>
      <c r="DP101" s="65"/>
      <c r="DQ101" s="65"/>
      <c r="DR101" s="65"/>
      <c r="DS101" s="65"/>
      <c r="DT101" s="65"/>
      <c r="DU101" s="65"/>
      <c r="DV101" s="65"/>
      <c r="DW101" s="65"/>
      <c r="DX101" s="65"/>
      <c r="DY101" s="65"/>
      <c r="DZ101" s="65"/>
      <c r="EA101" s="65"/>
      <c r="EB101" s="65"/>
      <c r="EC101" s="65"/>
      <c r="ED101" s="65"/>
      <c r="EE101" s="65"/>
      <c r="EF101" s="65"/>
      <c r="EG101" s="65"/>
      <c r="EH101" s="65"/>
      <c r="EI101" s="65"/>
      <c r="EJ101" s="65"/>
      <c r="EK101" s="65"/>
      <c r="EL101" s="65"/>
      <c r="EM101" s="65"/>
      <c r="EN101" s="65"/>
      <c r="EO101" s="65"/>
      <c r="EP101" s="65"/>
      <c r="EQ101" s="65"/>
      <c r="ER101" s="65"/>
      <c r="ES101" s="65"/>
      <c r="ET101" s="65"/>
      <c r="EU101" s="65"/>
      <c r="EV101" s="65"/>
      <c r="EW101" s="65"/>
      <c r="EX101" s="65"/>
      <c r="EY101" s="65"/>
      <c r="EZ101" s="65"/>
      <c r="FA101" s="65"/>
      <c r="FB101" s="65"/>
      <c r="FC101" s="65"/>
      <c r="FD101" s="65"/>
      <c r="FE101" s="65"/>
      <c r="FF101" s="65"/>
      <c r="FG101" s="65"/>
      <c r="FH101" s="65"/>
      <c r="FI101" s="65"/>
      <c r="FJ101" s="65"/>
      <c r="FK101" s="65"/>
      <c r="FL101" s="65"/>
      <c r="FM101" s="65"/>
      <c r="FN101" s="65"/>
      <c r="FO101" s="65"/>
      <c r="FP101" s="65"/>
      <c r="FQ101" s="65"/>
      <c r="FR101" s="65"/>
      <c r="FS101" s="65"/>
      <c r="FT101" s="65"/>
      <c r="FU101" s="65"/>
      <c r="FV101" s="65"/>
      <c r="FW101" s="65"/>
      <c r="FX101" s="65"/>
      <c r="FY101" s="65"/>
      <c r="FZ101" s="65"/>
      <c r="GA101" s="65"/>
      <c r="GB101" s="65"/>
      <c r="GC101" s="65"/>
      <c r="GD101" s="65"/>
      <c r="GE101" s="65"/>
      <c r="GF101" s="65"/>
      <c r="GG101" s="65"/>
      <c r="GH101" s="65"/>
      <c r="GI101" s="65"/>
      <c r="GJ101" s="65"/>
      <c r="GK101" s="65"/>
      <c r="GL101" s="65"/>
      <c r="GM101" s="65"/>
      <c r="GN101" s="65"/>
      <c r="GO101" s="65"/>
      <c r="GP101" s="65"/>
      <c r="GQ101" s="65"/>
      <c r="GR101" s="65"/>
      <c r="GS101" s="65"/>
      <c r="GT101" s="65"/>
      <c r="GU101" s="65"/>
      <c r="GV101" s="65"/>
      <c r="GW101" s="65"/>
      <c r="GX101" s="65"/>
      <c r="GY101" s="65"/>
      <c r="GZ101" s="65"/>
      <c r="HA101" s="65"/>
      <c r="HB101" s="65"/>
      <c r="HC101" s="65"/>
      <c r="HD101" s="65"/>
      <c r="HE101" s="65"/>
      <c r="HF101" s="65"/>
      <c r="HG101" s="65"/>
      <c r="HH101" s="65"/>
      <c r="HI101" s="65"/>
      <c r="HJ101" s="65"/>
      <c r="HK101" s="65"/>
      <c r="HL101" s="65"/>
      <c r="HM101" s="65"/>
      <c r="HN101" s="65"/>
      <c r="HO101" s="65"/>
    </row>
    <row r="102" spans="1:223" s="78" customFormat="1" ht="34.5" customHeight="1" x14ac:dyDescent="0.25">
      <c r="A102" s="353">
        <v>2025</v>
      </c>
      <c r="B102" s="354">
        <v>7</v>
      </c>
      <c r="C102" s="355">
        <v>22924</v>
      </c>
      <c r="D102" s="273"/>
      <c r="E102" s="81"/>
      <c r="F102" s="81"/>
      <c r="L102" s="79"/>
      <c r="V102" s="81"/>
      <c r="X102" s="66"/>
      <c r="Z102" s="80"/>
      <c r="AA102" s="371"/>
      <c r="AC102" s="228"/>
      <c r="AD102" s="228">
        <f t="shared" si="1"/>
        <v>0</v>
      </c>
      <c r="AE102" s="303"/>
      <c r="AG102" s="210"/>
      <c r="AH102" s="241"/>
      <c r="AI102" s="66"/>
      <c r="AL102" s="65"/>
      <c r="AM102" s="65"/>
      <c r="AN102" s="65"/>
      <c r="AO102" s="65"/>
      <c r="AP102" s="65"/>
      <c r="AQ102" s="65"/>
      <c r="AR102" s="65"/>
      <c r="AS102" s="65"/>
      <c r="AT102" s="65"/>
      <c r="AU102" s="65"/>
      <c r="AV102" s="65"/>
      <c r="AW102" s="65"/>
      <c r="AX102" s="65"/>
      <c r="AY102" s="65"/>
      <c r="AZ102" s="65"/>
      <c r="BA102" s="65"/>
      <c r="BB102" s="65"/>
      <c r="BC102" s="65"/>
      <c r="BD102" s="65"/>
      <c r="BE102" s="65"/>
      <c r="BF102" s="65"/>
      <c r="BG102" s="65"/>
      <c r="BH102" s="65"/>
      <c r="BI102" s="65"/>
      <c r="BJ102" s="65"/>
      <c r="BK102" s="65"/>
      <c r="BL102" s="65"/>
      <c r="BM102" s="65"/>
      <c r="BN102" s="65"/>
      <c r="BO102" s="65"/>
      <c r="BP102" s="65"/>
      <c r="BQ102" s="65"/>
      <c r="BR102" s="65"/>
      <c r="BS102" s="65"/>
      <c r="BT102" s="65"/>
      <c r="BU102" s="65"/>
      <c r="BV102" s="65"/>
      <c r="BW102" s="65"/>
      <c r="BX102" s="65"/>
      <c r="BY102" s="65"/>
      <c r="BZ102" s="65"/>
      <c r="CA102" s="65"/>
      <c r="CB102" s="65"/>
      <c r="CC102" s="65"/>
      <c r="CD102" s="65"/>
      <c r="CE102" s="65"/>
      <c r="CF102" s="65"/>
      <c r="CG102" s="65"/>
      <c r="CH102" s="65"/>
      <c r="CI102" s="65"/>
      <c r="CJ102" s="65"/>
      <c r="CK102" s="65"/>
      <c r="CL102" s="65"/>
      <c r="CM102" s="65"/>
      <c r="CN102" s="65"/>
      <c r="CO102" s="65"/>
      <c r="CP102" s="65"/>
      <c r="CQ102" s="65"/>
      <c r="CR102" s="65"/>
      <c r="CS102" s="65"/>
      <c r="CT102" s="65"/>
      <c r="CU102" s="65"/>
      <c r="CV102" s="65"/>
      <c r="CW102" s="65"/>
      <c r="CX102" s="65"/>
      <c r="CY102" s="65"/>
      <c r="CZ102" s="65"/>
      <c r="DA102" s="65"/>
      <c r="DB102" s="65"/>
      <c r="DC102" s="65"/>
      <c r="DD102" s="65"/>
      <c r="DE102" s="65"/>
      <c r="DF102" s="65"/>
      <c r="DG102" s="65"/>
      <c r="DH102" s="65"/>
      <c r="DI102" s="65"/>
      <c r="DJ102" s="65"/>
      <c r="DK102" s="65"/>
      <c r="DL102" s="65"/>
      <c r="DM102" s="65"/>
      <c r="DN102" s="65"/>
      <c r="DO102" s="65"/>
      <c r="DP102" s="65"/>
      <c r="DQ102" s="65"/>
      <c r="DR102" s="65"/>
      <c r="DS102" s="65"/>
      <c r="DT102" s="65"/>
      <c r="DU102" s="65"/>
      <c r="DV102" s="65"/>
      <c r="DW102" s="65"/>
      <c r="DX102" s="65"/>
      <c r="DY102" s="65"/>
      <c r="DZ102" s="65"/>
      <c r="EA102" s="65"/>
      <c r="EB102" s="65"/>
      <c r="EC102" s="65"/>
      <c r="ED102" s="65"/>
      <c r="EE102" s="65"/>
      <c r="EF102" s="65"/>
      <c r="EG102" s="65"/>
      <c r="EH102" s="65"/>
      <c r="EI102" s="65"/>
      <c r="EJ102" s="65"/>
      <c r="EK102" s="65"/>
      <c r="EL102" s="65"/>
      <c r="EM102" s="65"/>
      <c r="EN102" s="65"/>
      <c r="EO102" s="65"/>
      <c r="EP102" s="65"/>
      <c r="EQ102" s="65"/>
      <c r="ER102" s="65"/>
      <c r="ES102" s="65"/>
      <c r="ET102" s="65"/>
      <c r="EU102" s="65"/>
      <c r="EV102" s="65"/>
      <c r="EW102" s="65"/>
      <c r="EX102" s="65"/>
      <c r="EY102" s="65"/>
      <c r="EZ102" s="65"/>
      <c r="FA102" s="65"/>
      <c r="FB102" s="65"/>
      <c r="FC102" s="65"/>
      <c r="FD102" s="65"/>
      <c r="FE102" s="65"/>
      <c r="FF102" s="65"/>
      <c r="FG102" s="65"/>
      <c r="FH102" s="65"/>
      <c r="FI102" s="65"/>
      <c r="FJ102" s="65"/>
      <c r="FK102" s="65"/>
      <c r="FL102" s="65"/>
      <c r="FM102" s="65"/>
      <c r="FN102" s="65"/>
      <c r="FO102" s="65"/>
      <c r="FP102" s="65"/>
      <c r="FQ102" s="65"/>
      <c r="FR102" s="65"/>
      <c r="FS102" s="65"/>
      <c r="FT102" s="65"/>
      <c r="FU102" s="65"/>
      <c r="FV102" s="65"/>
      <c r="FW102" s="65"/>
      <c r="FX102" s="65"/>
      <c r="FY102" s="65"/>
      <c r="FZ102" s="65"/>
      <c r="GA102" s="65"/>
      <c r="GB102" s="65"/>
      <c r="GC102" s="65"/>
      <c r="GD102" s="65"/>
      <c r="GE102" s="65"/>
      <c r="GF102" s="65"/>
      <c r="GG102" s="65"/>
      <c r="GH102" s="65"/>
      <c r="GI102" s="65"/>
      <c r="GJ102" s="65"/>
      <c r="GK102" s="65"/>
      <c r="GL102" s="65"/>
      <c r="GM102" s="65"/>
      <c r="GN102" s="65"/>
      <c r="GO102" s="65"/>
      <c r="GP102" s="65"/>
      <c r="GQ102" s="65"/>
      <c r="GR102" s="65"/>
      <c r="GS102" s="65"/>
      <c r="GT102" s="65"/>
      <c r="GU102" s="65"/>
      <c r="GV102" s="65"/>
      <c r="GW102" s="65"/>
      <c r="GX102" s="65"/>
      <c r="GY102" s="65"/>
      <c r="GZ102" s="65"/>
      <c r="HA102" s="65"/>
      <c r="HB102" s="65"/>
      <c r="HC102" s="65"/>
      <c r="HD102" s="65"/>
      <c r="HE102" s="65"/>
      <c r="HF102" s="65"/>
      <c r="HG102" s="65"/>
      <c r="HH102" s="65"/>
      <c r="HI102" s="65"/>
      <c r="HJ102" s="65"/>
      <c r="HK102" s="65"/>
      <c r="HL102" s="65"/>
      <c r="HM102" s="65"/>
      <c r="HN102" s="65"/>
      <c r="HO102" s="65"/>
    </row>
    <row r="103" spans="1:223" s="78" customFormat="1" ht="34.5" customHeight="1" x14ac:dyDescent="0.25">
      <c r="A103" s="353">
        <v>2025</v>
      </c>
      <c r="B103" s="354">
        <v>7</v>
      </c>
      <c r="C103" s="353">
        <v>22925</v>
      </c>
      <c r="D103" s="273"/>
      <c r="E103" s="81"/>
      <c r="F103" s="81"/>
      <c r="J103" s="435"/>
      <c r="L103" s="79"/>
      <c r="V103" s="81"/>
      <c r="X103" s="66"/>
      <c r="Z103" s="80"/>
      <c r="AA103" s="371"/>
      <c r="AC103" s="228"/>
      <c r="AD103" s="228">
        <f t="shared" si="1"/>
        <v>0</v>
      </c>
      <c r="AE103" s="303"/>
      <c r="AG103" s="210"/>
      <c r="AH103" s="241"/>
      <c r="AI103" s="66"/>
      <c r="AL103" s="65"/>
      <c r="AM103" s="65"/>
      <c r="AN103" s="65"/>
      <c r="AO103" s="65"/>
      <c r="AP103" s="65"/>
      <c r="AQ103" s="65"/>
      <c r="AR103" s="65"/>
      <c r="AS103" s="65"/>
      <c r="AT103" s="65"/>
      <c r="AU103" s="65"/>
      <c r="AV103" s="65"/>
      <c r="AW103" s="65"/>
      <c r="AX103" s="65"/>
      <c r="AY103" s="65"/>
      <c r="AZ103" s="65"/>
      <c r="BA103" s="65"/>
      <c r="BB103" s="65"/>
      <c r="BC103" s="65"/>
      <c r="BD103" s="65"/>
      <c r="BE103" s="65"/>
      <c r="BF103" s="65"/>
      <c r="BG103" s="65"/>
      <c r="BH103" s="65"/>
      <c r="BI103" s="65"/>
      <c r="BJ103" s="65"/>
      <c r="BK103" s="65"/>
      <c r="BL103" s="65"/>
      <c r="BM103" s="65"/>
      <c r="BN103" s="65"/>
      <c r="BO103" s="65"/>
      <c r="BP103" s="65"/>
      <c r="BQ103" s="65"/>
      <c r="BR103" s="65"/>
      <c r="BS103" s="65"/>
      <c r="BT103" s="65"/>
      <c r="BU103" s="65"/>
      <c r="BV103" s="65"/>
      <c r="BW103" s="65"/>
      <c r="BX103" s="65"/>
      <c r="BY103" s="65"/>
      <c r="BZ103" s="65"/>
      <c r="CA103" s="65"/>
      <c r="CB103" s="65"/>
      <c r="CC103" s="65"/>
      <c r="CD103" s="65"/>
      <c r="CE103" s="65"/>
      <c r="CF103" s="65"/>
      <c r="CG103" s="65"/>
      <c r="CH103" s="65"/>
      <c r="CI103" s="65"/>
      <c r="CJ103" s="65"/>
      <c r="CK103" s="65"/>
      <c r="CL103" s="65"/>
      <c r="CM103" s="65"/>
      <c r="CN103" s="65"/>
      <c r="CO103" s="65"/>
      <c r="CP103" s="65"/>
      <c r="CQ103" s="65"/>
      <c r="CR103" s="65"/>
      <c r="CS103" s="65"/>
      <c r="CT103" s="65"/>
      <c r="CU103" s="65"/>
      <c r="CV103" s="65"/>
      <c r="CW103" s="65"/>
      <c r="CX103" s="65"/>
      <c r="CY103" s="65"/>
      <c r="CZ103" s="65"/>
      <c r="DA103" s="65"/>
      <c r="DB103" s="65"/>
      <c r="DC103" s="65"/>
      <c r="DD103" s="65"/>
      <c r="DE103" s="65"/>
      <c r="DF103" s="65"/>
      <c r="DG103" s="65"/>
      <c r="DH103" s="65"/>
      <c r="DI103" s="65"/>
      <c r="DJ103" s="65"/>
      <c r="DK103" s="65"/>
      <c r="DL103" s="65"/>
      <c r="DM103" s="65"/>
      <c r="DN103" s="65"/>
      <c r="DO103" s="65"/>
      <c r="DP103" s="65"/>
      <c r="DQ103" s="65"/>
      <c r="DR103" s="65"/>
      <c r="DS103" s="65"/>
      <c r="DT103" s="65"/>
      <c r="DU103" s="65"/>
      <c r="DV103" s="65"/>
      <c r="DW103" s="65"/>
      <c r="DX103" s="65"/>
      <c r="DY103" s="65"/>
      <c r="DZ103" s="65"/>
      <c r="EA103" s="65"/>
      <c r="EB103" s="65"/>
      <c r="EC103" s="65"/>
      <c r="ED103" s="65"/>
      <c r="EE103" s="65"/>
      <c r="EF103" s="65"/>
      <c r="EG103" s="65"/>
      <c r="EH103" s="65"/>
      <c r="EI103" s="65"/>
      <c r="EJ103" s="65"/>
      <c r="EK103" s="65"/>
      <c r="EL103" s="65"/>
      <c r="EM103" s="65"/>
      <c r="EN103" s="65"/>
      <c r="EO103" s="65"/>
      <c r="EP103" s="65"/>
      <c r="EQ103" s="65"/>
      <c r="ER103" s="65"/>
      <c r="ES103" s="65"/>
      <c r="ET103" s="65"/>
      <c r="EU103" s="65"/>
      <c r="EV103" s="65"/>
      <c r="EW103" s="65"/>
      <c r="EX103" s="65"/>
      <c r="EY103" s="65"/>
      <c r="EZ103" s="65"/>
      <c r="FA103" s="65"/>
      <c r="FB103" s="65"/>
      <c r="FC103" s="65"/>
      <c r="FD103" s="65"/>
      <c r="FE103" s="65"/>
      <c r="FF103" s="65"/>
      <c r="FG103" s="65"/>
      <c r="FH103" s="65"/>
      <c r="FI103" s="65"/>
      <c r="FJ103" s="65"/>
      <c r="FK103" s="65"/>
      <c r="FL103" s="65"/>
      <c r="FM103" s="65"/>
      <c r="FN103" s="65"/>
      <c r="FO103" s="65"/>
      <c r="FP103" s="65"/>
      <c r="FQ103" s="65"/>
      <c r="FR103" s="65"/>
      <c r="FS103" s="65"/>
      <c r="FT103" s="65"/>
      <c r="FU103" s="65"/>
      <c r="FV103" s="65"/>
      <c r="FW103" s="65"/>
      <c r="FX103" s="65"/>
      <c r="FY103" s="65"/>
      <c r="FZ103" s="65"/>
      <c r="GA103" s="65"/>
      <c r="GB103" s="65"/>
      <c r="GC103" s="65"/>
      <c r="GD103" s="65"/>
      <c r="GE103" s="65"/>
      <c r="GF103" s="65"/>
      <c r="GG103" s="65"/>
      <c r="GH103" s="65"/>
      <c r="GI103" s="65"/>
      <c r="GJ103" s="65"/>
      <c r="GK103" s="65"/>
      <c r="GL103" s="65"/>
      <c r="GM103" s="65"/>
      <c r="GN103" s="65"/>
      <c r="GO103" s="65"/>
      <c r="GP103" s="65"/>
      <c r="GQ103" s="65"/>
      <c r="GR103" s="65"/>
      <c r="GS103" s="65"/>
      <c r="GT103" s="65"/>
      <c r="GU103" s="65"/>
      <c r="GV103" s="65"/>
      <c r="GW103" s="65"/>
      <c r="GX103" s="65"/>
      <c r="GY103" s="65"/>
      <c r="GZ103" s="65"/>
      <c r="HA103" s="65"/>
      <c r="HB103" s="65"/>
      <c r="HC103" s="65"/>
      <c r="HD103" s="65"/>
      <c r="HE103" s="65"/>
      <c r="HF103" s="65"/>
      <c r="HG103" s="65"/>
      <c r="HH103" s="65"/>
      <c r="HI103" s="65"/>
      <c r="HJ103" s="65"/>
      <c r="HK103" s="65"/>
      <c r="HL103" s="65"/>
      <c r="HM103" s="65"/>
      <c r="HN103" s="65"/>
      <c r="HO103" s="65"/>
    </row>
    <row r="104" spans="1:223" s="78" customFormat="1" ht="34.5" customHeight="1" x14ac:dyDescent="0.25">
      <c r="A104" s="353">
        <v>2025</v>
      </c>
      <c r="B104" s="354">
        <v>7</v>
      </c>
      <c r="C104" s="353">
        <v>22926</v>
      </c>
      <c r="D104" s="273"/>
      <c r="E104" s="81"/>
      <c r="F104" s="81"/>
      <c r="J104" s="435"/>
      <c r="L104" s="79"/>
      <c r="V104" s="81"/>
      <c r="X104" s="66"/>
      <c r="Z104" s="80"/>
      <c r="AA104" s="371"/>
      <c r="AC104" s="228"/>
      <c r="AD104" s="228">
        <f t="shared" si="1"/>
        <v>0</v>
      </c>
      <c r="AE104" s="303"/>
      <c r="AG104" s="210"/>
      <c r="AH104" s="403"/>
      <c r="AI104" s="66"/>
      <c r="AL104" s="65"/>
      <c r="AM104" s="65"/>
      <c r="AN104" s="65"/>
      <c r="AO104" s="65"/>
      <c r="AP104" s="65"/>
      <c r="AQ104" s="65"/>
      <c r="AR104" s="65"/>
      <c r="AS104" s="65"/>
      <c r="AT104" s="65"/>
      <c r="AU104" s="65"/>
      <c r="AV104" s="65"/>
      <c r="AW104" s="65"/>
      <c r="AX104" s="65"/>
      <c r="AY104" s="65"/>
      <c r="AZ104" s="65"/>
      <c r="BA104" s="65"/>
      <c r="BB104" s="65"/>
      <c r="BC104" s="65"/>
      <c r="BD104" s="65"/>
      <c r="BE104" s="65"/>
      <c r="BF104" s="65"/>
      <c r="BG104" s="65"/>
      <c r="BH104" s="65"/>
      <c r="BI104" s="65"/>
      <c r="BJ104" s="65"/>
      <c r="BK104" s="65"/>
      <c r="BL104" s="65"/>
      <c r="BM104" s="65"/>
      <c r="BN104" s="65"/>
      <c r="BO104" s="65"/>
      <c r="BP104" s="65"/>
      <c r="BQ104" s="65"/>
      <c r="BR104" s="65"/>
      <c r="BS104" s="65"/>
      <c r="BT104" s="65"/>
      <c r="BU104" s="65"/>
      <c r="BV104" s="65"/>
      <c r="BW104" s="65"/>
      <c r="BX104" s="65"/>
      <c r="BY104" s="65"/>
      <c r="BZ104" s="65"/>
      <c r="CA104" s="65"/>
      <c r="CB104" s="65"/>
      <c r="CC104" s="65"/>
      <c r="CD104" s="65"/>
      <c r="CE104" s="65"/>
      <c r="CF104" s="65"/>
      <c r="CG104" s="65"/>
      <c r="CH104" s="65"/>
      <c r="CI104" s="65"/>
      <c r="CJ104" s="65"/>
      <c r="CK104" s="65"/>
      <c r="CL104" s="65"/>
      <c r="CM104" s="65"/>
      <c r="CN104" s="65"/>
      <c r="CO104" s="65"/>
      <c r="CP104" s="65"/>
      <c r="CQ104" s="65"/>
      <c r="CR104" s="65"/>
      <c r="CS104" s="65"/>
      <c r="CT104" s="65"/>
      <c r="CU104" s="65"/>
      <c r="CV104" s="65"/>
      <c r="CW104" s="65"/>
      <c r="CX104" s="65"/>
      <c r="CY104" s="65"/>
      <c r="CZ104" s="65"/>
      <c r="DA104" s="65"/>
      <c r="DB104" s="65"/>
      <c r="DC104" s="65"/>
      <c r="DD104" s="65"/>
      <c r="DE104" s="65"/>
      <c r="DF104" s="65"/>
      <c r="DG104" s="65"/>
      <c r="DH104" s="65"/>
      <c r="DI104" s="65"/>
      <c r="DJ104" s="65"/>
      <c r="DK104" s="65"/>
      <c r="DL104" s="65"/>
      <c r="DM104" s="65"/>
      <c r="DN104" s="65"/>
      <c r="DO104" s="65"/>
      <c r="DP104" s="65"/>
      <c r="DQ104" s="65"/>
      <c r="DR104" s="65"/>
      <c r="DS104" s="65"/>
      <c r="DT104" s="65"/>
      <c r="DU104" s="65"/>
      <c r="DV104" s="65"/>
      <c r="DW104" s="65"/>
      <c r="DX104" s="65"/>
      <c r="DY104" s="65"/>
      <c r="DZ104" s="65"/>
      <c r="EA104" s="65"/>
      <c r="EB104" s="65"/>
      <c r="EC104" s="65"/>
      <c r="ED104" s="65"/>
      <c r="EE104" s="65"/>
      <c r="EF104" s="65"/>
      <c r="EG104" s="65"/>
      <c r="EH104" s="65"/>
      <c r="EI104" s="65"/>
      <c r="EJ104" s="65"/>
      <c r="EK104" s="65"/>
      <c r="EL104" s="65"/>
      <c r="EM104" s="65"/>
      <c r="EN104" s="65"/>
      <c r="EO104" s="65"/>
      <c r="EP104" s="65"/>
      <c r="EQ104" s="65"/>
      <c r="ER104" s="65"/>
      <c r="ES104" s="65"/>
      <c r="ET104" s="65"/>
      <c r="EU104" s="65"/>
      <c r="EV104" s="65"/>
      <c r="EW104" s="65"/>
      <c r="EX104" s="65"/>
      <c r="EY104" s="65"/>
      <c r="EZ104" s="65"/>
      <c r="FA104" s="65"/>
      <c r="FB104" s="65"/>
      <c r="FC104" s="65"/>
      <c r="FD104" s="65"/>
      <c r="FE104" s="65"/>
      <c r="FF104" s="65"/>
      <c r="FG104" s="65"/>
      <c r="FH104" s="65"/>
      <c r="FI104" s="65"/>
      <c r="FJ104" s="65"/>
      <c r="FK104" s="65"/>
      <c r="FL104" s="65"/>
      <c r="FM104" s="65"/>
      <c r="FN104" s="65"/>
      <c r="FO104" s="65"/>
      <c r="FP104" s="65"/>
      <c r="FQ104" s="65"/>
      <c r="FR104" s="65"/>
      <c r="FS104" s="65"/>
      <c r="FT104" s="65"/>
      <c r="FU104" s="65"/>
      <c r="FV104" s="65"/>
      <c r="FW104" s="65"/>
      <c r="FX104" s="65"/>
      <c r="FY104" s="65"/>
      <c r="FZ104" s="65"/>
      <c r="GA104" s="65"/>
      <c r="GB104" s="65"/>
      <c r="GC104" s="65"/>
      <c r="GD104" s="65"/>
      <c r="GE104" s="65"/>
      <c r="GF104" s="65"/>
      <c r="GG104" s="65"/>
      <c r="GH104" s="65"/>
      <c r="GI104" s="65"/>
      <c r="GJ104" s="65"/>
      <c r="GK104" s="65"/>
      <c r="GL104" s="65"/>
      <c r="GM104" s="65"/>
      <c r="GN104" s="65"/>
      <c r="GO104" s="65"/>
      <c r="GP104" s="65"/>
      <c r="GQ104" s="65"/>
      <c r="GR104" s="65"/>
      <c r="GS104" s="65"/>
      <c r="GT104" s="65"/>
      <c r="GU104" s="65"/>
      <c r="GV104" s="65"/>
      <c r="GW104" s="65"/>
      <c r="GX104" s="65"/>
      <c r="GY104" s="65"/>
      <c r="GZ104" s="65"/>
      <c r="HA104" s="65"/>
      <c r="HB104" s="65"/>
      <c r="HC104" s="65"/>
      <c r="HD104" s="65"/>
      <c r="HE104" s="65"/>
      <c r="HF104" s="65"/>
      <c r="HG104" s="65"/>
      <c r="HH104" s="65"/>
      <c r="HI104" s="65"/>
      <c r="HJ104" s="65"/>
      <c r="HK104" s="65"/>
      <c r="HL104" s="65"/>
      <c r="HM104" s="65"/>
      <c r="HN104" s="65"/>
      <c r="HO104" s="65"/>
    </row>
    <row r="105" spans="1:223" s="78" customFormat="1" ht="34.5" customHeight="1" x14ac:dyDescent="0.25">
      <c r="A105" s="353">
        <v>2025</v>
      </c>
      <c r="B105" s="354">
        <v>7</v>
      </c>
      <c r="C105" s="355">
        <v>22927</v>
      </c>
      <c r="D105" s="273"/>
      <c r="E105" s="81"/>
      <c r="F105" s="81"/>
      <c r="L105" s="79"/>
      <c r="V105" s="81"/>
      <c r="X105" s="66"/>
      <c r="Z105" s="80"/>
      <c r="AA105" s="371"/>
      <c r="AC105" s="228"/>
      <c r="AD105" s="228">
        <f t="shared" si="1"/>
        <v>0</v>
      </c>
      <c r="AE105" s="303"/>
      <c r="AG105" s="210"/>
      <c r="AH105" s="241"/>
      <c r="AI105" s="66"/>
      <c r="AL105" s="65"/>
      <c r="AM105" s="65"/>
      <c r="AN105" s="65"/>
      <c r="AO105" s="65"/>
      <c r="AP105" s="65"/>
      <c r="AQ105" s="65"/>
      <c r="AR105" s="65"/>
      <c r="AS105" s="65"/>
      <c r="AT105" s="65"/>
      <c r="AU105" s="65"/>
      <c r="AV105" s="65"/>
      <c r="AW105" s="65"/>
      <c r="AX105" s="65"/>
      <c r="AY105" s="65"/>
      <c r="AZ105" s="65"/>
      <c r="BA105" s="65"/>
      <c r="BB105" s="65"/>
      <c r="BC105" s="65"/>
      <c r="BD105" s="65"/>
      <c r="BE105" s="65"/>
      <c r="BF105" s="65"/>
      <c r="BG105" s="65"/>
      <c r="BH105" s="65"/>
      <c r="BI105" s="65"/>
      <c r="BJ105" s="65"/>
      <c r="BK105" s="65"/>
      <c r="BL105" s="65"/>
      <c r="BM105" s="65"/>
      <c r="BN105" s="65"/>
      <c r="BO105" s="65"/>
      <c r="BP105" s="65"/>
      <c r="BQ105" s="65"/>
      <c r="BR105" s="65"/>
      <c r="BS105" s="65"/>
      <c r="BT105" s="65"/>
      <c r="BU105" s="65"/>
      <c r="BV105" s="65"/>
      <c r="BW105" s="65"/>
      <c r="BX105" s="65"/>
      <c r="BY105" s="65"/>
      <c r="BZ105" s="65"/>
      <c r="CA105" s="65"/>
      <c r="CB105" s="65"/>
      <c r="CC105" s="65"/>
      <c r="CD105" s="65"/>
      <c r="CE105" s="65"/>
      <c r="CF105" s="65"/>
      <c r="CG105" s="65"/>
      <c r="CH105" s="65"/>
      <c r="CI105" s="65"/>
      <c r="CJ105" s="65"/>
      <c r="CK105" s="65"/>
      <c r="CL105" s="65"/>
      <c r="CM105" s="65"/>
      <c r="CN105" s="65"/>
      <c r="CO105" s="65"/>
      <c r="CP105" s="65"/>
      <c r="CQ105" s="65"/>
      <c r="CR105" s="65"/>
      <c r="CS105" s="65"/>
      <c r="CT105" s="65"/>
      <c r="CU105" s="65"/>
      <c r="CV105" s="65"/>
      <c r="CW105" s="65"/>
      <c r="CX105" s="65"/>
      <c r="CY105" s="65"/>
      <c r="CZ105" s="65"/>
      <c r="DA105" s="65"/>
      <c r="DB105" s="65"/>
      <c r="DC105" s="65"/>
      <c r="DD105" s="65"/>
      <c r="DE105" s="65"/>
      <c r="DF105" s="65"/>
      <c r="DG105" s="65"/>
      <c r="DH105" s="65"/>
      <c r="DI105" s="65"/>
      <c r="DJ105" s="65"/>
      <c r="DK105" s="65"/>
      <c r="DL105" s="65"/>
      <c r="DM105" s="65"/>
      <c r="DN105" s="65"/>
      <c r="DO105" s="65"/>
      <c r="DP105" s="65"/>
      <c r="DQ105" s="65"/>
      <c r="DR105" s="65"/>
      <c r="DS105" s="65"/>
      <c r="DT105" s="65"/>
      <c r="DU105" s="65"/>
      <c r="DV105" s="65"/>
      <c r="DW105" s="65"/>
      <c r="DX105" s="65"/>
      <c r="DY105" s="65"/>
      <c r="DZ105" s="65"/>
      <c r="EA105" s="65"/>
      <c r="EB105" s="65"/>
      <c r="EC105" s="65"/>
      <c r="ED105" s="65"/>
      <c r="EE105" s="65"/>
      <c r="EF105" s="65"/>
      <c r="EG105" s="65"/>
      <c r="EH105" s="65"/>
      <c r="EI105" s="65"/>
      <c r="EJ105" s="65"/>
      <c r="EK105" s="65"/>
      <c r="EL105" s="65"/>
      <c r="EM105" s="65"/>
      <c r="EN105" s="65"/>
      <c r="EO105" s="65"/>
      <c r="EP105" s="65"/>
      <c r="EQ105" s="65"/>
      <c r="ER105" s="65"/>
      <c r="ES105" s="65"/>
      <c r="ET105" s="65"/>
      <c r="EU105" s="65"/>
      <c r="EV105" s="65"/>
      <c r="EW105" s="65"/>
      <c r="EX105" s="65"/>
      <c r="EY105" s="65"/>
      <c r="EZ105" s="65"/>
      <c r="FA105" s="65"/>
      <c r="FB105" s="65"/>
      <c r="FC105" s="65"/>
      <c r="FD105" s="65"/>
      <c r="FE105" s="65"/>
      <c r="FF105" s="65"/>
      <c r="FG105" s="65"/>
      <c r="FH105" s="65"/>
      <c r="FI105" s="65"/>
      <c r="FJ105" s="65"/>
      <c r="FK105" s="65"/>
      <c r="FL105" s="65"/>
      <c r="FM105" s="65"/>
      <c r="FN105" s="65"/>
      <c r="FO105" s="65"/>
      <c r="FP105" s="65"/>
      <c r="FQ105" s="65"/>
      <c r="FR105" s="65"/>
      <c r="FS105" s="65"/>
      <c r="FT105" s="65"/>
      <c r="FU105" s="65"/>
      <c r="FV105" s="65"/>
      <c r="FW105" s="65"/>
      <c r="FX105" s="65"/>
      <c r="FY105" s="65"/>
      <c r="FZ105" s="65"/>
      <c r="GA105" s="65"/>
      <c r="GB105" s="65"/>
      <c r="GC105" s="65"/>
      <c r="GD105" s="65"/>
      <c r="GE105" s="65"/>
      <c r="GF105" s="65"/>
      <c r="GG105" s="65"/>
      <c r="GH105" s="65"/>
      <c r="GI105" s="65"/>
      <c r="GJ105" s="65"/>
      <c r="GK105" s="65"/>
      <c r="GL105" s="65"/>
      <c r="GM105" s="65"/>
      <c r="GN105" s="65"/>
      <c r="GO105" s="65"/>
      <c r="GP105" s="65"/>
      <c r="GQ105" s="65"/>
      <c r="GR105" s="65"/>
      <c r="GS105" s="65"/>
      <c r="GT105" s="65"/>
      <c r="GU105" s="65"/>
      <c r="GV105" s="65"/>
      <c r="GW105" s="65"/>
      <c r="GX105" s="65"/>
      <c r="GY105" s="65"/>
      <c r="GZ105" s="65"/>
      <c r="HA105" s="65"/>
      <c r="HB105" s="65"/>
      <c r="HC105" s="65"/>
      <c r="HD105" s="65"/>
      <c r="HE105" s="65"/>
      <c r="HF105" s="65"/>
      <c r="HG105" s="65"/>
      <c r="HH105" s="65"/>
      <c r="HI105" s="65"/>
      <c r="HJ105" s="65"/>
      <c r="HK105" s="65"/>
      <c r="HL105" s="65"/>
      <c r="HM105" s="65"/>
      <c r="HN105" s="65"/>
      <c r="HO105" s="65"/>
    </row>
    <row r="106" spans="1:223" s="78" customFormat="1" ht="34.5" customHeight="1" x14ac:dyDescent="0.25">
      <c r="A106" s="353">
        <v>2025</v>
      </c>
      <c r="B106" s="354">
        <v>7</v>
      </c>
      <c r="C106" s="353">
        <v>22928</v>
      </c>
      <c r="D106" s="273"/>
      <c r="E106" s="81"/>
      <c r="F106" s="81"/>
      <c r="L106" s="79"/>
      <c r="V106" s="81"/>
      <c r="X106" s="66"/>
      <c r="Z106" s="80"/>
      <c r="AA106" s="371"/>
      <c r="AC106" s="228"/>
      <c r="AD106" s="228">
        <f t="shared" si="1"/>
        <v>0</v>
      </c>
      <c r="AE106" s="303"/>
      <c r="AG106" s="210"/>
      <c r="AH106" s="241"/>
      <c r="AI106" s="66"/>
      <c r="AL106" s="65"/>
      <c r="AM106" s="65"/>
      <c r="AN106" s="65"/>
      <c r="AO106" s="65"/>
      <c r="AP106" s="65"/>
      <c r="AQ106" s="65"/>
      <c r="AR106" s="65"/>
      <c r="AS106" s="65"/>
      <c r="AT106" s="65"/>
      <c r="AU106" s="65"/>
      <c r="AV106" s="65"/>
      <c r="AW106" s="65"/>
      <c r="AX106" s="65"/>
      <c r="AY106" s="65"/>
      <c r="AZ106" s="65"/>
      <c r="BA106" s="65"/>
      <c r="BB106" s="65"/>
      <c r="BC106" s="65"/>
      <c r="BD106" s="65"/>
      <c r="BE106" s="65"/>
      <c r="BF106" s="65"/>
      <c r="BG106" s="65"/>
      <c r="BH106" s="65"/>
      <c r="BI106" s="65"/>
      <c r="BJ106" s="65"/>
      <c r="BK106" s="65"/>
      <c r="BL106" s="65"/>
      <c r="BM106" s="65"/>
      <c r="BN106" s="65"/>
      <c r="BO106" s="65"/>
      <c r="BP106" s="65"/>
      <c r="BQ106" s="65"/>
      <c r="BR106" s="65"/>
      <c r="BS106" s="65"/>
      <c r="BT106" s="65"/>
      <c r="BU106" s="65"/>
      <c r="BV106" s="65"/>
      <c r="BW106" s="65"/>
      <c r="BX106" s="65"/>
      <c r="BY106" s="65"/>
      <c r="BZ106" s="65"/>
      <c r="CA106" s="65"/>
      <c r="CB106" s="65"/>
      <c r="CC106" s="65"/>
      <c r="CD106" s="65"/>
      <c r="CE106" s="65"/>
      <c r="CF106" s="65"/>
      <c r="CG106" s="65"/>
      <c r="CH106" s="65"/>
      <c r="CI106" s="65"/>
      <c r="CJ106" s="65"/>
      <c r="CK106" s="65"/>
      <c r="CL106" s="65"/>
      <c r="CM106" s="65"/>
      <c r="CN106" s="65"/>
      <c r="CO106" s="65"/>
      <c r="CP106" s="65"/>
      <c r="CQ106" s="65"/>
      <c r="CR106" s="65"/>
      <c r="CS106" s="65"/>
      <c r="CT106" s="65"/>
      <c r="CU106" s="65"/>
      <c r="CV106" s="65"/>
      <c r="CW106" s="65"/>
      <c r="CX106" s="65"/>
      <c r="CY106" s="65"/>
      <c r="CZ106" s="65"/>
      <c r="DA106" s="65"/>
      <c r="DB106" s="65"/>
      <c r="DC106" s="65"/>
      <c r="DD106" s="65"/>
      <c r="DE106" s="65"/>
      <c r="DF106" s="65"/>
      <c r="DG106" s="65"/>
      <c r="DH106" s="65"/>
      <c r="DI106" s="65"/>
      <c r="DJ106" s="65"/>
      <c r="DK106" s="65"/>
      <c r="DL106" s="65"/>
      <c r="DM106" s="65"/>
      <c r="DN106" s="65"/>
      <c r="DO106" s="65"/>
      <c r="DP106" s="65"/>
      <c r="DQ106" s="65"/>
      <c r="DR106" s="65"/>
      <c r="DS106" s="65"/>
      <c r="DT106" s="65"/>
      <c r="DU106" s="65"/>
      <c r="DV106" s="65"/>
      <c r="DW106" s="65"/>
      <c r="DX106" s="65"/>
      <c r="DY106" s="65"/>
      <c r="DZ106" s="65"/>
      <c r="EA106" s="65"/>
      <c r="EB106" s="65"/>
      <c r="EC106" s="65"/>
      <c r="ED106" s="65"/>
      <c r="EE106" s="65"/>
      <c r="EF106" s="65"/>
      <c r="EG106" s="65"/>
      <c r="EH106" s="65"/>
      <c r="EI106" s="65"/>
      <c r="EJ106" s="65"/>
      <c r="EK106" s="65"/>
      <c r="EL106" s="65"/>
      <c r="EM106" s="65"/>
      <c r="EN106" s="65"/>
      <c r="EO106" s="65"/>
      <c r="EP106" s="65"/>
      <c r="EQ106" s="65"/>
      <c r="ER106" s="65"/>
      <c r="ES106" s="65"/>
      <c r="ET106" s="65"/>
      <c r="EU106" s="65"/>
      <c r="EV106" s="65"/>
      <c r="EW106" s="65"/>
      <c r="EX106" s="65"/>
      <c r="EY106" s="65"/>
      <c r="EZ106" s="65"/>
      <c r="FA106" s="65"/>
      <c r="FB106" s="65"/>
      <c r="FC106" s="65"/>
      <c r="FD106" s="65"/>
      <c r="FE106" s="65"/>
      <c r="FF106" s="65"/>
      <c r="FG106" s="65"/>
      <c r="FH106" s="65"/>
      <c r="FI106" s="65"/>
      <c r="FJ106" s="65"/>
      <c r="FK106" s="65"/>
      <c r="FL106" s="65"/>
      <c r="FM106" s="65"/>
      <c r="FN106" s="65"/>
      <c r="FO106" s="65"/>
      <c r="FP106" s="65"/>
      <c r="FQ106" s="65"/>
      <c r="FR106" s="65"/>
      <c r="FS106" s="65"/>
      <c r="FT106" s="65"/>
      <c r="FU106" s="65"/>
      <c r="FV106" s="65"/>
      <c r="FW106" s="65"/>
      <c r="FX106" s="65"/>
      <c r="FY106" s="65"/>
      <c r="FZ106" s="65"/>
      <c r="GA106" s="65"/>
      <c r="GB106" s="65"/>
      <c r="GC106" s="65"/>
      <c r="GD106" s="65"/>
      <c r="GE106" s="65"/>
      <c r="GF106" s="65"/>
      <c r="GG106" s="65"/>
      <c r="GH106" s="65"/>
      <c r="GI106" s="65"/>
      <c r="GJ106" s="65"/>
      <c r="GK106" s="65"/>
      <c r="GL106" s="65"/>
      <c r="GM106" s="65"/>
      <c r="GN106" s="65"/>
      <c r="GO106" s="65"/>
      <c r="GP106" s="65"/>
      <c r="GQ106" s="65"/>
      <c r="GR106" s="65"/>
      <c r="GS106" s="65"/>
      <c r="GT106" s="65"/>
      <c r="GU106" s="65"/>
      <c r="GV106" s="65"/>
      <c r="GW106" s="65"/>
      <c r="GX106" s="65"/>
      <c r="GY106" s="65"/>
      <c r="GZ106" s="65"/>
      <c r="HA106" s="65"/>
      <c r="HB106" s="65"/>
      <c r="HC106" s="65"/>
      <c r="HD106" s="65"/>
      <c r="HE106" s="65"/>
      <c r="HF106" s="65"/>
      <c r="HG106" s="65"/>
      <c r="HH106" s="65"/>
      <c r="HI106" s="65"/>
      <c r="HJ106" s="65"/>
      <c r="HK106" s="65"/>
      <c r="HL106" s="65"/>
      <c r="HM106" s="65"/>
      <c r="HN106" s="65"/>
      <c r="HO106" s="65"/>
    </row>
    <row r="107" spans="1:223" s="78" customFormat="1" ht="34.5" customHeight="1" x14ac:dyDescent="0.25">
      <c r="A107" s="353">
        <v>2025</v>
      </c>
      <c r="B107" s="354">
        <v>7</v>
      </c>
      <c r="C107" s="353">
        <v>22929</v>
      </c>
      <c r="D107" s="273"/>
      <c r="E107" s="81"/>
      <c r="F107" s="81"/>
      <c r="L107" s="79"/>
      <c r="V107" s="81"/>
      <c r="X107" s="66"/>
      <c r="Z107" s="80"/>
      <c r="AA107" s="371"/>
      <c r="AC107" s="228"/>
      <c r="AD107" s="228">
        <f t="shared" si="1"/>
        <v>0</v>
      </c>
      <c r="AE107" s="303"/>
      <c r="AG107" s="210"/>
      <c r="AH107" s="241"/>
      <c r="AL107" s="65"/>
      <c r="AM107" s="65"/>
      <c r="AN107" s="65"/>
      <c r="AO107" s="65"/>
      <c r="AP107" s="65"/>
      <c r="AQ107" s="65"/>
      <c r="AR107" s="65"/>
      <c r="AS107" s="65"/>
      <c r="AT107" s="65"/>
      <c r="AU107" s="65"/>
      <c r="AV107" s="65"/>
      <c r="AW107" s="65"/>
      <c r="AX107" s="65"/>
      <c r="AY107" s="65"/>
      <c r="AZ107" s="65"/>
      <c r="BA107" s="65"/>
      <c r="BB107" s="65"/>
      <c r="BC107" s="65"/>
      <c r="BD107" s="65"/>
      <c r="BE107" s="65"/>
      <c r="BF107" s="65"/>
      <c r="BG107" s="65"/>
      <c r="BH107" s="65"/>
      <c r="BI107" s="65"/>
      <c r="BJ107" s="65"/>
      <c r="BK107" s="65"/>
      <c r="BL107" s="65"/>
      <c r="BM107" s="65"/>
      <c r="BN107" s="65"/>
      <c r="BO107" s="65"/>
      <c r="BP107" s="65"/>
      <c r="BQ107" s="65"/>
      <c r="BR107" s="65"/>
      <c r="BS107" s="65"/>
      <c r="BT107" s="65"/>
      <c r="BU107" s="65"/>
      <c r="BV107" s="65"/>
      <c r="BW107" s="65"/>
      <c r="BX107" s="65"/>
      <c r="BY107" s="65"/>
      <c r="BZ107" s="65"/>
      <c r="CA107" s="65"/>
      <c r="CB107" s="65"/>
      <c r="CC107" s="65"/>
      <c r="CD107" s="65"/>
      <c r="CE107" s="65"/>
      <c r="CF107" s="65"/>
      <c r="CG107" s="65"/>
      <c r="CH107" s="65"/>
      <c r="CI107" s="65"/>
      <c r="CJ107" s="65"/>
      <c r="CK107" s="65"/>
      <c r="CL107" s="65"/>
      <c r="CM107" s="65"/>
      <c r="CN107" s="65"/>
      <c r="CO107" s="65"/>
      <c r="CP107" s="65"/>
      <c r="CQ107" s="65"/>
      <c r="CR107" s="65"/>
      <c r="CS107" s="65"/>
      <c r="CT107" s="65"/>
      <c r="CU107" s="65"/>
      <c r="CV107" s="65"/>
      <c r="CW107" s="65"/>
      <c r="CX107" s="65"/>
      <c r="CY107" s="65"/>
      <c r="CZ107" s="65"/>
      <c r="DA107" s="65"/>
      <c r="DB107" s="65"/>
      <c r="DC107" s="65"/>
      <c r="DD107" s="65"/>
      <c r="DE107" s="65"/>
      <c r="DF107" s="65"/>
      <c r="DG107" s="65"/>
      <c r="DH107" s="65"/>
      <c r="DI107" s="65"/>
      <c r="DJ107" s="65"/>
      <c r="DK107" s="65"/>
      <c r="DL107" s="65"/>
      <c r="DM107" s="65"/>
      <c r="DN107" s="65"/>
      <c r="DO107" s="65"/>
      <c r="DP107" s="65"/>
      <c r="DQ107" s="65"/>
      <c r="DR107" s="65"/>
      <c r="DS107" s="65"/>
      <c r="DT107" s="65"/>
      <c r="DU107" s="65"/>
      <c r="DV107" s="65"/>
      <c r="DW107" s="65"/>
      <c r="DX107" s="65"/>
      <c r="DY107" s="65"/>
      <c r="DZ107" s="65"/>
      <c r="EA107" s="65"/>
      <c r="EB107" s="65"/>
      <c r="EC107" s="65"/>
      <c r="ED107" s="65"/>
      <c r="EE107" s="65"/>
      <c r="EF107" s="65"/>
      <c r="EG107" s="65"/>
      <c r="EH107" s="65"/>
      <c r="EI107" s="65"/>
      <c r="EJ107" s="65"/>
      <c r="EK107" s="65"/>
      <c r="EL107" s="65"/>
      <c r="EM107" s="65"/>
      <c r="EN107" s="65"/>
      <c r="EO107" s="65"/>
      <c r="EP107" s="65"/>
      <c r="EQ107" s="65"/>
      <c r="ER107" s="65"/>
      <c r="ES107" s="65"/>
      <c r="ET107" s="65"/>
      <c r="EU107" s="65"/>
      <c r="EV107" s="65"/>
      <c r="EW107" s="65"/>
      <c r="EX107" s="65"/>
      <c r="EY107" s="65"/>
      <c r="EZ107" s="65"/>
      <c r="FA107" s="65"/>
      <c r="FB107" s="65"/>
      <c r="FC107" s="65"/>
      <c r="FD107" s="65"/>
      <c r="FE107" s="65"/>
      <c r="FF107" s="65"/>
      <c r="FG107" s="65"/>
      <c r="FH107" s="65"/>
      <c r="FI107" s="65"/>
      <c r="FJ107" s="65"/>
      <c r="FK107" s="65"/>
      <c r="FL107" s="65"/>
      <c r="FM107" s="65"/>
      <c r="FN107" s="65"/>
      <c r="FO107" s="65"/>
      <c r="FP107" s="65"/>
      <c r="FQ107" s="65"/>
      <c r="FR107" s="65"/>
      <c r="FS107" s="65"/>
      <c r="FT107" s="65"/>
      <c r="FU107" s="65"/>
      <c r="FV107" s="65"/>
      <c r="FW107" s="65"/>
      <c r="FX107" s="65"/>
      <c r="FY107" s="65"/>
      <c r="FZ107" s="65"/>
      <c r="GA107" s="65"/>
      <c r="GB107" s="65"/>
      <c r="GC107" s="65"/>
      <c r="GD107" s="65"/>
      <c r="GE107" s="65"/>
      <c r="GF107" s="65"/>
      <c r="GG107" s="65"/>
      <c r="GH107" s="65"/>
      <c r="GI107" s="65"/>
      <c r="GJ107" s="65"/>
      <c r="GK107" s="65"/>
      <c r="GL107" s="65"/>
      <c r="GM107" s="65"/>
      <c r="GN107" s="65"/>
      <c r="GO107" s="65"/>
      <c r="GP107" s="65"/>
      <c r="GQ107" s="65"/>
      <c r="GR107" s="65"/>
      <c r="GS107" s="65"/>
      <c r="GT107" s="65"/>
      <c r="GU107" s="65"/>
      <c r="GV107" s="65"/>
      <c r="GW107" s="65"/>
      <c r="GX107" s="65"/>
      <c r="GY107" s="65"/>
      <c r="GZ107" s="65"/>
      <c r="HA107" s="65"/>
      <c r="HB107" s="65"/>
      <c r="HC107" s="65"/>
      <c r="HD107" s="65"/>
      <c r="HE107" s="65"/>
      <c r="HF107" s="65"/>
      <c r="HG107" s="65"/>
      <c r="HH107" s="65"/>
      <c r="HI107" s="65"/>
      <c r="HJ107" s="65"/>
      <c r="HK107" s="65"/>
      <c r="HL107" s="65"/>
      <c r="HM107" s="65"/>
      <c r="HN107" s="65"/>
      <c r="HO107" s="65"/>
    </row>
    <row r="108" spans="1:223" s="78" customFormat="1" ht="34.5" customHeight="1" x14ac:dyDescent="0.25">
      <c r="A108" s="353">
        <v>2025</v>
      </c>
      <c r="B108" s="354">
        <v>7</v>
      </c>
      <c r="C108" s="355">
        <v>22930</v>
      </c>
      <c r="D108" s="273"/>
      <c r="E108" s="81"/>
      <c r="F108" s="81"/>
      <c r="J108" s="435"/>
      <c r="L108" s="79"/>
      <c r="V108" s="81"/>
      <c r="W108" s="435"/>
      <c r="X108" s="66"/>
      <c r="Z108" s="80"/>
      <c r="AA108" s="371"/>
      <c r="AC108" s="228"/>
      <c r="AD108" s="228">
        <f t="shared" si="1"/>
        <v>0</v>
      </c>
      <c r="AE108" s="303"/>
      <c r="AG108" s="210"/>
      <c r="AH108" s="241"/>
      <c r="AI108" s="435"/>
      <c r="AL108" s="65"/>
      <c r="AM108" s="65"/>
      <c r="AN108" s="65"/>
      <c r="AO108" s="65"/>
      <c r="AP108" s="65"/>
      <c r="AQ108" s="65"/>
      <c r="AR108" s="65"/>
      <c r="AS108" s="65"/>
      <c r="AT108" s="65"/>
      <c r="AU108" s="65"/>
      <c r="AV108" s="65"/>
      <c r="AW108" s="65"/>
      <c r="AX108" s="65"/>
      <c r="AY108" s="65"/>
      <c r="AZ108" s="65"/>
      <c r="BA108" s="65"/>
      <c r="BB108" s="65"/>
      <c r="BC108" s="65"/>
      <c r="BD108" s="65"/>
      <c r="BE108" s="65"/>
      <c r="BF108" s="65"/>
      <c r="BG108" s="65"/>
      <c r="BH108" s="65"/>
      <c r="BI108" s="65"/>
      <c r="BJ108" s="65"/>
      <c r="BK108" s="65"/>
      <c r="BL108" s="65"/>
      <c r="BM108" s="65"/>
      <c r="BN108" s="65"/>
      <c r="BO108" s="65"/>
      <c r="BP108" s="65"/>
      <c r="BQ108" s="65"/>
      <c r="BR108" s="65"/>
      <c r="BS108" s="65"/>
      <c r="BT108" s="65"/>
      <c r="BU108" s="65"/>
      <c r="BV108" s="65"/>
      <c r="BW108" s="65"/>
      <c r="BX108" s="65"/>
      <c r="BY108" s="65"/>
      <c r="BZ108" s="65"/>
      <c r="CA108" s="65"/>
      <c r="CB108" s="65"/>
      <c r="CC108" s="65"/>
      <c r="CD108" s="65"/>
      <c r="CE108" s="65"/>
      <c r="CF108" s="65"/>
      <c r="CG108" s="65"/>
      <c r="CH108" s="65"/>
      <c r="CI108" s="65"/>
      <c r="CJ108" s="65"/>
      <c r="CK108" s="65"/>
      <c r="CL108" s="65"/>
      <c r="CM108" s="65"/>
      <c r="CN108" s="65"/>
      <c r="CO108" s="65"/>
      <c r="CP108" s="65"/>
      <c r="CQ108" s="65"/>
      <c r="CR108" s="65"/>
      <c r="CS108" s="65"/>
      <c r="CT108" s="65"/>
      <c r="CU108" s="65"/>
      <c r="CV108" s="65"/>
      <c r="CW108" s="65"/>
      <c r="CX108" s="65"/>
      <c r="CY108" s="65"/>
      <c r="CZ108" s="65"/>
      <c r="DA108" s="65"/>
      <c r="DB108" s="65"/>
      <c r="DC108" s="65"/>
      <c r="DD108" s="65"/>
      <c r="DE108" s="65"/>
      <c r="DF108" s="65"/>
      <c r="DG108" s="65"/>
      <c r="DH108" s="65"/>
      <c r="DI108" s="65"/>
      <c r="DJ108" s="65"/>
      <c r="DK108" s="65"/>
      <c r="DL108" s="65"/>
      <c r="DM108" s="65"/>
      <c r="DN108" s="65"/>
      <c r="DO108" s="65"/>
      <c r="DP108" s="65"/>
      <c r="DQ108" s="65"/>
      <c r="DR108" s="65"/>
      <c r="DS108" s="65"/>
      <c r="DT108" s="65"/>
      <c r="DU108" s="65"/>
      <c r="DV108" s="65"/>
      <c r="DW108" s="65"/>
      <c r="DX108" s="65"/>
      <c r="DY108" s="65"/>
      <c r="DZ108" s="65"/>
      <c r="EA108" s="65"/>
      <c r="EB108" s="65"/>
      <c r="EC108" s="65"/>
      <c r="ED108" s="65"/>
      <c r="EE108" s="65"/>
      <c r="EF108" s="65"/>
      <c r="EG108" s="65"/>
      <c r="EH108" s="65"/>
      <c r="EI108" s="65"/>
      <c r="EJ108" s="65"/>
      <c r="EK108" s="65"/>
      <c r="EL108" s="65"/>
      <c r="EM108" s="65"/>
      <c r="EN108" s="65"/>
      <c r="EO108" s="65"/>
      <c r="EP108" s="65"/>
      <c r="EQ108" s="65"/>
      <c r="ER108" s="65"/>
      <c r="ES108" s="65"/>
      <c r="ET108" s="65"/>
      <c r="EU108" s="65"/>
      <c r="EV108" s="65"/>
      <c r="EW108" s="65"/>
      <c r="EX108" s="65"/>
      <c r="EY108" s="65"/>
      <c r="EZ108" s="65"/>
      <c r="FA108" s="65"/>
      <c r="FB108" s="65"/>
      <c r="FC108" s="65"/>
      <c r="FD108" s="65"/>
      <c r="FE108" s="65"/>
      <c r="FF108" s="65"/>
      <c r="FG108" s="65"/>
      <c r="FH108" s="65"/>
      <c r="FI108" s="65"/>
      <c r="FJ108" s="65"/>
      <c r="FK108" s="65"/>
      <c r="FL108" s="65"/>
      <c r="FM108" s="65"/>
      <c r="FN108" s="65"/>
      <c r="FO108" s="65"/>
      <c r="FP108" s="65"/>
      <c r="FQ108" s="65"/>
      <c r="FR108" s="65"/>
      <c r="FS108" s="65"/>
      <c r="FT108" s="65"/>
      <c r="FU108" s="65"/>
      <c r="FV108" s="65"/>
      <c r="FW108" s="65"/>
      <c r="FX108" s="65"/>
      <c r="FY108" s="65"/>
      <c r="FZ108" s="65"/>
      <c r="GA108" s="65"/>
      <c r="GB108" s="65"/>
      <c r="GC108" s="65"/>
      <c r="GD108" s="65"/>
      <c r="GE108" s="65"/>
      <c r="GF108" s="65"/>
      <c r="GG108" s="65"/>
      <c r="GH108" s="65"/>
      <c r="GI108" s="65"/>
      <c r="GJ108" s="65"/>
      <c r="GK108" s="65"/>
      <c r="GL108" s="65"/>
      <c r="GM108" s="65"/>
      <c r="GN108" s="65"/>
      <c r="GO108" s="65"/>
      <c r="GP108" s="65"/>
      <c r="GQ108" s="65"/>
      <c r="GR108" s="65"/>
      <c r="GS108" s="65"/>
      <c r="GT108" s="65"/>
      <c r="GU108" s="65"/>
      <c r="GV108" s="65"/>
      <c r="GW108" s="65"/>
      <c r="GX108" s="65"/>
      <c r="GY108" s="65"/>
      <c r="GZ108" s="65"/>
      <c r="HA108" s="65"/>
      <c r="HB108" s="65"/>
      <c r="HC108" s="65"/>
      <c r="HD108" s="65"/>
      <c r="HE108" s="65"/>
      <c r="HF108" s="65"/>
      <c r="HG108" s="65"/>
      <c r="HH108" s="65"/>
      <c r="HI108" s="65"/>
      <c r="HJ108" s="65"/>
      <c r="HK108" s="65"/>
      <c r="HL108" s="65"/>
      <c r="HM108" s="65"/>
      <c r="HN108" s="65"/>
      <c r="HO108" s="65"/>
    </row>
    <row r="109" spans="1:223" s="78" customFormat="1" ht="34.5" customHeight="1" x14ac:dyDescent="0.25">
      <c r="A109" s="353">
        <v>2025</v>
      </c>
      <c r="B109" s="354">
        <v>7</v>
      </c>
      <c r="C109" s="353">
        <v>22931</v>
      </c>
      <c r="D109" s="273"/>
      <c r="E109" s="81"/>
      <c r="F109" s="81"/>
      <c r="L109" s="79"/>
      <c r="V109" s="81"/>
      <c r="X109" s="66"/>
      <c r="Z109" s="80"/>
      <c r="AA109" s="371"/>
      <c r="AC109" s="228"/>
      <c r="AD109" s="228">
        <f t="shared" si="1"/>
        <v>0</v>
      </c>
      <c r="AE109" s="303"/>
      <c r="AG109" s="210"/>
      <c r="AH109" s="241"/>
      <c r="AL109" s="65"/>
      <c r="AM109" s="65"/>
      <c r="AN109" s="65"/>
      <c r="AO109" s="65"/>
      <c r="AP109" s="65"/>
      <c r="AQ109" s="65"/>
      <c r="AR109" s="65"/>
      <c r="AS109" s="65"/>
      <c r="AT109" s="65"/>
      <c r="AU109" s="65"/>
      <c r="AV109" s="65"/>
      <c r="AW109" s="65"/>
      <c r="AX109" s="65"/>
      <c r="AY109" s="65"/>
      <c r="AZ109" s="65"/>
      <c r="BA109" s="65"/>
      <c r="BB109" s="65"/>
      <c r="BC109" s="65"/>
      <c r="BD109" s="65"/>
      <c r="BE109" s="65"/>
      <c r="BF109" s="65"/>
      <c r="BG109" s="65"/>
      <c r="BH109" s="65"/>
      <c r="BI109" s="65"/>
      <c r="BJ109" s="65"/>
      <c r="BK109" s="65"/>
      <c r="BL109" s="65"/>
      <c r="BM109" s="65"/>
      <c r="BN109" s="65"/>
      <c r="BO109" s="65"/>
      <c r="BP109" s="65"/>
      <c r="BQ109" s="65"/>
      <c r="BR109" s="65"/>
      <c r="BS109" s="65"/>
      <c r="BT109" s="65"/>
      <c r="BU109" s="65"/>
      <c r="BV109" s="65"/>
      <c r="BW109" s="65"/>
      <c r="BX109" s="65"/>
      <c r="BY109" s="65"/>
      <c r="BZ109" s="65"/>
      <c r="CA109" s="65"/>
      <c r="CB109" s="65"/>
      <c r="CC109" s="65"/>
      <c r="CD109" s="65"/>
      <c r="CE109" s="65"/>
      <c r="CF109" s="65"/>
      <c r="CG109" s="65"/>
      <c r="CH109" s="65"/>
      <c r="CI109" s="65"/>
      <c r="CJ109" s="65"/>
      <c r="CK109" s="65"/>
      <c r="CL109" s="65"/>
      <c r="CM109" s="65"/>
      <c r="CN109" s="65"/>
      <c r="CO109" s="65"/>
      <c r="CP109" s="65"/>
      <c r="CQ109" s="65"/>
      <c r="CR109" s="65"/>
      <c r="CS109" s="65"/>
      <c r="CT109" s="65"/>
      <c r="CU109" s="65"/>
      <c r="CV109" s="65"/>
      <c r="CW109" s="65"/>
      <c r="CX109" s="65"/>
      <c r="CY109" s="65"/>
      <c r="CZ109" s="65"/>
      <c r="DA109" s="65"/>
      <c r="DB109" s="65"/>
      <c r="DC109" s="65"/>
      <c r="DD109" s="65"/>
      <c r="DE109" s="65"/>
      <c r="DF109" s="65"/>
      <c r="DG109" s="65"/>
      <c r="DH109" s="65"/>
      <c r="DI109" s="65"/>
      <c r="DJ109" s="65"/>
      <c r="DK109" s="65"/>
      <c r="DL109" s="65"/>
      <c r="DM109" s="65"/>
      <c r="DN109" s="65"/>
      <c r="DO109" s="65"/>
      <c r="DP109" s="65"/>
      <c r="DQ109" s="65"/>
      <c r="DR109" s="65"/>
      <c r="DS109" s="65"/>
      <c r="DT109" s="65"/>
      <c r="DU109" s="65"/>
      <c r="DV109" s="65"/>
      <c r="DW109" s="65"/>
      <c r="DX109" s="65"/>
      <c r="DY109" s="65"/>
      <c r="DZ109" s="65"/>
      <c r="EA109" s="65"/>
      <c r="EB109" s="65"/>
      <c r="EC109" s="65"/>
      <c r="ED109" s="65"/>
      <c r="EE109" s="65"/>
      <c r="EF109" s="65"/>
      <c r="EG109" s="65"/>
      <c r="EH109" s="65"/>
      <c r="EI109" s="65"/>
      <c r="EJ109" s="65"/>
      <c r="EK109" s="65"/>
      <c r="EL109" s="65"/>
      <c r="EM109" s="65"/>
      <c r="EN109" s="65"/>
      <c r="EO109" s="65"/>
      <c r="EP109" s="65"/>
      <c r="EQ109" s="65"/>
      <c r="ER109" s="65"/>
      <c r="ES109" s="65"/>
      <c r="ET109" s="65"/>
      <c r="EU109" s="65"/>
      <c r="EV109" s="65"/>
      <c r="EW109" s="65"/>
      <c r="EX109" s="65"/>
      <c r="EY109" s="65"/>
      <c r="EZ109" s="65"/>
      <c r="FA109" s="65"/>
      <c r="FB109" s="65"/>
      <c r="FC109" s="65"/>
      <c r="FD109" s="65"/>
      <c r="FE109" s="65"/>
      <c r="FF109" s="65"/>
      <c r="FG109" s="65"/>
      <c r="FH109" s="65"/>
      <c r="FI109" s="65"/>
      <c r="FJ109" s="65"/>
      <c r="FK109" s="65"/>
      <c r="FL109" s="65"/>
      <c r="FM109" s="65"/>
      <c r="FN109" s="65"/>
      <c r="FO109" s="65"/>
      <c r="FP109" s="65"/>
      <c r="FQ109" s="65"/>
      <c r="FR109" s="65"/>
      <c r="FS109" s="65"/>
      <c r="FT109" s="65"/>
      <c r="FU109" s="65"/>
      <c r="FV109" s="65"/>
      <c r="FW109" s="65"/>
      <c r="FX109" s="65"/>
      <c r="FY109" s="65"/>
      <c r="FZ109" s="65"/>
      <c r="GA109" s="65"/>
      <c r="GB109" s="65"/>
      <c r="GC109" s="65"/>
      <c r="GD109" s="65"/>
      <c r="GE109" s="65"/>
      <c r="GF109" s="65"/>
      <c r="GG109" s="65"/>
      <c r="GH109" s="65"/>
      <c r="GI109" s="65"/>
      <c r="GJ109" s="65"/>
      <c r="GK109" s="65"/>
      <c r="GL109" s="65"/>
      <c r="GM109" s="65"/>
      <c r="GN109" s="65"/>
      <c r="GO109" s="65"/>
      <c r="GP109" s="65"/>
      <c r="GQ109" s="65"/>
      <c r="GR109" s="65"/>
      <c r="GS109" s="65"/>
      <c r="GT109" s="65"/>
      <c r="GU109" s="65"/>
      <c r="GV109" s="65"/>
      <c r="GW109" s="65"/>
      <c r="GX109" s="65"/>
      <c r="GY109" s="65"/>
      <c r="GZ109" s="65"/>
      <c r="HA109" s="65"/>
      <c r="HB109" s="65"/>
      <c r="HC109" s="65"/>
      <c r="HD109" s="65"/>
      <c r="HE109" s="65"/>
      <c r="HF109" s="65"/>
      <c r="HG109" s="65"/>
      <c r="HH109" s="65"/>
      <c r="HI109" s="65"/>
      <c r="HJ109" s="65"/>
      <c r="HK109" s="65"/>
      <c r="HL109" s="65"/>
      <c r="HM109" s="65"/>
      <c r="HN109" s="65"/>
      <c r="HO109" s="65"/>
    </row>
    <row r="110" spans="1:223" s="78" customFormat="1" ht="34.5" customHeight="1" x14ac:dyDescent="0.25">
      <c r="A110" s="353">
        <v>2025</v>
      </c>
      <c r="B110" s="354">
        <v>7</v>
      </c>
      <c r="C110" s="353">
        <v>22932</v>
      </c>
      <c r="D110" s="273"/>
      <c r="E110" s="81"/>
      <c r="F110" s="81"/>
      <c r="L110" s="79"/>
      <c r="V110" s="81"/>
      <c r="X110" s="66"/>
      <c r="Z110" s="80"/>
      <c r="AA110" s="371"/>
      <c r="AC110" s="228"/>
      <c r="AD110" s="228">
        <f t="shared" si="1"/>
        <v>0</v>
      </c>
      <c r="AE110" s="303"/>
      <c r="AG110" s="210"/>
      <c r="AH110" s="241"/>
      <c r="AL110" s="65"/>
      <c r="AM110" s="65"/>
      <c r="AN110" s="65"/>
      <c r="AO110" s="65"/>
      <c r="AP110" s="65"/>
      <c r="AQ110" s="65"/>
      <c r="AR110" s="65"/>
      <c r="AS110" s="65"/>
      <c r="AT110" s="65"/>
      <c r="AU110" s="65"/>
      <c r="AV110" s="65"/>
      <c r="AW110" s="65"/>
      <c r="AX110" s="65"/>
      <c r="AY110" s="65"/>
      <c r="AZ110" s="65"/>
      <c r="BA110" s="65"/>
      <c r="BB110" s="65"/>
      <c r="BC110" s="65"/>
      <c r="BD110" s="65"/>
      <c r="BE110" s="65"/>
      <c r="BF110" s="65"/>
      <c r="BG110" s="65"/>
      <c r="BH110" s="65"/>
      <c r="BI110" s="65"/>
      <c r="BJ110" s="65"/>
      <c r="BK110" s="65"/>
      <c r="BL110" s="65"/>
      <c r="BM110" s="65"/>
      <c r="BN110" s="65"/>
      <c r="BO110" s="65"/>
      <c r="BP110" s="65"/>
      <c r="BQ110" s="65"/>
      <c r="BR110" s="65"/>
      <c r="BS110" s="65"/>
      <c r="BT110" s="65"/>
      <c r="BU110" s="65"/>
      <c r="BV110" s="65"/>
      <c r="BW110" s="65"/>
      <c r="BX110" s="65"/>
      <c r="BY110" s="65"/>
      <c r="BZ110" s="65"/>
      <c r="CA110" s="65"/>
      <c r="CB110" s="65"/>
      <c r="CC110" s="65"/>
      <c r="CD110" s="65"/>
      <c r="CE110" s="65"/>
      <c r="CF110" s="65"/>
      <c r="CG110" s="65"/>
      <c r="CH110" s="65"/>
      <c r="CI110" s="65"/>
      <c r="CJ110" s="65"/>
      <c r="CK110" s="65"/>
      <c r="CL110" s="65"/>
      <c r="CM110" s="65"/>
      <c r="CN110" s="65"/>
      <c r="CO110" s="65"/>
      <c r="CP110" s="65"/>
      <c r="CQ110" s="65"/>
      <c r="CR110" s="65"/>
      <c r="CS110" s="65"/>
      <c r="CT110" s="65"/>
      <c r="CU110" s="65"/>
      <c r="CV110" s="65"/>
      <c r="CW110" s="65"/>
      <c r="CX110" s="65"/>
      <c r="CY110" s="65"/>
      <c r="CZ110" s="65"/>
      <c r="DA110" s="65"/>
      <c r="DB110" s="65"/>
      <c r="DC110" s="65"/>
      <c r="DD110" s="65"/>
      <c r="DE110" s="65"/>
      <c r="DF110" s="65"/>
      <c r="DG110" s="65"/>
      <c r="DH110" s="65"/>
      <c r="DI110" s="65"/>
      <c r="DJ110" s="65"/>
      <c r="DK110" s="65"/>
      <c r="DL110" s="65"/>
      <c r="DM110" s="65"/>
      <c r="DN110" s="65"/>
      <c r="DO110" s="65"/>
      <c r="DP110" s="65"/>
      <c r="DQ110" s="65"/>
      <c r="DR110" s="65"/>
      <c r="DS110" s="65"/>
      <c r="DT110" s="65"/>
      <c r="DU110" s="65"/>
      <c r="DV110" s="65"/>
      <c r="DW110" s="65"/>
      <c r="DX110" s="65"/>
      <c r="DY110" s="65"/>
      <c r="DZ110" s="65"/>
      <c r="EA110" s="65"/>
      <c r="EB110" s="65"/>
      <c r="EC110" s="65"/>
      <c r="ED110" s="65"/>
      <c r="EE110" s="65"/>
      <c r="EF110" s="65"/>
      <c r="EG110" s="65"/>
      <c r="EH110" s="65"/>
      <c r="EI110" s="65"/>
      <c r="EJ110" s="65"/>
      <c r="EK110" s="65"/>
      <c r="EL110" s="65"/>
      <c r="EM110" s="65"/>
      <c r="EN110" s="65"/>
      <c r="EO110" s="65"/>
      <c r="EP110" s="65"/>
      <c r="EQ110" s="65"/>
      <c r="ER110" s="65"/>
      <c r="ES110" s="65"/>
      <c r="ET110" s="65"/>
      <c r="EU110" s="65"/>
      <c r="EV110" s="65"/>
      <c r="EW110" s="65"/>
      <c r="EX110" s="65"/>
      <c r="EY110" s="65"/>
      <c r="EZ110" s="65"/>
      <c r="FA110" s="65"/>
      <c r="FB110" s="65"/>
      <c r="FC110" s="65"/>
      <c r="FD110" s="65"/>
      <c r="FE110" s="65"/>
      <c r="FF110" s="65"/>
      <c r="FG110" s="65"/>
      <c r="FH110" s="65"/>
      <c r="FI110" s="65"/>
      <c r="FJ110" s="65"/>
      <c r="FK110" s="65"/>
      <c r="FL110" s="65"/>
      <c r="FM110" s="65"/>
      <c r="FN110" s="65"/>
      <c r="FO110" s="65"/>
      <c r="FP110" s="65"/>
      <c r="FQ110" s="65"/>
      <c r="FR110" s="65"/>
      <c r="FS110" s="65"/>
      <c r="FT110" s="65"/>
      <c r="FU110" s="65"/>
      <c r="FV110" s="65"/>
      <c r="FW110" s="65"/>
      <c r="FX110" s="65"/>
      <c r="FY110" s="65"/>
      <c r="FZ110" s="65"/>
      <c r="GA110" s="65"/>
      <c r="GB110" s="65"/>
      <c r="GC110" s="65"/>
      <c r="GD110" s="65"/>
      <c r="GE110" s="65"/>
      <c r="GF110" s="65"/>
      <c r="GG110" s="65"/>
      <c r="GH110" s="65"/>
      <c r="GI110" s="65"/>
      <c r="GJ110" s="65"/>
      <c r="GK110" s="65"/>
      <c r="GL110" s="65"/>
      <c r="GM110" s="65"/>
      <c r="GN110" s="65"/>
      <c r="GO110" s="65"/>
      <c r="GP110" s="65"/>
      <c r="GQ110" s="65"/>
      <c r="GR110" s="65"/>
      <c r="GS110" s="65"/>
      <c r="GT110" s="65"/>
      <c r="GU110" s="65"/>
      <c r="GV110" s="65"/>
      <c r="GW110" s="65"/>
      <c r="GX110" s="65"/>
      <c r="GY110" s="65"/>
      <c r="GZ110" s="65"/>
      <c r="HA110" s="65"/>
      <c r="HB110" s="65"/>
      <c r="HC110" s="65"/>
      <c r="HD110" s="65"/>
      <c r="HE110" s="65"/>
      <c r="HF110" s="65"/>
      <c r="HG110" s="65"/>
      <c r="HH110" s="65"/>
      <c r="HI110" s="65"/>
      <c r="HJ110" s="65"/>
      <c r="HK110" s="65"/>
      <c r="HL110" s="65"/>
      <c r="HM110" s="65"/>
      <c r="HN110" s="65"/>
      <c r="HO110" s="65"/>
    </row>
    <row r="111" spans="1:223" s="78" customFormat="1" ht="34.5" customHeight="1" x14ac:dyDescent="0.25">
      <c r="A111" s="353">
        <v>2025</v>
      </c>
      <c r="B111" s="354">
        <v>7</v>
      </c>
      <c r="C111" s="355">
        <v>22933</v>
      </c>
      <c r="D111" s="273"/>
      <c r="E111" s="81"/>
      <c r="F111" s="81"/>
      <c r="L111" s="79"/>
      <c r="V111" s="81"/>
      <c r="X111" s="66"/>
      <c r="Z111" s="80"/>
      <c r="AA111" s="371"/>
      <c r="AC111" s="228"/>
      <c r="AD111" s="228">
        <f t="shared" si="1"/>
        <v>0</v>
      </c>
      <c r="AE111" s="303"/>
      <c r="AG111" s="210"/>
      <c r="AH111" s="241"/>
      <c r="AL111" s="65"/>
      <c r="AM111" s="65"/>
      <c r="AN111" s="65"/>
      <c r="AO111" s="65"/>
      <c r="AP111" s="65"/>
      <c r="AQ111" s="65"/>
      <c r="AR111" s="65"/>
      <c r="AS111" s="65"/>
      <c r="AT111" s="65"/>
      <c r="AU111" s="65"/>
      <c r="AV111" s="65"/>
      <c r="AW111" s="65"/>
      <c r="AX111" s="65"/>
      <c r="AY111" s="65"/>
      <c r="AZ111" s="65"/>
      <c r="BA111" s="65"/>
      <c r="BB111" s="65"/>
      <c r="BC111" s="65"/>
      <c r="BD111" s="65"/>
      <c r="BE111" s="65"/>
      <c r="BF111" s="65"/>
      <c r="BG111" s="65"/>
      <c r="BH111" s="65"/>
      <c r="BI111" s="65"/>
      <c r="BJ111" s="65"/>
      <c r="BK111" s="65"/>
      <c r="BL111" s="65"/>
      <c r="BM111" s="65"/>
      <c r="BN111" s="65"/>
      <c r="BO111" s="65"/>
      <c r="BP111" s="65"/>
      <c r="BQ111" s="65"/>
      <c r="BR111" s="65"/>
      <c r="BS111" s="65"/>
      <c r="BT111" s="65"/>
      <c r="BU111" s="65"/>
      <c r="BV111" s="65"/>
      <c r="BW111" s="65"/>
      <c r="BX111" s="65"/>
      <c r="BY111" s="65"/>
      <c r="BZ111" s="65"/>
      <c r="CA111" s="65"/>
      <c r="CB111" s="65"/>
      <c r="CC111" s="65"/>
      <c r="CD111" s="65"/>
      <c r="CE111" s="65"/>
      <c r="CF111" s="65"/>
      <c r="CG111" s="65"/>
      <c r="CH111" s="65"/>
      <c r="CI111" s="65"/>
      <c r="CJ111" s="65"/>
      <c r="CK111" s="65"/>
      <c r="CL111" s="65"/>
      <c r="CM111" s="65"/>
      <c r="CN111" s="65"/>
      <c r="CO111" s="65"/>
      <c r="CP111" s="65"/>
      <c r="CQ111" s="65"/>
      <c r="CR111" s="65"/>
      <c r="CS111" s="65"/>
      <c r="CT111" s="65"/>
      <c r="CU111" s="65"/>
      <c r="CV111" s="65"/>
      <c r="CW111" s="65"/>
      <c r="CX111" s="65"/>
      <c r="CY111" s="65"/>
      <c r="CZ111" s="65"/>
      <c r="DA111" s="65"/>
      <c r="DB111" s="65"/>
      <c r="DC111" s="65"/>
      <c r="DD111" s="65"/>
      <c r="DE111" s="65"/>
      <c r="DF111" s="65"/>
      <c r="DG111" s="65"/>
      <c r="DH111" s="65"/>
      <c r="DI111" s="65"/>
      <c r="DJ111" s="65"/>
      <c r="DK111" s="65"/>
      <c r="DL111" s="65"/>
      <c r="DM111" s="65"/>
      <c r="DN111" s="65"/>
      <c r="DO111" s="65"/>
      <c r="DP111" s="65"/>
      <c r="DQ111" s="65"/>
      <c r="DR111" s="65"/>
      <c r="DS111" s="65"/>
      <c r="DT111" s="65"/>
      <c r="DU111" s="65"/>
      <c r="DV111" s="65"/>
      <c r="DW111" s="65"/>
      <c r="DX111" s="65"/>
      <c r="DY111" s="65"/>
      <c r="DZ111" s="65"/>
      <c r="EA111" s="65"/>
      <c r="EB111" s="65"/>
      <c r="EC111" s="65"/>
      <c r="ED111" s="65"/>
      <c r="EE111" s="65"/>
      <c r="EF111" s="65"/>
      <c r="EG111" s="65"/>
      <c r="EH111" s="65"/>
      <c r="EI111" s="65"/>
      <c r="EJ111" s="65"/>
      <c r="EK111" s="65"/>
      <c r="EL111" s="65"/>
      <c r="EM111" s="65"/>
      <c r="EN111" s="65"/>
      <c r="EO111" s="65"/>
      <c r="EP111" s="65"/>
      <c r="EQ111" s="65"/>
      <c r="ER111" s="65"/>
      <c r="ES111" s="65"/>
      <c r="ET111" s="65"/>
      <c r="EU111" s="65"/>
      <c r="EV111" s="65"/>
      <c r="EW111" s="65"/>
      <c r="EX111" s="65"/>
      <c r="EY111" s="65"/>
      <c r="EZ111" s="65"/>
      <c r="FA111" s="65"/>
      <c r="FB111" s="65"/>
      <c r="FC111" s="65"/>
      <c r="FD111" s="65"/>
      <c r="FE111" s="65"/>
      <c r="FF111" s="65"/>
      <c r="FG111" s="65"/>
      <c r="FH111" s="65"/>
      <c r="FI111" s="65"/>
      <c r="FJ111" s="65"/>
      <c r="FK111" s="65"/>
      <c r="FL111" s="65"/>
      <c r="FM111" s="65"/>
      <c r="FN111" s="65"/>
      <c r="FO111" s="65"/>
      <c r="FP111" s="65"/>
      <c r="FQ111" s="65"/>
      <c r="FR111" s="65"/>
      <c r="FS111" s="65"/>
      <c r="FT111" s="65"/>
      <c r="FU111" s="65"/>
      <c r="FV111" s="65"/>
      <c r="FW111" s="65"/>
      <c r="FX111" s="65"/>
      <c r="FY111" s="65"/>
      <c r="FZ111" s="65"/>
      <c r="GA111" s="65"/>
      <c r="GB111" s="65"/>
      <c r="GC111" s="65"/>
      <c r="GD111" s="65"/>
      <c r="GE111" s="65"/>
      <c r="GF111" s="65"/>
      <c r="GG111" s="65"/>
      <c r="GH111" s="65"/>
      <c r="GI111" s="65"/>
      <c r="GJ111" s="65"/>
      <c r="GK111" s="65"/>
      <c r="GL111" s="65"/>
      <c r="GM111" s="65"/>
      <c r="GN111" s="65"/>
      <c r="GO111" s="65"/>
      <c r="GP111" s="65"/>
      <c r="GQ111" s="65"/>
      <c r="GR111" s="65"/>
      <c r="GS111" s="65"/>
      <c r="GT111" s="65"/>
      <c r="GU111" s="65"/>
      <c r="GV111" s="65"/>
      <c r="GW111" s="65"/>
      <c r="GX111" s="65"/>
      <c r="GY111" s="65"/>
      <c r="GZ111" s="65"/>
      <c r="HA111" s="65"/>
      <c r="HB111" s="65"/>
      <c r="HC111" s="65"/>
      <c r="HD111" s="65"/>
      <c r="HE111" s="65"/>
      <c r="HF111" s="65"/>
      <c r="HG111" s="65"/>
      <c r="HH111" s="65"/>
      <c r="HI111" s="65"/>
      <c r="HJ111" s="65"/>
      <c r="HK111" s="65"/>
      <c r="HL111" s="65"/>
      <c r="HM111" s="65"/>
      <c r="HN111" s="65"/>
      <c r="HO111" s="65"/>
    </row>
    <row r="112" spans="1:223" s="78" customFormat="1" ht="34.5" customHeight="1" x14ac:dyDescent="0.25">
      <c r="A112" s="353">
        <v>2025</v>
      </c>
      <c r="B112" s="354">
        <v>7</v>
      </c>
      <c r="C112" s="353">
        <v>22934</v>
      </c>
      <c r="D112" s="273"/>
      <c r="E112" s="81"/>
      <c r="F112" s="81"/>
      <c r="L112" s="79"/>
      <c r="V112" s="81"/>
      <c r="X112" s="66"/>
      <c r="Z112" s="80"/>
      <c r="AA112" s="371"/>
      <c r="AC112" s="228"/>
      <c r="AD112" s="228">
        <f t="shared" si="1"/>
        <v>0</v>
      </c>
      <c r="AE112" s="303"/>
      <c r="AG112" s="210"/>
      <c r="AH112" s="241"/>
      <c r="AL112" s="65"/>
      <c r="AM112" s="65"/>
      <c r="AN112" s="65"/>
      <c r="AO112" s="65"/>
      <c r="AP112" s="65"/>
      <c r="AQ112" s="65"/>
      <c r="AR112" s="65"/>
      <c r="AS112" s="65"/>
      <c r="AT112" s="65"/>
      <c r="AU112" s="65"/>
      <c r="AV112" s="65"/>
      <c r="AW112" s="65"/>
      <c r="AX112" s="65"/>
      <c r="AY112" s="65"/>
      <c r="AZ112" s="65"/>
      <c r="BA112" s="65"/>
      <c r="BB112" s="65"/>
      <c r="BC112" s="65"/>
      <c r="BD112" s="65"/>
      <c r="BE112" s="65"/>
      <c r="BF112" s="65"/>
      <c r="BG112" s="65"/>
      <c r="BH112" s="65"/>
      <c r="BI112" s="65"/>
      <c r="BJ112" s="65"/>
      <c r="BK112" s="65"/>
      <c r="BL112" s="65"/>
      <c r="BM112" s="65"/>
      <c r="BN112" s="65"/>
      <c r="BO112" s="65"/>
      <c r="BP112" s="65"/>
      <c r="BQ112" s="65"/>
      <c r="BR112" s="65"/>
      <c r="BS112" s="65"/>
      <c r="BT112" s="65"/>
      <c r="BU112" s="65"/>
      <c r="BV112" s="65"/>
      <c r="BW112" s="65"/>
      <c r="BX112" s="65"/>
      <c r="BY112" s="65"/>
      <c r="BZ112" s="65"/>
      <c r="CA112" s="65"/>
      <c r="CB112" s="65"/>
      <c r="CC112" s="65"/>
      <c r="CD112" s="65"/>
      <c r="CE112" s="65"/>
      <c r="CF112" s="65"/>
      <c r="CG112" s="65"/>
      <c r="CH112" s="65"/>
      <c r="CI112" s="65"/>
      <c r="CJ112" s="65"/>
      <c r="CK112" s="65"/>
      <c r="CL112" s="65"/>
      <c r="CM112" s="65"/>
      <c r="CN112" s="65"/>
      <c r="CO112" s="65"/>
      <c r="CP112" s="65"/>
      <c r="CQ112" s="65"/>
      <c r="CR112" s="65"/>
      <c r="CS112" s="65"/>
      <c r="CT112" s="65"/>
      <c r="CU112" s="65"/>
      <c r="CV112" s="65"/>
      <c r="CW112" s="65"/>
      <c r="CX112" s="65"/>
      <c r="CY112" s="65"/>
      <c r="CZ112" s="65"/>
      <c r="DA112" s="65"/>
      <c r="DB112" s="65"/>
      <c r="DC112" s="65"/>
      <c r="DD112" s="65"/>
      <c r="DE112" s="65"/>
      <c r="DF112" s="65"/>
      <c r="DG112" s="65"/>
      <c r="DH112" s="65"/>
      <c r="DI112" s="65"/>
      <c r="DJ112" s="65"/>
      <c r="DK112" s="65"/>
      <c r="DL112" s="65"/>
      <c r="DM112" s="65"/>
      <c r="DN112" s="65"/>
      <c r="DO112" s="65"/>
      <c r="DP112" s="65"/>
      <c r="DQ112" s="65"/>
      <c r="DR112" s="65"/>
      <c r="DS112" s="65"/>
      <c r="DT112" s="65"/>
      <c r="DU112" s="65"/>
      <c r="DV112" s="65"/>
      <c r="DW112" s="65"/>
      <c r="DX112" s="65"/>
      <c r="DY112" s="65"/>
      <c r="DZ112" s="65"/>
      <c r="EA112" s="65"/>
      <c r="EB112" s="65"/>
      <c r="EC112" s="65"/>
      <c r="ED112" s="65"/>
      <c r="EE112" s="65"/>
      <c r="EF112" s="65"/>
      <c r="EG112" s="65"/>
      <c r="EH112" s="65"/>
      <c r="EI112" s="65"/>
      <c r="EJ112" s="65"/>
      <c r="EK112" s="65"/>
      <c r="EL112" s="65"/>
      <c r="EM112" s="65"/>
      <c r="EN112" s="65"/>
      <c r="EO112" s="65"/>
      <c r="EP112" s="65"/>
      <c r="EQ112" s="65"/>
      <c r="ER112" s="65"/>
      <c r="ES112" s="65"/>
      <c r="ET112" s="65"/>
      <c r="EU112" s="65"/>
      <c r="EV112" s="65"/>
      <c r="EW112" s="65"/>
      <c r="EX112" s="65"/>
      <c r="EY112" s="65"/>
      <c r="EZ112" s="65"/>
      <c r="FA112" s="65"/>
      <c r="FB112" s="65"/>
      <c r="FC112" s="65"/>
      <c r="FD112" s="65"/>
      <c r="FE112" s="65"/>
      <c r="FF112" s="65"/>
      <c r="FG112" s="65"/>
      <c r="FH112" s="65"/>
      <c r="FI112" s="65"/>
      <c r="FJ112" s="65"/>
      <c r="FK112" s="65"/>
      <c r="FL112" s="65"/>
      <c r="FM112" s="65"/>
      <c r="FN112" s="65"/>
      <c r="FO112" s="65"/>
      <c r="FP112" s="65"/>
      <c r="FQ112" s="65"/>
      <c r="FR112" s="65"/>
      <c r="FS112" s="65"/>
      <c r="FT112" s="65"/>
      <c r="FU112" s="65"/>
      <c r="FV112" s="65"/>
      <c r="FW112" s="65"/>
      <c r="FX112" s="65"/>
      <c r="FY112" s="65"/>
      <c r="FZ112" s="65"/>
      <c r="GA112" s="65"/>
      <c r="GB112" s="65"/>
      <c r="GC112" s="65"/>
      <c r="GD112" s="65"/>
      <c r="GE112" s="65"/>
      <c r="GF112" s="65"/>
      <c r="GG112" s="65"/>
      <c r="GH112" s="65"/>
      <c r="GI112" s="65"/>
      <c r="GJ112" s="65"/>
      <c r="GK112" s="65"/>
      <c r="GL112" s="65"/>
      <c r="GM112" s="65"/>
      <c r="GN112" s="65"/>
      <c r="GO112" s="65"/>
      <c r="GP112" s="65"/>
      <c r="GQ112" s="65"/>
      <c r="GR112" s="65"/>
      <c r="GS112" s="65"/>
      <c r="GT112" s="65"/>
      <c r="GU112" s="65"/>
      <c r="GV112" s="65"/>
      <c r="GW112" s="65"/>
      <c r="GX112" s="65"/>
      <c r="GY112" s="65"/>
      <c r="GZ112" s="65"/>
      <c r="HA112" s="65"/>
      <c r="HB112" s="65"/>
      <c r="HC112" s="65"/>
      <c r="HD112" s="65"/>
      <c r="HE112" s="65"/>
      <c r="HF112" s="65"/>
      <c r="HG112" s="65"/>
      <c r="HH112" s="65"/>
      <c r="HI112" s="65"/>
      <c r="HJ112" s="65"/>
      <c r="HK112" s="65"/>
      <c r="HL112" s="65"/>
      <c r="HM112" s="65"/>
      <c r="HN112" s="65"/>
      <c r="HO112" s="65"/>
    </row>
    <row r="113" spans="1:223" s="78" customFormat="1" ht="34.5" customHeight="1" x14ac:dyDescent="0.25">
      <c r="A113" s="353">
        <v>2025</v>
      </c>
      <c r="B113" s="354">
        <v>7</v>
      </c>
      <c r="C113" s="353">
        <v>22935</v>
      </c>
      <c r="D113" s="273"/>
      <c r="E113" s="81"/>
      <c r="F113" s="81"/>
      <c r="L113" s="79"/>
      <c r="V113" s="81"/>
      <c r="X113" s="66"/>
      <c r="Z113" s="80"/>
      <c r="AA113" s="371"/>
      <c r="AC113" s="228"/>
      <c r="AD113" s="228">
        <f t="shared" si="1"/>
        <v>0</v>
      </c>
      <c r="AE113" s="303"/>
      <c r="AG113" s="210"/>
      <c r="AH113" s="241"/>
      <c r="AL113" s="65"/>
      <c r="AM113" s="65"/>
      <c r="AN113" s="65"/>
      <c r="AO113" s="65"/>
      <c r="AP113" s="65"/>
      <c r="AQ113" s="65"/>
      <c r="AR113" s="65"/>
      <c r="AS113" s="65"/>
      <c r="AT113" s="65"/>
      <c r="AU113" s="65"/>
      <c r="AV113" s="65"/>
      <c r="AW113" s="65"/>
      <c r="AX113" s="65"/>
      <c r="AY113" s="65"/>
      <c r="AZ113" s="65"/>
      <c r="BA113" s="65"/>
      <c r="BB113" s="65"/>
      <c r="BC113" s="65"/>
      <c r="BD113" s="65"/>
      <c r="BE113" s="65"/>
      <c r="BF113" s="65"/>
      <c r="BG113" s="65"/>
      <c r="BH113" s="65"/>
      <c r="BI113" s="65"/>
      <c r="BJ113" s="65"/>
      <c r="BK113" s="65"/>
      <c r="BL113" s="65"/>
      <c r="BM113" s="65"/>
      <c r="BN113" s="65"/>
      <c r="BO113" s="65"/>
      <c r="BP113" s="65"/>
      <c r="BQ113" s="65"/>
      <c r="BR113" s="65"/>
      <c r="BS113" s="65"/>
      <c r="BT113" s="65"/>
      <c r="BU113" s="65"/>
      <c r="BV113" s="65"/>
      <c r="BW113" s="65"/>
      <c r="BX113" s="65"/>
      <c r="BY113" s="65"/>
      <c r="BZ113" s="65"/>
      <c r="CA113" s="65"/>
      <c r="CB113" s="65"/>
      <c r="CC113" s="65"/>
      <c r="CD113" s="65"/>
      <c r="CE113" s="65"/>
      <c r="CF113" s="65"/>
      <c r="CG113" s="65"/>
      <c r="CH113" s="65"/>
      <c r="CI113" s="65"/>
      <c r="CJ113" s="65"/>
      <c r="CK113" s="65"/>
      <c r="CL113" s="65"/>
      <c r="CM113" s="65"/>
      <c r="CN113" s="65"/>
      <c r="CO113" s="65"/>
      <c r="CP113" s="65"/>
      <c r="CQ113" s="65"/>
      <c r="CR113" s="65"/>
      <c r="CS113" s="65"/>
      <c r="CT113" s="65"/>
      <c r="CU113" s="65"/>
      <c r="CV113" s="65"/>
      <c r="CW113" s="65"/>
      <c r="CX113" s="65"/>
      <c r="CY113" s="65"/>
      <c r="CZ113" s="65"/>
      <c r="DA113" s="65"/>
      <c r="DB113" s="65"/>
      <c r="DC113" s="65"/>
      <c r="DD113" s="65"/>
      <c r="DE113" s="65"/>
      <c r="DF113" s="65"/>
      <c r="DG113" s="65"/>
      <c r="DH113" s="65"/>
      <c r="DI113" s="65"/>
      <c r="DJ113" s="65"/>
      <c r="DK113" s="65"/>
      <c r="DL113" s="65"/>
      <c r="DM113" s="65"/>
      <c r="DN113" s="65"/>
      <c r="DO113" s="65"/>
      <c r="DP113" s="65"/>
      <c r="DQ113" s="65"/>
      <c r="DR113" s="65"/>
      <c r="DS113" s="65"/>
      <c r="DT113" s="65"/>
      <c r="DU113" s="65"/>
      <c r="DV113" s="65"/>
      <c r="DW113" s="65"/>
      <c r="DX113" s="65"/>
      <c r="DY113" s="65"/>
      <c r="DZ113" s="65"/>
      <c r="EA113" s="65"/>
      <c r="EB113" s="65"/>
      <c r="EC113" s="65"/>
      <c r="ED113" s="65"/>
      <c r="EE113" s="65"/>
      <c r="EF113" s="65"/>
      <c r="EG113" s="65"/>
      <c r="EH113" s="65"/>
      <c r="EI113" s="65"/>
      <c r="EJ113" s="65"/>
      <c r="EK113" s="65"/>
      <c r="EL113" s="65"/>
      <c r="EM113" s="65"/>
      <c r="EN113" s="65"/>
      <c r="EO113" s="65"/>
      <c r="EP113" s="65"/>
      <c r="EQ113" s="65"/>
      <c r="ER113" s="65"/>
      <c r="ES113" s="65"/>
      <c r="ET113" s="65"/>
      <c r="EU113" s="65"/>
      <c r="EV113" s="65"/>
      <c r="EW113" s="65"/>
      <c r="EX113" s="65"/>
      <c r="EY113" s="65"/>
      <c r="EZ113" s="65"/>
      <c r="FA113" s="65"/>
      <c r="FB113" s="65"/>
      <c r="FC113" s="65"/>
      <c r="FD113" s="65"/>
      <c r="FE113" s="65"/>
      <c r="FF113" s="65"/>
      <c r="FG113" s="65"/>
      <c r="FH113" s="65"/>
      <c r="FI113" s="65"/>
      <c r="FJ113" s="65"/>
      <c r="FK113" s="65"/>
      <c r="FL113" s="65"/>
      <c r="FM113" s="65"/>
      <c r="FN113" s="65"/>
      <c r="FO113" s="65"/>
      <c r="FP113" s="65"/>
      <c r="FQ113" s="65"/>
      <c r="FR113" s="65"/>
      <c r="FS113" s="65"/>
      <c r="FT113" s="65"/>
      <c r="FU113" s="65"/>
      <c r="FV113" s="65"/>
      <c r="FW113" s="65"/>
      <c r="FX113" s="65"/>
      <c r="FY113" s="65"/>
      <c r="FZ113" s="65"/>
      <c r="GA113" s="65"/>
      <c r="GB113" s="65"/>
      <c r="GC113" s="65"/>
      <c r="GD113" s="65"/>
      <c r="GE113" s="65"/>
      <c r="GF113" s="65"/>
      <c r="GG113" s="65"/>
      <c r="GH113" s="65"/>
      <c r="GI113" s="65"/>
      <c r="GJ113" s="65"/>
      <c r="GK113" s="65"/>
      <c r="GL113" s="65"/>
      <c r="GM113" s="65"/>
      <c r="GN113" s="65"/>
      <c r="GO113" s="65"/>
      <c r="GP113" s="65"/>
      <c r="GQ113" s="65"/>
      <c r="GR113" s="65"/>
      <c r="GS113" s="65"/>
      <c r="GT113" s="65"/>
      <c r="GU113" s="65"/>
      <c r="GV113" s="65"/>
      <c r="GW113" s="65"/>
      <c r="GX113" s="65"/>
      <c r="GY113" s="65"/>
      <c r="GZ113" s="65"/>
      <c r="HA113" s="65"/>
      <c r="HB113" s="65"/>
      <c r="HC113" s="65"/>
      <c r="HD113" s="65"/>
      <c r="HE113" s="65"/>
      <c r="HF113" s="65"/>
      <c r="HG113" s="65"/>
      <c r="HH113" s="65"/>
      <c r="HI113" s="65"/>
      <c r="HJ113" s="65"/>
      <c r="HK113" s="65"/>
      <c r="HL113" s="65"/>
      <c r="HM113" s="65"/>
      <c r="HN113" s="65"/>
      <c r="HO113" s="65"/>
    </row>
    <row r="114" spans="1:223" s="78" customFormat="1" ht="34.5" customHeight="1" x14ac:dyDescent="0.25">
      <c r="A114" s="353">
        <v>2025</v>
      </c>
      <c r="B114" s="354">
        <v>7</v>
      </c>
      <c r="C114" s="355">
        <v>22936</v>
      </c>
      <c r="D114" s="273"/>
      <c r="E114" s="81"/>
      <c r="F114" s="81"/>
      <c r="L114" s="79"/>
      <c r="V114" s="81"/>
      <c r="X114" s="66"/>
      <c r="Z114" s="80"/>
      <c r="AA114" s="371"/>
      <c r="AC114" s="228"/>
      <c r="AD114" s="228">
        <f t="shared" si="1"/>
        <v>0</v>
      </c>
      <c r="AE114" s="303"/>
      <c r="AG114" s="210"/>
      <c r="AH114" s="241"/>
      <c r="AL114" s="65"/>
      <c r="AM114" s="65"/>
      <c r="AN114" s="65"/>
      <c r="AO114" s="65"/>
      <c r="AP114" s="65"/>
      <c r="AQ114" s="65"/>
      <c r="AR114" s="65"/>
      <c r="AS114" s="65"/>
      <c r="AT114" s="65"/>
      <c r="AU114" s="65"/>
      <c r="AV114" s="65"/>
      <c r="AW114" s="65"/>
      <c r="AX114" s="65"/>
      <c r="AY114" s="65"/>
      <c r="AZ114" s="65"/>
      <c r="BA114" s="65"/>
      <c r="BB114" s="65"/>
      <c r="BC114" s="65"/>
      <c r="BD114" s="65"/>
      <c r="BE114" s="65"/>
      <c r="BF114" s="65"/>
      <c r="BG114" s="65"/>
      <c r="BH114" s="65"/>
      <c r="BI114" s="65"/>
      <c r="BJ114" s="65"/>
      <c r="BK114" s="65"/>
      <c r="BL114" s="65"/>
      <c r="BM114" s="65"/>
      <c r="BN114" s="65"/>
      <c r="BO114" s="65"/>
      <c r="BP114" s="65"/>
      <c r="BQ114" s="65"/>
      <c r="BR114" s="65"/>
      <c r="BS114" s="65"/>
      <c r="BT114" s="65"/>
      <c r="BU114" s="65"/>
      <c r="BV114" s="65"/>
      <c r="BW114" s="65"/>
      <c r="BX114" s="65"/>
      <c r="BY114" s="65"/>
      <c r="BZ114" s="65"/>
      <c r="CA114" s="65"/>
      <c r="CB114" s="65"/>
      <c r="CC114" s="65"/>
      <c r="CD114" s="65"/>
      <c r="CE114" s="65"/>
      <c r="CF114" s="65"/>
      <c r="CG114" s="65"/>
      <c r="CH114" s="65"/>
      <c r="CI114" s="65"/>
      <c r="CJ114" s="65"/>
      <c r="CK114" s="65"/>
      <c r="CL114" s="65"/>
      <c r="CM114" s="65"/>
      <c r="CN114" s="65"/>
      <c r="CO114" s="65"/>
      <c r="CP114" s="65"/>
      <c r="CQ114" s="65"/>
      <c r="CR114" s="65"/>
      <c r="CS114" s="65"/>
      <c r="CT114" s="65"/>
      <c r="CU114" s="65"/>
      <c r="CV114" s="65"/>
      <c r="CW114" s="65"/>
      <c r="CX114" s="65"/>
      <c r="CY114" s="65"/>
      <c r="CZ114" s="65"/>
      <c r="DA114" s="65"/>
      <c r="DB114" s="65"/>
      <c r="DC114" s="65"/>
      <c r="DD114" s="65"/>
      <c r="DE114" s="65"/>
      <c r="DF114" s="65"/>
      <c r="DG114" s="65"/>
      <c r="DH114" s="65"/>
      <c r="DI114" s="65"/>
      <c r="DJ114" s="65"/>
      <c r="DK114" s="65"/>
      <c r="DL114" s="65"/>
      <c r="DM114" s="65"/>
      <c r="DN114" s="65"/>
      <c r="DO114" s="65"/>
      <c r="DP114" s="65"/>
      <c r="DQ114" s="65"/>
      <c r="DR114" s="65"/>
      <c r="DS114" s="65"/>
      <c r="DT114" s="65"/>
      <c r="DU114" s="65"/>
      <c r="DV114" s="65"/>
      <c r="DW114" s="65"/>
      <c r="DX114" s="65"/>
      <c r="DY114" s="65"/>
      <c r="DZ114" s="65"/>
      <c r="EA114" s="65"/>
      <c r="EB114" s="65"/>
      <c r="EC114" s="65"/>
      <c r="ED114" s="65"/>
      <c r="EE114" s="65"/>
      <c r="EF114" s="65"/>
      <c r="EG114" s="65"/>
      <c r="EH114" s="65"/>
      <c r="EI114" s="65"/>
      <c r="EJ114" s="65"/>
      <c r="EK114" s="65"/>
      <c r="EL114" s="65"/>
      <c r="EM114" s="65"/>
      <c r="EN114" s="65"/>
      <c r="EO114" s="65"/>
      <c r="EP114" s="65"/>
      <c r="EQ114" s="65"/>
      <c r="ER114" s="65"/>
      <c r="ES114" s="65"/>
      <c r="ET114" s="65"/>
      <c r="EU114" s="65"/>
      <c r="EV114" s="65"/>
      <c r="EW114" s="65"/>
      <c r="EX114" s="65"/>
      <c r="EY114" s="65"/>
      <c r="EZ114" s="65"/>
      <c r="FA114" s="65"/>
      <c r="FB114" s="65"/>
      <c r="FC114" s="65"/>
      <c r="FD114" s="65"/>
      <c r="FE114" s="65"/>
      <c r="FF114" s="65"/>
      <c r="FG114" s="65"/>
      <c r="FH114" s="65"/>
      <c r="FI114" s="65"/>
      <c r="FJ114" s="65"/>
      <c r="FK114" s="65"/>
      <c r="FL114" s="65"/>
      <c r="FM114" s="65"/>
      <c r="FN114" s="65"/>
      <c r="FO114" s="65"/>
      <c r="FP114" s="65"/>
      <c r="FQ114" s="65"/>
      <c r="FR114" s="65"/>
      <c r="FS114" s="65"/>
      <c r="FT114" s="65"/>
      <c r="FU114" s="65"/>
      <c r="FV114" s="65"/>
      <c r="FW114" s="65"/>
      <c r="FX114" s="65"/>
      <c r="FY114" s="65"/>
      <c r="FZ114" s="65"/>
      <c r="GA114" s="65"/>
      <c r="GB114" s="65"/>
      <c r="GC114" s="65"/>
      <c r="GD114" s="65"/>
      <c r="GE114" s="65"/>
      <c r="GF114" s="65"/>
      <c r="GG114" s="65"/>
      <c r="GH114" s="65"/>
      <c r="GI114" s="65"/>
      <c r="GJ114" s="65"/>
      <c r="GK114" s="65"/>
      <c r="GL114" s="65"/>
      <c r="GM114" s="65"/>
      <c r="GN114" s="65"/>
      <c r="GO114" s="65"/>
      <c r="GP114" s="65"/>
      <c r="GQ114" s="65"/>
      <c r="GR114" s="65"/>
      <c r="GS114" s="65"/>
      <c r="GT114" s="65"/>
      <c r="GU114" s="65"/>
      <c r="GV114" s="65"/>
      <c r="GW114" s="65"/>
      <c r="GX114" s="65"/>
      <c r="GY114" s="65"/>
      <c r="GZ114" s="65"/>
      <c r="HA114" s="65"/>
      <c r="HB114" s="65"/>
      <c r="HC114" s="65"/>
      <c r="HD114" s="65"/>
      <c r="HE114" s="65"/>
      <c r="HF114" s="65"/>
      <c r="HG114" s="65"/>
      <c r="HH114" s="65"/>
      <c r="HI114" s="65"/>
      <c r="HJ114" s="65"/>
      <c r="HK114" s="65"/>
      <c r="HL114" s="65"/>
      <c r="HM114" s="65"/>
      <c r="HN114" s="65"/>
      <c r="HO114" s="65"/>
    </row>
    <row r="115" spans="1:223" ht="34.5" customHeight="1" x14ac:dyDescent="0.25">
      <c r="C115" s="359"/>
    </row>
    <row r="116" spans="1:223" ht="34.5" customHeight="1" x14ac:dyDescent="0.25">
      <c r="C116" s="359"/>
    </row>
    <row r="117" spans="1:223" ht="34.5" customHeight="1" x14ac:dyDescent="0.25">
      <c r="C117" s="359"/>
    </row>
    <row r="118" spans="1:223" ht="34.5" customHeight="1" x14ac:dyDescent="0.25">
      <c r="C118" s="359"/>
    </row>
    <row r="119" spans="1:223" ht="34.5" customHeight="1" x14ac:dyDescent="0.25">
      <c r="C119" s="359"/>
    </row>
    <row r="120" spans="1:223" ht="34.5" customHeight="1" x14ac:dyDescent="0.25">
      <c r="C120" s="359"/>
    </row>
    <row r="121" spans="1:223" ht="34.5" customHeight="1" x14ac:dyDescent="0.25">
      <c r="C121" s="359"/>
    </row>
    <row r="122" spans="1:223" ht="34.5" customHeight="1" x14ac:dyDescent="0.25">
      <c r="C122" s="359"/>
    </row>
    <row r="123" spans="1:223" ht="34.5" customHeight="1" x14ac:dyDescent="0.25">
      <c r="C123" s="359"/>
    </row>
    <row r="124" spans="1:223" ht="34.5" customHeight="1" x14ac:dyDescent="0.25">
      <c r="C124" s="359"/>
    </row>
    <row r="125" spans="1:223" ht="34.5" customHeight="1" x14ac:dyDescent="0.25">
      <c r="C125" s="359"/>
    </row>
    <row r="126" spans="1:223" ht="34.5" customHeight="1" x14ac:dyDescent="0.25">
      <c r="C126" s="359"/>
    </row>
    <row r="127" spans="1:223" ht="34.5" customHeight="1" x14ac:dyDescent="0.25">
      <c r="C127" s="359"/>
    </row>
    <row r="128" spans="1:223" ht="34.5" customHeight="1" x14ac:dyDescent="0.25">
      <c r="C128" s="359"/>
    </row>
    <row r="129" spans="3:3" ht="34.5" customHeight="1" x14ac:dyDescent="0.25">
      <c r="C129" s="359"/>
    </row>
    <row r="130" spans="3:3" ht="34.5" customHeight="1" x14ac:dyDescent="0.25">
      <c r="C130" s="359"/>
    </row>
    <row r="131" spans="3:3" ht="34.5" customHeight="1" x14ac:dyDescent="0.25">
      <c r="C131" s="359"/>
    </row>
    <row r="132" spans="3:3" ht="34.5" customHeight="1" x14ac:dyDescent="0.25">
      <c r="C132" s="359"/>
    </row>
    <row r="133" spans="3:3" ht="34.5" customHeight="1" x14ac:dyDescent="0.25">
      <c r="C133" s="359"/>
    </row>
    <row r="134" spans="3:3" ht="34.5" customHeight="1" x14ac:dyDescent="0.25">
      <c r="C134" s="359"/>
    </row>
    <row r="135" spans="3:3" ht="34.5" customHeight="1" x14ac:dyDescent="0.25">
      <c r="C135" s="359"/>
    </row>
    <row r="136" spans="3:3" ht="34.5" customHeight="1" x14ac:dyDescent="0.25">
      <c r="C136" s="359"/>
    </row>
    <row r="137" spans="3:3" ht="34.5" customHeight="1" x14ac:dyDescent="0.25">
      <c r="C137" s="359"/>
    </row>
    <row r="138" spans="3:3" ht="34.5" customHeight="1" x14ac:dyDescent="0.25">
      <c r="C138" s="359"/>
    </row>
    <row r="139" spans="3:3" ht="34.5" customHeight="1" x14ac:dyDescent="0.25">
      <c r="C139" s="359"/>
    </row>
    <row r="140" spans="3:3" ht="34.5" customHeight="1" x14ac:dyDescent="0.25">
      <c r="C140" s="359"/>
    </row>
    <row r="141" spans="3:3" ht="34.5" customHeight="1" x14ac:dyDescent="0.25">
      <c r="C141" s="359"/>
    </row>
    <row r="142" spans="3:3" ht="34.5" customHeight="1" x14ac:dyDescent="0.25">
      <c r="C142" s="359"/>
    </row>
    <row r="143" spans="3:3" ht="34.5" customHeight="1" x14ac:dyDescent="0.25">
      <c r="C143" s="359"/>
    </row>
    <row r="144" spans="3:3" ht="34.5" customHeight="1" x14ac:dyDescent="0.25">
      <c r="C144" s="359"/>
    </row>
    <row r="145" spans="3:3" ht="34.5" customHeight="1" x14ac:dyDescent="0.25">
      <c r="C145" s="359"/>
    </row>
    <row r="146" spans="3:3" ht="34.5" customHeight="1" x14ac:dyDescent="0.25">
      <c r="C146" s="359"/>
    </row>
    <row r="147" spans="3:3" ht="34.5" customHeight="1" x14ac:dyDescent="0.25">
      <c r="C147" s="359"/>
    </row>
    <row r="148" spans="3:3" ht="34.5" customHeight="1" x14ac:dyDescent="0.25">
      <c r="C148" s="359"/>
    </row>
    <row r="149" spans="3:3" ht="34.5" customHeight="1" x14ac:dyDescent="0.25">
      <c r="C149" s="359"/>
    </row>
    <row r="150" spans="3:3" ht="34.5" customHeight="1" x14ac:dyDescent="0.25">
      <c r="C150" s="359"/>
    </row>
    <row r="151" spans="3:3" ht="34.5" customHeight="1" x14ac:dyDescent="0.25">
      <c r="C151" s="359"/>
    </row>
    <row r="152" spans="3:3" ht="34.5" customHeight="1" x14ac:dyDescent="0.25">
      <c r="C152" s="359"/>
    </row>
    <row r="153" spans="3:3" ht="34.5" customHeight="1" x14ac:dyDescent="0.25">
      <c r="C153" s="359"/>
    </row>
    <row r="154" spans="3:3" ht="34.5" customHeight="1" x14ac:dyDescent="0.25">
      <c r="C154" s="359"/>
    </row>
    <row r="155" spans="3:3" ht="34.5" customHeight="1" x14ac:dyDescent="0.25">
      <c r="C155" s="359"/>
    </row>
    <row r="156" spans="3:3" ht="34.5" customHeight="1" x14ac:dyDescent="0.25">
      <c r="C156" s="359"/>
    </row>
    <row r="157" spans="3:3" ht="34.5" customHeight="1" x14ac:dyDescent="0.25">
      <c r="C157" s="359"/>
    </row>
    <row r="158" spans="3:3" ht="34.5" customHeight="1" x14ac:dyDescent="0.25">
      <c r="C158" s="359"/>
    </row>
    <row r="159" spans="3:3" ht="34.5" customHeight="1" x14ac:dyDescent="0.25">
      <c r="C159" s="359"/>
    </row>
    <row r="160" spans="3:3" ht="34.5" customHeight="1" x14ac:dyDescent="0.25">
      <c r="C160" s="359"/>
    </row>
    <row r="161" spans="3:3" ht="34.5" customHeight="1" x14ac:dyDescent="0.25">
      <c r="C161" s="359"/>
    </row>
    <row r="162" spans="3:3" ht="34.5" customHeight="1" x14ac:dyDescent="0.25">
      <c r="C162" s="359"/>
    </row>
    <row r="163" spans="3:3" ht="34.5" customHeight="1" x14ac:dyDescent="0.25">
      <c r="C163" s="359"/>
    </row>
    <row r="164" spans="3:3" ht="34.5" customHeight="1" x14ac:dyDescent="0.25">
      <c r="C164" s="359"/>
    </row>
    <row r="165" spans="3:3" ht="34.5" customHeight="1" x14ac:dyDescent="0.25">
      <c r="C165" s="359"/>
    </row>
    <row r="166" spans="3:3" ht="34.5" customHeight="1" x14ac:dyDescent="0.25">
      <c r="C166" s="359"/>
    </row>
    <row r="167" spans="3:3" ht="34.5" customHeight="1" x14ac:dyDescent="0.25">
      <c r="C167" s="359"/>
    </row>
    <row r="168" spans="3:3" ht="34.5" customHeight="1" x14ac:dyDescent="0.25">
      <c r="C168" s="359"/>
    </row>
    <row r="169" spans="3:3" ht="34.5" customHeight="1" x14ac:dyDescent="0.25">
      <c r="C169" s="359"/>
    </row>
    <row r="170" spans="3:3" ht="34.5" customHeight="1" x14ac:dyDescent="0.25">
      <c r="C170" s="359"/>
    </row>
    <row r="171" spans="3:3" ht="34.5" customHeight="1" x14ac:dyDescent="0.25">
      <c r="C171" s="359"/>
    </row>
    <row r="172" spans="3:3" ht="34.5" customHeight="1" x14ac:dyDescent="0.25">
      <c r="C172" s="359"/>
    </row>
    <row r="173" spans="3:3" ht="34.5" customHeight="1" x14ac:dyDescent="0.25">
      <c r="C173" s="359"/>
    </row>
    <row r="174" spans="3:3" ht="34.5" customHeight="1" x14ac:dyDescent="0.25">
      <c r="C174" s="359"/>
    </row>
    <row r="175" spans="3:3" ht="34.5" customHeight="1" x14ac:dyDescent="0.25">
      <c r="C175" s="359"/>
    </row>
    <row r="176" spans="3:3" ht="34.5" customHeight="1" x14ac:dyDescent="0.25">
      <c r="C176" s="359"/>
    </row>
    <row r="177" spans="3:3" ht="34.5" customHeight="1" x14ac:dyDescent="0.25">
      <c r="C177" s="359"/>
    </row>
    <row r="178" spans="3:3" ht="34.5" customHeight="1" x14ac:dyDescent="0.25">
      <c r="C178" s="359"/>
    </row>
    <row r="179" spans="3:3" ht="34.5" customHeight="1" x14ac:dyDescent="0.25">
      <c r="C179" s="359"/>
    </row>
    <row r="180" spans="3:3" ht="34.5" customHeight="1" x14ac:dyDescent="0.25">
      <c r="C180" s="359"/>
    </row>
    <row r="181" spans="3:3" ht="34.5" customHeight="1" x14ac:dyDescent="0.25">
      <c r="C181" s="359"/>
    </row>
    <row r="182" spans="3:3" ht="34.5" customHeight="1" x14ac:dyDescent="0.25">
      <c r="C182" s="359"/>
    </row>
    <row r="183" spans="3:3" ht="34.5" customHeight="1" x14ac:dyDescent="0.25">
      <c r="C183" s="359"/>
    </row>
    <row r="184" spans="3:3" ht="34.5" customHeight="1" x14ac:dyDescent="0.25">
      <c r="C184" s="359"/>
    </row>
    <row r="185" spans="3:3" ht="34.5" customHeight="1" x14ac:dyDescent="0.25">
      <c r="C185" s="359"/>
    </row>
    <row r="186" spans="3:3" ht="34.5" customHeight="1" x14ac:dyDescent="0.25">
      <c r="C186" s="359"/>
    </row>
    <row r="187" spans="3:3" ht="34.5" customHeight="1" x14ac:dyDescent="0.25">
      <c r="C187" s="359"/>
    </row>
    <row r="188" spans="3:3" ht="34.5" customHeight="1" x14ac:dyDescent="0.25">
      <c r="C188" s="359"/>
    </row>
    <row r="189" spans="3:3" ht="34.5" customHeight="1" x14ac:dyDescent="0.25">
      <c r="C189" s="359"/>
    </row>
    <row r="190" spans="3:3" ht="34.5" customHeight="1" x14ac:dyDescent="0.25">
      <c r="C190" s="359"/>
    </row>
    <row r="191" spans="3:3" ht="34.5" customHeight="1" x14ac:dyDescent="0.25">
      <c r="C191" s="359"/>
    </row>
    <row r="192" spans="3:3" ht="34.5" customHeight="1" x14ac:dyDescent="0.25">
      <c r="C192" s="359"/>
    </row>
    <row r="193" spans="3:3" ht="34.5" customHeight="1" x14ac:dyDescent="0.25">
      <c r="C193" s="359"/>
    </row>
    <row r="194" spans="3:3" ht="34.5" customHeight="1" x14ac:dyDescent="0.25">
      <c r="C194" s="359"/>
    </row>
    <row r="195" spans="3:3" ht="34.5" customHeight="1" x14ac:dyDescent="0.25">
      <c r="C195" s="359"/>
    </row>
    <row r="196" spans="3:3" ht="34.5" customHeight="1" x14ac:dyDescent="0.25">
      <c r="C196" s="359"/>
    </row>
    <row r="197" spans="3:3" ht="34.5" customHeight="1" x14ac:dyDescent="0.25">
      <c r="C197" s="359"/>
    </row>
    <row r="198" spans="3:3" ht="34.5" customHeight="1" x14ac:dyDescent="0.25">
      <c r="C198" s="359"/>
    </row>
    <row r="199" spans="3:3" ht="34.5" customHeight="1" x14ac:dyDescent="0.25">
      <c r="C199" s="359"/>
    </row>
    <row r="200" spans="3:3" ht="34.5" customHeight="1" x14ac:dyDescent="0.25">
      <c r="C200" s="359"/>
    </row>
    <row r="201" spans="3:3" ht="34.5" customHeight="1" x14ac:dyDescent="0.25">
      <c r="C201" s="359"/>
    </row>
    <row r="202" spans="3:3" ht="34.5" customHeight="1" x14ac:dyDescent="0.25">
      <c r="C202" s="359"/>
    </row>
    <row r="203" spans="3:3" ht="34.5" customHeight="1" x14ac:dyDescent="0.25">
      <c r="C203" s="359"/>
    </row>
    <row r="204" spans="3:3" ht="34.5" customHeight="1" x14ac:dyDescent="0.25">
      <c r="C204" s="359"/>
    </row>
    <row r="205" spans="3:3" ht="34.5" customHeight="1" x14ac:dyDescent="0.25">
      <c r="C205" s="359"/>
    </row>
    <row r="206" spans="3:3" ht="34.5" customHeight="1" x14ac:dyDescent="0.25">
      <c r="C206" s="359"/>
    </row>
    <row r="207" spans="3:3" ht="34.5" customHeight="1" x14ac:dyDescent="0.25">
      <c r="C207" s="359"/>
    </row>
    <row r="208" spans="3:3" ht="34.5" customHeight="1" x14ac:dyDescent="0.25">
      <c r="C208" s="359"/>
    </row>
    <row r="209" spans="3:3" ht="34.5" customHeight="1" x14ac:dyDescent="0.25">
      <c r="C209" s="359"/>
    </row>
    <row r="210" spans="3:3" ht="34.5" customHeight="1" x14ac:dyDescent="0.25">
      <c r="C210" s="359"/>
    </row>
    <row r="211" spans="3:3" ht="34.5" customHeight="1" x14ac:dyDescent="0.25">
      <c r="C211" s="359"/>
    </row>
    <row r="212" spans="3:3" ht="34.5" customHeight="1" x14ac:dyDescent="0.25">
      <c r="C212" s="359"/>
    </row>
    <row r="213" spans="3:3" ht="34.5" customHeight="1" x14ac:dyDescent="0.25">
      <c r="C213" s="359"/>
    </row>
    <row r="214" spans="3:3" ht="34.5" customHeight="1" x14ac:dyDescent="0.25">
      <c r="C214" s="359"/>
    </row>
    <row r="215" spans="3:3" ht="34.5" customHeight="1" x14ac:dyDescent="0.25">
      <c r="C215" s="359"/>
    </row>
    <row r="216" spans="3:3" ht="34.5" customHeight="1" x14ac:dyDescent="0.25">
      <c r="C216" s="359"/>
    </row>
    <row r="217" spans="3:3" ht="34.5" customHeight="1" x14ac:dyDescent="0.25">
      <c r="C217" s="359"/>
    </row>
    <row r="218" spans="3:3" ht="34.5" customHeight="1" x14ac:dyDescent="0.25">
      <c r="C218" s="359"/>
    </row>
    <row r="219" spans="3:3" ht="34.5" customHeight="1" x14ac:dyDescent="0.25">
      <c r="C219" s="359"/>
    </row>
    <row r="220" spans="3:3" ht="34.5" customHeight="1" x14ac:dyDescent="0.25">
      <c r="C220" s="359"/>
    </row>
    <row r="221" spans="3:3" ht="34.5" customHeight="1" x14ac:dyDescent="0.25">
      <c r="C221" s="359"/>
    </row>
    <row r="222" spans="3:3" ht="34.5" customHeight="1" x14ac:dyDescent="0.25">
      <c r="C222" s="359"/>
    </row>
    <row r="223" spans="3:3" ht="34.5" customHeight="1" x14ac:dyDescent="0.25">
      <c r="C223" s="359"/>
    </row>
    <row r="224" spans="3:3" ht="34.5" customHeight="1" x14ac:dyDescent="0.25">
      <c r="C224" s="359"/>
    </row>
    <row r="225" spans="3:3" ht="34.5" customHeight="1" x14ac:dyDescent="0.25">
      <c r="C225" s="359"/>
    </row>
    <row r="226" spans="3:3" ht="34.5" customHeight="1" x14ac:dyDescent="0.25">
      <c r="C226" s="359"/>
    </row>
    <row r="227" spans="3:3" ht="34.5" customHeight="1" x14ac:dyDescent="0.25">
      <c r="C227" s="359"/>
    </row>
    <row r="228" spans="3:3" ht="34.5" customHeight="1" x14ac:dyDescent="0.25">
      <c r="C228" s="359"/>
    </row>
    <row r="229" spans="3:3" ht="34.5" customHeight="1" x14ac:dyDescent="0.25">
      <c r="C229" s="359"/>
    </row>
    <row r="230" spans="3:3" ht="34.5" customHeight="1" x14ac:dyDescent="0.25">
      <c r="C230" s="359"/>
    </row>
    <row r="231" spans="3:3" ht="34.5" customHeight="1" x14ac:dyDescent="0.25">
      <c r="C231" s="359"/>
    </row>
    <row r="232" spans="3:3" ht="34.5" customHeight="1" x14ac:dyDescent="0.25">
      <c r="C232" s="359"/>
    </row>
    <row r="233" spans="3:3" ht="34.5" customHeight="1" x14ac:dyDescent="0.25">
      <c r="C233" s="359"/>
    </row>
    <row r="234" spans="3:3" ht="34.5" customHeight="1" x14ac:dyDescent="0.25">
      <c r="C234" s="359"/>
    </row>
    <row r="235" spans="3:3" ht="34.5" customHeight="1" x14ac:dyDescent="0.25">
      <c r="C235" s="359"/>
    </row>
    <row r="236" spans="3:3" ht="34.5" customHeight="1" x14ac:dyDescent="0.25">
      <c r="C236" s="359"/>
    </row>
    <row r="237" spans="3:3" ht="34.5" customHeight="1" x14ac:dyDescent="0.25">
      <c r="C237" s="359"/>
    </row>
    <row r="238" spans="3:3" ht="34.5" customHeight="1" x14ac:dyDescent="0.25">
      <c r="C238" s="359"/>
    </row>
    <row r="239" spans="3:3" ht="34.5" customHeight="1" x14ac:dyDescent="0.25">
      <c r="C239" s="359"/>
    </row>
    <row r="240" spans="3:3" ht="34.5" customHeight="1" x14ac:dyDescent="0.25">
      <c r="C240" s="359"/>
    </row>
    <row r="241" spans="3:3" ht="34.5" customHeight="1" x14ac:dyDescent="0.25">
      <c r="C241" s="359"/>
    </row>
    <row r="242" spans="3:3" ht="34.5" customHeight="1" x14ac:dyDescent="0.25">
      <c r="C242" s="359"/>
    </row>
    <row r="243" spans="3:3" ht="34.5" customHeight="1" x14ac:dyDescent="0.25">
      <c r="C243" s="359"/>
    </row>
    <row r="244" spans="3:3" ht="34.5" customHeight="1" x14ac:dyDescent="0.25">
      <c r="C244" s="359"/>
    </row>
    <row r="245" spans="3:3" ht="34.5" customHeight="1" x14ac:dyDescent="0.25">
      <c r="C245" s="359"/>
    </row>
    <row r="246" spans="3:3" ht="34.5" customHeight="1" x14ac:dyDescent="0.25">
      <c r="C246" s="359"/>
    </row>
    <row r="247" spans="3:3" ht="34.5" customHeight="1" x14ac:dyDescent="0.25">
      <c r="C247" s="359"/>
    </row>
    <row r="248" spans="3:3" ht="34.5" customHeight="1" x14ac:dyDescent="0.25">
      <c r="C248" s="359"/>
    </row>
    <row r="249" spans="3:3" ht="34.5" customHeight="1" x14ac:dyDescent="0.25">
      <c r="C249" s="359"/>
    </row>
    <row r="250" spans="3:3" ht="34.5" customHeight="1" x14ac:dyDescent="0.25">
      <c r="C250" s="359"/>
    </row>
    <row r="251" spans="3:3" ht="34.5" customHeight="1" x14ac:dyDescent="0.25">
      <c r="C251" s="359"/>
    </row>
    <row r="252" spans="3:3" ht="34.5" customHeight="1" x14ac:dyDescent="0.25">
      <c r="C252" s="359"/>
    </row>
    <row r="253" spans="3:3" ht="34.5" customHeight="1" x14ac:dyDescent="0.25">
      <c r="C253" s="359"/>
    </row>
    <row r="254" spans="3:3" ht="34.5" customHeight="1" x14ac:dyDescent="0.25">
      <c r="C254" s="359"/>
    </row>
    <row r="255" spans="3:3" ht="34.5" customHeight="1" x14ac:dyDescent="0.25">
      <c r="C255" s="359"/>
    </row>
    <row r="256" spans="3:3" ht="34.5" customHeight="1" x14ac:dyDescent="0.25">
      <c r="C256" s="359"/>
    </row>
    <row r="257" spans="3:3" ht="34.5" customHeight="1" x14ac:dyDescent="0.25">
      <c r="C257" s="359"/>
    </row>
    <row r="258" spans="3:3" ht="34.5" customHeight="1" x14ac:dyDescent="0.25">
      <c r="C258" s="359"/>
    </row>
    <row r="259" spans="3:3" ht="34.5" customHeight="1" x14ac:dyDescent="0.25">
      <c r="C259" s="359"/>
    </row>
    <row r="260" spans="3:3" ht="34.5" customHeight="1" x14ac:dyDescent="0.25">
      <c r="C260" s="359"/>
    </row>
    <row r="261" spans="3:3" ht="34.5" customHeight="1" x14ac:dyDescent="0.25">
      <c r="C261" s="359"/>
    </row>
    <row r="262" spans="3:3" ht="34.5" customHeight="1" x14ac:dyDescent="0.25">
      <c r="C262" s="359"/>
    </row>
    <row r="263" spans="3:3" ht="34.5" customHeight="1" x14ac:dyDescent="0.25">
      <c r="C263" s="359"/>
    </row>
    <row r="264" spans="3:3" ht="34.5" customHeight="1" x14ac:dyDescent="0.25">
      <c r="C264" s="359"/>
    </row>
    <row r="265" spans="3:3" ht="34.5" customHeight="1" x14ac:dyDescent="0.25">
      <c r="C265" s="359"/>
    </row>
    <row r="266" spans="3:3" ht="34.5" customHeight="1" x14ac:dyDescent="0.25">
      <c r="C266" s="359"/>
    </row>
    <row r="267" spans="3:3" ht="34.5" customHeight="1" x14ac:dyDescent="0.25">
      <c r="C267" s="359"/>
    </row>
    <row r="268" spans="3:3" ht="34.5" customHeight="1" x14ac:dyDescent="0.25">
      <c r="C268" s="359"/>
    </row>
    <row r="269" spans="3:3" ht="34.5" customHeight="1" x14ac:dyDescent="0.25">
      <c r="C269" s="359"/>
    </row>
    <row r="270" spans="3:3" ht="34.5" customHeight="1" x14ac:dyDescent="0.25">
      <c r="C270" s="359"/>
    </row>
    <row r="271" spans="3:3" ht="34.5" customHeight="1" x14ac:dyDescent="0.25">
      <c r="C271" s="359"/>
    </row>
    <row r="272" spans="3:3" ht="34.5" customHeight="1" x14ac:dyDescent="0.25">
      <c r="C272" s="359"/>
    </row>
    <row r="273" spans="3:3" ht="34.5" customHeight="1" x14ac:dyDescent="0.25">
      <c r="C273" s="359"/>
    </row>
    <row r="274" spans="3:3" ht="34.5" customHeight="1" x14ac:dyDescent="0.25">
      <c r="C274" s="359"/>
    </row>
    <row r="275" spans="3:3" ht="34.5" customHeight="1" x14ac:dyDescent="0.25">
      <c r="C275" s="359"/>
    </row>
    <row r="276" spans="3:3" ht="34.5" customHeight="1" x14ac:dyDescent="0.25">
      <c r="C276" s="359"/>
    </row>
    <row r="277" spans="3:3" ht="34.5" customHeight="1" x14ac:dyDescent="0.25">
      <c r="C277" s="359"/>
    </row>
    <row r="278" spans="3:3" ht="34.5" customHeight="1" x14ac:dyDescent="0.25">
      <c r="C278" s="359"/>
    </row>
    <row r="279" spans="3:3" ht="34.5" customHeight="1" x14ac:dyDescent="0.25">
      <c r="C279" s="359"/>
    </row>
    <row r="280" spans="3:3" ht="34.5" customHeight="1" x14ac:dyDescent="0.25">
      <c r="C280" s="359"/>
    </row>
    <row r="281" spans="3:3" ht="34.5" customHeight="1" x14ac:dyDescent="0.25">
      <c r="C281" s="359"/>
    </row>
    <row r="282" spans="3:3" ht="34.5" customHeight="1" x14ac:dyDescent="0.25">
      <c r="C282" s="359"/>
    </row>
    <row r="283" spans="3:3" ht="34.5" customHeight="1" x14ac:dyDescent="0.25">
      <c r="C283" s="359"/>
    </row>
    <row r="284" spans="3:3" ht="34.5" customHeight="1" x14ac:dyDescent="0.25">
      <c r="C284" s="359"/>
    </row>
    <row r="285" spans="3:3" ht="34.5" customHeight="1" x14ac:dyDescent="0.25">
      <c r="C285" s="359"/>
    </row>
    <row r="286" spans="3:3" ht="34.5" customHeight="1" x14ac:dyDescent="0.25">
      <c r="C286" s="359"/>
    </row>
    <row r="287" spans="3:3" ht="34.5" customHeight="1" x14ac:dyDescent="0.25">
      <c r="C287" s="359"/>
    </row>
    <row r="288" spans="3:3" ht="34.5" customHeight="1" x14ac:dyDescent="0.25">
      <c r="C288" s="359"/>
    </row>
    <row r="289" spans="3:3" ht="34.5" customHeight="1" x14ac:dyDescent="0.25">
      <c r="C289" s="359"/>
    </row>
    <row r="290" spans="3:3" ht="34.5" customHeight="1" x14ac:dyDescent="0.25">
      <c r="C290" s="359"/>
    </row>
    <row r="291" spans="3:3" ht="34.5" customHeight="1" x14ac:dyDescent="0.25">
      <c r="C291" s="359"/>
    </row>
    <row r="292" spans="3:3" ht="34.5" customHeight="1" x14ac:dyDescent="0.25">
      <c r="C292" s="359"/>
    </row>
    <row r="293" spans="3:3" ht="34.5" customHeight="1" x14ac:dyDescent="0.25">
      <c r="C293" s="359"/>
    </row>
    <row r="294" spans="3:3" ht="34.5" customHeight="1" x14ac:dyDescent="0.25">
      <c r="C294" s="359"/>
    </row>
    <row r="295" spans="3:3" ht="34.5" customHeight="1" x14ac:dyDescent="0.25">
      <c r="C295" s="359"/>
    </row>
    <row r="296" spans="3:3" ht="34.5" customHeight="1" x14ac:dyDescent="0.25">
      <c r="C296" s="359"/>
    </row>
    <row r="297" spans="3:3" ht="34.5" customHeight="1" x14ac:dyDescent="0.25">
      <c r="C297" s="359"/>
    </row>
    <row r="298" spans="3:3" ht="34.5" customHeight="1" x14ac:dyDescent="0.25">
      <c r="C298" s="359"/>
    </row>
    <row r="299" spans="3:3" ht="34.5" customHeight="1" x14ac:dyDescent="0.25">
      <c r="C299" s="359"/>
    </row>
    <row r="300" spans="3:3" ht="34.5" customHeight="1" x14ac:dyDescent="0.25">
      <c r="C300" s="359"/>
    </row>
    <row r="301" spans="3:3" ht="34.5" customHeight="1" x14ac:dyDescent="0.25">
      <c r="C301" s="359"/>
    </row>
    <row r="302" spans="3:3" ht="34.5" customHeight="1" x14ac:dyDescent="0.25">
      <c r="C302" s="359"/>
    </row>
    <row r="303" spans="3:3" ht="34.5" customHeight="1" x14ac:dyDescent="0.25">
      <c r="C303" s="359"/>
    </row>
    <row r="304" spans="3:3" ht="34.5" customHeight="1" x14ac:dyDescent="0.25">
      <c r="C304" s="359"/>
    </row>
    <row r="305" spans="3:3" ht="34.5" customHeight="1" x14ac:dyDescent="0.25">
      <c r="C305" s="359"/>
    </row>
    <row r="306" spans="3:3" ht="34.5" customHeight="1" x14ac:dyDescent="0.25">
      <c r="C306" s="359"/>
    </row>
    <row r="307" spans="3:3" ht="34.5" customHeight="1" x14ac:dyDescent="0.25">
      <c r="C307" s="359"/>
    </row>
    <row r="308" spans="3:3" ht="34.5" customHeight="1" x14ac:dyDescent="0.25">
      <c r="C308" s="359"/>
    </row>
    <row r="309" spans="3:3" ht="34.5" customHeight="1" x14ac:dyDescent="0.25">
      <c r="C309" s="359"/>
    </row>
    <row r="310" spans="3:3" ht="34.5" customHeight="1" x14ac:dyDescent="0.25">
      <c r="C310" s="359"/>
    </row>
    <row r="311" spans="3:3" ht="34.5" customHeight="1" x14ac:dyDescent="0.25">
      <c r="C311" s="359"/>
    </row>
    <row r="312" spans="3:3" ht="34.5" customHeight="1" x14ac:dyDescent="0.25">
      <c r="C312" s="359"/>
    </row>
    <row r="313" spans="3:3" ht="34.5" customHeight="1" x14ac:dyDescent="0.25">
      <c r="C313" s="359"/>
    </row>
    <row r="314" spans="3:3" ht="34.5" customHeight="1" x14ac:dyDescent="0.25">
      <c r="C314" s="359"/>
    </row>
    <row r="315" spans="3:3" ht="34.5" customHeight="1" x14ac:dyDescent="0.25">
      <c r="C315" s="359"/>
    </row>
    <row r="316" spans="3:3" ht="34.5" customHeight="1" x14ac:dyDescent="0.25">
      <c r="C316" s="359"/>
    </row>
    <row r="317" spans="3:3" ht="34.5" customHeight="1" x14ac:dyDescent="0.25">
      <c r="C317" s="359"/>
    </row>
    <row r="318" spans="3:3" ht="34.5" customHeight="1" x14ac:dyDescent="0.25">
      <c r="C318" s="359"/>
    </row>
    <row r="319" spans="3:3" ht="34.5" customHeight="1" x14ac:dyDescent="0.25">
      <c r="C319" s="359"/>
    </row>
    <row r="320" spans="3:3" ht="34.5" customHeight="1" x14ac:dyDescent="0.25">
      <c r="C320" s="359"/>
    </row>
    <row r="321" spans="3:3" ht="34.5" customHeight="1" x14ac:dyDescent="0.25">
      <c r="C321" s="359"/>
    </row>
    <row r="322" spans="3:3" ht="34.5" customHeight="1" x14ac:dyDescent="0.25">
      <c r="C322" s="359"/>
    </row>
    <row r="323" spans="3:3" ht="34.5" customHeight="1" x14ac:dyDescent="0.25">
      <c r="C323" s="359"/>
    </row>
    <row r="324" spans="3:3" ht="34.5" customHeight="1" x14ac:dyDescent="0.25">
      <c r="C324" s="359"/>
    </row>
    <row r="325" spans="3:3" ht="34.5" customHeight="1" x14ac:dyDescent="0.25">
      <c r="C325" s="359"/>
    </row>
    <row r="326" spans="3:3" ht="34.5" customHeight="1" x14ac:dyDescent="0.25">
      <c r="C326" s="359"/>
    </row>
    <row r="327" spans="3:3" ht="34.5" customHeight="1" x14ac:dyDescent="0.25">
      <c r="C327" s="359"/>
    </row>
    <row r="328" spans="3:3" ht="34.5" customHeight="1" x14ac:dyDescent="0.25">
      <c r="C328" s="359"/>
    </row>
    <row r="329" spans="3:3" ht="34.5" customHeight="1" x14ac:dyDescent="0.25">
      <c r="C329" s="359"/>
    </row>
    <row r="330" spans="3:3" ht="34.5" customHeight="1" x14ac:dyDescent="0.25">
      <c r="C330" s="359"/>
    </row>
    <row r="331" spans="3:3" ht="34.5" customHeight="1" x14ac:dyDescent="0.25">
      <c r="C331" s="359"/>
    </row>
    <row r="332" spans="3:3" ht="34.5" customHeight="1" x14ac:dyDescent="0.25">
      <c r="C332" s="359"/>
    </row>
    <row r="333" spans="3:3" ht="34.5" customHeight="1" x14ac:dyDescent="0.25">
      <c r="C333" s="359"/>
    </row>
    <row r="334" spans="3:3" ht="34.5" customHeight="1" x14ac:dyDescent="0.25">
      <c r="C334" s="359"/>
    </row>
    <row r="335" spans="3:3" ht="34.5" customHeight="1" x14ac:dyDescent="0.25">
      <c r="C335" s="359"/>
    </row>
    <row r="336" spans="3:3" ht="34.5" customHeight="1" x14ac:dyDescent="0.25">
      <c r="C336" s="359"/>
    </row>
    <row r="337" spans="3:3" ht="34.5" customHeight="1" x14ac:dyDescent="0.25">
      <c r="C337" s="359"/>
    </row>
    <row r="338" spans="3:3" ht="34.5" customHeight="1" x14ac:dyDescent="0.25">
      <c r="C338" s="359"/>
    </row>
    <row r="339" spans="3:3" ht="34.5" customHeight="1" x14ac:dyDescent="0.25">
      <c r="C339" s="359"/>
    </row>
    <row r="340" spans="3:3" ht="34.5" customHeight="1" x14ac:dyDescent="0.25">
      <c r="C340" s="359"/>
    </row>
    <row r="341" spans="3:3" ht="34.5" customHeight="1" x14ac:dyDescent="0.25">
      <c r="C341" s="359"/>
    </row>
    <row r="342" spans="3:3" ht="34.5" customHeight="1" x14ac:dyDescent="0.25">
      <c r="C342" s="359"/>
    </row>
    <row r="343" spans="3:3" ht="34.5" customHeight="1" x14ac:dyDescent="0.25">
      <c r="C343" s="359"/>
    </row>
    <row r="344" spans="3:3" ht="34.5" customHeight="1" x14ac:dyDescent="0.25">
      <c r="C344" s="359"/>
    </row>
    <row r="345" spans="3:3" ht="34.5" customHeight="1" x14ac:dyDescent="0.25">
      <c r="C345" s="359"/>
    </row>
    <row r="346" spans="3:3" ht="34.5" customHeight="1" x14ac:dyDescent="0.25">
      <c r="C346" s="359"/>
    </row>
    <row r="347" spans="3:3" ht="34.5" customHeight="1" x14ac:dyDescent="0.25">
      <c r="C347" s="359"/>
    </row>
    <row r="348" spans="3:3" ht="34.5" customHeight="1" x14ac:dyDescent="0.25">
      <c r="C348" s="359"/>
    </row>
    <row r="349" spans="3:3" ht="34.5" customHeight="1" x14ac:dyDescent="0.25">
      <c r="C349" s="359"/>
    </row>
    <row r="350" spans="3:3" ht="34.5" customHeight="1" x14ac:dyDescent="0.25">
      <c r="C350" s="359"/>
    </row>
    <row r="351" spans="3:3" ht="34.5" customHeight="1" x14ac:dyDescent="0.25">
      <c r="C351" s="359"/>
    </row>
    <row r="352" spans="3:3" ht="34.5" customHeight="1" x14ac:dyDescent="0.25">
      <c r="C352" s="359"/>
    </row>
    <row r="353" spans="3:3" ht="34.5" customHeight="1" x14ac:dyDescent="0.25">
      <c r="C353" s="359"/>
    </row>
    <row r="354" spans="3:3" ht="34.5" customHeight="1" x14ac:dyDescent="0.25">
      <c r="C354" s="359"/>
    </row>
    <row r="355" spans="3:3" ht="34.5" customHeight="1" x14ac:dyDescent="0.25">
      <c r="C355" s="359"/>
    </row>
    <row r="356" spans="3:3" ht="34.5" customHeight="1" x14ac:dyDescent="0.25">
      <c r="C356" s="359"/>
    </row>
    <row r="357" spans="3:3" ht="34.5" customHeight="1" x14ac:dyDescent="0.25">
      <c r="C357" s="359"/>
    </row>
    <row r="358" spans="3:3" ht="34.5" customHeight="1" x14ac:dyDescent="0.25">
      <c r="C358" s="359"/>
    </row>
    <row r="359" spans="3:3" ht="34.5" customHeight="1" x14ac:dyDescent="0.25">
      <c r="C359" s="359"/>
    </row>
    <row r="360" spans="3:3" ht="34.5" customHeight="1" x14ac:dyDescent="0.25">
      <c r="C360" s="359"/>
    </row>
    <row r="361" spans="3:3" ht="34.5" customHeight="1" x14ac:dyDescent="0.25">
      <c r="C361" s="359"/>
    </row>
    <row r="362" spans="3:3" ht="34.5" customHeight="1" x14ac:dyDescent="0.25">
      <c r="C362" s="359"/>
    </row>
    <row r="363" spans="3:3" ht="34.5" customHeight="1" x14ac:dyDescent="0.25">
      <c r="C363" s="359"/>
    </row>
    <row r="364" spans="3:3" ht="34.5" customHeight="1" x14ac:dyDescent="0.25">
      <c r="C364" s="359"/>
    </row>
    <row r="365" spans="3:3" ht="34.5" customHeight="1" x14ac:dyDescent="0.25">
      <c r="C365" s="359"/>
    </row>
    <row r="366" spans="3:3" ht="34.5" customHeight="1" x14ac:dyDescent="0.25">
      <c r="C366" s="359"/>
    </row>
    <row r="367" spans="3:3" ht="34.5" customHeight="1" x14ac:dyDescent="0.25">
      <c r="C367" s="359"/>
    </row>
    <row r="368" spans="3:3" ht="34.5" customHeight="1" x14ac:dyDescent="0.25">
      <c r="C368" s="359"/>
    </row>
    <row r="369" spans="3:3" ht="34.5" customHeight="1" x14ac:dyDescent="0.25">
      <c r="C369" s="359"/>
    </row>
    <row r="370" spans="3:3" ht="34.5" customHeight="1" x14ac:dyDescent="0.25">
      <c r="C370" s="359"/>
    </row>
    <row r="371" spans="3:3" ht="34.5" customHeight="1" x14ac:dyDescent="0.25">
      <c r="C371" s="359"/>
    </row>
    <row r="372" spans="3:3" ht="34.5" customHeight="1" x14ac:dyDescent="0.25">
      <c r="C372" s="359"/>
    </row>
    <row r="373" spans="3:3" ht="34.5" customHeight="1" x14ac:dyDescent="0.25">
      <c r="C373" s="359"/>
    </row>
    <row r="374" spans="3:3" ht="34.5" customHeight="1" x14ac:dyDescent="0.25">
      <c r="C374" s="359"/>
    </row>
    <row r="375" spans="3:3" ht="34.5" customHeight="1" x14ac:dyDescent="0.25">
      <c r="C375" s="359"/>
    </row>
    <row r="376" spans="3:3" ht="34.5" customHeight="1" x14ac:dyDescent="0.25">
      <c r="C376" s="359"/>
    </row>
    <row r="377" spans="3:3" ht="34.5" customHeight="1" x14ac:dyDescent="0.25">
      <c r="C377" s="359"/>
    </row>
    <row r="378" spans="3:3" ht="34.5" customHeight="1" x14ac:dyDescent="0.25">
      <c r="C378" s="359"/>
    </row>
    <row r="379" spans="3:3" ht="34.5" customHeight="1" x14ac:dyDescent="0.25">
      <c r="C379" s="359"/>
    </row>
    <row r="380" spans="3:3" ht="34.5" customHeight="1" x14ac:dyDescent="0.25">
      <c r="C380" s="359"/>
    </row>
    <row r="381" spans="3:3" ht="34.5" customHeight="1" x14ac:dyDescent="0.25">
      <c r="C381" s="359"/>
    </row>
    <row r="382" spans="3:3" ht="34.5" customHeight="1" x14ac:dyDescent="0.25">
      <c r="C382" s="359"/>
    </row>
    <row r="383" spans="3:3" ht="34.5" customHeight="1" x14ac:dyDescent="0.25">
      <c r="C383" s="359"/>
    </row>
    <row r="384" spans="3:3" ht="34.5" customHeight="1" x14ac:dyDescent="0.25">
      <c r="C384" s="359"/>
    </row>
    <row r="385" spans="3:3" ht="34.5" customHeight="1" x14ac:dyDescent="0.25">
      <c r="C385" s="359"/>
    </row>
    <row r="386" spans="3:3" ht="34.5" customHeight="1" x14ac:dyDescent="0.25">
      <c r="C386" s="359"/>
    </row>
    <row r="387" spans="3:3" ht="34.5" customHeight="1" x14ac:dyDescent="0.25">
      <c r="C387" s="359"/>
    </row>
    <row r="388" spans="3:3" ht="34.5" customHeight="1" x14ac:dyDescent="0.25">
      <c r="C388" s="359"/>
    </row>
    <row r="389" spans="3:3" ht="34.5" customHeight="1" x14ac:dyDescent="0.25">
      <c r="C389" s="359"/>
    </row>
    <row r="390" spans="3:3" ht="34.5" customHeight="1" x14ac:dyDescent="0.25">
      <c r="C390" s="359"/>
    </row>
    <row r="391" spans="3:3" ht="34.5" customHeight="1" x14ac:dyDescent="0.25">
      <c r="C391" s="359"/>
    </row>
    <row r="392" spans="3:3" ht="34.5" customHeight="1" x14ac:dyDescent="0.25">
      <c r="C392" s="359"/>
    </row>
    <row r="393" spans="3:3" ht="34.5" customHeight="1" x14ac:dyDescent="0.25">
      <c r="C393" s="359"/>
    </row>
    <row r="394" spans="3:3" ht="34.5" customHeight="1" x14ac:dyDescent="0.25">
      <c r="C394" s="359"/>
    </row>
    <row r="395" spans="3:3" ht="34.5" customHeight="1" x14ac:dyDescent="0.25">
      <c r="C395" s="359"/>
    </row>
    <row r="396" spans="3:3" ht="34.5" customHeight="1" x14ac:dyDescent="0.25">
      <c r="C396" s="359"/>
    </row>
    <row r="397" spans="3:3" ht="34.5" customHeight="1" x14ac:dyDescent="0.25">
      <c r="C397" s="359"/>
    </row>
    <row r="398" spans="3:3" ht="34.5" customHeight="1" x14ac:dyDescent="0.25">
      <c r="C398" s="359"/>
    </row>
    <row r="399" spans="3:3" ht="34.5" customHeight="1" x14ac:dyDescent="0.25">
      <c r="C399" s="359"/>
    </row>
    <row r="400" spans="3:3" ht="34.5" customHeight="1" x14ac:dyDescent="0.25">
      <c r="C400" s="359"/>
    </row>
    <row r="401" spans="3:3" ht="34.5" customHeight="1" x14ac:dyDescent="0.25">
      <c r="C401" s="359"/>
    </row>
    <row r="402" spans="3:3" ht="34.5" customHeight="1" x14ac:dyDescent="0.25">
      <c r="C402" s="359"/>
    </row>
    <row r="403" spans="3:3" ht="34.5" customHeight="1" x14ac:dyDescent="0.25">
      <c r="C403" s="359"/>
    </row>
    <row r="404" spans="3:3" ht="34.5" customHeight="1" x14ac:dyDescent="0.25">
      <c r="C404" s="359"/>
    </row>
    <row r="405" spans="3:3" ht="34.5" customHeight="1" x14ac:dyDescent="0.25">
      <c r="C405" s="359"/>
    </row>
    <row r="406" spans="3:3" ht="34.5" customHeight="1" x14ac:dyDescent="0.25">
      <c r="C406" s="359"/>
    </row>
    <row r="407" spans="3:3" ht="34.5" customHeight="1" x14ac:dyDescent="0.25">
      <c r="C407" s="359"/>
    </row>
    <row r="408" spans="3:3" ht="34.5" customHeight="1" x14ac:dyDescent="0.25">
      <c r="C408" s="359"/>
    </row>
    <row r="409" spans="3:3" ht="34.5" customHeight="1" x14ac:dyDescent="0.25">
      <c r="C409" s="359"/>
    </row>
    <row r="410" spans="3:3" ht="34.5" customHeight="1" x14ac:dyDescent="0.25">
      <c r="C410" s="359"/>
    </row>
    <row r="411" spans="3:3" ht="34.5" customHeight="1" x14ac:dyDescent="0.25">
      <c r="C411" s="359"/>
    </row>
    <row r="412" spans="3:3" ht="34.5" customHeight="1" x14ac:dyDescent="0.25">
      <c r="C412" s="359"/>
    </row>
    <row r="413" spans="3:3" ht="34.5" customHeight="1" x14ac:dyDescent="0.25">
      <c r="C413" s="359"/>
    </row>
    <row r="414" spans="3:3" ht="34.5" customHeight="1" x14ac:dyDescent="0.25">
      <c r="C414" s="359"/>
    </row>
    <row r="415" spans="3:3" ht="34.5" customHeight="1" x14ac:dyDescent="0.25">
      <c r="C415" s="359"/>
    </row>
    <row r="416" spans="3:3" ht="34.5" customHeight="1" x14ac:dyDescent="0.25">
      <c r="C416" s="359"/>
    </row>
    <row r="417" spans="3:3" ht="34.5" customHeight="1" x14ac:dyDescent="0.25">
      <c r="C417" s="359"/>
    </row>
    <row r="418" spans="3:3" ht="34.5" customHeight="1" x14ac:dyDescent="0.25">
      <c r="C418" s="359"/>
    </row>
    <row r="419" spans="3:3" ht="34.5" customHeight="1" x14ac:dyDescent="0.25">
      <c r="C419" s="359"/>
    </row>
    <row r="420" spans="3:3" ht="34.5" customHeight="1" x14ac:dyDescent="0.25">
      <c r="C420" s="359"/>
    </row>
    <row r="421" spans="3:3" ht="34.5" customHeight="1" x14ac:dyDescent="0.25">
      <c r="C421" s="359"/>
    </row>
    <row r="422" spans="3:3" ht="34.5" customHeight="1" x14ac:dyDescent="0.25">
      <c r="C422" s="359"/>
    </row>
    <row r="423" spans="3:3" ht="34.5" customHeight="1" x14ac:dyDescent="0.25">
      <c r="C423" s="359"/>
    </row>
    <row r="424" spans="3:3" ht="34.5" customHeight="1" x14ac:dyDescent="0.25">
      <c r="C424" s="359"/>
    </row>
    <row r="425" spans="3:3" ht="34.5" customHeight="1" x14ac:dyDescent="0.25">
      <c r="C425" s="359"/>
    </row>
    <row r="426" spans="3:3" ht="34.5" customHeight="1" x14ac:dyDescent="0.25">
      <c r="C426" s="359"/>
    </row>
    <row r="427" spans="3:3" ht="34.5" customHeight="1" x14ac:dyDescent="0.25">
      <c r="C427" s="359"/>
    </row>
    <row r="428" spans="3:3" ht="34.5" customHeight="1" x14ac:dyDescent="0.25">
      <c r="C428" s="359"/>
    </row>
    <row r="429" spans="3:3" ht="34.5" customHeight="1" x14ac:dyDescent="0.25">
      <c r="C429" s="359"/>
    </row>
    <row r="430" spans="3:3" ht="34.5" customHeight="1" x14ac:dyDescent="0.25">
      <c r="C430" s="359"/>
    </row>
    <row r="431" spans="3:3" ht="34.5" customHeight="1" x14ac:dyDescent="0.25">
      <c r="C431" s="359"/>
    </row>
    <row r="432" spans="3:3" ht="34.5" customHeight="1" x14ac:dyDescent="0.25">
      <c r="C432" s="359"/>
    </row>
    <row r="433" spans="3:3" ht="34.5" customHeight="1" x14ac:dyDescent="0.25">
      <c r="C433" s="359"/>
    </row>
    <row r="434" spans="3:3" ht="34.5" customHeight="1" x14ac:dyDescent="0.25">
      <c r="C434" s="359"/>
    </row>
    <row r="435" spans="3:3" ht="34.5" customHeight="1" x14ac:dyDescent="0.25">
      <c r="C435" s="359"/>
    </row>
    <row r="436" spans="3:3" ht="34.5" customHeight="1" x14ac:dyDescent="0.25">
      <c r="C436" s="359"/>
    </row>
    <row r="437" spans="3:3" ht="34.5" customHeight="1" x14ac:dyDescent="0.25">
      <c r="C437" s="359"/>
    </row>
    <row r="438" spans="3:3" ht="34.5" customHeight="1" x14ac:dyDescent="0.25">
      <c r="C438" s="359"/>
    </row>
    <row r="439" spans="3:3" ht="34.5" customHeight="1" x14ac:dyDescent="0.25">
      <c r="C439" s="359"/>
    </row>
    <row r="440" spans="3:3" ht="34.5" customHeight="1" x14ac:dyDescent="0.25">
      <c r="C440" s="359"/>
    </row>
    <row r="441" spans="3:3" ht="34.5" customHeight="1" x14ac:dyDescent="0.25">
      <c r="C441" s="359"/>
    </row>
    <row r="442" spans="3:3" ht="34.5" customHeight="1" x14ac:dyDescent="0.25">
      <c r="C442" s="359"/>
    </row>
    <row r="443" spans="3:3" ht="34.5" customHeight="1" x14ac:dyDescent="0.25">
      <c r="C443" s="359"/>
    </row>
    <row r="444" spans="3:3" ht="34.5" customHeight="1" x14ac:dyDescent="0.25">
      <c r="C444" s="359"/>
    </row>
    <row r="445" spans="3:3" ht="34.5" customHeight="1" x14ac:dyDescent="0.25">
      <c r="C445" s="359"/>
    </row>
    <row r="446" spans="3:3" ht="34.5" customHeight="1" x14ac:dyDescent="0.25">
      <c r="C446" s="359"/>
    </row>
    <row r="447" spans="3:3" ht="34.5" customHeight="1" x14ac:dyDescent="0.25">
      <c r="C447" s="359"/>
    </row>
    <row r="448" spans="3:3" ht="34.5" customHeight="1" x14ac:dyDescent="0.25">
      <c r="C448" s="359"/>
    </row>
    <row r="449" spans="3:3" ht="34.5" customHeight="1" x14ac:dyDescent="0.25">
      <c r="C449" s="359"/>
    </row>
    <row r="450" spans="3:3" ht="34.5" customHeight="1" x14ac:dyDescent="0.25">
      <c r="C450" s="359"/>
    </row>
    <row r="451" spans="3:3" ht="34.5" customHeight="1" x14ac:dyDescent="0.25">
      <c r="C451" s="359"/>
    </row>
    <row r="452" spans="3:3" ht="34.5" customHeight="1" x14ac:dyDescent="0.25">
      <c r="C452" s="359"/>
    </row>
    <row r="453" spans="3:3" ht="34.5" customHeight="1" x14ac:dyDescent="0.25">
      <c r="C453" s="359"/>
    </row>
    <row r="454" spans="3:3" ht="34.5" customHeight="1" x14ac:dyDescent="0.25">
      <c r="C454" s="359"/>
    </row>
    <row r="455" spans="3:3" ht="34.5" customHeight="1" x14ac:dyDescent="0.25">
      <c r="C455" s="359"/>
    </row>
    <row r="456" spans="3:3" ht="34.5" customHeight="1" x14ac:dyDescent="0.25">
      <c r="C456" s="359"/>
    </row>
    <row r="457" spans="3:3" ht="34.5" customHeight="1" x14ac:dyDescent="0.25">
      <c r="C457" s="359"/>
    </row>
    <row r="458" spans="3:3" ht="34.5" customHeight="1" x14ac:dyDescent="0.25">
      <c r="C458" s="359"/>
    </row>
    <row r="459" spans="3:3" ht="34.5" customHeight="1" x14ac:dyDescent="0.25">
      <c r="C459" s="359"/>
    </row>
    <row r="460" spans="3:3" ht="34.5" customHeight="1" x14ac:dyDescent="0.25">
      <c r="C460" s="359"/>
    </row>
    <row r="461" spans="3:3" ht="34.5" customHeight="1" x14ac:dyDescent="0.25">
      <c r="C461" s="359"/>
    </row>
    <row r="462" spans="3:3" ht="34.5" customHeight="1" x14ac:dyDescent="0.25">
      <c r="C462" s="359"/>
    </row>
    <row r="463" spans="3:3" ht="34.5" customHeight="1" x14ac:dyDescent="0.25">
      <c r="C463" s="359"/>
    </row>
    <row r="464" spans="3:3" ht="34.5" customHeight="1" x14ac:dyDescent="0.25">
      <c r="C464" s="359"/>
    </row>
    <row r="465" spans="3:3" ht="34.5" customHeight="1" x14ac:dyDescent="0.25">
      <c r="C465" s="359"/>
    </row>
    <row r="466" spans="3:3" ht="34.5" customHeight="1" x14ac:dyDescent="0.25">
      <c r="C466" s="359"/>
    </row>
    <row r="467" spans="3:3" ht="34.5" customHeight="1" x14ac:dyDescent="0.25">
      <c r="C467" s="359"/>
    </row>
    <row r="468" spans="3:3" ht="34.5" customHeight="1" x14ac:dyDescent="0.25">
      <c r="C468" s="359"/>
    </row>
    <row r="469" spans="3:3" ht="34.5" customHeight="1" x14ac:dyDescent="0.25">
      <c r="C469" s="359"/>
    </row>
    <row r="470" spans="3:3" ht="34.5" customHeight="1" x14ac:dyDescent="0.25">
      <c r="C470" s="359"/>
    </row>
    <row r="471" spans="3:3" ht="34.5" customHeight="1" x14ac:dyDescent="0.25">
      <c r="C471" s="359"/>
    </row>
    <row r="472" spans="3:3" ht="34.5" customHeight="1" x14ac:dyDescent="0.25">
      <c r="C472" s="359"/>
    </row>
    <row r="473" spans="3:3" ht="34.5" customHeight="1" x14ac:dyDescent="0.25">
      <c r="C473" s="359"/>
    </row>
    <row r="474" spans="3:3" ht="34.5" customHeight="1" x14ac:dyDescent="0.25">
      <c r="C474" s="359"/>
    </row>
    <row r="475" spans="3:3" ht="34.5" customHeight="1" x14ac:dyDescent="0.25">
      <c r="C475" s="359"/>
    </row>
    <row r="476" spans="3:3" ht="34.5" customHeight="1" x14ac:dyDescent="0.25">
      <c r="C476" s="359"/>
    </row>
    <row r="477" spans="3:3" ht="34.5" customHeight="1" x14ac:dyDescent="0.25">
      <c r="C477" s="359"/>
    </row>
    <row r="478" spans="3:3" ht="34.5" customHeight="1" x14ac:dyDescent="0.25">
      <c r="C478" s="359"/>
    </row>
    <row r="479" spans="3:3" ht="34.5" customHeight="1" x14ac:dyDescent="0.25">
      <c r="C479" s="359"/>
    </row>
    <row r="480" spans="3:3" ht="34.5" customHeight="1" x14ac:dyDescent="0.25">
      <c r="C480" s="359"/>
    </row>
    <row r="481" spans="3:3" ht="34.5" customHeight="1" x14ac:dyDescent="0.25">
      <c r="C481" s="359"/>
    </row>
    <row r="482" spans="3:3" ht="34.5" customHeight="1" x14ac:dyDescent="0.25">
      <c r="C482" s="359"/>
    </row>
    <row r="483" spans="3:3" ht="34.5" customHeight="1" x14ac:dyDescent="0.25">
      <c r="C483" s="359"/>
    </row>
    <row r="484" spans="3:3" ht="34.5" customHeight="1" x14ac:dyDescent="0.25">
      <c r="C484" s="359"/>
    </row>
    <row r="485" spans="3:3" ht="34.5" customHeight="1" x14ac:dyDescent="0.25">
      <c r="C485" s="359"/>
    </row>
    <row r="486" spans="3:3" ht="34.5" customHeight="1" x14ac:dyDescent="0.25">
      <c r="C486" s="359"/>
    </row>
    <row r="487" spans="3:3" ht="34.5" customHeight="1" x14ac:dyDescent="0.25">
      <c r="C487" s="359"/>
    </row>
    <row r="488" spans="3:3" ht="34.5" customHeight="1" x14ac:dyDescent="0.25">
      <c r="C488" s="359"/>
    </row>
    <row r="489" spans="3:3" ht="34.5" customHeight="1" x14ac:dyDescent="0.25">
      <c r="C489" s="359"/>
    </row>
    <row r="490" spans="3:3" ht="34.5" customHeight="1" x14ac:dyDescent="0.25">
      <c r="C490" s="359"/>
    </row>
    <row r="491" spans="3:3" ht="34.5" customHeight="1" x14ac:dyDescent="0.25">
      <c r="C491" s="359"/>
    </row>
    <row r="492" spans="3:3" ht="34.5" customHeight="1" x14ac:dyDescent="0.25">
      <c r="C492" s="359"/>
    </row>
    <row r="493" spans="3:3" ht="34.5" customHeight="1" x14ac:dyDescent="0.25">
      <c r="C493" s="359"/>
    </row>
    <row r="494" spans="3:3" ht="34.5" customHeight="1" x14ac:dyDescent="0.25">
      <c r="C494" s="359"/>
    </row>
    <row r="495" spans="3:3" ht="34.5" customHeight="1" x14ac:dyDescent="0.25">
      <c r="C495" s="359"/>
    </row>
    <row r="496" spans="3:3" ht="34.5" customHeight="1" x14ac:dyDescent="0.25">
      <c r="C496" s="359"/>
    </row>
    <row r="497" spans="3:3" ht="34.5" customHeight="1" x14ac:dyDescent="0.25">
      <c r="C497" s="359"/>
    </row>
    <row r="498" spans="3:3" ht="34.5" customHeight="1" x14ac:dyDescent="0.25">
      <c r="C498" s="359"/>
    </row>
    <row r="499" spans="3:3" ht="34.5" customHeight="1" x14ac:dyDescent="0.25">
      <c r="C499" s="359"/>
    </row>
    <row r="500" spans="3:3" ht="34.5" customHeight="1" x14ac:dyDescent="0.25">
      <c r="C500" s="359"/>
    </row>
    <row r="501" spans="3:3" ht="34.5" customHeight="1" x14ac:dyDescent="0.25">
      <c r="C501" s="359"/>
    </row>
    <row r="502" spans="3:3" ht="34.5" customHeight="1" x14ac:dyDescent="0.25">
      <c r="C502" s="359"/>
    </row>
    <row r="503" spans="3:3" ht="34.5" customHeight="1" x14ac:dyDescent="0.25">
      <c r="C503" s="359"/>
    </row>
    <row r="504" spans="3:3" ht="34.5" customHeight="1" x14ac:dyDescent="0.25">
      <c r="C504" s="359"/>
    </row>
    <row r="505" spans="3:3" ht="34.5" customHeight="1" x14ac:dyDescent="0.25">
      <c r="C505" s="359"/>
    </row>
    <row r="506" spans="3:3" ht="34.5" customHeight="1" x14ac:dyDescent="0.25">
      <c r="C506" s="359"/>
    </row>
    <row r="507" spans="3:3" ht="34.5" customHeight="1" x14ac:dyDescent="0.25">
      <c r="C507" s="359"/>
    </row>
    <row r="508" spans="3:3" ht="34.5" customHeight="1" x14ac:dyDescent="0.25">
      <c r="C508" s="359"/>
    </row>
    <row r="509" spans="3:3" ht="34.5" customHeight="1" x14ac:dyDescent="0.25">
      <c r="C509" s="359"/>
    </row>
    <row r="510" spans="3:3" ht="34.5" customHeight="1" x14ac:dyDescent="0.25">
      <c r="C510" s="359"/>
    </row>
    <row r="511" spans="3:3" ht="34.5" customHeight="1" x14ac:dyDescent="0.25">
      <c r="C511" s="359"/>
    </row>
    <row r="512" spans="3:3" ht="34.5" customHeight="1" x14ac:dyDescent="0.25">
      <c r="C512" s="359"/>
    </row>
    <row r="513" spans="3:3" ht="34.5" customHeight="1" x14ac:dyDescent="0.25">
      <c r="C513" s="359"/>
    </row>
    <row r="514" spans="3:3" ht="34.5" customHeight="1" x14ac:dyDescent="0.25">
      <c r="C514" s="359"/>
    </row>
    <row r="515" spans="3:3" ht="34.5" customHeight="1" x14ac:dyDescent="0.25">
      <c r="C515" s="359"/>
    </row>
    <row r="516" spans="3:3" ht="34.5" customHeight="1" x14ac:dyDescent="0.25">
      <c r="C516" s="359"/>
    </row>
    <row r="517" spans="3:3" ht="34.5" customHeight="1" x14ac:dyDescent="0.25">
      <c r="C517" s="359"/>
    </row>
    <row r="518" spans="3:3" ht="34.5" customHeight="1" x14ac:dyDescent="0.25">
      <c r="C518" s="359"/>
    </row>
    <row r="519" spans="3:3" ht="34.5" customHeight="1" x14ac:dyDescent="0.25">
      <c r="C519" s="359"/>
    </row>
    <row r="520" spans="3:3" ht="34.5" customHeight="1" x14ac:dyDescent="0.25">
      <c r="C520" s="359"/>
    </row>
    <row r="521" spans="3:3" ht="34.5" customHeight="1" x14ac:dyDescent="0.25">
      <c r="C521" s="359"/>
    </row>
    <row r="522" spans="3:3" ht="34.5" customHeight="1" x14ac:dyDescent="0.25">
      <c r="C522" s="359"/>
    </row>
    <row r="523" spans="3:3" ht="34.5" customHeight="1" x14ac:dyDescent="0.25">
      <c r="C523" s="359"/>
    </row>
    <row r="524" spans="3:3" ht="34.5" customHeight="1" x14ac:dyDescent="0.25">
      <c r="C524" s="359"/>
    </row>
    <row r="525" spans="3:3" ht="34.5" customHeight="1" x14ac:dyDescent="0.25">
      <c r="C525" s="359"/>
    </row>
    <row r="526" spans="3:3" ht="34.5" customHeight="1" x14ac:dyDescent="0.25">
      <c r="C526" s="359"/>
    </row>
    <row r="527" spans="3:3" ht="34.5" customHeight="1" x14ac:dyDescent="0.25">
      <c r="C527" s="359"/>
    </row>
    <row r="528" spans="3:3" ht="34.5" customHeight="1" x14ac:dyDescent="0.25">
      <c r="C528" s="359"/>
    </row>
    <row r="529" spans="3:3" ht="34.5" customHeight="1" x14ac:dyDescent="0.25">
      <c r="C529" s="359"/>
    </row>
    <row r="530" spans="3:3" ht="34.5" customHeight="1" x14ac:dyDescent="0.25">
      <c r="C530" s="359"/>
    </row>
    <row r="531" spans="3:3" ht="34.5" customHeight="1" x14ac:dyDescent="0.25">
      <c r="C531" s="359"/>
    </row>
    <row r="532" spans="3:3" ht="34.5" customHeight="1" x14ac:dyDescent="0.25">
      <c r="C532" s="359"/>
    </row>
    <row r="533" spans="3:3" ht="34.5" customHeight="1" x14ac:dyDescent="0.25">
      <c r="C533" s="359"/>
    </row>
    <row r="534" spans="3:3" ht="34.5" customHeight="1" x14ac:dyDescent="0.25">
      <c r="C534" s="359"/>
    </row>
    <row r="535" spans="3:3" ht="34.5" customHeight="1" x14ac:dyDescent="0.25">
      <c r="C535" s="359"/>
    </row>
    <row r="536" spans="3:3" ht="34.5" customHeight="1" x14ac:dyDescent="0.25">
      <c r="C536" s="359"/>
    </row>
    <row r="537" spans="3:3" ht="34.5" customHeight="1" x14ac:dyDescent="0.25">
      <c r="C537" s="359"/>
    </row>
    <row r="538" spans="3:3" ht="34.5" customHeight="1" x14ac:dyDescent="0.25">
      <c r="C538" s="359"/>
    </row>
    <row r="539" spans="3:3" ht="34.5" customHeight="1" x14ac:dyDescent="0.25">
      <c r="C539" s="359"/>
    </row>
    <row r="540" spans="3:3" ht="34.5" customHeight="1" x14ac:dyDescent="0.25">
      <c r="C540" s="359"/>
    </row>
    <row r="541" spans="3:3" ht="34.5" customHeight="1" x14ac:dyDescent="0.25">
      <c r="C541" s="359"/>
    </row>
    <row r="542" spans="3:3" ht="34.5" customHeight="1" x14ac:dyDescent="0.25">
      <c r="C542" s="359"/>
    </row>
    <row r="543" spans="3:3" ht="34.5" customHeight="1" x14ac:dyDescent="0.25">
      <c r="C543" s="359"/>
    </row>
    <row r="544" spans="3:3" ht="34.5" customHeight="1" x14ac:dyDescent="0.25">
      <c r="C544" s="359"/>
    </row>
    <row r="545" spans="3:3" ht="34.5" customHeight="1" x14ac:dyDescent="0.25">
      <c r="C545" s="359"/>
    </row>
    <row r="546" spans="3:3" ht="34.5" customHeight="1" x14ac:dyDescent="0.25">
      <c r="C546" s="359"/>
    </row>
    <row r="547" spans="3:3" ht="34.5" customHeight="1" x14ac:dyDescent="0.25">
      <c r="C547" s="359"/>
    </row>
    <row r="548" spans="3:3" ht="34.5" customHeight="1" x14ac:dyDescent="0.25">
      <c r="C548" s="359"/>
    </row>
    <row r="549" spans="3:3" ht="34.5" customHeight="1" x14ac:dyDescent="0.25">
      <c r="C549" s="359"/>
    </row>
    <row r="550" spans="3:3" ht="34.5" customHeight="1" x14ac:dyDescent="0.25">
      <c r="C550" s="359"/>
    </row>
    <row r="551" spans="3:3" ht="34.5" customHeight="1" x14ac:dyDescent="0.25">
      <c r="C551" s="359"/>
    </row>
    <row r="552" spans="3:3" ht="34.5" customHeight="1" x14ac:dyDescent="0.25">
      <c r="C552" s="359"/>
    </row>
    <row r="553" spans="3:3" ht="34.5" customHeight="1" x14ac:dyDescent="0.25">
      <c r="C553" s="359"/>
    </row>
    <row r="554" spans="3:3" ht="34.5" customHeight="1" x14ac:dyDescent="0.25">
      <c r="C554" s="359"/>
    </row>
    <row r="555" spans="3:3" ht="34.5" customHeight="1" x14ac:dyDescent="0.25">
      <c r="C555" s="359"/>
    </row>
    <row r="556" spans="3:3" ht="34.5" customHeight="1" x14ac:dyDescent="0.25">
      <c r="C556" s="359"/>
    </row>
    <row r="557" spans="3:3" ht="34.5" customHeight="1" x14ac:dyDescent="0.25">
      <c r="C557" s="359"/>
    </row>
    <row r="558" spans="3:3" ht="34.5" customHeight="1" x14ac:dyDescent="0.25">
      <c r="C558" s="359"/>
    </row>
    <row r="559" spans="3:3" ht="34.5" customHeight="1" x14ac:dyDescent="0.25">
      <c r="C559" s="359"/>
    </row>
    <row r="560" spans="3:3" ht="34.5" customHeight="1" x14ac:dyDescent="0.25">
      <c r="C560" s="359"/>
    </row>
    <row r="561" spans="3:3" ht="34.5" customHeight="1" x14ac:dyDescent="0.25">
      <c r="C561" s="359"/>
    </row>
    <row r="562" spans="3:3" ht="34.5" customHeight="1" x14ac:dyDescent="0.25">
      <c r="C562" s="359"/>
    </row>
    <row r="563" spans="3:3" ht="34.5" customHeight="1" x14ac:dyDescent="0.25">
      <c r="C563" s="359"/>
    </row>
    <row r="564" spans="3:3" ht="34.5" customHeight="1" x14ac:dyDescent="0.25">
      <c r="C564" s="359"/>
    </row>
    <row r="565" spans="3:3" ht="34.5" customHeight="1" x14ac:dyDescent="0.25">
      <c r="C565" s="359"/>
    </row>
    <row r="566" spans="3:3" ht="34.5" customHeight="1" x14ac:dyDescent="0.25">
      <c r="C566" s="359"/>
    </row>
    <row r="567" spans="3:3" ht="34.5" customHeight="1" x14ac:dyDescent="0.25">
      <c r="C567" s="359"/>
    </row>
    <row r="568" spans="3:3" ht="34.5" customHeight="1" x14ac:dyDescent="0.25">
      <c r="C568" s="359"/>
    </row>
    <row r="569" spans="3:3" ht="34.5" customHeight="1" x14ac:dyDescent="0.25">
      <c r="C569" s="359"/>
    </row>
    <row r="570" spans="3:3" ht="34.5" customHeight="1" x14ac:dyDescent="0.25">
      <c r="C570" s="359"/>
    </row>
    <row r="571" spans="3:3" ht="34.5" customHeight="1" x14ac:dyDescent="0.25">
      <c r="C571" s="359"/>
    </row>
    <row r="572" spans="3:3" ht="34.5" customHeight="1" x14ac:dyDescent="0.25">
      <c r="C572" s="359"/>
    </row>
    <row r="573" spans="3:3" ht="34.5" customHeight="1" x14ac:dyDescent="0.25">
      <c r="C573" s="359"/>
    </row>
    <row r="574" spans="3:3" ht="34.5" customHeight="1" x14ac:dyDescent="0.25">
      <c r="C574" s="359"/>
    </row>
    <row r="575" spans="3:3" ht="34.5" customHeight="1" x14ac:dyDescent="0.25">
      <c r="C575" s="359"/>
    </row>
    <row r="576" spans="3:3" ht="34.5" customHeight="1" x14ac:dyDescent="0.25">
      <c r="C576" s="359"/>
    </row>
    <row r="577" spans="3:3" ht="34.5" customHeight="1" x14ac:dyDescent="0.25">
      <c r="C577" s="359"/>
    </row>
    <row r="578" spans="3:3" ht="34.5" customHeight="1" x14ac:dyDescent="0.25">
      <c r="C578" s="359"/>
    </row>
    <row r="579" spans="3:3" ht="34.5" customHeight="1" x14ac:dyDescent="0.25">
      <c r="C579" s="359"/>
    </row>
    <row r="580" spans="3:3" ht="34.5" customHeight="1" x14ac:dyDescent="0.25">
      <c r="C580" s="359"/>
    </row>
    <row r="581" spans="3:3" ht="34.5" customHeight="1" x14ac:dyDescent="0.25">
      <c r="C581" s="359"/>
    </row>
    <row r="582" spans="3:3" ht="34.5" customHeight="1" x14ac:dyDescent="0.25">
      <c r="C582" s="359"/>
    </row>
    <row r="583" spans="3:3" ht="34.5" customHeight="1" x14ac:dyDescent="0.25">
      <c r="C583" s="359"/>
    </row>
    <row r="584" spans="3:3" ht="34.5" customHeight="1" x14ac:dyDescent="0.25">
      <c r="C584" s="359"/>
    </row>
    <row r="585" spans="3:3" ht="34.5" customHeight="1" x14ac:dyDescent="0.25">
      <c r="C585" s="359"/>
    </row>
    <row r="586" spans="3:3" ht="34.5" customHeight="1" x14ac:dyDescent="0.25">
      <c r="C586" s="359"/>
    </row>
    <row r="587" spans="3:3" ht="34.5" customHeight="1" x14ac:dyDescent="0.25">
      <c r="C587" s="359"/>
    </row>
    <row r="588" spans="3:3" ht="34.5" customHeight="1" x14ac:dyDescent="0.25">
      <c r="C588" s="359"/>
    </row>
    <row r="589" spans="3:3" ht="34.5" customHeight="1" x14ac:dyDescent="0.25">
      <c r="C589" s="359"/>
    </row>
    <row r="590" spans="3:3" ht="34.5" customHeight="1" x14ac:dyDescent="0.25">
      <c r="C590" s="359"/>
    </row>
    <row r="591" spans="3:3" ht="34.5" customHeight="1" x14ac:dyDescent="0.25">
      <c r="C591" s="359"/>
    </row>
    <row r="592" spans="3:3" ht="34.5" customHeight="1" x14ac:dyDescent="0.25">
      <c r="C592" s="359"/>
    </row>
    <row r="593" spans="3:3" ht="34.5" customHeight="1" x14ac:dyDescent="0.25">
      <c r="C593" s="359"/>
    </row>
    <row r="594" spans="3:3" ht="34.5" customHeight="1" x14ac:dyDescent="0.25">
      <c r="C594" s="359"/>
    </row>
    <row r="595" spans="3:3" ht="34.5" customHeight="1" x14ac:dyDescent="0.25">
      <c r="C595" s="359"/>
    </row>
    <row r="596" spans="3:3" ht="34.5" customHeight="1" x14ac:dyDescent="0.25">
      <c r="C596" s="359"/>
    </row>
    <row r="597" spans="3:3" ht="34.5" customHeight="1" x14ac:dyDescent="0.25">
      <c r="C597" s="359"/>
    </row>
    <row r="598" spans="3:3" ht="34.5" customHeight="1" x14ac:dyDescent="0.25">
      <c r="C598" s="359"/>
    </row>
    <row r="599" spans="3:3" ht="34.5" customHeight="1" x14ac:dyDescent="0.25">
      <c r="C599" s="359"/>
    </row>
    <row r="600" spans="3:3" ht="34.5" customHeight="1" x14ac:dyDescent="0.25">
      <c r="C600" s="359"/>
    </row>
    <row r="601" spans="3:3" ht="34.5" customHeight="1" x14ac:dyDescent="0.25">
      <c r="C601" s="359"/>
    </row>
    <row r="602" spans="3:3" ht="34.5" customHeight="1" x14ac:dyDescent="0.25">
      <c r="C602" s="359"/>
    </row>
    <row r="603" spans="3:3" ht="34.5" customHeight="1" x14ac:dyDescent="0.25">
      <c r="C603" s="359"/>
    </row>
    <row r="604" spans="3:3" ht="34.5" customHeight="1" x14ac:dyDescent="0.25">
      <c r="C604" s="359"/>
    </row>
    <row r="605" spans="3:3" ht="34.5" customHeight="1" x14ac:dyDescent="0.25">
      <c r="C605" s="359"/>
    </row>
    <row r="606" spans="3:3" ht="34.5" customHeight="1" x14ac:dyDescent="0.25">
      <c r="C606" s="359"/>
    </row>
    <row r="607" spans="3:3" ht="34.5" customHeight="1" x14ac:dyDescent="0.25">
      <c r="C607" s="359"/>
    </row>
    <row r="608" spans="3:3" ht="34.5" customHeight="1" x14ac:dyDescent="0.25">
      <c r="C608" s="359"/>
    </row>
    <row r="609" spans="3:3" ht="34.5" customHeight="1" x14ac:dyDescent="0.25">
      <c r="C609" s="359"/>
    </row>
    <row r="610" spans="3:3" ht="34.5" customHeight="1" x14ac:dyDescent="0.25">
      <c r="C610" s="359"/>
    </row>
    <row r="611" spans="3:3" ht="34.5" customHeight="1" x14ac:dyDescent="0.25">
      <c r="C611" s="359"/>
    </row>
    <row r="612" spans="3:3" ht="34.5" customHeight="1" x14ac:dyDescent="0.25">
      <c r="C612" s="359"/>
    </row>
    <row r="613" spans="3:3" ht="34.5" customHeight="1" x14ac:dyDescent="0.25">
      <c r="C613" s="359"/>
    </row>
    <row r="614" spans="3:3" ht="34.5" customHeight="1" x14ac:dyDescent="0.25">
      <c r="C614" s="359"/>
    </row>
    <row r="615" spans="3:3" ht="34.5" customHeight="1" x14ac:dyDescent="0.25">
      <c r="C615" s="359"/>
    </row>
    <row r="616" spans="3:3" ht="34.5" customHeight="1" x14ac:dyDescent="0.25">
      <c r="C616" s="359"/>
    </row>
    <row r="617" spans="3:3" ht="34.5" customHeight="1" x14ac:dyDescent="0.25">
      <c r="C617" s="359"/>
    </row>
    <row r="618" spans="3:3" ht="34.5" customHeight="1" x14ac:dyDescent="0.25">
      <c r="C618" s="359"/>
    </row>
    <row r="619" spans="3:3" ht="34.5" customHeight="1" x14ac:dyDescent="0.25">
      <c r="C619" s="359"/>
    </row>
    <row r="620" spans="3:3" ht="34.5" customHeight="1" x14ac:dyDescent="0.25">
      <c r="C620" s="359"/>
    </row>
    <row r="621" spans="3:3" ht="34.5" customHeight="1" x14ac:dyDescent="0.25">
      <c r="C621" s="359"/>
    </row>
    <row r="622" spans="3:3" ht="34.5" customHeight="1" x14ac:dyDescent="0.25">
      <c r="C622" s="359"/>
    </row>
    <row r="623" spans="3:3" ht="34.5" customHeight="1" x14ac:dyDescent="0.25">
      <c r="C623" s="359"/>
    </row>
    <row r="624" spans="3:3" ht="34.5" customHeight="1" x14ac:dyDescent="0.25">
      <c r="C624" s="359"/>
    </row>
    <row r="625" spans="3:3" ht="34.5" customHeight="1" x14ac:dyDescent="0.25">
      <c r="C625" s="359"/>
    </row>
    <row r="626" spans="3:3" ht="34.5" customHeight="1" x14ac:dyDescent="0.25">
      <c r="C626" s="359"/>
    </row>
    <row r="627" spans="3:3" ht="34.5" customHeight="1" x14ac:dyDescent="0.25">
      <c r="C627" s="359"/>
    </row>
    <row r="628" spans="3:3" ht="34.5" customHeight="1" x14ac:dyDescent="0.25">
      <c r="C628" s="359"/>
    </row>
    <row r="629" spans="3:3" ht="34.5" customHeight="1" x14ac:dyDescent="0.25">
      <c r="C629" s="359"/>
    </row>
    <row r="630" spans="3:3" ht="34.5" customHeight="1" x14ac:dyDescent="0.25">
      <c r="C630" s="359"/>
    </row>
    <row r="631" spans="3:3" ht="34.5" customHeight="1" x14ac:dyDescent="0.25">
      <c r="C631" s="359"/>
    </row>
    <row r="632" spans="3:3" ht="34.5" customHeight="1" x14ac:dyDescent="0.25">
      <c r="C632" s="359"/>
    </row>
    <row r="633" spans="3:3" ht="34.5" customHeight="1" x14ac:dyDescent="0.25">
      <c r="C633" s="359"/>
    </row>
    <row r="634" spans="3:3" ht="34.5" customHeight="1" x14ac:dyDescent="0.25">
      <c r="C634" s="359"/>
    </row>
    <row r="635" spans="3:3" ht="34.5" customHeight="1" x14ac:dyDescent="0.25">
      <c r="C635" s="359"/>
    </row>
    <row r="636" spans="3:3" ht="34.5" customHeight="1" x14ac:dyDescent="0.25">
      <c r="C636" s="359"/>
    </row>
    <row r="637" spans="3:3" ht="34.5" customHeight="1" x14ac:dyDescent="0.25">
      <c r="C637" s="359"/>
    </row>
    <row r="638" spans="3:3" ht="34.5" customHeight="1" x14ac:dyDescent="0.25">
      <c r="C638" s="359"/>
    </row>
    <row r="639" spans="3:3" ht="34.5" customHeight="1" x14ac:dyDescent="0.25">
      <c r="C639" s="359"/>
    </row>
    <row r="640" spans="3:3" ht="34.5" customHeight="1" x14ac:dyDescent="0.25">
      <c r="C640" s="359"/>
    </row>
    <row r="641" spans="3:3" ht="34.5" customHeight="1" x14ac:dyDescent="0.25">
      <c r="C641" s="359"/>
    </row>
    <row r="642" spans="3:3" ht="34.5" customHeight="1" x14ac:dyDescent="0.25">
      <c r="C642" s="359"/>
    </row>
    <row r="643" spans="3:3" ht="34.5" customHeight="1" x14ac:dyDescent="0.25">
      <c r="C643" s="359"/>
    </row>
    <row r="644" spans="3:3" ht="34.5" customHeight="1" x14ac:dyDescent="0.25">
      <c r="C644" s="359"/>
    </row>
    <row r="645" spans="3:3" ht="34.5" customHeight="1" x14ac:dyDescent="0.25">
      <c r="C645" s="359"/>
    </row>
    <row r="646" spans="3:3" ht="34.5" customHeight="1" x14ac:dyDescent="0.25">
      <c r="C646" s="359"/>
    </row>
    <row r="647" spans="3:3" ht="34.5" customHeight="1" x14ac:dyDescent="0.25">
      <c r="C647" s="359"/>
    </row>
    <row r="648" spans="3:3" ht="34.5" customHeight="1" x14ac:dyDescent="0.25">
      <c r="C648" s="359"/>
    </row>
    <row r="649" spans="3:3" ht="34.5" customHeight="1" x14ac:dyDescent="0.25">
      <c r="C649" s="359"/>
    </row>
    <row r="650" spans="3:3" ht="34.5" customHeight="1" x14ac:dyDescent="0.25">
      <c r="C650" s="359"/>
    </row>
    <row r="651" spans="3:3" ht="34.5" customHeight="1" x14ac:dyDescent="0.25">
      <c r="C651" s="359"/>
    </row>
    <row r="652" spans="3:3" ht="34.5" customHeight="1" x14ac:dyDescent="0.25">
      <c r="C652" s="359"/>
    </row>
    <row r="653" spans="3:3" ht="34.5" customHeight="1" x14ac:dyDescent="0.25">
      <c r="C653" s="359"/>
    </row>
    <row r="654" spans="3:3" ht="34.5" customHeight="1" x14ac:dyDescent="0.25">
      <c r="C654" s="359"/>
    </row>
    <row r="655" spans="3:3" ht="34.5" customHeight="1" x14ac:dyDescent="0.25">
      <c r="C655" s="359"/>
    </row>
    <row r="656" spans="3:3" ht="34.5" customHeight="1" x14ac:dyDescent="0.25">
      <c r="C656" s="359"/>
    </row>
    <row r="657" spans="3:3" ht="34.5" customHeight="1" x14ac:dyDescent="0.25">
      <c r="C657" s="359"/>
    </row>
    <row r="658" spans="3:3" ht="34.5" customHeight="1" x14ac:dyDescent="0.25">
      <c r="C658" s="359"/>
    </row>
    <row r="659" spans="3:3" ht="34.5" customHeight="1" x14ac:dyDescent="0.25">
      <c r="C659" s="359"/>
    </row>
    <row r="660" spans="3:3" ht="34.5" customHeight="1" x14ac:dyDescent="0.25">
      <c r="C660" s="359"/>
    </row>
    <row r="661" spans="3:3" ht="34.5" customHeight="1" x14ac:dyDescent="0.25">
      <c r="C661" s="359"/>
    </row>
    <row r="662" spans="3:3" ht="34.5" customHeight="1" x14ac:dyDescent="0.25">
      <c r="C662" s="359"/>
    </row>
    <row r="663" spans="3:3" ht="34.5" customHeight="1" x14ac:dyDescent="0.25">
      <c r="C663" s="359"/>
    </row>
    <row r="664" spans="3:3" ht="34.5" customHeight="1" x14ac:dyDescent="0.25">
      <c r="C664" s="359"/>
    </row>
    <row r="665" spans="3:3" ht="34.5" customHeight="1" x14ac:dyDescent="0.25">
      <c r="C665" s="359"/>
    </row>
    <row r="666" spans="3:3" ht="34.5" customHeight="1" x14ac:dyDescent="0.25">
      <c r="C666" s="359"/>
    </row>
    <row r="667" spans="3:3" ht="34.5" customHeight="1" x14ac:dyDescent="0.25">
      <c r="C667" s="359"/>
    </row>
    <row r="668" spans="3:3" ht="34.5" customHeight="1" x14ac:dyDescent="0.25">
      <c r="C668" s="359"/>
    </row>
    <row r="669" spans="3:3" ht="34.5" customHeight="1" x14ac:dyDescent="0.25">
      <c r="C669" s="359"/>
    </row>
    <row r="670" spans="3:3" ht="34.5" customHeight="1" x14ac:dyDescent="0.25">
      <c r="C670" s="359"/>
    </row>
    <row r="671" spans="3:3" ht="34.5" customHeight="1" x14ac:dyDescent="0.25">
      <c r="C671" s="359"/>
    </row>
    <row r="672" spans="3:3" ht="34.5" customHeight="1" x14ac:dyDescent="0.25">
      <c r="C672" s="359"/>
    </row>
    <row r="673" spans="3:3" ht="34.5" customHeight="1" x14ac:dyDescent="0.25">
      <c r="C673" s="359"/>
    </row>
    <row r="674" spans="3:3" ht="34.5" customHeight="1" x14ac:dyDescent="0.25">
      <c r="C674" s="359"/>
    </row>
    <row r="675" spans="3:3" ht="34.5" customHeight="1" x14ac:dyDescent="0.25">
      <c r="C675" s="359"/>
    </row>
    <row r="676" spans="3:3" ht="34.5" customHeight="1" x14ac:dyDescent="0.25">
      <c r="C676" s="359"/>
    </row>
    <row r="677" spans="3:3" ht="34.5" customHeight="1" x14ac:dyDescent="0.25">
      <c r="C677" s="359"/>
    </row>
    <row r="678" spans="3:3" ht="34.5" customHeight="1" x14ac:dyDescent="0.25">
      <c r="C678" s="359"/>
    </row>
    <row r="679" spans="3:3" ht="34.5" customHeight="1" x14ac:dyDescent="0.25">
      <c r="C679" s="359"/>
    </row>
    <row r="680" spans="3:3" ht="34.5" customHeight="1" x14ac:dyDescent="0.25">
      <c r="C680" s="359"/>
    </row>
    <row r="681" spans="3:3" ht="34.5" customHeight="1" x14ac:dyDescent="0.25">
      <c r="C681" s="359"/>
    </row>
    <row r="682" spans="3:3" ht="34.5" customHeight="1" x14ac:dyDescent="0.25">
      <c r="C682" s="359"/>
    </row>
    <row r="683" spans="3:3" ht="34.5" customHeight="1" x14ac:dyDescent="0.25">
      <c r="C683" s="359"/>
    </row>
    <row r="684" spans="3:3" ht="34.5" customHeight="1" x14ac:dyDescent="0.25">
      <c r="C684" s="359"/>
    </row>
    <row r="685" spans="3:3" ht="34.5" customHeight="1" x14ac:dyDescent="0.25">
      <c r="C685" s="359"/>
    </row>
    <row r="686" spans="3:3" ht="34.5" customHeight="1" x14ac:dyDescent="0.25">
      <c r="C686" s="359"/>
    </row>
    <row r="687" spans="3:3" ht="34.5" customHeight="1" x14ac:dyDescent="0.25">
      <c r="C687" s="359"/>
    </row>
    <row r="688" spans="3:3" ht="34.5" customHeight="1" x14ac:dyDescent="0.25">
      <c r="C688" s="359"/>
    </row>
    <row r="689" spans="3:3" ht="34.5" customHeight="1" x14ac:dyDescent="0.25">
      <c r="C689" s="359"/>
    </row>
    <row r="690" spans="3:3" ht="34.5" customHeight="1" x14ac:dyDescent="0.25">
      <c r="C690" s="359"/>
    </row>
    <row r="691" spans="3:3" ht="34.5" customHeight="1" x14ac:dyDescent="0.25">
      <c r="C691" s="359"/>
    </row>
    <row r="692" spans="3:3" ht="34.5" customHeight="1" x14ac:dyDescent="0.25">
      <c r="C692" s="359"/>
    </row>
    <row r="693" spans="3:3" ht="34.5" customHeight="1" x14ac:dyDescent="0.25">
      <c r="C693" s="359"/>
    </row>
    <row r="694" spans="3:3" ht="34.5" customHeight="1" x14ac:dyDescent="0.25">
      <c r="C694" s="359"/>
    </row>
    <row r="695" spans="3:3" ht="34.5" customHeight="1" x14ac:dyDescent="0.25">
      <c r="C695" s="359"/>
    </row>
    <row r="696" spans="3:3" ht="34.5" customHeight="1" x14ac:dyDescent="0.25">
      <c r="C696" s="359"/>
    </row>
    <row r="697" spans="3:3" ht="34.5" customHeight="1" x14ac:dyDescent="0.25">
      <c r="C697" s="359"/>
    </row>
    <row r="698" spans="3:3" ht="34.5" customHeight="1" x14ac:dyDescent="0.25">
      <c r="C698" s="359"/>
    </row>
    <row r="699" spans="3:3" ht="34.5" customHeight="1" x14ac:dyDescent="0.25">
      <c r="C699" s="359"/>
    </row>
    <row r="700" spans="3:3" ht="34.5" customHeight="1" x14ac:dyDescent="0.25">
      <c r="C700" s="359"/>
    </row>
    <row r="701" spans="3:3" ht="34.5" customHeight="1" x14ac:dyDescent="0.25">
      <c r="C701" s="359"/>
    </row>
    <row r="702" spans="3:3" ht="34.5" customHeight="1" x14ac:dyDescent="0.25">
      <c r="C702" s="359"/>
    </row>
    <row r="703" spans="3:3" ht="34.5" customHeight="1" x14ac:dyDescent="0.25">
      <c r="C703" s="359"/>
    </row>
    <row r="704" spans="3:3" ht="34.5" customHeight="1" x14ac:dyDescent="0.25">
      <c r="C704" s="359"/>
    </row>
    <row r="705" spans="3:3" ht="34.5" customHeight="1" x14ac:dyDescent="0.25">
      <c r="C705" s="359"/>
    </row>
    <row r="706" spans="3:3" ht="34.5" customHeight="1" x14ac:dyDescent="0.25">
      <c r="C706" s="359"/>
    </row>
    <row r="707" spans="3:3" ht="34.5" customHeight="1" x14ac:dyDescent="0.25">
      <c r="C707" s="359"/>
    </row>
    <row r="708" spans="3:3" ht="34.5" customHeight="1" x14ac:dyDescent="0.25">
      <c r="C708" s="359"/>
    </row>
    <row r="709" spans="3:3" ht="34.5" customHeight="1" x14ac:dyDescent="0.25">
      <c r="C709" s="359"/>
    </row>
    <row r="710" spans="3:3" ht="34.5" customHeight="1" x14ac:dyDescent="0.25">
      <c r="C710" s="359"/>
    </row>
    <row r="711" spans="3:3" ht="34.5" customHeight="1" x14ac:dyDescent="0.25">
      <c r="C711" s="359"/>
    </row>
    <row r="712" spans="3:3" ht="34.5" customHeight="1" x14ac:dyDescent="0.25">
      <c r="C712" s="359"/>
    </row>
    <row r="713" spans="3:3" ht="34.5" customHeight="1" x14ac:dyDescent="0.25">
      <c r="C713" s="359"/>
    </row>
    <row r="714" spans="3:3" ht="34.5" customHeight="1" x14ac:dyDescent="0.25">
      <c r="C714" s="359"/>
    </row>
    <row r="715" spans="3:3" ht="34.5" customHeight="1" x14ac:dyDescent="0.25">
      <c r="C715" s="359"/>
    </row>
    <row r="716" spans="3:3" ht="34.5" customHeight="1" x14ac:dyDescent="0.25">
      <c r="C716" s="359"/>
    </row>
    <row r="717" spans="3:3" ht="34.5" customHeight="1" x14ac:dyDescent="0.25">
      <c r="C717" s="359"/>
    </row>
    <row r="718" spans="3:3" ht="34.5" customHeight="1" x14ac:dyDescent="0.25">
      <c r="C718" s="359"/>
    </row>
    <row r="719" spans="3:3" ht="34.5" customHeight="1" x14ac:dyDescent="0.25">
      <c r="C719" s="359"/>
    </row>
    <row r="720" spans="3:3" ht="34.5" customHeight="1" x14ac:dyDescent="0.25">
      <c r="C720" s="359"/>
    </row>
    <row r="721" spans="3:3" ht="34.5" customHeight="1" x14ac:dyDescent="0.25">
      <c r="C721" s="359"/>
    </row>
    <row r="722" spans="3:3" ht="34.5" customHeight="1" x14ac:dyDescent="0.25">
      <c r="C722" s="359"/>
    </row>
    <row r="723" spans="3:3" ht="34.5" customHeight="1" x14ac:dyDescent="0.25">
      <c r="C723" s="359"/>
    </row>
    <row r="724" spans="3:3" ht="34.5" customHeight="1" x14ac:dyDescent="0.25">
      <c r="C724" s="359"/>
    </row>
    <row r="725" spans="3:3" ht="34.5" customHeight="1" x14ac:dyDescent="0.25">
      <c r="C725" s="359"/>
    </row>
    <row r="726" spans="3:3" ht="34.5" customHeight="1" x14ac:dyDescent="0.25">
      <c r="C726" s="359"/>
    </row>
    <row r="727" spans="3:3" ht="34.5" customHeight="1" x14ac:dyDescent="0.25">
      <c r="C727" s="359"/>
    </row>
    <row r="728" spans="3:3" ht="34.5" customHeight="1" x14ac:dyDescent="0.25">
      <c r="C728" s="359"/>
    </row>
    <row r="729" spans="3:3" ht="34.5" customHeight="1" x14ac:dyDescent="0.25">
      <c r="C729" s="359"/>
    </row>
    <row r="730" spans="3:3" ht="34.5" customHeight="1" x14ac:dyDescent="0.25">
      <c r="C730" s="359"/>
    </row>
    <row r="731" spans="3:3" ht="34.5" customHeight="1" x14ac:dyDescent="0.25">
      <c r="C731" s="359"/>
    </row>
    <row r="732" spans="3:3" ht="34.5" customHeight="1" x14ac:dyDescent="0.25">
      <c r="C732" s="359"/>
    </row>
    <row r="733" spans="3:3" ht="34.5" customHeight="1" x14ac:dyDescent="0.25">
      <c r="C733" s="359"/>
    </row>
    <row r="734" spans="3:3" ht="34.5" customHeight="1" x14ac:dyDescent="0.25">
      <c r="C734" s="359"/>
    </row>
    <row r="735" spans="3:3" ht="34.5" customHeight="1" x14ac:dyDescent="0.25">
      <c r="C735" s="359"/>
    </row>
    <row r="736" spans="3:3" ht="34.5" customHeight="1" x14ac:dyDescent="0.25">
      <c r="C736" s="359"/>
    </row>
    <row r="737" spans="3:3" ht="34.5" customHeight="1" x14ac:dyDescent="0.25">
      <c r="C737" s="359"/>
    </row>
    <row r="738" spans="3:3" ht="34.5" customHeight="1" x14ac:dyDescent="0.25">
      <c r="C738" s="359"/>
    </row>
    <row r="739" spans="3:3" ht="34.5" customHeight="1" x14ac:dyDescent="0.25">
      <c r="C739" s="359"/>
    </row>
    <row r="740" spans="3:3" ht="34.5" customHeight="1" x14ac:dyDescent="0.25">
      <c r="C740" s="359"/>
    </row>
    <row r="741" spans="3:3" ht="34.5" customHeight="1" x14ac:dyDescent="0.25">
      <c r="C741" s="359"/>
    </row>
    <row r="742" spans="3:3" ht="34.5" customHeight="1" x14ac:dyDescent="0.25">
      <c r="C742" s="359"/>
    </row>
    <row r="743" spans="3:3" ht="34.5" customHeight="1" x14ac:dyDescent="0.25">
      <c r="C743" s="359"/>
    </row>
    <row r="744" spans="3:3" ht="34.5" customHeight="1" x14ac:dyDescent="0.25">
      <c r="C744" s="359"/>
    </row>
    <row r="745" spans="3:3" ht="34.5" customHeight="1" x14ac:dyDescent="0.25">
      <c r="C745" s="359"/>
    </row>
    <row r="746" spans="3:3" ht="34.5" customHeight="1" x14ac:dyDescent="0.25">
      <c r="C746" s="359"/>
    </row>
    <row r="747" spans="3:3" ht="34.5" customHeight="1" x14ac:dyDescent="0.25">
      <c r="C747" s="359"/>
    </row>
    <row r="748" spans="3:3" ht="34.5" customHeight="1" x14ac:dyDescent="0.25">
      <c r="C748" s="359"/>
    </row>
    <row r="749" spans="3:3" ht="34.5" customHeight="1" x14ac:dyDescent="0.25">
      <c r="C749" s="359"/>
    </row>
    <row r="750" spans="3:3" ht="34.5" customHeight="1" x14ac:dyDescent="0.25">
      <c r="C750" s="359"/>
    </row>
    <row r="751" spans="3:3" ht="34.5" customHeight="1" x14ac:dyDescent="0.25">
      <c r="C751" s="359"/>
    </row>
    <row r="752" spans="3:3" ht="34.5" customHeight="1" x14ac:dyDescent="0.25">
      <c r="C752" s="359"/>
    </row>
    <row r="753" spans="3:3" ht="34.5" customHeight="1" x14ac:dyDescent="0.25">
      <c r="C753" s="359"/>
    </row>
    <row r="754" spans="3:3" ht="34.5" customHeight="1" x14ac:dyDescent="0.25">
      <c r="C754" s="359"/>
    </row>
    <row r="755" spans="3:3" ht="34.5" customHeight="1" x14ac:dyDescent="0.25">
      <c r="C755" s="359"/>
    </row>
    <row r="756" spans="3:3" ht="34.5" customHeight="1" x14ac:dyDescent="0.25">
      <c r="C756" s="359"/>
    </row>
    <row r="757" spans="3:3" ht="34.5" customHeight="1" x14ac:dyDescent="0.25">
      <c r="C757" s="359"/>
    </row>
    <row r="758" spans="3:3" ht="34.5" customHeight="1" x14ac:dyDescent="0.25">
      <c r="C758" s="359"/>
    </row>
    <row r="759" spans="3:3" ht="34.5" customHeight="1" x14ac:dyDescent="0.25">
      <c r="C759" s="359"/>
    </row>
    <row r="760" spans="3:3" ht="34.5" customHeight="1" x14ac:dyDescent="0.25">
      <c r="C760" s="359"/>
    </row>
    <row r="761" spans="3:3" ht="34.5" customHeight="1" x14ac:dyDescent="0.25">
      <c r="C761" s="359"/>
    </row>
    <row r="762" spans="3:3" ht="34.5" customHeight="1" x14ac:dyDescent="0.25">
      <c r="C762" s="359"/>
    </row>
    <row r="763" spans="3:3" ht="34.5" customHeight="1" x14ac:dyDescent="0.25">
      <c r="C763" s="359"/>
    </row>
    <row r="764" spans="3:3" ht="34.5" customHeight="1" x14ac:dyDescent="0.25">
      <c r="C764" s="359"/>
    </row>
    <row r="765" spans="3:3" ht="34.5" customHeight="1" x14ac:dyDescent="0.25">
      <c r="C765" s="359"/>
    </row>
    <row r="766" spans="3:3" ht="34.5" customHeight="1" x14ac:dyDescent="0.25">
      <c r="C766" s="359"/>
    </row>
    <row r="767" spans="3:3" ht="34.5" customHeight="1" x14ac:dyDescent="0.25">
      <c r="C767" s="359"/>
    </row>
    <row r="768" spans="3:3" ht="34.5" customHeight="1" x14ac:dyDescent="0.25">
      <c r="C768" s="359"/>
    </row>
    <row r="769" spans="3:3" ht="34.5" customHeight="1" x14ac:dyDescent="0.25">
      <c r="C769" s="359"/>
    </row>
    <row r="770" spans="3:3" ht="34.5" customHeight="1" x14ac:dyDescent="0.25">
      <c r="C770" s="359"/>
    </row>
    <row r="771" spans="3:3" ht="34.5" customHeight="1" x14ac:dyDescent="0.25">
      <c r="C771" s="359"/>
    </row>
    <row r="772" spans="3:3" ht="34.5" customHeight="1" x14ac:dyDescent="0.25">
      <c r="C772" s="359"/>
    </row>
    <row r="773" spans="3:3" ht="34.5" customHeight="1" x14ac:dyDescent="0.25">
      <c r="C773" s="359"/>
    </row>
    <row r="774" spans="3:3" ht="34.5" customHeight="1" x14ac:dyDescent="0.25">
      <c r="C774" s="359"/>
    </row>
    <row r="775" spans="3:3" ht="34.5" customHeight="1" x14ac:dyDescent="0.25">
      <c r="C775" s="359"/>
    </row>
    <row r="776" spans="3:3" ht="34.5" customHeight="1" x14ac:dyDescent="0.25">
      <c r="C776" s="359"/>
    </row>
    <row r="777" spans="3:3" ht="34.5" customHeight="1" x14ac:dyDescent="0.25">
      <c r="C777" s="359"/>
    </row>
    <row r="778" spans="3:3" ht="34.5" customHeight="1" x14ac:dyDescent="0.25">
      <c r="C778" s="359"/>
    </row>
    <row r="779" spans="3:3" ht="34.5" customHeight="1" x14ac:dyDescent="0.25">
      <c r="C779" s="359"/>
    </row>
    <row r="780" spans="3:3" ht="34.5" customHeight="1" x14ac:dyDescent="0.25">
      <c r="C780" s="359"/>
    </row>
    <row r="781" spans="3:3" ht="34.5" customHeight="1" x14ac:dyDescent="0.25">
      <c r="C781" s="359"/>
    </row>
    <row r="782" spans="3:3" ht="34.5" customHeight="1" x14ac:dyDescent="0.25">
      <c r="C782" s="359"/>
    </row>
    <row r="783" spans="3:3" ht="34.5" customHeight="1" x14ac:dyDescent="0.25">
      <c r="C783" s="359"/>
    </row>
    <row r="784" spans="3:3" ht="34.5" customHeight="1" x14ac:dyDescent="0.25">
      <c r="C784" s="359"/>
    </row>
    <row r="785" spans="3:3" ht="34.5" customHeight="1" x14ac:dyDescent="0.25">
      <c r="C785" s="359"/>
    </row>
    <row r="786" spans="3:3" ht="34.5" customHeight="1" x14ac:dyDescent="0.25">
      <c r="C786" s="359"/>
    </row>
    <row r="787" spans="3:3" ht="34.5" customHeight="1" x14ac:dyDescent="0.25">
      <c r="C787" s="359"/>
    </row>
    <row r="788" spans="3:3" ht="34.5" customHeight="1" x14ac:dyDescent="0.25">
      <c r="C788" s="359"/>
    </row>
    <row r="789" spans="3:3" ht="34.5" customHeight="1" x14ac:dyDescent="0.25">
      <c r="C789" s="359"/>
    </row>
    <row r="790" spans="3:3" ht="34.5" customHeight="1" x14ac:dyDescent="0.25">
      <c r="C790" s="359"/>
    </row>
    <row r="791" spans="3:3" ht="34.5" customHeight="1" x14ac:dyDescent="0.25">
      <c r="C791" s="359"/>
    </row>
    <row r="792" spans="3:3" ht="34.5" customHeight="1" x14ac:dyDescent="0.25">
      <c r="C792" s="359"/>
    </row>
    <row r="793" spans="3:3" ht="34.5" customHeight="1" x14ac:dyDescent="0.25">
      <c r="C793" s="359"/>
    </row>
    <row r="794" spans="3:3" ht="34.5" customHeight="1" x14ac:dyDescent="0.25">
      <c r="C794" s="359"/>
    </row>
    <row r="795" spans="3:3" ht="34.5" customHeight="1" x14ac:dyDescent="0.25">
      <c r="C795" s="359"/>
    </row>
    <row r="796" spans="3:3" ht="34.5" customHeight="1" x14ac:dyDescent="0.25">
      <c r="C796" s="359"/>
    </row>
    <row r="797" spans="3:3" ht="34.5" customHeight="1" x14ac:dyDescent="0.25">
      <c r="C797" s="359"/>
    </row>
    <row r="798" spans="3:3" ht="34.5" customHeight="1" x14ac:dyDescent="0.25">
      <c r="C798" s="359"/>
    </row>
    <row r="799" spans="3:3" ht="34.5" customHeight="1" x14ac:dyDescent="0.25">
      <c r="C799" s="359"/>
    </row>
    <row r="800" spans="3:3" ht="34.5" customHeight="1" x14ac:dyDescent="0.25">
      <c r="C800" s="359"/>
    </row>
    <row r="801" spans="3:3" ht="34.5" customHeight="1" x14ac:dyDescent="0.25">
      <c r="C801" s="359"/>
    </row>
    <row r="802" spans="3:3" ht="34.5" customHeight="1" x14ac:dyDescent="0.25">
      <c r="C802" s="359"/>
    </row>
    <row r="803" spans="3:3" ht="34.5" customHeight="1" x14ac:dyDescent="0.25">
      <c r="C803" s="359"/>
    </row>
    <row r="804" spans="3:3" ht="34.5" customHeight="1" x14ac:dyDescent="0.25">
      <c r="C804" s="359"/>
    </row>
    <row r="805" spans="3:3" ht="34.5" customHeight="1" x14ac:dyDescent="0.25">
      <c r="C805" s="359"/>
    </row>
    <row r="806" spans="3:3" ht="34.5" customHeight="1" x14ac:dyDescent="0.25">
      <c r="C806" s="359"/>
    </row>
    <row r="807" spans="3:3" ht="34.5" customHeight="1" x14ac:dyDescent="0.25">
      <c r="C807" s="359"/>
    </row>
    <row r="808" spans="3:3" ht="34.5" customHeight="1" x14ac:dyDescent="0.25">
      <c r="C808" s="359"/>
    </row>
    <row r="809" spans="3:3" ht="34.5" customHeight="1" x14ac:dyDescent="0.25">
      <c r="C809" s="359"/>
    </row>
    <row r="810" spans="3:3" ht="34.5" customHeight="1" x14ac:dyDescent="0.25">
      <c r="C810" s="359"/>
    </row>
    <row r="811" spans="3:3" ht="34.5" customHeight="1" x14ac:dyDescent="0.25">
      <c r="C811" s="359"/>
    </row>
    <row r="812" spans="3:3" ht="34.5" customHeight="1" x14ac:dyDescent="0.25">
      <c r="C812" s="359"/>
    </row>
    <row r="813" spans="3:3" ht="34.5" customHeight="1" x14ac:dyDescent="0.25">
      <c r="C813" s="359"/>
    </row>
    <row r="814" spans="3:3" ht="34.5" customHeight="1" x14ac:dyDescent="0.25">
      <c r="C814" s="359"/>
    </row>
    <row r="815" spans="3:3" ht="34.5" customHeight="1" x14ac:dyDescent="0.25">
      <c r="C815" s="359"/>
    </row>
    <row r="816" spans="3:3" ht="34.5" customHeight="1" x14ac:dyDescent="0.25">
      <c r="C816" s="359"/>
    </row>
    <row r="817" spans="3:3" ht="34.5" customHeight="1" x14ac:dyDescent="0.25">
      <c r="C817" s="359"/>
    </row>
    <row r="818" spans="3:3" ht="34.5" customHeight="1" x14ac:dyDescent="0.25">
      <c r="C818" s="359"/>
    </row>
    <row r="819" spans="3:3" ht="34.5" customHeight="1" x14ac:dyDescent="0.25">
      <c r="C819" s="359"/>
    </row>
    <row r="820" spans="3:3" ht="34.5" customHeight="1" x14ac:dyDescent="0.25">
      <c r="C820" s="359"/>
    </row>
    <row r="821" spans="3:3" ht="34.5" customHeight="1" x14ac:dyDescent="0.25">
      <c r="C821" s="359"/>
    </row>
    <row r="822" spans="3:3" ht="34.5" customHeight="1" x14ac:dyDescent="0.25">
      <c r="C822" s="359"/>
    </row>
    <row r="823" spans="3:3" ht="34.5" customHeight="1" x14ac:dyDescent="0.25">
      <c r="C823" s="359"/>
    </row>
    <row r="824" spans="3:3" ht="34.5" customHeight="1" x14ac:dyDescent="0.25">
      <c r="C824" s="359"/>
    </row>
    <row r="825" spans="3:3" ht="34.5" customHeight="1" x14ac:dyDescent="0.25">
      <c r="C825" s="359"/>
    </row>
    <row r="826" spans="3:3" ht="34.5" customHeight="1" x14ac:dyDescent="0.25">
      <c r="C826" s="359"/>
    </row>
    <row r="827" spans="3:3" ht="34.5" customHeight="1" x14ac:dyDescent="0.25">
      <c r="C827" s="359"/>
    </row>
    <row r="828" spans="3:3" ht="34.5" customHeight="1" x14ac:dyDescent="0.25">
      <c r="C828" s="359"/>
    </row>
    <row r="829" spans="3:3" ht="34.5" customHeight="1" x14ac:dyDescent="0.25">
      <c r="C829" s="359"/>
    </row>
    <row r="830" spans="3:3" ht="34.5" customHeight="1" x14ac:dyDescent="0.25">
      <c r="C830" s="359"/>
    </row>
    <row r="831" spans="3:3" ht="34.5" customHeight="1" x14ac:dyDescent="0.25">
      <c r="C831" s="359"/>
    </row>
    <row r="832" spans="3:3" ht="34.5" customHeight="1" x14ac:dyDescent="0.25">
      <c r="C832" s="359"/>
    </row>
    <row r="833" spans="3:3" ht="34.5" customHeight="1" x14ac:dyDescent="0.25">
      <c r="C833" s="359"/>
    </row>
    <row r="834" spans="3:3" ht="34.5" customHeight="1" x14ac:dyDescent="0.25">
      <c r="C834" s="359"/>
    </row>
    <row r="835" spans="3:3" ht="34.5" customHeight="1" x14ac:dyDescent="0.25">
      <c r="C835" s="359"/>
    </row>
    <row r="836" spans="3:3" ht="34.5" customHeight="1" x14ac:dyDescent="0.25">
      <c r="C836" s="359"/>
    </row>
    <row r="837" spans="3:3" ht="34.5" customHeight="1" x14ac:dyDescent="0.25">
      <c r="C837" s="359"/>
    </row>
    <row r="838" spans="3:3" ht="34.5" customHeight="1" x14ac:dyDescent="0.25">
      <c r="C838" s="359"/>
    </row>
    <row r="839" spans="3:3" ht="34.5" customHeight="1" x14ac:dyDescent="0.25">
      <c r="C839" s="359"/>
    </row>
    <row r="840" spans="3:3" ht="34.5" customHeight="1" x14ac:dyDescent="0.25">
      <c r="C840" s="359"/>
    </row>
    <row r="841" spans="3:3" ht="34.5" customHeight="1" x14ac:dyDescent="0.25">
      <c r="C841" s="359"/>
    </row>
    <row r="842" spans="3:3" ht="34.5" customHeight="1" x14ac:dyDescent="0.25">
      <c r="C842" s="359"/>
    </row>
    <row r="843" spans="3:3" ht="34.5" customHeight="1" x14ac:dyDescent="0.25">
      <c r="C843" s="359"/>
    </row>
    <row r="844" spans="3:3" ht="34.5" customHeight="1" x14ac:dyDescent="0.25">
      <c r="C844" s="359"/>
    </row>
    <row r="845" spans="3:3" ht="34.5" customHeight="1" x14ac:dyDescent="0.25">
      <c r="C845" s="359"/>
    </row>
    <row r="846" spans="3:3" ht="34.5" customHeight="1" x14ac:dyDescent="0.25">
      <c r="C846" s="359"/>
    </row>
    <row r="847" spans="3:3" ht="34.5" customHeight="1" x14ac:dyDescent="0.25">
      <c r="C847" s="359"/>
    </row>
    <row r="848" spans="3:3" ht="34.5" customHeight="1" x14ac:dyDescent="0.25">
      <c r="C848" s="359"/>
    </row>
    <row r="849" spans="3:3" ht="34.5" customHeight="1" x14ac:dyDescent="0.25">
      <c r="C849" s="359"/>
    </row>
    <row r="850" spans="3:3" ht="34.5" customHeight="1" x14ac:dyDescent="0.25">
      <c r="C850" s="359"/>
    </row>
    <row r="851" spans="3:3" ht="34.5" customHeight="1" x14ac:dyDescent="0.25">
      <c r="C851" s="359"/>
    </row>
    <row r="852" spans="3:3" ht="34.5" customHeight="1" x14ac:dyDescent="0.25">
      <c r="C852" s="359"/>
    </row>
    <row r="853" spans="3:3" ht="34.5" customHeight="1" x14ac:dyDescent="0.25">
      <c r="C853" s="359"/>
    </row>
    <row r="854" spans="3:3" ht="34.5" customHeight="1" x14ac:dyDescent="0.25">
      <c r="C854" s="359"/>
    </row>
    <row r="855" spans="3:3" ht="34.5" customHeight="1" x14ac:dyDescent="0.25">
      <c r="C855" s="359"/>
    </row>
    <row r="856" spans="3:3" ht="34.5" customHeight="1" x14ac:dyDescent="0.25">
      <c r="C856" s="359"/>
    </row>
    <row r="857" spans="3:3" ht="34.5" customHeight="1" x14ac:dyDescent="0.25">
      <c r="C857" s="359"/>
    </row>
    <row r="858" spans="3:3" ht="34.5" customHeight="1" x14ac:dyDescent="0.25">
      <c r="C858" s="359"/>
    </row>
    <row r="859" spans="3:3" ht="34.5" customHeight="1" x14ac:dyDescent="0.25">
      <c r="C859" s="359"/>
    </row>
    <row r="860" spans="3:3" ht="34.5" customHeight="1" x14ac:dyDescent="0.25">
      <c r="C860" s="359"/>
    </row>
    <row r="861" spans="3:3" ht="34.5" customHeight="1" x14ac:dyDescent="0.25">
      <c r="C861" s="359"/>
    </row>
    <row r="862" spans="3:3" ht="34.5" customHeight="1" x14ac:dyDescent="0.25">
      <c r="C862" s="359"/>
    </row>
    <row r="863" spans="3:3" ht="34.5" customHeight="1" x14ac:dyDescent="0.25">
      <c r="C863" s="359"/>
    </row>
    <row r="864" spans="3:3" ht="34.5" customHeight="1" x14ac:dyDescent="0.25">
      <c r="C864" s="359"/>
    </row>
    <row r="865" spans="3:3" ht="34.5" customHeight="1" x14ac:dyDescent="0.25">
      <c r="C865" s="359"/>
    </row>
    <row r="866" spans="3:3" ht="34.5" customHeight="1" x14ac:dyDescent="0.25">
      <c r="C866" s="359"/>
    </row>
    <row r="867" spans="3:3" ht="34.5" customHeight="1" x14ac:dyDescent="0.25">
      <c r="C867" s="359"/>
    </row>
    <row r="868" spans="3:3" ht="34.5" customHeight="1" x14ac:dyDescent="0.25">
      <c r="C868" s="359"/>
    </row>
    <row r="869" spans="3:3" ht="34.5" customHeight="1" x14ac:dyDescent="0.25">
      <c r="C869" s="359"/>
    </row>
    <row r="870" spans="3:3" ht="34.5" customHeight="1" x14ac:dyDescent="0.25">
      <c r="C870" s="359"/>
    </row>
    <row r="871" spans="3:3" ht="34.5" customHeight="1" x14ac:dyDescent="0.25">
      <c r="C871" s="359"/>
    </row>
    <row r="872" spans="3:3" ht="34.5" customHeight="1" x14ac:dyDescent="0.25">
      <c r="C872" s="359"/>
    </row>
    <row r="873" spans="3:3" ht="34.5" customHeight="1" x14ac:dyDescent="0.25">
      <c r="C873" s="359"/>
    </row>
    <row r="874" spans="3:3" ht="34.5" customHeight="1" x14ac:dyDescent="0.25">
      <c r="C874" s="359"/>
    </row>
    <row r="875" spans="3:3" ht="34.5" customHeight="1" x14ac:dyDescent="0.25">
      <c r="C875" s="359"/>
    </row>
    <row r="876" spans="3:3" ht="34.5" customHeight="1" x14ac:dyDescent="0.25">
      <c r="C876" s="359"/>
    </row>
    <row r="877" spans="3:3" ht="34.5" customHeight="1" x14ac:dyDescent="0.25">
      <c r="C877" s="359"/>
    </row>
    <row r="878" spans="3:3" ht="34.5" customHeight="1" x14ac:dyDescent="0.25">
      <c r="C878" s="359"/>
    </row>
    <row r="879" spans="3:3" ht="34.5" customHeight="1" x14ac:dyDescent="0.25">
      <c r="C879" s="359"/>
    </row>
    <row r="880" spans="3:3" ht="34.5" customHeight="1" x14ac:dyDescent="0.25">
      <c r="C880" s="359"/>
    </row>
    <row r="881" spans="3:3" ht="34.5" customHeight="1" x14ac:dyDescent="0.25">
      <c r="C881" s="359"/>
    </row>
    <row r="882" spans="3:3" ht="34.5" customHeight="1" x14ac:dyDescent="0.25">
      <c r="C882" s="359"/>
    </row>
    <row r="883" spans="3:3" ht="34.5" customHeight="1" x14ac:dyDescent="0.25">
      <c r="C883" s="359"/>
    </row>
    <row r="884" spans="3:3" ht="34.5" customHeight="1" x14ac:dyDescent="0.25">
      <c r="C884" s="359"/>
    </row>
    <row r="885" spans="3:3" ht="34.5" customHeight="1" x14ac:dyDescent="0.25">
      <c r="C885" s="359"/>
    </row>
    <row r="886" spans="3:3" ht="34.5" customHeight="1" x14ac:dyDescent="0.25">
      <c r="C886" s="359"/>
    </row>
    <row r="887" spans="3:3" ht="34.5" customHeight="1" x14ac:dyDescent="0.25">
      <c r="C887" s="359"/>
    </row>
    <row r="888" spans="3:3" ht="34.5" customHeight="1" x14ac:dyDescent="0.25">
      <c r="C888" s="359"/>
    </row>
    <row r="889" spans="3:3" ht="34.5" customHeight="1" x14ac:dyDescent="0.25">
      <c r="C889" s="359"/>
    </row>
    <row r="890" spans="3:3" ht="34.5" customHeight="1" x14ac:dyDescent="0.25">
      <c r="C890" s="359"/>
    </row>
    <row r="891" spans="3:3" ht="34.5" customHeight="1" x14ac:dyDescent="0.25">
      <c r="C891" s="359"/>
    </row>
    <row r="892" spans="3:3" ht="34.5" customHeight="1" x14ac:dyDescent="0.25">
      <c r="C892" s="359"/>
    </row>
    <row r="893" spans="3:3" ht="34.5" customHeight="1" x14ac:dyDescent="0.25">
      <c r="C893" s="359"/>
    </row>
    <row r="894" spans="3:3" ht="34.5" customHeight="1" x14ac:dyDescent="0.25">
      <c r="C894" s="359"/>
    </row>
    <row r="895" spans="3:3" ht="34.5" customHeight="1" x14ac:dyDescent="0.25">
      <c r="C895" s="359"/>
    </row>
    <row r="896" spans="3:3" ht="34.5" customHeight="1" x14ac:dyDescent="0.25">
      <c r="C896" s="359"/>
    </row>
    <row r="897" spans="3:3" ht="34.5" customHeight="1" x14ac:dyDescent="0.25">
      <c r="C897" s="359"/>
    </row>
    <row r="898" spans="3:3" ht="34.5" customHeight="1" x14ac:dyDescent="0.25">
      <c r="C898" s="359"/>
    </row>
    <row r="899" spans="3:3" ht="34.5" customHeight="1" x14ac:dyDescent="0.25">
      <c r="C899" s="359"/>
    </row>
    <row r="900" spans="3:3" ht="34.5" customHeight="1" x14ac:dyDescent="0.25">
      <c r="C900" s="359"/>
    </row>
    <row r="901" spans="3:3" ht="34.5" customHeight="1" x14ac:dyDescent="0.25">
      <c r="C901" s="359"/>
    </row>
    <row r="902" spans="3:3" ht="34.5" customHeight="1" x14ac:dyDescent="0.25">
      <c r="C902" s="359"/>
    </row>
    <row r="903" spans="3:3" ht="34.5" customHeight="1" x14ac:dyDescent="0.25">
      <c r="C903" s="359"/>
    </row>
    <row r="904" spans="3:3" ht="34.5" customHeight="1" x14ac:dyDescent="0.25">
      <c r="C904" s="359"/>
    </row>
    <row r="905" spans="3:3" ht="34.5" customHeight="1" x14ac:dyDescent="0.25">
      <c r="C905" s="359"/>
    </row>
    <row r="906" spans="3:3" ht="34.5" customHeight="1" x14ac:dyDescent="0.25">
      <c r="C906" s="359"/>
    </row>
    <row r="907" spans="3:3" ht="34.5" customHeight="1" x14ac:dyDescent="0.25">
      <c r="C907" s="359"/>
    </row>
    <row r="908" spans="3:3" ht="34.5" customHeight="1" x14ac:dyDescent="0.25">
      <c r="C908" s="359"/>
    </row>
    <row r="909" spans="3:3" ht="34.5" customHeight="1" x14ac:dyDescent="0.25">
      <c r="C909" s="359"/>
    </row>
    <row r="910" spans="3:3" ht="34.5" customHeight="1" x14ac:dyDescent="0.25">
      <c r="C910" s="359"/>
    </row>
    <row r="911" spans="3:3" ht="34.5" customHeight="1" x14ac:dyDescent="0.25">
      <c r="C911" s="359"/>
    </row>
    <row r="912" spans="3:3" ht="34.5" customHeight="1" x14ac:dyDescent="0.25">
      <c r="C912" s="359"/>
    </row>
    <row r="913" spans="3:3" ht="34.5" customHeight="1" x14ac:dyDescent="0.25">
      <c r="C913" s="359"/>
    </row>
    <row r="914" spans="3:3" ht="34.5" customHeight="1" x14ac:dyDescent="0.25">
      <c r="C914" s="359"/>
    </row>
    <row r="915" spans="3:3" ht="34.5" customHeight="1" x14ac:dyDescent="0.25">
      <c r="C915" s="359"/>
    </row>
    <row r="916" spans="3:3" ht="34.5" customHeight="1" x14ac:dyDescent="0.25">
      <c r="C916" s="359"/>
    </row>
    <row r="917" spans="3:3" ht="34.5" customHeight="1" x14ac:dyDescent="0.25">
      <c r="C917" s="359"/>
    </row>
    <row r="918" spans="3:3" ht="34.5" customHeight="1" x14ac:dyDescent="0.25">
      <c r="C918" s="359"/>
    </row>
    <row r="919" spans="3:3" ht="34.5" customHeight="1" x14ac:dyDescent="0.25">
      <c r="C919" s="359"/>
    </row>
    <row r="920" spans="3:3" ht="34.5" customHeight="1" x14ac:dyDescent="0.25">
      <c r="C920" s="359"/>
    </row>
    <row r="921" spans="3:3" ht="34.5" customHeight="1" x14ac:dyDescent="0.25">
      <c r="C921" s="359"/>
    </row>
    <row r="922" spans="3:3" ht="34.5" customHeight="1" x14ac:dyDescent="0.25">
      <c r="C922" s="359"/>
    </row>
    <row r="923" spans="3:3" ht="34.5" customHeight="1" x14ac:dyDescent="0.25">
      <c r="C923" s="359"/>
    </row>
    <row r="924" spans="3:3" ht="34.5" customHeight="1" x14ac:dyDescent="0.25">
      <c r="C924" s="359"/>
    </row>
    <row r="925" spans="3:3" ht="34.5" customHeight="1" x14ac:dyDescent="0.25">
      <c r="C925" s="359"/>
    </row>
    <row r="926" spans="3:3" ht="34.5" customHeight="1" x14ac:dyDescent="0.25">
      <c r="C926" s="359"/>
    </row>
    <row r="927" spans="3:3" ht="34.5" customHeight="1" x14ac:dyDescent="0.25">
      <c r="C927" s="359"/>
    </row>
    <row r="928" spans="3:3" ht="34.5" customHeight="1" x14ac:dyDescent="0.25">
      <c r="C928" s="359"/>
    </row>
    <row r="929" spans="3:3" ht="34.5" customHeight="1" x14ac:dyDescent="0.25">
      <c r="C929" s="359"/>
    </row>
    <row r="930" spans="3:3" ht="34.5" customHeight="1" x14ac:dyDescent="0.25">
      <c r="C930" s="359"/>
    </row>
    <row r="931" spans="3:3" ht="34.5" customHeight="1" x14ac:dyDescent="0.25">
      <c r="C931" s="359"/>
    </row>
    <row r="932" spans="3:3" ht="34.5" customHeight="1" x14ac:dyDescent="0.25">
      <c r="C932" s="359"/>
    </row>
    <row r="933" spans="3:3" ht="34.5" customHeight="1" x14ac:dyDescent="0.25">
      <c r="C933" s="359"/>
    </row>
    <row r="934" spans="3:3" ht="34.5" customHeight="1" x14ac:dyDescent="0.25">
      <c r="C934" s="359"/>
    </row>
    <row r="935" spans="3:3" ht="34.5" customHeight="1" x14ac:dyDescent="0.25">
      <c r="C935" s="359"/>
    </row>
    <row r="936" spans="3:3" ht="34.5" customHeight="1" x14ac:dyDescent="0.25">
      <c r="C936" s="359"/>
    </row>
    <row r="937" spans="3:3" ht="34.5" customHeight="1" x14ac:dyDescent="0.25">
      <c r="C937" s="359"/>
    </row>
    <row r="938" spans="3:3" ht="34.5" customHeight="1" x14ac:dyDescent="0.25">
      <c r="C938" s="359"/>
    </row>
    <row r="939" spans="3:3" ht="34.5" customHeight="1" x14ac:dyDescent="0.25">
      <c r="C939" s="359"/>
    </row>
    <row r="940" spans="3:3" ht="34.5" customHeight="1" x14ac:dyDescent="0.25">
      <c r="C940" s="359"/>
    </row>
    <row r="941" spans="3:3" ht="34.5" customHeight="1" x14ac:dyDescent="0.25">
      <c r="C941" s="359"/>
    </row>
    <row r="942" spans="3:3" ht="34.5" customHeight="1" x14ac:dyDescent="0.25">
      <c r="C942" s="359"/>
    </row>
    <row r="943" spans="3:3" ht="34.5" customHeight="1" x14ac:dyDescent="0.25">
      <c r="C943" s="359"/>
    </row>
    <row r="944" spans="3:3" ht="34.5" customHeight="1" x14ac:dyDescent="0.25">
      <c r="C944" s="359"/>
    </row>
    <row r="945" spans="3:3" ht="34.5" customHeight="1" x14ac:dyDescent="0.25">
      <c r="C945" s="359"/>
    </row>
    <row r="946" spans="3:3" ht="34.5" customHeight="1" x14ac:dyDescent="0.25">
      <c r="C946" s="359"/>
    </row>
    <row r="947" spans="3:3" ht="34.5" customHeight="1" x14ac:dyDescent="0.25">
      <c r="C947" s="359"/>
    </row>
    <row r="948" spans="3:3" ht="34.5" customHeight="1" x14ac:dyDescent="0.25">
      <c r="C948" s="359"/>
    </row>
    <row r="949" spans="3:3" ht="34.5" customHeight="1" x14ac:dyDescent="0.25">
      <c r="C949" s="359"/>
    </row>
    <row r="950" spans="3:3" ht="34.5" customHeight="1" x14ac:dyDescent="0.25">
      <c r="C950" s="359"/>
    </row>
    <row r="951" spans="3:3" ht="34.5" customHeight="1" x14ac:dyDescent="0.25">
      <c r="C951" s="359"/>
    </row>
    <row r="952" spans="3:3" ht="34.5" customHeight="1" x14ac:dyDescent="0.25">
      <c r="C952" s="359"/>
    </row>
    <row r="953" spans="3:3" ht="34.5" customHeight="1" x14ac:dyDescent="0.25">
      <c r="C953" s="359"/>
    </row>
    <row r="954" spans="3:3" ht="34.5" customHeight="1" x14ac:dyDescent="0.25">
      <c r="C954" s="359"/>
    </row>
    <row r="955" spans="3:3" ht="34.5" customHeight="1" x14ac:dyDescent="0.25">
      <c r="C955" s="359"/>
    </row>
    <row r="956" spans="3:3" ht="34.5" customHeight="1" x14ac:dyDescent="0.25">
      <c r="C956" s="359"/>
    </row>
    <row r="957" spans="3:3" ht="34.5" customHeight="1" x14ac:dyDescent="0.25">
      <c r="C957" s="359"/>
    </row>
    <row r="958" spans="3:3" ht="34.5" customHeight="1" x14ac:dyDescent="0.25">
      <c r="C958" s="359"/>
    </row>
    <row r="959" spans="3:3" ht="34.5" customHeight="1" x14ac:dyDescent="0.25">
      <c r="C959" s="359"/>
    </row>
    <row r="960" spans="3:3" ht="34.5" customHeight="1" x14ac:dyDescent="0.25">
      <c r="C960" s="359"/>
    </row>
    <row r="961" spans="3:3" ht="34.5" customHeight="1" x14ac:dyDescent="0.25">
      <c r="C961" s="359"/>
    </row>
    <row r="962" spans="3:3" ht="34.5" customHeight="1" x14ac:dyDescent="0.25">
      <c r="C962" s="359"/>
    </row>
    <row r="963" spans="3:3" ht="34.5" customHeight="1" x14ac:dyDescent="0.25">
      <c r="C963" s="359"/>
    </row>
    <row r="964" spans="3:3" ht="34.5" customHeight="1" x14ac:dyDescent="0.25">
      <c r="C964" s="359"/>
    </row>
    <row r="965" spans="3:3" ht="34.5" customHeight="1" x14ac:dyDescent="0.25">
      <c r="C965" s="359"/>
    </row>
    <row r="966" spans="3:3" ht="34.5" customHeight="1" x14ac:dyDescent="0.25">
      <c r="C966" s="359"/>
    </row>
    <row r="967" spans="3:3" ht="34.5" customHeight="1" x14ac:dyDescent="0.25">
      <c r="C967" s="359"/>
    </row>
    <row r="968" spans="3:3" ht="34.5" customHeight="1" x14ac:dyDescent="0.25">
      <c r="C968" s="359"/>
    </row>
    <row r="969" spans="3:3" ht="34.5" customHeight="1" x14ac:dyDescent="0.25">
      <c r="C969" s="359"/>
    </row>
    <row r="970" spans="3:3" ht="34.5" customHeight="1" x14ac:dyDescent="0.25">
      <c r="C970" s="359"/>
    </row>
    <row r="971" spans="3:3" ht="34.5" customHeight="1" x14ac:dyDescent="0.25">
      <c r="C971" s="359"/>
    </row>
    <row r="972" spans="3:3" ht="34.5" customHeight="1" x14ac:dyDescent="0.25">
      <c r="C972" s="359"/>
    </row>
    <row r="973" spans="3:3" ht="34.5" customHeight="1" x14ac:dyDescent="0.25">
      <c r="C973" s="359"/>
    </row>
    <row r="974" spans="3:3" ht="34.5" customHeight="1" x14ac:dyDescent="0.25">
      <c r="C974" s="359"/>
    </row>
    <row r="975" spans="3:3" ht="34.5" customHeight="1" x14ac:dyDescent="0.25">
      <c r="C975" s="359"/>
    </row>
    <row r="976" spans="3:3" ht="34.5" customHeight="1" x14ac:dyDescent="0.25">
      <c r="C976" s="359"/>
    </row>
    <row r="977" spans="3:3" ht="34.5" customHeight="1" x14ac:dyDescent="0.25">
      <c r="C977" s="359"/>
    </row>
    <row r="978" spans="3:3" ht="34.5" customHeight="1" x14ac:dyDescent="0.25">
      <c r="C978" s="359"/>
    </row>
    <row r="979" spans="3:3" ht="34.5" customHeight="1" x14ac:dyDescent="0.25">
      <c r="C979" s="359"/>
    </row>
    <row r="980" spans="3:3" ht="34.5" customHeight="1" x14ac:dyDescent="0.25">
      <c r="C980" s="359"/>
    </row>
    <row r="981" spans="3:3" ht="34.5" customHeight="1" x14ac:dyDescent="0.25">
      <c r="C981" s="359"/>
    </row>
    <row r="982" spans="3:3" ht="34.5" customHeight="1" x14ac:dyDescent="0.25">
      <c r="C982" s="359"/>
    </row>
    <row r="983" spans="3:3" ht="34.5" customHeight="1" x14ac:dyDescent="0.25">
      <c r="C983" s="359"/>
    </row>
    <row r="984" spans="3:3" ht="34.5" customHeight="1" x14ac:dyDescent="0.25">
      <c r="C984" s="359"/>
    </row>
    <row r="985" spans="3:3" ht="34.5" customHeight="1" x14ac:dyDescent="0.25">
      <c r="C985" s="359"/>
    </row>
    <row r="986" spans="3:3" ht="34.5" customHeight="1" x14ac:dyDescent="0.25">
      <c r="C986" s="359"/>
    </row>
    <row r="987" spans="3:3" ht="34.5" customHeight="1" x14ac:dyDescent="0.25">
      <c r="C987" s="359"/>
    </row>
    <row r="988" spans="3:3" ht="34.5" customHeight="1" x14ac:dyDescent="0.25">
      <c r="C988" s="359"/>
    </row>
    <row r="989" spans="3:3" ht="34.5" customHeight="1" x14ac:dyDescent="0.25">
      <c r="C989" s="359"/>
    </row>
    <row r="990" spans="3:3" ht="34.5" customHeight="1" x14ac:dyDescent="0.25">
      <c r="C990" s="359"/>
    </row>
    <row r="991" spans="3:3" ht="34.5" customHeight="1" x14ac:dyDescent="0.25">
      <c r="C991" s="359"/>
    </row>
    <row r="992" spans="3:3" ht="34.5" customHeight="1" x14ac:dyDescent="0.25">
      <c r="C992" s="359"/>
    </row>
    <row r="993" spans="3:3" ht="34.5" customHeight="1" x14ac:dyDescent="0.25">
      <c r="C993" s="359"/>
    </row>
    <row r="994" spans="3:3" ht="34.5" customHeight="1" x14ac:dyDescent="0.25">
      <c r="C994" s="359"/>
    </row>
    <row r="995" spans="3:3" ht="34.5" customHeight="1" x14ac:dyDescent="0.25">
      <c r="C995" s="359"/>
    </row>
    <row r="996" spans="3:3" ht="34.5" customHeight="1" x14ac:dyDescent="0.25">
      <c r="C996" s="359"/>
    </row>
    <row r="997" spans="3:3" ht="34.5" customHeight="1" x14ac:dyDescent="0.25">
      <c r="C997" s="359"/>
    </row>
    <row r="998" spans="3:3" ht="34.5" customHeight="1" x14ac:dyDescent="0.25">
      <c r="C998" s="359"/>
    </row>
    <row r="999" spans="3:3" ht="34.5" customHeight="1" x14ac:dyDescent="0.25">
      <c r="C999" s="359"/>
    </row>
    <row r="1000" spans="3:3" ht="34.5" customHeight="1" x14ac:dyDescent="0.25">
      <c r="C1000" s="359"/>
    </row>
    <row r="1001" spans="3:3" ht="34.5" customHeight="1" x14ac:dyDescent="0.25">
      <c r="C1001" s="359"/>
    </row>
    <row r="1002" spans="3:3" ht="34.5" customHeight="1" x14ac:dyDescent="0.25">
      <c r="C1002" s="359"/>
    </row>
    <row r="1003" spans="3:3" ht="34.5" customHeight="1" x14ac:dyDescent="0.25">
      <c r="C1003" s="359"/>
    </row>
    <row r="1004" spans="3:3" ht="34.5" customHeight="1" x14ac:dyDescent="0.25">
      <c r="C1004" s="359"/>
    </row>
    <row r="1005" spans="3:3" ht="34.5" customHeight="1" x14ac:dyDescent="0.25">
      <c r="C1005" s="359"/>
    </row>
    <row r="1006" spans="3:3" ht="34.5" customHeight="1" x14ac:dyDescent="0.25">
      <c r="C1006" s="359"/>
    </row>
    <row r="1007" spans="3:3" ht="34.5" customHeight="1" x14ac:dyDescent="0.25">
      <c r="C1007" s="359"/>
    </row>
    <row r="1008" spans="3:3" ht="34.5" customHeight="1" x14ac:dyDescent="0.25">
      <c r="C1008" s="359"/>
    </row>
    <row r="1009" spans="3:3" ht="34.5" customHeight="1" x14ac:dyDescent="0.25">
      <c r="C1009" s="359"/>
    </row>
    <row r="1010" spans="3:3" ht="34.5" customHeight="1" x14ac:dyDescent="0.25">
      <c r="C1010" s="359"/>
    </row>
    <row r="1011" spans="3:3" ht="34.5" customHeight="1" x14ac:dyDescent="0.25">
      <c r="C1011" s="359"/>
    </row>
    <row r="1012" spans="3:3" ht="34.5" customHeight="1" x14ac:dyDescent="0.25">
      <c r="C1012" s="359"/>
    </row>
    <row r="1013" spans="3:3" ht="34.5" customHeight="1" x14ac:dyDescent="0.25">
      <c r="C1013" s="359"/>
    </row>
    <row r="1014" spans="3:3" ht="34.5" customHeight="1" x14ac:dyDescent="0.25">
      <c r="C1014" s="359"/>
    </row>
    <row r="1015" spans="3:3" ht="34.5" customHeight="1" x14ac:dyDescent="0.25">
      <c r="C1015" s="359"/>
    </row>
    <row r="1016" spans="3:3" ht="34.5" customHeight="1" x14ac:dyDescent="0.25">
      <c r="C1016" s="359"/>
    </row>
    <row r="1017" spans="3:3" ht="34.5" customHeight="1" x14ac:dyDescent="0.25">
      <c r="C1017" s="359"/>
    </row>
    <row r="1018" spans="3:3" ht="34.5" customHeight="1" x14ac:dyDescent="0.25">
      <c r="C1018" s="359"/>
    </row>
    <row r="1019" spans="3:3" ht="34.5" customHeight="1" x14ac:dyDescent="0.25">
      <c r="C1019" s="359"/>
    </row>
    <row r="1020" spans="3:3" ht="34.5" customHeight="1" x14ac:dyDescent="0.25">
      <c r="C1020" s="359"/>
    </row>
    <row r="1021" spans="3:3" ht="34.5" customHeight="1" x14ac:dyDescent="0.25">
      <c r="C1021" s="359"/>
    </row>
    <row r="1022" spans="3:3" ht="34.5" customHeight="1" x14ac:dyDescent="0.25">
      <c r="C1022" s="359"/>
    </row>
    <row r="1023" spans="3:3" ht="34.5" customHeight="1" x14ac:dyDescent="0.25">
      <c r="C1023" s="359"/>
    </row>
    <row r="1024" spans="3:3" ht="34.5" customHeight="1" x14ac:dyDescent="0.25">
      <c r="C1024" s="359"/>
    </row>
    <row r="1025" spans="3:3" ht="34.5" customHeight="1" x14ac:dyDescent="0.25">
      <c r="C1025" s="359"/>
    </row>
    <row r="1026" spans="3:3" ht="34.5" customHeight="1" x14ac:dyDescent="0.25">
      <c r="C1026" s="359"/>
    </row>
    <row r="1027" spans="3:3" ht="34.5" customHeight="1" x14ac:dyDescent="0.25">
      <c r="C1027" s="359"/>
    </row>
    <row r="1028" spans="3:3" ht="34.5" customHeight="1" x14ac:dyDescent="0.25">
      <c r="C1028" s="359"/>
    </row>
    <row r="1029" spans="3:3" ht="34.5" customHeight="1" x14ac:dyDescent="0.25">
      <c r="C1029" s="359"/>
    </row>
    <row r="1030" spans="3:3" ht="34.5" customHeight="1" x14ac:dyDescent="0.25">
      <c r="C1030" s="359"/>
    </row>
    <row r="1031" spans="3:3" ht="34.5" customHeight="1" x14ac:dyDescent="0.25">
      <c r="C1031" s="359"/>
    </row>
    <row r="1032" spans="3:3" ht="34.5" customHeight="1" x14ac:dyDescent="0.25">
      <c r="C1032" s="359"/>
    </row>
    <row r="1033" spans="3:3" ht="34.5" customHeight="1" x14ac:dyDescent="0.25">
      <c r="C1033" s="359"/>
    </row>
    <row r="1034" spans="3:3" ht="34.5" customHeight="1" x14ac:dyDescent="0.25">
      <c r="C1034" s="359"/>
    </row>
    <row r="1035" spans="3:3" ht="34.5" customHeight="1" x14ac:dyDescent="0.25">
      <c r="C1035" s="359"/>
    </row>
    <row r="1036" spans="3:3" ht="34.5" customHeight="1" x14ac:dyDescent="0.25">
      <c r="C1036" s="359"/>
    </row>
    <row r="1037" spans="3:3" ht="34.5" customHeight="1" x14ac:dyDescent="0.25">
      <c r="C1037" s="359"/>
    </row>
    <row r="1038" spans="3:3" ht="34.5" customHeight="1" x14ac:dyDescent="0.25">
      <c r="C1038" s="359"/>
    </row>
    <row r="1039" spans="3:3" ht="34.5" customHeight="1" x14ac:dyDescent="0.25">
      <c r="C1039" s="359"/>
    </row>
    <row r="1040" spans="3:3" ht="34.5" customHeight="1" x14ac:dyDescent="0.25">
      <c r="C1040" s="359"/>
    </row>
    <row r="1041" spans="3:3" ht="34.5" customHeight="1" x14ac:dyDescent="0.25">
      <c r="C1041" s="359"/>
    </row>
    <row r="1042" spans="3:3" ht="34.5" customHeight="1" x14ac:dyDescent="0.25">
      <c r="C1042" s="359"/>
    </row>
    <row r="1043" spans="3:3" ht="34.5" customHeight="1" x14ac:dyDescent="0.25">
      <c r="C1043" s="359"/>
    </row>
    <row r="1044" spans="3:3" ht="34.5" customHeight="1" x14ac:dyDescent="0.25">
      <c r="C1044" s="359"/>
    </row>
    <row r="1045" spans="3:3" ht="34.5" customHeight="1" x14ac:dyDescent="0.25">
      <c r="C1045" s="359"/>
    </row>
    <row r="1046" spans="3:3" ht="34.5" customHeight="1" x14ac:dyDescent="0.25">
      <c r="C1046" s="359"/>
    </row>
    <row r="1047" spans="3:3" ht="34.5" customHeight="1" x14ac:dyDescent="0.25">
      <c r="C1047" s="359"/>
    </row>
    <row r="1048" spans="3:3" ht="34.5" customHeight="1" x14ac:dyDescent="0.25">
      <c r="C1048" s="359"/>
    </row>
    <row r="1049" spans="3:3" ht="34.5" customHeight="1" x14ac:dyDescent="0.25">
      <c r="C1049" s="359"/>
    </row>
    <row r="1050" spans="3:3" ht="34.5" customHeight="1" x14ac:dyDescent="0.25">
      <c r="C1050" s="359"/>
    </row>
    <row r="1051" spans="3:3" ht="34.5" customHeight="1" x14ac:dyDescent="0.25">
      <c r="C1051" s="359"/>
    </row>
    <row r="1052" spans="3:3" ht="34.5" customHeight="1" x14ac:dyDescent="0.25">
      <c r="C1052" s="359"/>
    </row>
    <row r="1053" spans="3:3" ht="34.5" customHeight="1" x14ac:dyDescent="0.25">
      <c r="C1053" s="359"/>
    </row>
    <row r="1054" spans="3:3" ht="34.5" customHeight="1" x14ac:dyDescent="0.25">
      <c r="C1054" s="359"/>
    </row>
    <row r="1055" spans="3:3" ht="34.5" customHeight="1" x14ac:dyDescent="0.25">
      <c r="C1055" s="359"/>
    </row>
    <row r="1056" spans="3:3" ht="34.5" customHeight="1" x14ac:dyDescent="0.25">
      <c r="C1056" s="359"/>
    </row>
    <row r="1057" spans="3:3" ht="34.5" customHeight="1" x14ac:dyDescent="0.25">
      <c r="C1057" s="359"/>
    </row>
    <row r="1058" spans="3:3" ht="34.5" customHeight="1" x14ac:dyDescent="0.25">
      <c r="C1058" s="359"/>
    </row>
    <row r="1059" spans="3:3" ht="34.5" customHeight="1" x14ac:dyDescent="0.25">
      <c r="C1059" s="359"/>
    </row>
    <row r="1060" spans="3:3" ht="34.5" customHeight="1" x14ac:dyDescent="0.25">
      <c r="C1060" s="359"/>
    </row>
    <row r="1061" spans="3:3" ht="34.5" customHeight="1" x14ac:dyDescent="0.25">
      <c r="C1061" s="359"/>
    </row>
    <row r="1062" spans="3:3" ht="34.5" customHeight="1" x14ac:dyDescent="0.25">
      <c r="C1062" s="359"/>
    </row>
    <row r="1063" spans="3:3" ht="34.5" customHeight="1" x14ac:dyDescent="0.25">
      <c r="C1063" s="359"/>
    </row>
    <row r="1064" spans="3:3" ht="34.5" customHeight="1" x14ac:dyDescent="0.25">
      <c r="C1064" s="359"/>
    </row>
    <row r="1065" spans="3:3" ht="34.5" customHeight="1" x14ac:dyDescent="0.25">
      <c r="C1065" s="359"/>
    </row>
    <row r="1066" spans="3:3" ht="34.5" customHeight="1" x14ac:dyDescent="0.25">
      <c r="C1066" s="359"/>
    </row>
    <row r="1067" spans="3:3" ht="34.5" customHeight="1" x14ac:dyDescent="0.25">
      <c r="C1067" s="359"/>
    </row>
    <row r="1068" spans="3:3" ht="34.5" customHeight="1" x14ac:dyDescent="0.25">
      <c r="C1068" s="359"/>
    </row>
    <row r="1069" spans="3:3" ht="34.5" customHeight="1" x14ac:dyDescent="0.25">
      <c r="C1069" s="359"/>
    </row>
    <row r="1070" spans="3:3" ht="34.5" customHeight="1" x14ac:dyDescent="0.25">
      <c r="C1070" s="359"/>
    </row>
    <row r="1071" spans="3:3" ht="34.5" customHeight="1" x14ac:dyDescent="0.25">
      <c r="C1071" s="359"/>
    </row>
    <row r="1072" spans="3:3" ht="34.5" customHeight="1" x14ac:dyDescent="0.25">
      <c r="C1072" s="359"/>
    </row>
    <row r="1073" spans="3:3" ht="34.5" customHeight="1" x14ac:dyDescent="0.25">
      <c r="C1073" s="359"/>
    </row>
    <row r="1074" spans="3:3" ht="34.5" customHeight="1" x14ac:dyDescent="0.25">
      <c r="C1074" s="359"/>
    </row>
    <row r="1075" spans="3:3" ht="34.5" customHeight="1" x14ac:dyDescent="0.25">
      <c r="C1075" s="359"/>
    </row>
    <row r="1076" spans="3:3" ht="34.5" customHeight="1" x14ac:dyDescent="0.25">
      <c r="C1076" s="359"/>
    </row>
    <row r="1077" spans="3:3" ht="34.5" customHeight="1" x14ac:dyDescent="0.25">
      <c r="C1077" s="359"/>
    </row>
    <row r="1078" spans="3:3" ht="34.5" customHeight="1" x14ac:dyDescent="0.25">
      <c r="C1078" s="359"/>
    </row>
    <row r="1079" spans="3:3" ht="34.5" customHeight="1" x14ac:dyDescent="0.25">
      <c r="C1079" s="359"/>
    </row>
    <row r="1080" spans="3:3" ht="34.5" customHeight="1" x14ac:dyDescent="0.25">
      <c r="C1080" s="359"/>
    </row>
    <row r="1081" spans="3:3" ht="34.5" customHeight="1" x14ac:dyDescent="0.25">
      <c r="C1081" s="359"/>
    </row>
    <row r="1082" spans="3:3" ht="34.5" customHeight="1" x14ac:dyDescent="0.25">
      <c r="C1082" s="359"/>
    </row>
    <row r="1083" spans="3:3" ht="34.5" customHeight="1" x14ac:dyDescent="0.25">
      <c r="C1083" s="359"/>
    </row>
    <row r="1084" spans="3:3" ht="34.5" customHeight="1" x14ac:dyDescent="0.25">
      <c r="C1084" s="359"/>
    </row>
    <row r="1085" spans="3:3" ht="34.5" customHeight="1" x14ac:dyDescent="0.25">
      <c r="C1085" s="359"/>
    </row>
    <row r="1086" spans="3:3" ht="34.5" customHeight="1" x14ac:dyDescent="0.25">
      <c r="C1086" s="359"/>
    </row>
    <row r="1087" spans="3:3" ht="34.5" customHeight="1" x14ac:dyDescent="0.25">
      <c r="C1087" s="359"/>
    </row>
    <row r="1088" spans="3:3" ht="34.5" customHeight="1" x14ac:dyDescent="0.25">
      <c r="C1088" s="359"/>
    </row>
    <row r="1089" spans="3:3" ht="34.5" customHeight="1" x14ac:dyDescent="0.25">
      <c r="C1089" s="359"/>
    </row>
    <row r="1090" spans="3:3" ht="34.5" customHeight="1" x14ac:dyDescent="0.25">
      <c r="C1090" s="359"/>
    </row>
    <row r="1091" spans="3:3" ht="34.5" customHeight="1" x14ac:dyDescent="0.25">
      <c r="C1091" s="359"/>
    </row>
    <row r="1092" spans="3:3" ht="34.5" customHeight="1" x14ac:dyDescent="0.25">
      <c r="C1092" s="359"/>
    </row>
    <row r="1093" spans="3:3" ht="34.5" customHeight="1" x14ac:dyDescent="0.25">
      <c r="C1093" s="359"/>
    </row>
    <row r="1094" spans="3:3" ht="34.5" customHeight="1" x14ac:dyDescent="0.25">
      <c r="C1094" s="359"/>
    </row>
    <row r="1095" spans="3:3" ht="34.5" customHeight="1" x14ac:dyDescent="0.25">
      <c r="C1095" s="359"/>
    </row>
    <row r="1096" spans="3:3" ht="34.5" customHeight="1" x14ac:dyDescent="0.25">
      <c r="C1096" s="359"/>
    </row>
    <row r="1097" spans="3:3" ht="34.5" customHeight="1" x14ac:dyDescent="0.25">
      <c r="C1097" s="359"/>
    </row>
    <row r="1098" spans="3:3" ht="34.5" customHeight="1" x14ac:dyDescent="0.25">
      <c r="C1098" s="359"/>
    </row>
    <row r="1099" spans="3:3" ht="34.5" customHeight="1" x14ac:dyDescent="0.25">
      <c r="C1099" s="359"/>
    </row>
    <row r="1100" spans="3:3" ht="34.5" customHeight="1" x14ac:dyDescent="0.25">
      <c r="C1100" s="359"/>
    </row>
    <row r="1101" spans="3:3" ht="34.5" customHeight="1" x14ac:dyDescent="0.25">
      <c r="C1101" s="359"/>
    </row>
    <row r="1102" spans="3:3" ht="34.5" customHeight="1" x14ac:dyDescent="0.25">
      <c r="C1102" s="359"/>
    </row>
    <row r="1103" spans="3:3" ht="34.5" customHeight="1" x14ac:dyDescent="0.25">
      <c r="C1103" s="359"/>
    </row>
    <row r="1104" spans="3:3" ht="34.5" customHeight="1" x14ac:dyDescent="0.25">
      <c r="C1104" s="359"/>
    </row>
    <row r="1105" spans="3:3" ht="34.5" customHeight="1" x14ac:dyDescent="0.25">
      <c r="C1105" s="359"/>
    </row>
    <row r="1106" spans="3:3" ht="34.5" customHeight="1" x14ac:dyDescent="0.25">
      <c r="C1106" s="359"/>
    </row>
    <row r="1107" spans="3:3" ht="34.5" customHeight="1" x14ac:dyDescent="0.25">
      <c r="C1107" s="359"/>
    </row>
    <row r="1108" spans="3:3" ht="34.5" customHeight="1" x14ac:dyDescent="0.25">
      <c r="C1108" s="359"/>
    </row>
    <row r="1109" spans="3:3" ht="34.5" customHeight="1" x14ac:dyDescent="0.25">
      <c r="C1109" s="359"/>
    </row>
    <row r="1110" spans="3:3" ht="34.5" customHeight="1" x14ac:dyDescent="0.25">
      <c r="C1110" s="359"/>
    </row>
    <row r="1111" spans="3:3" ht="34.5" customHeight="1" x14ac:dyDescent="0.25">
      <c r="C1111" s="359"/>
    </row>
    <row r="1112" spans="3:3" ht="34.5" customHeight="1" x14ac:dyDescent="0.25">
      <c r="C1112" s="359"/>
    </row>
    <row r="1113" spans="3:3" ht="34.5" customHeight="1" x14ac:dyDescent="0.25">
      <c r="C1113" s="359"/>
    </row>
    <row r="1114" spans="3:3" ht="34.5" customHeight="1" x14ac:dyDescent="0.25">
      <c r="C1114" s="359"/>
    </row>
    <row r="1115" spans="3:3" ht="34.5" customHeight="1" x14ac:dyDescent="0.25">
      <c r="C1115" s="359"/>
    </row>
    <row r="1116" spans="3:3" ht="34.5" customHeight="1" x14ac:dyDescent="0.25">
      <c r="C1116" s="359"/>
    </row>
    <row r="1117" spans="3:3" ht="34.5" customHeight="1" x14ac:dyDescent="0.25">
      <c r="C1117" s="359"/>
    </row>
    <row r="1118" spans="3:3" ht="34.5" customHeight="1" x14ac:dyDescent="0.25">
      <c r="C1118" s="359"/>
    </row>
    <row r="1119" spans="3:3" ht="34.5" customHeight="1" x14ac:dyDescent="0.25">
      <c r="C1119" s="359"/>
    </row>
    <row r="1120" spans="3:3" ht="34.5" customHeight="1" x14ac:dyDescent="0.25">
      <c r="C1120" s="359"/>
    </row>
    <row r="1121" spans="3:3" ht="34.5" customHeight="1" x14ac:dyDescent="0.25">
      <c r="C1121" s="359"/>
    </row>
    <row r="1122" spans="3:3" ht="34.5" customHeight="1" x14ac:dyDescent="0.25">
      <c r="C1122" s="359"/>
    </row>
    <row r="1123" spans="3:3" ht="34.5" customHeight="1" x14ac:dyDescent="0.25">
      <c r="C1123" s="359"/>
    </row>
    <row r="1124" spans="3:3" ht="34.5" customHeight="1" x14ac:dyDescent="0.25">
      <c r="C1124" s="359"/>
    </row>
    <row r="1125" spans="3:3" ht="34.5" customHeight="1" x14ac:dyDescent="0.25">
      <c r="C1125" s="359"/>
    </row>
    <row r="1126" spans="3:3" ht="34.5" customHeight="1" x14ac:dyDescent="0.25">
      <c r="C1126" s="359"/>
    </row>
    <row r="1127" spans="3:3" ht="34.5" customHeight="1" x14ac:dyDescent="0.25">
      <c r="C1127" s="359"/>
    </row>
    <row r="1128" spans="3:3" ht="34.5" customHeight="1" x14ac:dyDescent="0.25">
      <c r="C1128" s="359"/>
    </row>
    <row r="1129" spans="3:3" ht="34.5" customHeight="1" x14ac:dyDescent="0.25">
      <c r="C1129" s="359"/>
    </row>
    <row r="1130" spans="3:3" ht="34.5" customHeight="1" x14ac:dyDescent="0.25">
      <c r="C1130" s="359"/>
    </row>
    <row r="1131" spans="3:3" ht="34.5" customHeight="1" x14ac:dyDescent="0.25">
      <c r="C1131" s="359"/>
    </row>
    <row r="1132" spans="3:3" ht="34.5" customHeight="1" x14ac:dyDescent="0.25">
      <c r="C1132" s="359"/>
    </row>
    <row r="1133" spans="3:3" ht="34.5" customHeight="1" x14ac:dyDescent="0.25">
      <c r="C1133" s="359"/>
    </row>
    <row r="1134" spans="3:3" ht="34.5" customHeight="1" x14ac:dyDescent="0.25">
      <c r="C1134" s="359"/>
    </row>
    <row r="1135" spans="3:3" ht="34.5" customHeight="1" x14ac:dyDescent="0.25">
      <c r="C1135" s="359"/>
    </row>
    <row r="1136" spans="3:3" ht="34.5" customHeight="1" x14ac:dyDescent="0.25">
      <c r="C1136" s="359"/>
    </row>
    <row r="1137" spans="3:3" ht="34.5" customHeight="1" x14ac:dyDescent="0.25">
      <c r="C1137" s="359"/>
    </row>
    <row r="1138" spans="3:3" ht="34.5" customHeight="1" x14ac:dyDescent="0.25">
      <c r="C1138" s="359"/>
    </row>
    <row r="1139" spans="3:3" ht="34.5" customHeight="1" x14ac:dyDescent="0.25">
      <c r="C1139" s="359"/>
    </row>
    <row r="1140" spans="3:3" ht="34.5" customHeight="1" x14ac:dyDescent="0.25">
      <c r="C1140" s="359"/>
    </row>
    <row r="1141" spans="3:3" ht="34.5" customHeight="1" x14ac:dyDescent="0.25">
      <c r="C1141" s="359"/>
    </row>
    <row r="1142" spans="3:3" ht="34.5" customHeight="1" x14ac:dyDescent="0.25">
      <c r="C1142" s="359"/>
    </row>
    <row r="1143" spans="3:3" ht="34.5" customHeight="1" x14ac:dyDescent="0.25">
      <c r="C1143" s="359"/>
    </row>
    <row r="1144" spans="3:3" ht="34.5" customHeight="1" x14ac:dyDescent="0.25">
      <c r="C1144" s="359"/>
    </row>
    <row r="1145" spans="3:3" ht="34.5" customHeight="1" x14ac:dyDescent="0.25">
      <c r="C1145" s="359"/>
    </row>
    <row r="1146" spans="3:3" ht="34.5" customHeight="1" x14ac:dyDescent="0.25">
      <c r="C1146" s="359"/>
    </row>
    <row r="1147" spans="3:3" ht="34.5" customHeight="1" x14ac:dyDescent="0.25">
      <c r="C1147" s="359"/>
    </row>
    <row r="1148" spans="3:3" ht="34.5" customHeight="1" x14ac:dyDescent="0.25">
      <c r="C1148" s="359"/>
    </row>
    <row r="1149" spans="3:3" ht="34.5" customHeight="1" x14ac:dyDescent="0.25">
      <c r="C1149" s="359"/>
    </row>
    <row r="1150" spans="3:3" ht="34.5" customHeight="1" x14ac:dyDescent="0.25">
      <c r="C1150" s="359"/>
    </row>
    <row r="1151" spans="3:3" ht="34.5" customHeight="1" x14ac:dyDescent="0.25">
      <c r="C1151" s="359"/>
    </row>
    <row r="1152" spans="3:3" ht="34.5" customHeight="1" x14ac:dyDescent="0.25">
      <c r="C1152" s="359"/>
    </row>
    <row r="1153" spans="3:3" ht="34.5" customHeight="1" x14ac:dyDescent="0.25">
      <c r="C1153" s="359"/>
    </row>
    <row r="1154" spans="3:3" ht="34.5" customHeight="1" x14ac:dyDescent="0.25">
      <c r="C1154" s="359"/>
    </row>
    <row r="1155" spans="3:3" ht="34.5" customHeight="1" x14ac:dyDescent="0.25">
      <c r="C1155" s="359"/>
    </row>
    <row r="1156" spans="3:3" ht="34.5" customHeight="1" x14ac:dyDescent="0.25">
      <c r="C1156" s="359"/>
    </row>
    <row r="1157" spans="3:3" ht="34.5" customHeight="1" x14ac:dyDescent="0.25">
      <c r="C1157" s="359"/>
    </row>
    <row r="1158" spans="3:3" ht="34.5" customHeight="1" x14ac:dyDescent="0.25">
      <c r="C1158" s="359"/>
    </row>
    <row r="1159" spans="3:3" ht="34.5" customHeight="1" x14ac:dyDescent="0.25">
      <c r="C1159" s="359"/>
    </row>
    <row r="1160" spans="3:3" ht="34.5" customHeight="1" x14ac:dyDescent="0.25">
      <c r="C1160" s="359"/>
    </row>
    <row r="1161" spans="3:3" ht="34.5" customHeight="1" x14ac:dyDescent="0.25">
      <c r="C1161" s="359"/>
    </row>
    <row r="1162" spans="3:3" ht="34.5" customHeight="1" x14ac:dyDescent="0.25">
      <c r="C1162" s="359"/>
    </row>
    <row r="1163" spans="3:3" ht="34.5" customHeight="1" x14ac:dyDescent="0.25">
      <c r="C1163" s="359"/>
    </row>
    <row r="1164" spans="3:3" ht="34.5" customHeight="1" x14ac:dyDescent="0.25">
      <c r="C1164" s="359"/>
    </row>
    <row r="1165" spans="3:3" ht="34.5" customHeight="1" x14ac:dyDescent="0.25">
      <c r="C1165" s="359"/>
    </row>
    <row r="1166" spans="3:3" ht="34.5" customHeight="1" x14ac:dyDescent="0.25">
      <c r="C1166" s="359"/>
    </row>
    <row r="1167" spans="3:3" ht="34.5" customHeight="1" x14ac:dyDescent="0.25">
      <c r="C1167" s="359"/>
    </row>
    <row r="1168" spans="3:3" ht="34.5" customHeight="1" x14ac:dyDescent="0.25">
      <c r="C1168" s="359"/>
    </row>
    <row r="1169" spans="3:3" ht="34.5" customHeight="1" x14ac:dyDescent="0.25">
      <c r="C1169" s="359"/>
    </row>
    <row r="1170" spans="3:3" ht="34.5" customHeight="1" x14ac:dyDescent="0.25">
      <c r="C1170" s="359"/>
    </row>
    <row r="1171" spans="3:3" ht="34.5" customHeight="1" x14ac:dyDescent="0.25">
      <c r="C1171" s="359"/>
    </row>
    <row r="1172" spans="3:3" ht="34.5" customHeight="1" x14ac:dyDescent="0.25">
      <c r="C1172" s="359"/>
    </row>
    <row r="1173" spans="3:3" ht="34.5" customHeight="1" x14ac:dyDescent="0.25">
      <c r="C1173" s="359"/>
    </row>
    <row r="1174" spans="3:3" ht="34.5" customHeight="1" x14ac:dyDescent="0.25">
      <c r="C1174" s="359"/>
    </row>
    <row r="1175" spans="3:3" ht="34.5" customHeight="1" x14ac:dyDescent="0.25">
      <c r="C1175" s="359"/>
    </row>
    <row r="1176" spans="3:3" ht="34.5" customHeight="1" x14ac:dyDescent="0.25">
      <c r="C1176" s="359"/>
    </row>
    <row r="1177" spans="3:3" ht="34.5" customHeight="1" x14ac:dyDescent="0.25">
      <c r="C1177" s="359"/>
    </row>
    <row r="1178" spans="3:3" ht="34.5" customHeight="1" x14ac:dyDescent="0.25">
      <c r="C1178" s="359"/>
    </row>
    <row r="1179" spans="3:3" ht="34.5" customHeight="1" x14ac:dyDescent="0.25">
      <c r="C1179" s="359"/>
    </row>
    <row r="1180" spans="3:3" ht="34.5" customHeight="1" x14ac:dyDescent="0.25">
      <c r="C1180" s="359"/>
    </row>
    <row r="1181" spans="3:3" ht="34.5" customHeight="1" x14ac:dyDescent="0.25">
      <c r="C1181" s="359"/>
    </row>
    <row r="1182" spans="3:3" ht="34.5" customHeight="1" x14ac:dyDescent="0.25">
      <c r="C1182" s="359"/>
    </row>
    <row r="1183" spans="3:3" ht="34.5" customHeight="1" x14ac:dyDescent="0.25">
      <c r="C1183" s="359"/>
    </row>
    <row r="1184" spans="3:3" ht="34.5" customHeight="1" x14ac:dyDescent="0.25">
      <c r="C1184" s="359"/>
    </row>
    <row r="1185" spans="3:3" ht="34.5" customHeight="1" x14ac:dyDescent="0.25">
      <c r="C1185" s="359"/>
    </row>
    <row r="1186" spans="3:3" ht="34.5" customHeight="1" x14ac:dyDescent="0.25">
      <c r="C1186" s="359"/>
    </row>
    <row r="1187" spans="3:3" ht="34.5" customHeight="1" x14ac:dyDescent="0.25">
      <c r="C1187" s="359"/>
    </row>
    <row r="1188" spans="3:3" ht="34.5" customHeight="1" x14ac:dyDescent="0.25">
      <c r="C1188" s="359"/>
    </row>
    <row r="1189" spans="3:3" ht="34.5" customHeight="1" x14ac:dyDescent="0.25">
      <c r="C1189" s="359"/>
    </row>
    <row r="1190" spans="3:3" ht="34.5" customHeight="1" x14ac:dyDescent="0.25">
      <c r="C1190" s="359"/>
    </row>
    <row r="1191" spans="3:3" ht="34.5" customHeight="1" x14ac:dyDescent="0.25">
      <c r="C1191" s="359"/>
    </row>
    <row r="1192" spans="3:3" ht="34.5" customHeight="1" x14ac:dyDescent="0.25">
      <c r="C1192" s="359"/>
    </row>
    <row r="1193" spans="3:3" ht="34.5" customHeight="1" x14ac:dyDescent="0.25">
      <c r="C1193" s="359"/>
    </row>
    <row r="1194" spans="3:3" ht="34.5" customHeight="1" x14ac:dyDescent="0.25">
      <c r="C1194" s="359"/>
    </row>
    <row r="1195" spans="3:3" ht="34.5" customHeight="1" x14ac:dyDescent="0.25">
      <c r="C1195" s="359"/>
    </row>
    <row r="1196" spans="3:3" ht="34.5" customHeight="1" x14ac:dyDescent="0.25">
      <c r="C1196" s="359"/>
    </row>
    <row r="1197" spans="3:3" ht="34.5" customHeight="1" x14ac:dyDescent="0.25">
      <c r="C1197" s="359"/>
    </row>
    <row r="1198" spans="3:3" ht="34.5" customHeight="1" x14ac:dyDescent="0.25">
      <c r="C1198" s="359"/>
    </row>
    <row r="1199" spans="3:3" ht="34.5" customHeight="1" x14ac:dyDescent="0.25">
      <c r="C1199" s="359"/>
    </row>
    <row r="1200" spans="3:3" ht="34.5" customHeight="1" x14ac:dyDescent="0.25">
      <c r="C1200" s="359"/>
    </row>
    <row r="1201" spans="3:3" ht="34.5" customHeight="1" x14ac:dyDescent="0.25">
      <c r="C1201" s="359"/>
    </row>
    <row r="1202" spans="3:3" ht="34.5" customHeight="1" x14ac:dyDescent="0.25">
      <c r="C1202" s="359"/>
    </row>
    <row r="1203" spans="3:3" ht="34.5" customHeight="1" x14ac:dyDescent="0.25">
      <c r="C1203" s="359"/>
    </row>
    <row r="1204" spans="3:3" ht="34.5" customHeight="1" x14ac:dyDescent="0.25">
      <c r="C1204" s="359"/>
    </row>
    <row r="1205" spans="3:3" ht="34.5" customHeight="1" x14ac:dyDescent="0.25">
      <c r="C1205" s="359"/>
    </row>
    <row r="1206" spans="3:3" ht="34.5" customHeight="1" x14ac:dyDescent="0.25">
      <c r="C1206" s="359"/>
    </row>
    <row r="1207" spans="3:3" ht="34.5" customHeight="1" x14ac:dyDescent="0.25">
      <c r="C1207" s="359"/>
    </row>
    <row r="1208" spans="3:3" ht="34.5" customHeight="1" x14ac:dyDescent="0.25">
      <c r="C1208" s="359"/>
    </row>
    <row r="1209" spans="3:3" ht="34.5" customHeight="1" x14ac:dyDescent="0.25">
      <c r="C1209" s="359"/>
    </row>
    <row r="1210" spans="3:3" ht="34.5" customHeight="1" x14ac:dyDescent="0.25">
      <c r="C1210" s="359"/>
    </row>
    <row r="1211" spans="3:3" ht="34.5" customHeight="1" x14ac:dyDescent="0.25">
      <c r="C1211" s="359"/>
    </row>
    <row r="1212" spans="3:3" ht="34.5" customHeight="1" x14ac:dyDescent="0.25">
      <c r="C1212" s="359"/>
    </row>
    <row r="1213" spans="3:3" ht="34.5" customHeight="1" x14ac:dyDescent="0.25">
      <c r="C1213" s="359"/>
    </row>
    <row r="1214" spans="3:3" ht="34.5" customHeight="1" x14ac:dyDescent="0.25">
      <c r="C1214" s="359"/>
    </row>
    <row r="1215" spans="3:3" ht="34.5" customHeight="1" x14ac:dyDescent="0.25">
      <c r="C1215" s="359"/>
    </row>
    <row r="1216" spans="3:3" ht="34.5" customHeight="1" x14ac:dyDescent="0.25">
      <c r="C1216" s="359"/>
    </row>
    <row r="1217" spans="3:3" ht="34.5" customHeight="1" x14ac:dyDescent="0.25">
      <c r="C1217" s="359"/>
    </row>
    <row r="1218" spans="3:3" ht="34.5" customHeight="1" x14ac:dyDescent="0.25">
      <c r="C1218" s="359"/>
    </row>
    <row r="1219" spans="3:3" ht="34.5" customHeight="1" x14ac:dyDescent="0.25">
      <c r="C1219" s="359"/>
    </row>
    <row r="1220" spans="3:3" ht="34.5" customHeight="1" x14ac:dyDescent="0.25">
      <c r="C1220" s="359"/>
    </row>
    <row r="1221" spans="3:3" ht="34.5" customHeight="1" x14ac:dyDescent="0.25">
      <c r="C1221" s="359"/>
    </row>
    <row r="1222" spans="3:3" ht="34.5" customHeight="1" x14ac:dyDescent="0.25">
      <c r="C1222" s="359"/>
    </row>
    <row r="1223" spans="3:3" ht="34.5" customHeight="1" x14ac:dyDescent="0.25">
      <c r="C1223" s="359"/>
    </row>
    <row r="1224" spans="3:3" ht="34.5" customHeight="1" x14ac:dyDescent="0.25">
      <c r="C1224" s="359"/>
    </row>
    <row r="1225" spans="3:3" ht="34.5" customHeight="1" x14ac:dyDescent="0.25">
      <c r="C1225" s="359"/>
    </row>
    <row r="1226" spans="3:3" ht="34.5" customHeight="1" x14ac:dyDescent="0.25">
      <c r="C1226" s="359"/>
    </row>
    <row r="1227" spans="3:3" ht="34.5" customHeight="1" x14ac:dyDescent="0.25">
      <c r="C1227" s="359"/>
    </row>
    <row r="1228" spans="3:3" ht="34.5" customHeight="1" x14ac:dyDescent="0.25">
      <c r="C1228" s="359"/>
    </row>
    <row r="1229" spans="3:3" ht="34.5" customHeight="1" x14ac:dyDescent="0.25">
      <c r="C1229" s="359"/>
    </row>
    <row r="1230" spans="3:3" ht="34.5" customHeight="1" x14ac:dyDescent="0.25">
      <c r="C1230" s="359"/>
    </row>
    <row r="1231" spans="3:3" ht="34.5" customHeight="1" x14ac:dyDescent="0.25">
      <c r="C1231" s="359"/>
    </row>
    <row r="1232" spans="3:3" ht="34.5" customHeight="1" x14ac:dyDescent="0.25">
      <c r="C1232" s="359"/>
    </row>
    <row r="1233" spans="3:3" ht="34.5" customHeight="1" x14ac:dyDescent="0.25">
      <c r="C1233" s="359"/>
    </row>
    <row r="1234" spans="3:3" ht="34.5" customHeight="1" x14ac:dyDescent="0.25">
      <c r="C1234" s="359"/>
    </row>
    <row r="1235" spans="3:3" ht="34.5" customHeight="1" x14ac:dyDescent="0.25">
      <c r="C1235" s="359"/>
    </row>
    <row r="1236" spans="3:3" ht="34.5" customHeight="1" x14ac:dyDescent="0.25">
      <c r="C1236" s="359"/>
    </row>
    <row r="1237" spans="3:3" ht="34.5" customHeight="1" x14ac:dyDescent="0.25">
      <c r="C1237" s="359"/>
    </row>
    <row r="1238" spans="3:3" ht="34.5" customHeight="1" x14ac:dyDescent="0.25">
      <c r="C1238" s="359"/>
    </row>
    <row r="1239" spans="3:3" ht="34.5" customHeight="1" x14ac:dyDescent="0.25">
      <c r="C1239" s="359"/>
    </row>
    <row r="1240" spans="3:3" ht="34.5" customHeight="1" x14ac:dyDescent="0.25">
      <c r="C1240" s="359"/>
    </row>
    <row r="1241" spans="3:3" ht="34.5" customHeight="1" x14ac:dyDescent="0.25">
      <c r="C1241" s="359"/>
    </row>
    <row r="1242" spans="3:3" ht="34.5" customHeight="1" x14ac:dyDescent="0.25">
      <c r="C1242" s="359"/>
    </row>
    <row r="1243" spans="3:3" ht="34.5" customHeight="1" x14ac:dyDescent="0.25">
      <c r="C1243" s="359"/>
    </row>
    <row r="1244" spans="3:3" ht="34.5" customHeight="1" x14ac:dyDescent="0.25">
      <c r="C1244" s="359"/>
    </row>
    <row r="1245" spans="3:3" ht="34.5" customHeight="1" x14ac:dyDescent="0.25">
      <c r="C1245" s="359"/>
    </row>
    <row r="1246" spans="3:3" ht="34.5" customHeight="1" x14ac:dyDescent="0.25">
      <c r="C1246" s="359"/>
    </row>
    <row r="1247" spans="3:3" ht="34.5" customHeight="1" x14ac:dyDescent="0.25">
      <c r="C1247" s="359"/>
    </row>
    <row r="1248" spans="3:3" ht="34.5" customHeight="1" x14ac:dyDescent="0.25">
      <c r="C1248" s="359"/>
    </row>
    <row r="1249" spans="3:3" ht="34.5" customHeight="1" x14ac:dyDescent="0.25">
      <c r="C1249" s="359"/>
    </row>
    <row r="1250" spans="3:3" ht="34.5" customHeight="1" x14ac:dyDescent="0.25">
      <c r="C1250" s="359"/>
    </row>
    <row r="1251" spans="3:3" ht="34.5" customHeight="1" x14ac:dyDescent="0.25">
      <c r="C1251" s="359"/>
    </row>
    <row r="1252" spans="3:3" ht="34.5" customHeight="1" x14ac:dyDescent="0.25">
      <c r="C1252" s="359"/>
    </row>
    <row r="1253" spans="3:3" ht="34.5" customHeight="1" x14ac:dyDescent="0.25">
      <c r="C1253" s="359"/>
    </row>
    <row r="1254" spans="3:3" ht="34.5" customHeight="1" x14ac:dyDescent="0.25">
      <c r="C1254" s="359"/>
    </row>
    <row r="1255" spans="3:3" ht="34.5" customHeight="1" x14ac:dyDescent="0.25">
      <c r="C1255" s="359"/>
    </row>
    <row r="1256" spans="3:3" ht="34.5" customHeight="1" x14ac:dyDescent="0.25">
      <c r="C1256" s="359"/>
    </row>
    <row r="1257" spans="3:3" ht="34.5" customHeight="1" x14ac:dyDescent="0.25">
      <c r="C1257" s="359"/>
    </row>
    <row r="1258" spans="3:3" ht="34.5" customHeight="1" x14ac:dyDescent="0.25">
      <c r="C1258" s="359"/>
    </row>
    <row r="1259" spans="3:3" ht="34.5" customHeight="1" x14ac:dyDescent="0.25">
      <c r="C1259" s="359"/>
    </row>
    <row r="1260" spans="3:3" ht="34.5" customHeight="1" x14ac:dyDescent="0.25">
      <c r="C1260" s="359"/>
    </row>
    <row r="1261" spans="3:3" ht="34.5" customHeight="1" x14ac:dyDescent="0.25">
      <c r="C1261" s="359"/>
    </row>
    <row r="1262" spans="3:3" ht="34.5" customHeight="1" x14ac:dyDescent="0.25">
      <c r="C1262" s="359"/>
    </row>
    <row r="1263" spans="3:3" ht="34.5" customHeight="1" x14ac:dyDescent="0.25">
      <c r="C1263" s="359"/>
    </row>
    <row r="1264" spans="3:3" ht="34.5" customHeight="1" x14ac:dyDescent="0.25">
      <c r="C1264" s="359"/>
    </row>
    <row r="1265" spans="3:3" ht="34.5" customHeight="1" x14ac:dyDescent="0.25">
      <c r="C1265" s="359"/>
    </row>
    <row r="1266" spans="3:3" ht="34.5" customHeight="1" x14ac:dyDescent="0.25">
      <c r="C1266" s="359"/>
    </row>
    <row r="1267" spans="3:3" ht="34.5" customHeight="1" x14ac:dyDescent="0.25">
      <c r="C1267" s="359"/>
    </row>
    <row r="1268" spans="3:3" ht="34.5" customHeight="1" x14ac:dyDescent="0.25">
      <c r="C1268" s="359"/>
    </row>
    <row r="1269" spans="3:3" ht="34.5" customHeight="1" x14ac:dyDescent="0.25">
      <c r="C1269" s="359"/>
    </row>
    <row r="1270" spans="3:3" ht="34.5" customHeight="1" x14ac:dyDescent="0.25">
      <c r="C1270" s="359"/>
    </row>
    <row r="1271" spans="3:3" ht="34.5" customHeight="1" x14ac:dyDescent="0.25">
      <c r="C1271" s="359"/>
    </row>
    <row r="1272" spans="3:3" ht="34.5" customHeight="1" x14ac:dyDescent="0.25">
      <c r="C1272" s="359"/>
    </row>
    <row r="1273" spans="3:3" ht="34.5" customHeight="1" x14ac:dyDescent="0.25">
      <c r="C1273" s="359"/>
    </row>
    <row r="1274" spans="3:3" ht="34.5" customHeight="1" x14ac:dyDescent="0.25">
      <c r="C1274" s="359"/>
    </row>
    <row r="1275" spans="3:3" ht="34.5" customHeight="1" x14ac:dyDescent="0.25">
      <c r="C1275" s="359"/>
    </row>
    <row r="1276" spans="3:3" ht="34.5" customHeight="1" x14ac:dyDescent="0.25">
      <c r="C1276" s="359"/>
    </row>
    <row r="1277" spans="3:3" ht="34.5" customHeight="1" x14ac:dyDescent="0.25">
      <c r="C1277" s="359"/>
    </row>
    <row r="1278" spans="3:3" ht="34.5" customHeight="1" x14ac:dyDescent="0.25">
      <c r="C1278" s="359"/>
    </row>
    <row r="1279" spans="3:3" ht="34.5" customHeight="1" x14ac:dyDescent="0.25">
      <c r="C1279" s="359"/>
    </row>
    <row r="1280" spans="3:3" ht="34.5" customHeight="1" x14ac:dyDescent="0.25">
      <c r="C1280" s="359"/>
    </row>
    <row r="1281" spans="3:3" ht="34.5" customHeight="1" x14ac:dyDescent="0.25">
      <c r="C1281" s="359"/>
    </row>
    <row r="1282" spans="3:3" ht="34.5" customHeight="1" x14ac:dyDescent="0.25">
      <c r="C1282" s="359"/>
    </row>
    <row r="1283" spans="3:3" ht="34.5" customHeight="1" x14ac:dyDescent="0.25">
      <c r="C1283" s="359"/>
    </row>
    <row r="1284" spans="3:3" ht="34.5" customHeight="1" x14ac:dyDescent="0.25">
      <c r="C1284" s="359"/>
    </row>
    <row r="1285" spans="3:3" ht="34.5" customHeight="1" x14ac:dyDescent="0.25">
      <c r="C1285" s="359"/>
    </row>
    <row r="1286" spans="3:3" ht="34.5" customHeight="1" x14ac:dyDescent="0.25">
      <c r="C1286" s="359"/>
    </row>
    <row r="1287" spans="3:3" ht="34.5" customHeight="1" x14ac:dyDescent="0.25">
      <c r="C1287" s="359"/>
    </row>
    <row r="1288" spans="3:3" ht="34.5" customHeight="1" x14ac:dyDescent="0.25">
      <c r="C1288" s="359"/>
    </row>
    <row r="1289" spans="3:3" ht="34.5" customHeight="1" x14ac:dyDescent="0.25">
      <c r="C1289" s="359"/>
    </row>
    <row r="1290" spans="3:3" ht="34.5" customHeight="1" x14ac:dyDescent="0.25">
      <c r="C1290" s="359"/>
    </row>
    <row r="1291" spans="3:3" ht="34.5" customHeight="1" x14ac:dyDescent="0.25">
      <c r="C1291" s="359"/>
    </row>
    <row r="1292" spans="3:3" ht="34.5" customHeight="1" x14ac:dyDescent="0.25">
      <c r="C1292" s="359"/>
    </row>
    <row r="1293" spans="3:3" ht="34.5" customHeight="1" x14ac:dyDescent="0.25">
      <c r="C1293" s="359"/>
    </row>
    <row r="1294" spans="3:3" ht="34.5" customHeight="1" x14ac:dyDescent="0.25">
      <c r="C1294" s="359"/>
    </row>
    <row r="1295" spans="3:3" ht="34.5" customHeight="1" x14ac:dyDescent="0.25">
      <c r="C1295" s="359"/>
    </row>
    <row r="1296" spans="3:3" ht="34.5" customHeight="1" x14ac:dyDescent="0.25">
      <c r="C1296" s="359"/>
    </row>
    <row r="1297" spans="3:3" ht="34.5" customHeight="1" x14ac:dyDescent="0.25">
      <c r="C1297" s="359"/>
    </row>
    <row r="1298" spans="3:3" ht="34.5" customHeight="1" x14ac:dyDescent="0.25">
      <c r="C1298" s="359"/>
    </row>
    <row r="1299" spans="3:3" ht="34.5" customHeight="1" x14ac:dyDescent="0.25">
      <c r="C1299" s="359"/>
    </row>
    <row r="1300" spans="3:3" ht="34.5" customHeight="1" x14ac:dyDescent="0.25">
      <c r="C1300" s="359"/>
    </row>
    <row r="1301" spans="3:3" ht="34.5" customHeight="1" x14ac:dyDescent="0.25">
      <c r="C1301" s="359"/>
    </row>
    <row r="1302" spans="3:3" ht="34.5" customHeight="1" x14ac:dyDescent="0.25">
      <c r="C1302" s="359"/>
    </row>
    <row r="1303" spans="3:3" ht="34.5" customHeight="1" x14ac:dyDescent="0.25">
      <c r="C1303" s="359"/>
    </row>
    <row r="1304" spans="3:3" ht="34.5" customHeight="1" x14ac:dyDescent="0.25">
      <c r="C1304" s="359"/>
    </row>
    <row r="1305" spans="3:3" ht="34.5" customHeight="1" x14ac:dyDescent="0.25">
      <c r="C1305" s="359"/>
    </row>
    <row r="1306" spans="3:3" ht="34.5" customHeight="1" x14ac:dyDescent="0.25">
      <c r="C1306" s="359"/>
    </row>
    <row r="1307" spans="3:3" ht="34.5" customHeight="1" x14ac:dyDescent="0.25">
      <c r="C1307" s="359"/>
    </row>
    <row r="1308" spans="3:3" ht="34.5" customHeight="1" x14ac:dyDescent="0.25">
      <c r="C1308" s="359"/>
    </row>
    <row r="1309" spans="3:3" ht="34.5" customHeight="1" x14ac:dyDescent="0.25">
      <c r="C1309" s="359"/>
    </row>
    <row r="1310" spans="3:3" ht="34.5" customHeight="1" x14ac:dyDescent="0.25">
      <c r="C1310" s="359"/>
    </row>
    <row r="1311" spans="3:3" ht="34.5" customHeight="1" x14ac:dyDescent="0.25">
      <c r="C1311" s="359"/>
    </row>
    <row r="1312" spans="3:3" ht="34.5" customHeight="1" x14ac:dyDescent="0.25">
      <c r="C1312" s="359"/>
    </row>
    <row r="1313" spans="3:3" ht="34.5" customHeight="1" x14ac:dyDescent="0.25">
      <c r="C1313" s="359"/>
    </row>
    <row r="1314" spans="3:3" ht="34.5" customHeight="1" x14ac:dyDescent="0.25">
      <c r="C1314" s="359"/>
    </row>
    <row r="1315" spans="3:3" ht="34.5" customHeight="1" x14ac:dyDescent="0.25">
      <c r="C1315" s="359"/>
    </row>
    <row r="1316" spans="3:3" ht="34.5" customHeight="1" x14ac:dyDescent="0.25">
      <c r="C1316" s="359"/>
    </row>
    <row r="1317" spans="3:3" ht="34.5" customHeight="1" x14ac:dyDescent="0.25">
      <c r="C1317" s="359"/>
    </row>
    <row r="1318" spans="3:3" ht="34.5" customHeight="1" x14ac:dyDescent="0.25">
      <c r="C1318" s="359"/>
    </row>
    <row r="1319" spans="3:3" ht="34.5" customHeight="1" x14ac:dyDescent="0.25">
      <c r="C1319" s="359"/>
    </row>
    <row r="1320" spans="3:3" ht="34.5" customHeight="1" x14ac:dyDescent="0.25">
      <c r="C1320" s="359"/>
    </row>
    <row r="1321" spans="3:3" ht="34.5" customHeight="1" x14ac:dyDescent="0.25">
      <c r="C1321" s="359"/>
    </row>
    <row r="1322" spans="3:3" ht="34.5" customHeight="1" x14ac:dyDescent="0.25">
      <c r="C1322" s="359"/>
    </row>
    <row r="1323" spans="3:3" ht="34.5" customHeight="1" x14ac:dyDescent="0.25">
      <c r="C1323" s="359"/>
    </row>
    <row r="1324" spans="3:3" ht="34.5" customHeight="1" x14ac:dyDescent="0.25">
      <c r="C1324" s="359"/>
    </row>
    <row r="1325" spans="3:3" ht="34.5" customHeight="1" x14ac:dyDescent="0.25">
      <c r="C1325" s="359"/>
    </row>
    <row r="1326" spans="3:3" ht="34.5" customHeight="1" x14ac:dyDescent="0.25">
      <c r="C1326" s="359"/>
    </row>
    <row r="1327" spans="3:3" ht="34.5" customHeight="1" x14ac:dyDescent="0.25">
      <c r="C1327" s="359"/>
    </row>
    <row r="1328" spans="3:3" ht="34.5" customHeight="1" x14ac:dyDescent="0.25">
      <c r="C1328" s="359"/>
    </row>
    <row r="1329" spans="3:3" ht="34.5" customHeight="1" x14ac:dyDescent="0.25">
      <c r="C1329" s="359"/>
    </row>
    <row r="1330" spans="3:3" ht="34.5" customHeight="1" x14ac:dyDescent="0.25">
      <c r="C1330" s="359"/>
    </row>
    <row r="1331" spans="3:3" ht="34.5" customHeight="1" x14ac:dyDescent="0.25">
      <c r="C1331" s="359"/>
    </row>
    <row r="1332" spans="3:3" ht="34.5" customHeight="1" x14ac:dyDescent="0.25">
      <c r="C1332" s="359"/>
    </row>
    <row r="1333" spans="3:3" ht="34.5" customHeight="1" x14ac:dyDescent="0.25">
      <c r="C1333" s="359"/>
    </row>
    <row r="1334" spans="3:3" ht="34.5" customHeight="1" x14ac:dyDescent="0.25">
      <c r="C1334" s="359"/>
    </row>
    <row r="1335" spans="3:3" ht="34.5" customHeight="1" x14ac:dyDescent="0.25">
      <c r="C1335" s="359"/>
    </row>
    <row r="1336" spans="3:3" ht="34.5" customHeight="1" x14ac:dyDescent="0.25">
      <c r="C1336" s="359"/>
    </row>
    <row r="1337" spans="3:3" ht="34.5" customHeight="1" x14ac:dyDescent="0.25">
      <c r="C1337" s="359"/>
    </row>
    <row r="1338" spans="3:3" ht="34.5" customHeight="1" x14ac:dyDescent="0.25">
      <c r="C1338" s="359"/>
    </row>
    <row r="1339" spans="3:3" ht="34.5" customHeight="1" x14ac:dyDescent="0.25">
      <c r="C1339" s="359"/>
    </row>
    <row r="1340" spans="3:3" ht="34.5" customHeight="1" x14ac:dyDescent="0.25">
      <c r="C1340" s="359"/>
    </row>
    <row r="1341" spans="3:3" ht="34.5" customHeight="1" x14ac:dyDescent="0.25">
      <c r="C1341" s="359"/>
    </row>
    <row r="1342" spans="3:3" ht="34.5" customHeight="1" x14ac:dyDescent="0.25">
      <c r="C1342" s="359"/>
    </row>
    <row r="1343" spans="3:3" ht="34.5" customHeight="1" x14ac:dyDescent="0.25">
      <c r="C1343" s="359"/>
    </row>
    <row r="1344" spans="3:3" ht="34.5" customHeight="1" x14ac:dyDescent="0.25">
      <c r="C1344" s="359"/>
    </row>
    <row r="1345" spans="3:3" ht="34.5" customHeight="1" x14ac:dyDescent="0.25">
      <c r="C1345" s="359"/>
    </row>
    <row r="1346" spans="3:3" ht="34.5" customHeight="1" x14ac:dyDescent="0.25">
      <c r="C1346" s="359"/>
    </row>
    <row r="1347" spans="3:3" ht="34.5" customHeight="1" x14ac:dyDescent="0.25">
      <c r="C1347" s="359"/>
    </row>
    <row r="1348" spans="3:3" ht="34.5" customHeight="1" x14ac:dyDescent="0.25">
      <c r="C1348" s="359"/>
    </row>
    <row r="1349" spans="3:3" ht="34.5" customHeight="1" x14ac:dyDescent="0.25">
      <c r="C1349" s="359"/>
    </row>
    <row r="1350" spans="3:3" ht="34.5" customHeight="1" x14ac:dyDescent="0.25">
      <c r="C1350" s="359"/>
    </row>
    <row r="1351" spans="3:3" ht="34.5" customHeight="1" x14ac:dyDescent="0.25">
      <c r="C1351" s="359"/>
    </row>
    <row r="1352" spans="3:3" ht="34.5" customHeight="1" x14ac:dyDescent="0.25">
      <c r="C1352" s="359"/>
    </row>
    <row r="1353" spans="3:3" ht="34.5" customHeight="1" x14ac:dyDescent="0.25">
      <c r="C1353" s="359"/>
    </row>
    <row r="1354" spans="3:3" ht="34.5" customHeight="1" x14ac:dyDescent="0.25">
      <c r="C1354" s="359"/>
    </row>
    <row r="1355" spans="3:3" ht="34.5" customHeight="1" x14ac:dyDescent="0.25">
      <c r="C1355" s="359"/>
    </row>
    <row r="1356" spans="3:3" ht="34.5" customHeight="1" x14ac:dyDescent="0.25">
      <c r="C1356" s="359"/>
    </row>
    <row r="1357" spans="3:3" ht="34.5" customHeight="1" x14ac:dyDescent="0.25">
      <c r="C1357" s="359"/>
    </row>
    <row r="1358" spans="3:3" ht="34.5" customHeight="1" x14ac:dyDescent="0.25">
      <c r="C1358" s="359"/>
    </row>
    <row r="1359" spans="3:3" ht="34.5" customHeight="1" x14ac:dyDescent="0.25">
      <c r="C1359" s="359"/>
    </row>
    <row r="1360" spans="3:3" ht="34.5" customHeight="1" x14ac:dyDescent="0.25">
      <c r="C1360" s="359"/>
    </row>
    <row r="1361" spans="3:3" ht="34.5" customHeight="1" x14ac:dyDescent="0.25">
      <c r="C1361" s="359"/>
    </row>
    <row r="1362" spans="3:3" ht="34.5" customHeight="1" x14ac:dyDescent="0.25">
      <c r="C1362" s="359"/>
    </row>
    <row r="1363" spans="3:3" ht="34.5" customHeight="1" x14ac:dyDescent="0.25">
      <c r="C1363" s="359"/>
    </row>
    <row r="1364" spans="3:3" ht="34.5" customHeight="1" x14ac:dyDescent="0.25">
      <c r="C1364" s="359"/>
    </row>
    <row r="1365" spans="3:3" ht="34.5" customHeight="1" x14ac:dyDescent="0.25">
      <c r="C1365" s="359"/>
    </row>
    <row r="1366" spans="3:3" ht="34.5" customHeight="1" x14ac:dyDescent="0.25">
      <c r="C1366" s="359"/>
    </row>
    <row r="1367" spans="3:3" ht="34.5" customHeight="1" x14ac:dyDescent="0.25">
      <c r="C1367" s="359"/>
    </row>
    <row r="1368" spans="3:3" ht="34.5" customHeight="1" x14ac:dyDescent="0.25">
      <c r="C1368" s="359"/>
    </row>
    <row r="1369" spans="3:3" ht="34.5" customHeight="1" x14ac:dyDescent="0.25">
      <c r="C1369" s="359"/>
    </row>
    <row r="1370" spans="3:3" ht="34.5" customHeight="1" x14ac:dyDescent="0.25">
      <c r="C1370" s="359"/>
    </row>
    <row r="1371" spans="3:3" ht="34.5" customHeight="1" x14ac:dyDescent="0.25">
      <c r="C1371" s="359"/>
    </row>
    <row r="1372" spans="3:3" ht="34.5" customHeight="1" x14ac:dyDescent="0.25">
      <c r="C1372" s="359"/>
    </row>
    <row r="1373" spans="3:3" ht="34.5" customHeight="1" x14ac:dyDescent="0.25">
      <c r="C1373" s="359"/>
    </row>
    <row r="1374" spans="3:3" ht="34.5" customHeight="1" x14ac:dyDescent="0.25">
      <c r="C1374" s="359"/>
    </row>
    <row r="1375" spans="3:3" ht="34.5" customHeight="1" x14ac:dyDescent="0.25">
      <c r="C1375" s="359"/>
    </row>
    <row r="1376" spans="3:3" ht="34.5" customHeight="1" x14ac:dyDescent="0.25">
      <c r="C1376" s="359"/>
    </row>
    <row r="1377" spans="3:3" ht="34.5" customHeight="1" x14ac:dyDescent="0.25">
      <c r="C1377" s="359"/>
    </row>
    <row r="1378" spans="3:3" ht="34.5" customHeight="1" x14ac:dyDescent="0.25">
      <c r="C1378" s="359"/>
    </row>
    <row r="1379" spans="3:3" ht="34.5" customHeight="1" x14ac:dyDescent="0.25">
      <c r="C1379" s="359"/>
    </row>
    <row r="1380" spans="3:3" ht="34.5" customHeight="1" x14ac:dyDescent="0.25">
      <c r="C1380" s="359"/>
    </row>
    <row r="1381" spans="3:3" ht="34.5" customHeight="1" x14ac:dyDescent="0.25">
      <c r="C1381" s="359"/>
    </row>
    <row r="1382" spans="3:3" ht="34.5" customHeight="1" x14ac:dyDescent="0.25">
      <c r="C1382" s="359"/>
    </row>
    <row r="1383" spans="3:3" ht="34.5" customHeight="1" x14ac:dyDescent="0.25">
      <c r="C1383" s="359"/>
    </row>
    <row r="1384" spans="3:3" ht="34.5" customHeight="1" x14ac:dyDescent="0.25">
      <c r="C1384" s="359"/>
    </row>
    <row r="1385" spans="3:3" ht="34.5" customHeight="1" x14ac:dyDescent="0.25">
      <c r="C1385" s="359"/>
    </row>
    <row r="1386" spans="3:3" ht="34.5" customHeight="1" x14ac:dyDescent="0.25">
      <c r="C1386" s="359"/>
    </row>
    <row r="1387" spans="3:3" ht="34.5" customHeight="1" x14ac:dyDescent="0.25">
      <c r="C1387" s="359"/>
    </row>
    <row r="1388" spans="3:3" ht="34.5" customHeight="1" x14ac:dyDescent="0.25">
      <c r="C1388" s="359"/>
    </row>
    <row r="1389" spans="3:3" ht="34.5" customHeight="1" x14ac:dyDescent="0.25">
      <c r="C1389" s="359"/>
    </row>
    <row r="1390" spans="3:3" ht="34.5" customHeight="1" x14ac:dyDescent="0.25">
      <c r="C1390" s="359"/>
    </row>
    <row r="1391" spans="3:3" ht="34.5" customHeight="1" x14ac:dyDescent="0.25">
      <c r="C1391" s="359"/>
    </row>
    <row r="1392" spans="3:3" ht="34.5" customHeight="1" x14ac:dyDescent="0.25">
      <c r="C1392" s="359"/>
    </row>
    <row r="1393" spans="3:3" ht="34.5" customHeight="1" x14ac:dyDescent="0.25">
      <c r="C1393" s="359"/>
    </row>
    <row r="1394" spans="3:3" ht="34.5" customHeight="1" x14ac:dyDescent="0.25">
      <c r="C1394" s="359"/>
    </row>
    <row r="1395" spans="3:3" ht="34.5" customHeight="1" x14ac:dyDescent="0.25">
      <c r="C1395" s="359"/>
    </row>
    <row r="1396" spans="3:3" ht="34.5" customHeight="1" x14ac:dyDescent="0.25">
      <c r="C1396" s="359"/>
    </row>
    <row r="1397" spans="3:3" ht="34.5" customHeight="1" x14ac:dyDescent="0.25">
      <c r="C1397" s="359"/>
    </row>
    <row r="1398" spans="3:3" ht="34.5" customHeight="1" x14ac:dyDescent="0.25">
      <c r="C1398" s="359"/>
    </row>
    <row r="1399" spans="3:3" ht="34.5" customHeight="1" x14ac:dyDescent="0.25">
      <c r="C1399" s="359"/>
    </row>
    <row r="1400" spans="3:3" ht="34.5" customHeight="1" x14ac:dyDescent="0.25">
      <c r="C1400" s="359"/>
    </row>
    <row r="1401" spans="3:3" ht="34.5" customHeight="1" x14ac:dyDescent="0.25">
      <c r="C1401" s="359"/>
    </row>
    <row r="1402" spans="3:3" ht="34.5" customHeight="1" x14ac:dyDescent="0.25">
      <c r="C1402" s="359"/>
    </row>
    <row r="1403" spans="3:3" ht="34.5" customHeight="1" x14ac:dyDescent="0.25">
      <c r="C1403" s="359"/>
    </row>
    <row r="1404" spans="3:3" ht="34.5" customHeight="1" x14ac:dyDescent="0.25">
      <c r="C1404" s="359"/>
    </row>
    <row r="1405" spans="3:3" ht="34.5" customHeight="1" x14ac:dyDescent="0.25">
      <c r="C1405" s="359"/>
    </row>
    <row r="1406" spans="3:3" ht="34.5" customHeight="1" x14ac:dyDescent="0.25">
      <c r="C1406" s="359"/>
    </row>
    <row r="1407" spans="3:3" ht="34.5" customHeight="1" x14ac:dyDescent="0.25">
      <c r="C1407" s="359"/>
    </row>
    <row r="1408" spans="3:3" ht="34.5" customHeight="1" x14ac:dyDescent="0.25">
      <c r="C1408" s="359"/>
    </row>
    <row r="1409" spans="3:3" ht="34.5" customHeight="1" x14ac:dyDescent="0.25">
      <c r="C1409" s="359"/>
    </row>
    <row r="1410" spans="3:3" ht="34.5" customHeight="1" x14ac:dyDescent="0.25">
      <c r="C1410" s="359"/>
    </row>
    <row r="1411" spans="3:3" ht="34.5" customHeight="1" x14ac:dyDescent="0.25">
      <c r="C1411" s="359"/>
    </row>
    <row r="1412" spans="3:3" ht="34.5" customHeight="1" x14ac:dyDescent="0.25">
      <c r="C1412" s="359"/>
    </row>
    <row r="1413" spans="3:3" ht="34.5" customHeight="1" x14ac:dyDescent="0.25">
      <c r="C1413" s="359"/>
    </row>
    <row r="1414" spans="3:3" ht="34.5" customHeight="1" x14ac:dyDescent="0.25">
      <c r="C1414" s="359"/>
    </row>
    <row r="1415" spans="3:3" ht="34.5" customHeight="1" x14ac:dyDescent="0.25">
      <c r="C1415" s="359"/>
    </row>
    <row r="1416" spans="3:3" ht="34.5" customHeight="1" x14ac:dyDescent="0.25">
      <c r="C1416" s="359"/>
    </row>
    <row r="1417" spans="3:3" ht="34.5" customHeight="1" x14ac:dyDescent="0.25">
      <c r="C1417" s="359"/>
    </row>
    <row r="1418" spans="3:3" ht="34.5" customHeight="1" x14ac:dyDescent="0.25">
      <c r="C1418" s="359"/>
    </row>
    <row r="1419" spans="3:3" ht="34.5" customHeight="1" x14ac:dyDescent="0.25">
      <c r="C1419" s="359"/>
    </row>
    <row r="1420" spans="3:3" ht="34.5" customHeight="1" x14ac:dyDescent="0.25">
      <c r="C1420" s="359"/>
    </row>
    <row r="1421" spans="3:3" ht="34.5" customHeight="1" x14ac:dyDescent="0.25">
      <c r="C1421" s="359"/>
    </row>
    <row r="1422" spans="3:3" ht="34.5" customHeight="1" x14ac:dyDescent="0.25">
      <c r="C1422" s="359"/>
    </row>
    <row r="1423" spans="3:3" ht="34.5" customHeight="1" x14ac:dyDescent="0.25">
      <c r="C1423" s="359"/>
    </row>
    <row r="1424" spans="3:3" ht="34.5" customHeight="1" x14ac:dyDescent="0.25">
      <c r="C1424" s="359"/>
    </row>
    <row r="1425" spans="3:3" ht="34.5" customHeight="1" x14ac:dyDescent="0.25">
      <c r="C1425" s="359"/>
    </row>
    <row r="1426" spans="3:3" ht="34.5" customHeight="1" x14ac:dyDescent="0.25">
      <c r="C1426" s="359"/>
    </row>
    <row r="1427" spans="3:3" ht="34.5" customHeight="1" x14ac:dyDescent="0.25">
      <c r="C1427" s="359"/>
    </row>
    <row r="1428" spans="3:3" ht="34.5" customHeight="1" x14ac:dyDescent="0.25">
      <c r="C1428" s="359"/>
    </row>
    <row r="1429" spans="3:3" ht="34.5" customHeight="1" x14ac:dyDescent="0.25">
      <c r="C1429" s="359"/>
    </row>
    <row r="1430" spans="3:3" ht="34.5" customHeight="1" x14ac:dyDescent="0.25">
      <c r="C1430" s="359"/>
    </row>
    <row r="1431" spans="3:3" ht="34.5" customHeight="1" x14ac:dyDescent="0.25">
      <c r="C1431" s="359"/>
    </row>
    <row r="1432" spans="3:3" ht="34.5" customHeight="1" x14ac:dyDescent="0.25">
      <c r="C1432" s="359"/>
    </row>
    <row r="1433" spans="3:3" ht="34.5" customHeight="1" x14ac:dyDescent="0.25">
      <c r="C1433" s="359"/>
    </row>
    <row r="1434" spans="3:3" ht="34.5" customHeight="1" x14ac:dyDescent="0.25">
      <c r="C1434" s="359"/>
    </row>
    <row r="1435" spans="3:3" ht="34.5" customHeight="1" x14ac:dyDescent="0.25">
      <c r="C1435" s="359"/>
    </row>
    <row r="1436" spans="3:3" ht="34.5" customHeight="1" x14ac:dyDescent="0.25">
      <c r="C1436" s="359"/>
    </row>
    <row r="1437" spans="3:3" ht="34.5" customHeight="1" x14ac:dyDescent="0.25">
      <c r="C1437" s="359"/>
    </row>
    <row r="1438" spans="3:3" ht="34.5" customHeight="1" x14ac:dyDescent="0.25">
      <c r="C1438" s="359"/>
    </row>
    <row r="1439" spans="3:3" ht="34.5" customHeight="1" x14ac:dyDescent="0.25">
      <c r="C1439" s="359"/>
    </row>
    <row r="1440" spans="3:3" ht="34.5" customHeight="1" x14ac:dyDescent="0.25">
      <c r="C1440" s="359"/>
    </row>
    <row r="1441" spans="3:3" ht="34.5" customHeight="1" x14ac:dyDescent="0.25">
      <c r="C1441" s="359"/>
    </row>
    <row r="1442" spans="3:3" ht="34.5" customHeight="1" x14ac:dyDescent="0.25">
      <c r="C1442" s="359"/>
    </row>
    <row r="1443" spans="3:3" ht="34.5" customHeight="1" x14ac:dyDescent="0.25">
      <c r="C1443" s="359"/>
    </row>
    <row r="1444" spans="3:3" ht="34.5" customHeight="1" x14ac:dyDescent="0.25">
      <c r="C1444" s="359"/>
    </row>
    <row r="1445" spans="3:3" ht="34.5" customHeight="1" x14ac:dyDescent="0.25">
      <c r="C1445" s="359"/>
    </row>
    <row r="1446" spans="3:3" ht="34.5" customHeight="1" x14ac:dyDescent="0.25">
      <c r="C1446" s="359"/>
    </row>
    <row r="1447" spans="3:3" ht="34.5" customHeight="1" x14ac:dyDescent="0.25">
      <c r="C1447" s="359"/>
    </row>
    <row r="1448" spans="3:3" ht="34.5" customHeight="1" x14ac:dyDescent="0.25">
      <c r="C1448" s="359"/>
    </row>
    <row r="1449" spans="3:3" ht="34.5" customHeight="1" x14ac:dyDescent="0.25">
      <c r="C1449" s="359"/>
    </row>
    <row r="1450" spans="3:3" ht="34.5" customHeight="1" x14ac:dyDescent="0.25">
      <c r="C1450" s="359"/>
    </row>
    <row r="1451" spans="3:3" ht="34.5" customHeight="1" x14ac:dyDescent="0.25">
      <c r="C1451" s="359"/>
    </row>
    <row r="1452" spans="3:3" ht="34.5" customHeight="1" x14ac:dyDescent="0.25">
      <c r="C1452" s="359"/>
    </row>
    <row r="1453" spans="3:3" ht="34.5" customHeight="1" x14ac:dyDescent="0.25">
      <c r="C1453" s="359"/>
    </row>
    <row r="1454" spans="3:3" ht="34.5" customHeight="1" x14ac:dyDescent="0.25">
      <c r="C1454" s="359"/>
    </row>
    <row r="1455" spans="3:3" ht="34.5" customHeight="1" x14ac:dyDescent="0.25">
      <c r="C1455" s="359"/>
    </row>
    <row r="1456" spans="3:3" ht="34.5" customHeight="1" x14ac:dyDescent="0.25">
      <c r="C1456" s="359"/>
    </row>
    <row r="1457" spans="3:3" ht="34.5" customHeight="1" x14ac:dyDescent="0.25">
      <c r="C1457" s="359"/>
    </row>
    <row r="1458" spans="3:3" ht="34.5" customHeight="1" x14ac:dyDescent="0.25">
      <c r="C1458" s="359"/>
    </row>
    <row r="1459" spans="3:3" ht="34.5" customHeight="1" x14ac:dyDescent="0.25">
      <c r="C1459" s="359"/>
    </row>
    <row r="1460" spans="3:3" ht="34.5" customHeight="1" x14ac:dyDescent="0.25">
      <c r="C1460" s="359"/>
    </row>
    <row r="1461" spans="3:3" ht="34.5" customHeight="1" x14ac:dyDescent="0.25">
      <c r="C1461" s="359"/>
    </row>
    <row r="1462" spans="3:3" ht="34.5" customHeight="1" x14ac:dyDescent="0.25">
      <c r="C1462" s="359"/>
    </row>
    <row r="1463" spans="3:3" ht="34.5" customHeight="1" x14ac:dyDescent="0.25">
      <c r="C1463" s="359"/>
    </row>
    <row r="1464" spans="3:3" ht="34.5" customHeight="1" x14ac:dyDescent="0.25">
      <c r="C1464" s="359"/>
    </row>
    <row r="1465" spans="3:3" ht="34.5" customHeight="1" x14ac:dyDescent="0.25">
      <c r="C1465" s="359"/>
    </row>
    <row r="1466" spans="3:3" ht="34.5" customHeight="1" x14ac:dyDescent="0.25">
      <c r="C1466" s="359"/>
    </row>
    <row r="1467" spans="3:3" ht="34.5" customHeight="1" x14ac:dyDescent="0.25">
      <c r="C1467" s="359"/>
    </row>
    <row r="1468" spans="3:3" ht="34.5" customHeight="1" x14ac:dyDescent="0.25">
      <c r="C1468" s="359"/>
    </row>
    <row r="1469" spans="3:3" ht="34.5" customHeight="1" x14ac:dyDescent="0.25">
      <c r="C1469" s="359"/>
    </row>
    <row r="1470" spans="3:3" ht="34.5" customHeight="1" x14ac:dyDescent="0.25">
      <c r="C1470" s="359"/>
    </row>
    <row r="1471" spans="3:3" ht="34.5" customHeight="1" x14ac:dyDescent="0.25">
      <c r="C1471" s="359"/>
    </row>
    <row r="1472" spans="3:3" ht="34.5" customHeight="1" x14ac:dyDescent="0.25">
      <c r="C1472" s="359"/>
    </row>
    <row r="1473" spans="3:3" ht="34.5" customHeight="1" x14ac:dyDescent="0.25">
      <c r="C1473" s="359"/>
    </row>
    <row r="1474" spans="3:3" ht="34.5" customHeight="1" x14ac:dyDescent="0.25">
      <c r="C1474" s="359"/>
    </row>
    <row r="1475" spans="3:3" ht="34.5" customHeight="1" x14ac:dyDescent="0.25">
      <c r="C1475" s="359"/>
    </row>
    <row r="1476" spans="3:3" ht="34.5" customHeight="1" x14ac:dyDescent="0.25">
      <c r="C1476" s="359"/>
    </row>
    <row r="1477" spans="3:3" ht="34.5" customHeight="1" x14ac:dyDescent="0.25">
      <c r="C1477" s="359"/>
    </row>
    <row r="1478" spans="3:3" ht="34.5" customHeight="1" x14ac:dyDescent="0.25">
      <c r="C1478" s="359"/>
    </row>
    <row r="1479" spans="3:3" ht="34.5" customHeight="1" x14ac:dyDescent="0.25">
      <c r="C1479" s="359"/>
    </row>
    <row r="1480" spans="3:3" ht="34.5" customHeight="1" x14ac:dyDescent="0.25">
      <c r="C1480" s="359"/>
    </row>
    <row r="1481" spans="3:3" ht="34.5" customHeight="1" x14ac:dyDescent="0.25">
      <c r="C1481" s="359"/>
    </row>
    <row r="1482" spans="3:3" ht="34.5" customHeight="1" x14ac:dyDescent="0.25">
      <c r="C1482" s="359"/>
    </row>
    <row r="1483" spans="3:3" ht="34.5" customHeight="1" x14ac:dyDescent="0.25">
      <c r="C1483" s="359"/>
    </row>
    <row r="1484" spans="3:3" ht="34.5" customHeight="1" x14ac:dyDescent="0.25">
      <c r="C1484" s="359"/>
    </row>
    <row r="1485" spans="3:3" ht="34.5" customHeight="1" x14ac:dyDescent="0.25">
      <c r="C1485" s="359"/>
    </row>
    <row r="1486" spans="3:3" ht="34.5" customHeight="1" x14ac:dyDescent="0.25">
      <c r="C1486" s="359"/>
    </row>
    <row r="1487" spans="3:3" ht="34.5" customHeight="1" x14ac:dyDescent="0.25">
      <c r="C1487" s="359"/>
    </row>
    <row r="1488" spans="3:3" ht="34.5" customHeight="1" x14ac:dyDescent="0.25">
      <c r="C1488" s="359"/>
    </row>
    <row r="1489" spans="3:3" ht="34.5" customHeight="1" x14ac:dyDescent="0.25">
      <c r="C1489" s="359"/>
    </row>
    <row r="1490" spans="3:3" ht="34.5" customHeight="1" x14ac:dyDescent="0.25">
      <c r="C1490" s="359"/>
    </row>
    <row r="1491" spans="3:3" ht="34.5" customHeight="1" x14ac:dyDescent="0.25">
      <c r="C1491" s="359"/>
    </row>
    <row r="1492" spans="3:3" ht="34.5" customHeight="1" x14ac:dyDescent="0.25">
      <c r="C1492" s="359"/>
    </row>
    <row r="1493" spans="3:3" ht="34.5" customHeight="1" x14ac:dyDescent="0.25">
      <c r="C1493" s="359"/>
    </row>
    <row r="1494" spans="3:3" ht="34.5" customHeight="1" x14ac:dyDescent="0.25">
      <c r="C1494" s="359"/>
    </row>
    <row r="1495" spans="3:3" ht="34.5" customHeight="1" x14ac:dyDescent="0.25">
      <c r="C1495" s="359"/>
    </row>
    <row r="1496" spans="3:3" ht="34.5" customHeight="1" x14ac:dyDescent="0.25">
      <c r="C1496" s="359"/>
    </row>
    <row r="1497" spans="3:3" ht="34.5" customHeight="1" x14ac:dyDescent="0.25">
      <c r="C1497" s="359"/>
    </row>
    <row r="1498" spans="3:3" ht="34.5" customHeight="1" x14ac:dyDescent="0.25">
      <c r="C1498" s="359"/>
    </row>
    <row r="1499" spans="3:3" ht="34.5" customHeight="1" x14ac:dyDescent="0.25">
      <c r="C1499" s="359"/>
    </row>
    <row r="1500" spans="3:3" ht="34.5" customHeight="1" x14ac:dyDescent="0.25">
      <c r="C1500" s="359"/>
    </row>
    <row r="1501" spans="3:3" ht="34.5" customHeight="1" x14ac:dyDescent="0.25">
      <c r="C1501" s="359"/>
    </row>
    <row r="1502" spans="3:3" ht="34.5" customHeight="1" x14ac:dyDescent="0.25">
      <c r="C1502" s="359"/>
    </row>
    <row r="1503" spans="3:3" ht="34.5" customHeight="1" x14ac:dyDescent="0.25">
      <c r="C1503" s="359"/>
    </row>
    <row r="1504" spans="3:3" ht="34.5" customHeight="1" x14ac:dyDescent="0.25">
      <c r="C1504" s="359"/>
    </row>
    <row r="1505" spans="3:3" ht="34.5" customHeight="1" x14ac:dyDescent="0.25">
      <c r="C1505" s="359"/>
    </row>
    <row r="1506" spans="3:3" ht="34.5" customHeight="1" x14ac:dyDescent="0.25">
      <c r="C1506" s="359"/>
    </row>
    <row r="1507" spans="3:3" ht="34.5" customHeight="1" x14ac:dyDescent="0.25">
      <c r="C1507" s="359"/>
    </row>
    <row r="1508" spans="3:3" ht="34.5" customHeight="1" x14ac:dyDescent="0.25">
      <c r="C1508" s="359"/>
    </row>
    <row r="1509" spans="3:3" ht="34.5" customHeight="1" x14ac:dyDescent="0.25">
      <c r="C1509" s="359"/>
    </row>
    <row r="1510" spans="3:3" ht="34.5" customHeight="1" x14ac:dyDescent="0.25">
      <c r="C1510" s="359"/>
    </row>
    <row r="1511" spans="3:3" ht="34.5" customHeight="1" x14ac:dyDescent="0.25">
      <c r="C1511" s="359"/>
    </row>
    <row r="1512" spans="3:3" ht="34.5" customHeight="1" x14ac:dyDescent="0.25">
      <c r="C1512" s="359"/>
    </row>
    <row r="1513" spans="3:3" ht="34.5" customHeight="1" x14ac:dyDescent="0.25">
      <c r="C1513" s="359"/>
    </row>
    <row r="1514" spans="3:3" ht="34.5" customHeight="1" x14ac:dyDescent="0.25">
      <c r="C1514" s="359"/>
    </row>
    <row r="1515" spans="3:3" ht="34.5" customHeight="1" x14ac:dyDescent="0.25">
      <c r="C1515" s="359"/>
    </row>
    <row r="1516" spans="3:3" ht="34.5" customHeight="1" x14ac:dyDescent="0.25">
      <c r="C1516" s="359"/>
    </row>
    <row r="1517" spans="3:3" ht="34.5" customHeight="1" x14ac:dyDescent="0.25">
      <c r="C1517" s="359"/>
    </row>
    <row r="1518" spans="3:3" ht="34.5" customHeight="1" x14ac:dyDescent="0.25">
      <c r="C1518" s="359"/>
    </row>
    <row r="1519" spans="3:3" ht="34.5" customHeight="1" x14ac:dyDescent="0.25">
      <c r="C1519" s="359"/>
    </row>
    <row r="1520" spans="3:3" ht="34.5" customHeight="1" x14ac:dyDescent="0.25">
      <c r="C1520" s="359"/>
    </row>
    <row r="1521" spans="3:3" ht="34.5" customHeight="1" x14ac:dyDescent="0.25">
      <c r="C1521" s="359"/>
    </row>
    <row r="1522" spans="3:3" ht="34.5" customHeight="1" x14ac:dyDescent="0.25">
      <c r="C1522" s="359"/>
    </row>
    <row r="1523" spans="3:3" ht="34.5" customHeight="1" x14ac:dyDescent="0.25">
      <c r="C1523" s="359"/>
    </row>
    <row r="1524" spans="3:3" ht="34.5" customHeight="1" x14ac:dyDescent="0.25">
      <c r="C1524" s="359"/>
    </row>
    <row r="1525" spans="3:3" ht="34.5" customHeight="1" x14ac:dyDescent="0.25">
      <c r="C1525" s="359"/>
    </row>
    <row r="1526" spans="3:3" ht="34.5" customHeight="1" x14ac:dyDescent="0.25">
      <c r="C1526" s="359"/>
    </row>
    <row r="1527" spans="3:3" ht="34.5" customHeight="1" x14ac:dyDescent="0.25">
      <c r="C1527" s="359"/>
    </row>
    <row r="1528" spans="3:3" ht="34.5" customHeight="1" x14ac:dyDescent="0.25">
      <c r="C1528" s="359"/>
    </row>
    <row r="1529" spans="3:3" ht="34.5" customHeight="1" x14ac:dyDescent="0.25">
      <c r="C1529" s="359"/>
    </row>
    <row r="1530" spans="3:3" ht="34.5" customHeight="1" x14ac:dyDescent="0.25">
      <c r="C1530" s="359"/>
    </row>
    <row r="1531" spans="3:3" ht="34.5" customHeight="1" x14ac:dyDescent="0.25">
      <c r="C1531" s="359"/>
    </row>
    <row r="1532" spans="3:3" ht="34.5" customHeight="1" x14ac:dyDescent="0.25">
      <c r="C1532" s="359"/>
    </row>
    <row r="1533" spans="3:3" ht="34.5" customHeight="1" x14ac:dyDescent="0.25">
      <c r="C1533" s="359"/>
    </row>
    <row r="1534" spans="3:3" ht="34.5" customHeight="1" x14ac:dyDescent="0.25">
      <c r="C1534" s="359"/>
    </row>
    <row r="1535" spans="3:3" ht="34.5" customHeight="1" x14ac:dyDescent="0.25">
      <c r="C1535" s="359"/>
    </row>
    <row r="1536" spans="3:3" ht="34.5" customHeight="1" x14ac:dyDescent="0.25">
      <c r="C1536" s="359"/>
    </row>
    <row r="1537" spans="3:3" ht="34.5" customHeight="1" x14ac:dyDescent="0.25">
      <c r="C1537" s="359"/>
    </row>
    <row r="1538" spans="3:3" ht="34.5" customHeight="1" x14ac:dyDescent="0.25">
      <c r="C1538" s="359"/>
    </row>
    <row r="1539" spans="3:3" ht="34.5" customHeight="1" x14ac:dyDescent="0.25">
      <c r="C1539" s="359"/>
    </row>
    <row r="1540" spans="3:3" ht="34.5" customHeight="1" x14ac:dyDescent="0.25">
      <c r="C1540" s="359"/>
    </row>
    <row r="1541" spans="3:3" ht="34.5" customHeight="1" x14ac:dyDescent="0.25">
      <c r="C1541" s="359"/>
    </row>
    <row r="1542" spans="3:3" ht="34.5" customHeight="1" x14ac:dyDescent="0.25">
      <c r="C1542" s="359"/>
    </row>
    <row r="1543" spans="3:3" ht="34.5" customHeight="1" x14ac:dyDescent="0.25">
      <c r="C1543" s="359"/>
    </row>
    <row r="1544" spans="3:3" ht="34.5" customHeight="1" x14ac:dyDescent="0.25">
      <c r="C1544" s="359"/>
    </row>
    <row r="1545" spans="3:3" ht="34.5" customHeight="1" x14ac:dyDescent="0.25">
      <c r="C1545" s="359"/>
    </row>
    <row r="1546" spans="3:3" ht="34.5" customHeight="1" x14ac:dyDescent="0.25">
      <c r="C1546" s="359"/>
    </row>
    <row r="1547" spans="3:3" ht="34.5" customHeight="1" x14ac:dyDescent="0.25">
      <c r="C1547" s="359"/>
    </row>
    <row r="1548" spans="3:3" ht="34.5" customHeight="1" x14ac:dyDescent="0.25">
      <c r="C1548" s="359"/>
    </row>
    <row r="1549" spans="3:3" ht="34.5" customHeight="1" x14ac:dyDescent="0.25">
      <c r="C1549" s="359"/>
    </row>
    <row r="1550" spans="3:3" ht="34.5" customHeight="1" x14ac:dyDescent="0.25">
      <c r="C1550" s="359"/>
    </row>
    <row r="1551" spans="3:3" ht="34.5" customHeight="1" x14ac:dyDescent="0.25">
      <c r="C1551" s="359"/>
    </row>
    <row r="1552" spans="3:3" ht="34.5" customHeight="1" x14ac:dyDescent="0.25">
      <c r="C1552" s="359"/>
    </row>
    <row r="1553" spans="3:3" ht="34.5" customHeight="1" x14ac:dyDescent="0.25">
      <c r="C1553" s="359"/>
    </row>
    <row r="1554" spans="3:3" ht="34.5" customHeight="1" x14ac:dyDescent="0.25">
      <c r="C1554" s="359"/>
    </row>
    <row r="1555" spans="3:3" ht="34.5" customHeight="1" x14ac:dyDescent="0.25">
      <c r="C1555" s="359"/>
    </row>
    <row r="1556" spans="3:3" ht="34.5" customHeight="1" x14ac:dyDescent="0.25">
      <c r="C1556" s="359"/>
    </row>
    <row r="1557" spans="3:3" ht="34.5" customHeight="1" x14ac:dyDescent="0.25">
      <c r="C1557" s="359"/>
    </row>
    <row r="1558" spans="3:3" ht="34.5" customHeight="1" x14ac:dyDescent="0.25">
      <c r="C1558" s="359"/>
    </row>
    <row r="1559" spans="3:3" ht="34.5" customHeight="1" x14ac:dyDescent="0.25">
      <c r="C1559" s="359"/>
    </row>
    <row r="1560" spans="3:3" ht="34.5" customHeight="1" x14ac:dyDescent="0.25">
      <c r="C1560" s="359"/>
    </row>
    <row r="1561" spans="3:3" ht="34.5" customHeight="1" x14ac:dyDescent="0.25">
      <c r="C1561" s="359"/>
    </row>
    <row r="1562" spans="3:3" ht="34.5" customHeight="1" x14ac:dyDescent="0.25">
      <c r="C1562" s="359"/>
    </row>
    <row r="1563" spans="3:3" ht="34.5" customHeight="1" x14ac:dyDescent="0.25">
      <c r="C1563" s="359"/>
    </row>
    <row r="1564" spans="3:3" ht="34.5" customHeight="1" x14ac:dyDescent="0.25">
      <c r="C1564" s="359"/>
    </row>
    <row r="1565" spans="3:3" ht="34.5" customHeight="1" x14ac:dyDescent="0.25">
      <c r="C1565" s="359"/>
    </row>
    <row r="1566" spans="3:3" ht="34.5" customHeight="1" x14ac:dyDescent="0.25">
      <c r="C1566" s="359"/>
    </row>
    <row r="1567" spans="3:3" ht="34.5" customHeight="1" x14ac:dyDescent="0.25">
      <c r="C1567" s="359"/>
    </row>
    <row r="1568" spans="3:3" ht="34.5" customHeight="1" x14ac:dyDescent="0.25">
      <c r="C1568" s="359"/>
    </row>
    <row r="1569" spans="3:3" ht="34.5" customHeight="1" x14ac:dyDescent="0.25">
      <c r="C1569" s="359"/>
    </row>
    <row r="1570" spans="3:3" ht="34.5" customHeight="1" x14ac:dyDescent="0.25">
      <c r="C1570" s="359"/>
    </row>
    <row r="1571" spans="3:3" ht="34.5" customHeight="1" x14ac:dyDescent="0.25">
      <c r="C1571" s="359"/>
    </row>
    <row r="1572" spans="3:3" ht="34.5" customHeight="1" x14ac:dyDescent="0.25">
      <c r="C1572" s="359"/>
    </row>
    <row r="1573" spans="3:3" ht="34.5" customHeight="1" x14ac:dyDescent="0.25">
      <c r="C1573" s="359"/>
    </row>
    <row r="1574" spans="3:3" ht="34.5" customHeight="1" x14ac:dyDescent="0.25">
      <c r="C1574" s="359"/>
    </row>
    <row r="1575" spans="3:3" ht="34.5" customHeight="1" x14ac:dyDescent="0.25">
      <c r="C1575" s="359"/>
    </row>
    <row r="1576" spans="3:3" ht="34.5" customHeight="1" x14ac:dyDescent="0.25">
      <c r="C1576" s="359"/>
    </row>
    <row r="1577" spans="3:3" ht="34.5" customHeight="1" x14ac:dyDescent="0.25">
      <c r="C1577" s="359"/>
    </row>
    <row r="1578" spans="3:3" ht="34.5" customHeight="1" x14ac:dyDescent="0.25">
      <c r="C1578" s="359"/>
    </row>
    <row r="1579" spans="3:3" ht="34.5" customHeight="1" x14ac:dyDescent="0.25">
      <c r="C1579" s="359"/>
    </row>
    <row r="1580" spans="3:3" ht="34.5" customHeight="1" x14ac:dyDescent="0.25">
      <c r="C1580" s="359"/>
    </row>
    <row r="1581" spans="3:3" ht="34.5" customHeight="1" x14ac:dyDescent="0.25">
      <c r="C1581" s="359"/>
    </row>
    <row r="1582" spans="3:3" ht="34.5" customHeight="1" x14ac:dyDescent="0.25">
      <c r="C1582" s="359"/>
    </row>
    <row r="1583" spans="3:3" ht="34.5" customHeight="1" x14ac:dyDescent="0.25">
      <c r="C1583" s="359"/>
    </row>
    <row r="1584" spans="3:3" ht="34.5" customHeight="1" x14ac:dyDescent="0.25">
      <c r="C1584" s="359"/>
    </row>
    <row r="1585" spans="3:3" ht="34.5" customHeight="1" x14ac:dyDescent="0.25">
      <c r="C1585" s="359"/>
    </row>
    <row r="1586" spans="3:3" ht="34.5" customHeight="1" x14ac:dyDescent="0.25">
      <c r="C1586" s="359"/>
    </row>
    <row r="1587" spans="3:3" ht="34.5" customHeight="1" x14ac:dyDescent="0.25">
      <c r="C1587" s="359"/>
    </row>
    <row r="1588" spans="3:3" ht="34.5" customHeight="1" x14ac:dyDescent="0.25">
      <c r="C1588" s="359"/>
    </row>
    <row r="1589" spans="3:3" ht="34.5" customHeight="1" x14ac:dyDescent="0.25">
      <c r="C1589" s="359"/>
    </row>
    <row r="1590" spans="3:3" ht="34.5" customHeight="1" x14ac:dyDescent="0.25">
      <c r="C1590" s="359"/>
    </row>
    <row r="1591" spans="3:3" ht="34.5" customHeight="1" x14ac:dyDescent="0.25">
      <c r="C1591" s="359"/>
    </row>
    <row r="1592" spans="3:3" ht="34.5" customHeight="1" x14ac:dyDescent="0.25">
      <c r="C1592" s="359"/>
    </row>
    <row r="1593" spans="3:3" ht="34.5" customHeight="1" x14ac:dyDescent="0.25">
      <c r="C1593" s="359"/>
    </row>
    <row r="1594" spans="3:3" ht="34.5" customHeight="1" x14ac:dyDescent="0.25">
      <c r="C1594" s="359"/>
    </row>
    <row r="1595" spans="3:3" ht="34.5" customHeight="1" x14ac:dyDescent="0.25">
      <c r="C1595" s="359"/>
    </row>
    <row r="1596" spans="3:3" ht="34.5" customHeight="1" x14ac:dyDescent="0.25">
      <c r="C1596" s="359"/>
    </row>
    <row r="1597" spans="3:3" ht="34.5" customHeight="1" x14ac:dyDescent="0.25">
      <c r="C1597" s="359"/>
    </row>
    <row r="1598" spans="3:3" ht="34.5" customHeight="1" x14ac:dyDescent="0.25">
      <c r="C1598" s="359"/>
    </row>
    <row r="1599" spans="3:3" ht="34.5" customHeight="1" x14ac:dyDescent="0.25">
      <c r="C1599" s="359"/>
    </row>
    <row r="1600" spans="3:3" ht="34.5" customHeight="1" x14ac:dyDescent="0.25">
      <c r="C1600" s="359"/>
    </row>
    <row r="1601" spans="3:37" ht="34.5" customHeight="1" x14ac:dyDescent="0.25">
      <c r="C1601" s="359"/>
    </row>
    <row r="1602" spans="3:37" ht="34.5" customHeight="1" x14ac:dyDescent="0.25">
      <c r="C1602" s="359"/>
    </row>
    <row r="1603" spans="3:37" ht="34.5" customHeight="1" x14ac:dyDescent="0.25">
      <c r="C1603" s="359"/>
    </row>
    <row r="1604" spans="3:37" ht="34.5" customHeight="1" x14ac:dyDescent="0.25">
      <c r="C1604" s="359"/>
    </row>
    <row r="1605" spans="3:37" ht="34.5" customHeight="1" x14ac:dyDescent="0.25">
      <c r="C1605" s="359"/>
    </row>
    <row r="1606" spans="3:37" ht="34.5" customHeight="1" x14ac:dyDescent="0.25">
      <c r="C1606" s="359"/>
    </row>
    <row r="1607" spans="3:37" ht="34.5" customHeight="1" x14ac:dyDescent="0.25">
      <c r="C1607" s="359"/>
    </row>
    <row r="1608" spans="3:37" ht="34.5" customHeight="1" x14ac:dyDescent="0.25">
      <c r="C1608" s="359"/>
    </row>
    <row r="1609" spans="3:37" ht="34.5" customHeight="1" x14ac:dyDescent="0.25">
      <c r="C1609" s="359"/>
    </row>
    <row r="1610" spans="3:37" ht="34.5" customHeight="1" x14ac:dyDescent="0.25">
      <c r="C1610" s="359"/>
      <c r="AI1610" s="442"/>
      <c r="AJ1610" s="442"/>
      <c r="AK1610" s="442"/>
    </row>
    <row r="1611" spans="3:37" ht="34.5" customHeight="1" x14ac:dyDescent="0.25">
      <c r="C1611" s="359"/>
      <c r="AI1611" s="65"/>
      <c r="AJ1611" s="65"/>
      <c r="AK1611" s="65"/>
    </row>
    <row r="1612" spans="3:37" ht="34.5" customHeight="1" x14ac:dyDescent="0.25">
      <c r="C1612" s="359"/>
      <c r="AI1612" s="65"/>
      <c r="AJ1612" s="65"/>
      <c r="AK1612" s="65"/>
    </row>
    <row r="1613" spans="3:37" ht="34.5" customHeight="1" x14ac:dyDescent="0.25">
      <c r="C1613" s="359"/>
      <c r="AI1613" s="65"/>
      <c r="AJ1613" s="65"/>
      <c r="AK1613" s="65"/>
    </row>
    <row r="1614" spans="3:37" ht="34.5" customHeight="1" x14ac:dyDescent="0.25">
      <c r="C1614" s="359"/>
      <c r="AI1614" s="65"/>
      <c r="AJ1614" s="65"/>
      <c r="AK1614" s="65"/>
    </row>
    <row r="1615" spans="3:37" ht="34.5" customHeight="1" x14ac:dyDescent="0.25">
      <c r="C1615" s="359"/>
      <c r="AI1615" s="65"/>
      <c r="AJ1615" s="65"/>
      <c r="AK1615" s="65"/>
    </row>
    <row r="1616" spans="3:37" ht="34.5" customHeight="1" x14ac:dyDescent="0.25">
      <c r="C1616" s="359"/>
      <c r="AI1616" s="65"/>
      <c r="AJ1616" s="65"/>
      <c r="AK1616" s="65"/>
    </row>
    <row r="1617" spans="3:37" ht="34.5" customHeight="1" x14ac:dyDescent="0.25">
      <c r="C1617" s="359"/>
      <c r="AI1617" s="65"/>
      <c r="AJ1617" s="65"/>
      <c r="AK1617" s="65"/>
    </row>
    <row r="1618" spans="3:37" ht="34.5" customHeight="1" x14ac:dyDescent="0.25">
      <c r="C1618" s="359"/>
      <c r="AI1618" s="65"/>
      <c r="AJ1618" s="65"/>
      <c r="AK1618" s="65"/>
    </row>
    <row r="1619" spans="3:37" ht="34.5" customHeight="1" x14ac:dyDescent="0.25">
      <c r="C1619" s="359"/>
      <c r="AI1619" s="65"/>
      <c r="AJ1619" s="65"/>
      <c r="AK1619" s="65"/>
    </row>
    <row r="1620" spans="3:37" ht="34.5" customHeight="1" x14ac:dyDescent="0.25">
      <c r="C1620" s="359"/>
      <c r="AI1620" s="65"/>
      <c r="AJ1620" s="65"/>
      <c r="AK1620" s="65"/>
    </row>
    <row r="1621" spans="3:37" ht="34.5" customHeight="1" x14ac:dyDescent="0.25">
      <c r="C1621" s="359"/>
      <c r="AI1621" s="65"/>
      <c r="AJ1621" s="65"/>
      <c r="AK1621" s="65"/>
    </row>
    <row r="1622" spans="3:37" ht="34.5" customHeight="1" x14ac:dyDescent="0.25">
      <c r="C1622" s="359"/>
      <c r="AI1622" s="65"/>
      <c r="AJ1622" s="65"/>
      <c r="AK1622" s="65"/>
    </row>
    <row r="1623" spans="3:37" ht="34.5" customHeight="1" x14ac:dyDescent="0.25">
      <c r="C1623" s="359"/>
      <c r="AI1623" s="65"/>
      <c r="AJ1623" s="65"/>
      <c r="AK1623" s="65"/>
    </row>
    <row r="1624" spans="3:37" ht="34.5" customHeight="1" x14ac:dyDescent="0.25">
      <c r="C1624" s="359"/>
      <c r="AI1624" s="65"/>
      <c r="AJ1624" s="65"/>
      <c r="AK1624" s="65"/>
    </row>
    <row r="1625" spans="3:37" ht="34.5" customHeight="1" x14ac:dyDescent="0.25">
      <c r="C1625" s="359"/>
      <c r="AI1625" s="65"/>
      <c r="AJ1625" s="65"/>
      <c r="AK1625" s="65"/>
    </row>
    <row r="1626" spans="3:37" ht="34.5" customHeight="1" x14ac:dyDescent="0.25">
      <c r="C1626" s="359"/>
      <c r="AI1626" s="65"/>
      <c r="AJ1626" s="65"/>
      <c r="AK1626" s="65"/>
    </row>
    <row r="1627" spans="3:37" ht="34.5" customHeight="1" x14ac:dyDescent="0.25">
      <c r="C1627" s="359"/>
      <c r="AI1627" s="65"/>
      <c r="AJ1627" s="65"/>
      <c r="AK1627" s="65"/>
    </row>
    <row r="1628" spans="3:37" ht="34.5" customHeight="1" x14ac:dyDescent="0.25">
      <c r="C1628" s="359"/>
      <c r="AI1628" s="65"/>
      <c r="AJ1628" s="65"/>
      <c r="AK1628" s="65"/>
    </row>
    <row r="1629" spans="3:37" ht="34.5" customHeight="1" x14ac:dyDescent="0.25">
      <c r="C1629" s="359"/>
      <c r="AI1629" s="65"/>
      <c r="AJ1629" s="65"/>
      <c r="AK1629" s="65"/>
    </row>
    <row r="1630" spans="3:37" ht="34.5" customHeight="1" x14ac:dyDescent="0.25">
      <c r="C1630" s="359"/>
      <c r="AI1630" s="65"/>
      <c r="AJ1630" s="65"/>
      <c r="AK1630" s="65"/>
    </row>
    <row r="1631" spans="3:37" ht="34.5" customHeight="1" x14ac:dyDescent="0.25">
      <c r="C1631" s="359"/>
      <c r="AI1631" s="65"/>
      <c r="AJ1631" s="65"/>
      <c r="AK1631" s="65"/>
    </row>
    <row r="1632" spans="3:37" ht="34.5" customHeight="1" x14ac:dyDescent="0.25">
      <c r="C1632" s="359"/>
      <c r="AI1632" s="65"/>
      <c r="AJ1632" s="65"/>
      <c r="AK1632" s="65"/>
    </row>
    <row r="1633" spans="3:37" ht="34.5" customHeight="1" x14ac:dyDescent="0.25">
      <c r="C1633" s="359"/>
      <c r="AI1633" s="65"/>
      <c r="AJ1633" s="65"/>
      <c r="AK1633" s="65"/>
    </row>
    <row r="1634" spans="3:37" ht="34.5" customHeight="1" x14ac:dyDescent="0.25">
      <c r="C1634" s="359"/>
      <c r="AI1634" s="65"/>
      <c r="AJ1634" s="65"/>
      <c r="AK1634" s="65"/>
    </row>
    <row r="1635" spans="3:37" ht="34.5" customHeight="1" x14ac:dyDescent="0.25">
      <c r="C1635" s="359"/>
      <c r="AI1635" s="65"/>
      <c r="AJ1635" s="65"/>
      <c r="AK1635" s="65"/>
    </row>
    <row r="1636" spans="3:37" ht="34.5" customHeight="1" x14ac:dyDescent="0.25">
      <c r="C1636" s="359"/>
      <c r="AI1636" s="65"/>
      <c r="AJ1636" s="65"/>
      <c r="AK1636" s="65"/>
    </row>
    <row r="1637" spans="3:37" ht="34.5" customHeight="1" x14ac:dyDescent="0.25">
      <c r="C1637" s="359"/>
      <c r="AI1637" s="65"/>
      <c r="AJ1637" s="65"/>
      <c r="AK1637" s="65"/>
    </row>
    <row r="1638" spans="3:37" ht="34.5" customHeight="1" x14ac:dyDescent="0.25">
      <c r="C1638" s="359"/>
      <c r="AI1638" s="65"/>
      <c r="AJ1638" s="65"/>
      <c r="AK1638" s="65"/>
    </row>
    <row r="1639" spans="3:37" ht="34.5" customHeight="1" x14ac:dyDescent="0.25">
      <c r="C1639" s="359"/>
      <c r="AI1639" s="65"/>
      <c r="AJ1639" s="65"/>
      <c r="AK1639" s="65"/>
    </row>
    <row r="1640" spans="3:37" ht="34.5" customHeight="1" x14ac:dyDescent="0.25">
      <c r="C1640" s="359"/>
      <c r="AI1640" s="65"/>
      <c r="AJ1640" s="65"/>
      <c r="AK1640" s="65"/>
    </row>
    <row r="1641" spans="3:37" ht="34.5" customHeight="1" x14ac:dyDescent="0.25">
      <c r="C1641" s="359"/>
      <c r="AI1641" s="65"/>
      <c r="AJ1641" s="65"/>
      <c r="AK1641" s="65"/>
    </row>
    <row r="1642" spans="3:37" ht="34.5" customHeight="1" x14ac:dyDescent="0.25">
      <c r="C1642" s="359"/>
      <c r="AI1642" s="65"/>
      <c r="AJ1642" s="65"/>
      <c r="AK1642" s="65"/>
    </row>
    <row r="1643" spans="3:37" ht="34.5" customHeight="1" x14ac:dyDescent="0.25">
      <c r="C1643" s="359"/>
      <c r="AI1643" s="65"/>
      <c r="AJ1643" s="65"/>
      <c r="AK1643" s="65"/>
    </row>
    <row r="1644" spans="3:37" ht="34.5" customHeight="1" x14ac:dyDescent="0.25">
      <c r="C1644" s="359"/>
      <c r="AI1644" s="65"/>
      <c r="AJ1644" s="65"/>
      <c r="AK1644" s="65"/>
    </row>
    <row r="1645" spans="3:37" ht="34.5" customHeight="1" x14ac:dyDescent="0.25">
      <c r="C1645" s="359"/>
      <c r="AI1645" s="65"/>
      <c r="AJ1645" s="65"/>
      <c r="AK1645" s="65"/>
    </row>
    <row r="1646" spans="3:37" ht="34.5" customHeight="1" x14ac:dyDescent="0.25">
      <c r="C1646" s="359"/>
      <c r="AI1646" s="65"/>
      <c r="AJ1646" s="65"/>
      <c r="AK1646" s="65"/>
    </row>
    <row r="1647" spans="3:37" ht="34.5" customHeight="1" x14ac:dyDescent="0.25">
      <c r="C1647" s="359"/>
      <c r="AI1647" s="65"/>
      <c r="AJ1647" s="65"/>
      <c r="AK1647" s="65"/>
    </row>
    <row r="1648" spans="3:37" ht="34.5" customHeight="1" x14ac:dyDescent="0.25">
      <c r="C1648" s="359"/>
      <c r="AI1648" s="65"/>
      <c r="AJ1648" s="65"/>
      <c r="AK1648" s="65"/>
    </row>
    <row r="1649" spans="3:37" ht="34.5" customHeight="1" x14ac:dyDescent="0.25">
      <c r="C1649" s="359"/>
      <c r="AI1649" s="65"/>
      <c r="AJ1649" s="65"/>
      <c r="AK1649" s="65"/>
    </row>
    <row r="1650" spans="3:37" ht="34.5" customHeight="1" x14ac:dyDescent="0.25">
      <c r="C1650" s="359"/>
      <c r="AI1650" s="65"/>
      <c r="AJ1650" s="65"/>
      <c r="AK1650" s="65"/>
    </row>
    <row r="1651" spans="3:37" ht="34.5" customHeight="1" x14ac:dyDescent="0.25">
      <c r="C1651" s="359"/>
      <c r="AI1651" s="65"/>
      <c r="AJ1651" s="65"/>
      <c r="AK1651" s="65"/>
    </row>
    <row r="1652" spans="3:37" ht="34.5" customHeight="1" x14ac:dyDescent="0.25">
      <c r="C1652" s="359"/>
      <c r="AI1652" s="65"/>
      <c r="AJ1652" s="65"/>
      <c r="AK1652" s="65"/>
    </row>
    <row r="1653" spans="3:37" ht="34.5" customHeight="1" x14ac:dyDescent="0.25">
      <c r="C1653" s="359"/>
      <c r="AI1653" s="65"/>
      <c r="AJ1653" s="65"/>
      <c r="AK1653" s="65"/>
    </row>
    <row r="1654" spans="3:37" ht="34.5" customHeight="1" x14ac:dyDescent="0.25">
      <c r="C1654" s="359"/>
      <c r="AI1654" s="65"/>
      <c r="AJ1654" s="65"/>
      <c r="AK1654" s="65"/>
    </row>
    <row r="1655" spans="3:37" ht="34.5" customHeight="1" x14ac:dyDescent="0.25">
      <c r="C1655" s="359"/>
      <c r="AI1655" s="65"/>
      <c r="AJ1655" s="65"/>
      <c r="AK1655" s="65"/>
    </row>
    <row r="1656" spans="3:37" ht="34.5" customHeight="1" x14ac:dyDescent="0.25">
      <c r="C1656" s="359"/>
      <c r="AI1656" s="65"/>
      <c r="AJ1656" s="65"/>
      <c r="AK1656" s="65"/>
    </row>
    <row r="1657" spans="3:37" ht="34.5" customHeight="1" x14ac:dyDescent="0.25">
      <c r="C1657" s="359"/>
      <c r="AI1657" s="65"/>
      <c r="AJ1657" s="65"/>
      <c r="AK1657" s="65"/>
    </row>
    <row r="1658" spans="3:37" ht="34.5" customHeight="1" x14ac:dyDescent="0.25">
      <c r="C1658" s="359"/>
      <c r="AI1658" s="65"/>
      <c r="AJ1658" s="65"/>
      <c r="AK1658" s="65"/>
    </row>
    <row r="1659" spans="3:37" ht="34.5" customHeight="1" x14ac:dyDescent="0.25">
      <c r="C1659" s="359"/>
      <c r="AI1659" s="65"/>
      <c r="AJ1659" s="65"/>
      <c r="AK1659" s="65"/>
    </row>
    <row r="1660" spans="3:37" ht="34.5" customHeight="1" x14ac:dyDescent="0.25">
      <c r="C1660" s="359"/>
      <c r="AI1660" s="65"/>
      <c r="AJ1660" s="65"/>
      <c r="AK1660" s="65"/>
    </row>
    <row r="1661" spans="3:37" ht="34.5" customHeight="1" x14ac:dyDescent="0.25">
      <c r="C1661" s="359"/>
      <c r="AI1661" s="65"/>
      <c r="AJ1661" s="65"/>
      <c r="AK1661" s="65"/>
    </row>
    <row r="1662" spans="3:37" ht="34.5" customHeight="1" x14ac:dyDescent="0.25">
      <c r="C1662" s="359"/>
      <c r="AI1662" s="65"/>
      <c r="AJ1662" s="65"/>
      <c r="AK1662" s="65"/>
    </row>
    <row r="1663" spans="3:37" ht="34.5" customHeight="1" x14ac:dyDescent="0.25">
      <c r="C1663" s="359"/>
      <c r="AI1663" s="65"/>
      <c r="AJ1663" s="65"/>
      <c r="AK1663" s="65"/>
    </row>
    <row r="1664" spans="3:37" ht="34.5" customHeight="1" x14ac:dyDescent="0.25">
      <c r="C1664" s="359"/>
      <c r="AI1664" s="65"/>
      <c r="AJ1664" s="65"/>
      <c r="AK1664" s="65"/>
    </row>
    <row r="1665" spans="3:37" ht="34.5" customHeight="1" x14ac:dyDescent="0.25">
      <c r="C1665" s="359"/>
      <c r="AI1665" s="65"/>
      <c r="AJ1665" s="65"/>
      <c r="AK1665" s="65"/>
    </row>
    <row r="1666" spans="3:37" ht="34.5" customHeight="1" x14ac:dyDescent="0.25">
      <c r="C1666" s="359"/>
      <c r="AI1666" s="65"/>
      <c r="AJ1666" s="65"/>
      <c r="AK1666" s="65"/>
    </row>
    <row r="1667" spans="3:37" ht="34.5" customHeight="1" x14ac:dyDescent="0.25">
      <c r="C1667" s="359"/>
      <c r="AI1667" s="65"/>
      <c r="AJ1667" s="65"/>
      <c r="AK1667" s="65"/>
    </row>
    <row r="1668" spans="3:37" ht="34.5" customHeight="1" x14ac:dyDescent="0.25">
      <c r="C1668" s="359"/>
      <c r="AI1668" s="65"/>
      <c r="AJ1668" s="65"/>
      <c r="AK1668" s="65"/>
    </row>
    <row r="1669" spans="3:37" ht="34.5" customHeight="1" x14ac:dyDescent="0.25">
      <c r="C1669" s="359"/>
      <c r="AI1669" s="65"/>
      <c r="AJ1669" s="65"/>
      <c r="AK1669" s="65"/>
    </row>
    <row r="1670" spans="3:37" ht="34.5" customHeight="1" x14ac:dyDescent="0.25">
      <c r="C1670" s="359"/>
      <c r="AI1670" s="65"/>
      <c r="AJ1670" s="65"/>
      <c r="AK1670" s="65"/>
    </row>
    <row r="1671" spans="3:37" ht="34.5" customHeight="1" x14ac:dyDescent="0.25">
      <c r="C1671" s="359"/>
      <c r="AI1671" s="65"/>
      <c r="AJ1671" s="65"/>
      <c r="AK1671" s="65"/>
    </row>
    <row r="1672" spans="3:37" ht="34.5" customHeight="1" x14ac:dyDescent="0.25">
      <c r="C1672" s="359"/>
      <c r="AI1672" s="65"/>
      <c r="AJ1672" s="65"/>
      <c r="AK1672" s="65"/>
    </row>
    <row r="1673" spans="3:37" ht="34.5" customHeight="1" x14ac:dyDescent="0.25">
      <c r="C1673" s="359"/>
      <c r="AI1673" s="65"/>
      <c r="AJ1673" s="65"/>
      <c r="AK1673" s="65"/>
    </row>
    <row r="1674" spans="3:37" ht="34.5" customHeight="1" x14ac:dyDescent="0.25">
      <c r="C1674" s="359"/>
      <c r="AI1674" s="65"/>
      <c r="AJ1674" s="65"/>
      <c r="AK1674" s="65"/>
    </row>
    <row r="1675" spans="3:37" ht="34.5" customHeight="1" x14ac:dyDescent="0.25">
      <c r="C1675" s="359"/>
      <c r="AI1675" s="65"/>
      <c r="AJ1675" s="65"/>
      <c r="AK1675" s="65"/>
    </row>
    <row r="1676" spans="3:37" ht="34.5" customHeight="1" x14ac:dyDescent="0.25">
      <c r="C1676" s="359"/>
      <c r="AI1676" s="65"/>
      <c r="AJ1676" s="65"/>
      <c r="AK1676" s="65"/>
    </row>
    <row r="1677" spans="3:37" ht="34.5" customHeight="1" x14ac:dyDescent="0.25">
      <c r="C1677" s="359"/>
      <c r="AI1677" s="65"/>
      <c r="AJ1677" s="65"/>
      <c r="AK1677" s="65"/>
    </row>
    <row r="1678" spans="3:37" ht="34.5" customHeight="1" x14ac:dyDescent="0.25">
      <c r="C1678" s="359"/>
      <c r="AI1678" s="65"/>
      <c r="AJ1678" s="65"/>
      <c r="AK1678" s="65"/>
    </row>
    <row r="1679" spans="3:37" ht="34.5" customHeight="1" x14ac:dyDescent="0.25">
      <c r="C1679" s="359"/>
      <c r="AI1679" s="65"/>
      <c r="AJ1679" s="65"/>
      <c r="AK1679" s="65"/>
    </row>
    <row r="1680" spans="3:37" ht="34.5" customHeight="1" x14ac:dyDescent="0.25">
      <c r="C1680" s="359"/>
      <c r="AI1680" s="65"/>
      <c r="AJ1680" s="65"/>
      <c r="AK1680" s="65"/>
    </row>
    <row r="1681" spans="3:37" ht="34.5" customHeight="1" x14ac:dyDescent="0.25">
      <c r="C1681" s="359"/>
      <c r="AI1681" s="65"/>
      <c r="AJ1681" s="65"/>
      <c r="AK1681" s="65"/>
    </row>
    <row r="1682" spans="3:37" ht="34.5" customHeight="1" x14ac:dyDescent="0.25">
      <c r="C1682" s="359"/>
      <c r="AI1682" s="65"/>
      <c r="AJ1682" s="65"/>
      <c r="AK1682" s="65"/>
    </row>
    <row r="1683" spans="3:37" ht="34.5" customHeight="1" x14ac:dyDescent="0.25">
      <c r="C1683" s="359"/>
      <c r="AI1683" s="65"/>
      <c r="AJ1683" s="65"/>
      <c r="AK1683" s="65"/>
    </row>
    <row r="1684" spans="3:37" ht="34.5" customHeight="1" x14ac:dyDescent="0.25">
      <c r="C1684" s="359"/>
      <c r="AI1684" s="65"/>
      <c r="AJ1684" s="65"/>
      <c r="AK1684" s="65"/>
    </row>
    <row r="1685" spans="3:37" ht="34.5" customHeight="1" x14ac:dyDescent="0.25">
      <c r="C1685" s="359"/>
      <c r="AI1685" s="65"/>
      <c r="AJ1685" s="65"/>
      <c r="AK1685" s="65"/>
    </row>
    <row r="1686" spans="3:37" ht="34.5" customHeight="1" x14ac:dyDescent="0.25">
      <c r="C1686" s="359"/>
      <c r="AI1686" s="65"/>
      <c r="AJ1686" s="65"/>
      <c r="AK1686" s="65"/>
    </row>
    <row r="1687" spans="3:37" ht="34.5" customHeight="1" x14ac:dyDescent="0.25">
      <c r="C1687" s="359"/>
      <c r="AI1687" s="65"/>
      <c r="AJ1687" s="65"/>
      <c r="AK1687" s="65"/>
    </row>
    <row r="1688" spans="3:37" ht="34.5" customHeight="1" x14ac:dyDescent="0.25">
      <c r="C1688" s="359"/>
      <c r="AI1688" s="65"/>
      <c r="AJ1688" s="65"/>
      <c r="AK1688" s="65"/>
    </row>
    <row r="1689" spans="3:37" ht="34.5" customHeight="1" x14ac:dyDescent="0.25">
      <c r="C1689" s="359"/>
      <c r="AI1689" s="65"/>
      <c r="AJ1689" s="65"/>
      <c r="AK1689" s="65"/>
    </row>
    <row r="1690" spans="3:37" ht="34.5" customHeight="1" x14ac:dyDescent="0.25">
      <c r="C1690" s="359"/>
      <c r="AI1690" s="65"/>
      <c r="AJ1690" s="65"/>
      <c r="AK1690" s="65"/>
    </row>
    <row r="1691" spans="3:37" ht="34.5" customHeight="1" x14ac:dyDescent="0.25">
      <c r="C1691" s="359"/>
      <c r="AI1691" s="65"/>
      <c r="AJ1691" s="65"/>
      <c r="AK1691" s="65"/>
    </row>
    <row r="1692" spans="3:37" ht="34.5" customHeight="1" x14ac:dyDescent="0.25">
      <c r="C1692" s="359"/>
      <c r="AI1692" s="65"/>
      <c r="AJ1692" s="65"/>
      <c r="AK1692" s="65"/>
    </row>
    <row r="1693" spans="3:37" ht="34.5" customHeight="1" x14ac:dyDescent="0.25">
      <c r="C1693" s="359"/>
      <c r="AI1693" s="65"/>
      <c r="AJ1693" s="65"/>
      <c r="AK1693" s="65"/>
    </row>
    <row r="1694" spans="3:37" ht="34.5" customHeight="1" x14ac:dyDescent="0.25">
      <c r="C1694" s="359"/>
      <c r="AI1694" s="65"/>
      <c r="AJ1694" s="65"/>
      <c r="AK1694" s="65"/>
    </row>
    <row r="1695" spans="3:37" ht="34.5" customHeight="1" x14ac:dyDescent="0.25">
      <c r="C1695" s="359"/>
      <c r="AI1695" s="65"/>
      <c r="AJ1695" s="65"/>
      <c r="AK1695" s="65"/>
    </row>
    <row r="1696" spans="3:37" ht="34.5" customHeight="1" x14ac:dyDescent="0.25">
      <c r="C1696" s="359"/>
      <c r="AI1696" s="65"/>
      <c r="AJ1696" s="65"/>
      <c r="AK1696" s="65"/>
    </row>
    <row r="1697" spans="3:37" ht="34.5" customHeight="1" x14ac:dyDescent="0.25">
      <c r="C1697" s="359"/>
      <c r="AI1697" s="65"/>
      <c r="AJ1697" s="65"/>
      <c r="AK1697" s="65"/>
    </row>
    <row r="1698" spans="3:37" ht="34.5" customHeight="1" x14ac:dyDescent="0.25">
      <c r="C1698" s="359"/>
      <c r="AI1698" s="65"/>
      <c r="AJ1698" s="65"/>
      <c r="AK1698" s="65"/>
    </row>
    <row r="1699" spans="3:37" ht="34.5" customHeight="1" x14ac:dyDescent="0.25">
      <c r="C1699" s="359"/>
      <c r="AI1699" s="65"/>
      <c r="AJ1699" s="65"/>
      <c r="AK1699" s="65"/>
    </row>
    <row r="1700" spans="3:37" ht="34.5" customHeight="1" x14ac:dyDescent="0.25">
      <c r="C1700" s="359"/>
      <c r="AI1700" s="65"/>
      <c r="AJ1700" s="65"/>
      <c r="AK1700" s="65"/>
    </row>
    <row r="1701" spans="3:37" ht="34.5" customHeight="1" x14ac:dyDescent="0.25">
      <c r="C1701" s="359"/>
      <c r="AI1701" s="65"/>
      <c r="AJ1701" s="65"/>
      <c r="AK1701" s="65"/>
    </row>
    <row r="1702" spans="3:37" ht="34.5" customHeight="1" x14ac:dyDescent="0.25">
      <c r="C1702" s="359"/>
      <c r="AI1702" s="65"/>
      <c r="AJ1702" s="65"/>
      <c r="AK1702" s="65"/>
    </row>
    <row r="1703" spans="3:37" ht="34.5" customHeight="1" x14ac:dyDescent="0.25">
      <c r="C1703" s="359"/>
      <c r="AI1703" s="65"/>
      <c r="AJ1703" s="65"/>
      <c r="AK1703" s="65"/>
    </row>
    <row r="1704" spans="3:37" ht="34.5" customHeight="1" x14ac:dyDescent="0.25">
      <c r="C1704" s="359"/>
      <c r="AI1704" s="65"/>
      <c r="AJ1704" s="65"/>
      <c r="AK1704" s="65"/>
    </row>
    <row r="1705" spans="3:37" ht="34.5" customHeight="1" x14ac:dyDescent="0.25">
      <c r="C1705" s="359"/>
      <c r="AI1705" s="65"/>
      <c r="AJ1705" s="65"/>
      <c r="AK1705" s="65"/>
    </row>
    <row r="1706" spans="3:37" ht="34.5" customHeight="1" x14ac:dyDescent="0.25">
      <c r="C1706" s="359"/>
      <c r="AI1706" s="65"/>
      <c r="AJ1706" s="65"/>
      <c r="AK1706" s="65"/>
    </row>
    <row r="1707" spans="3:37" ht="34.5" customHeight="1" x14ac:dyDescent="0.25">
      <c r="C1707" s="359"/>
      <c r="AI1707" s="65"/>
      <c r="AJ1707" s="65"/>
      <c r="AK1707" s="65"/>
    </row>
    <row r="1708" spans="3:37" ht="34.5" customHeight="1" x14ac:dyDescent="0.25">
      <c r="C1708" s="359"/>
      <c r="AI1708" s="65"/>
      <c r="AJ1708" s="65"/>
      <c r="AK1708" s="65"/>
    </row>
    <row r="1709" spans="3:37" ht="34.5" customHeight="1" x14ac:dyDescent="0.25">
      <c r="C1709" s="359"/>
      <c r="AI1709" s="65"/>
      <c r="AJ1709" s="65"/>
      <c r="AK1709" s="65"/>
    </row>
    <row r="1710" spans="3:37" ht="34.5" customHeight="1" x14ac:dyDescent="0.25">
      <c r="C1710" s="359"/>
      <c r="AI1710" s="65"/>
      <c r="AJ1710" s="65"/>
      <c r="AK1710" s="65"/>
    </row>
    <row r="1711" spans="3:37" ht="34.5" customHeight="1" x14ac:dyDescent="0.25">
      <c r="C1711" s="359"/>
      <c r="AI1711" s="65"/>
      <c r="AJ1711" s="65"/>
      <c r="AK1711" s="65"/>
    </row>
    <row r="1712" spans="3:37" ht="34.5" customHeight="1" x14ac:dyDescent="0.25">
      <c r="C1712" s="359"/>
      <c r="AI1712" s="65"/>
      <c r="AJ1712" s="65"/>
      <c r="AK1712" s="65"/>
    </row>
    <row r="1713" spans="3:37" ht="34.5" customHeight="1" x14ac:dyDescent="0.25">
      <c r="C1713" s="359"/>
      <c r="AI1713" s="65"/>
      <c r="AJ1713" s="65"/>
      <c r="AK1713" s="65"/>
    </row>
    <row r="1714" spans="3:37" ht="34.5" customHeight="1" x14ac:dyDescent="0.25">
      <c r="C1714" s="359"/>
      <c r="AI1714" s="65"/>
      <c r="AJ1714" s="65"/>
      <c r="AK1714" s="65"/>
    </row>
    <row r="1715" spans="3:37" ht="34.5" customHeight="1" x14ac:dyDescent="0.25">
      <c r="C1715" s="359"/>
      <c r="AI1715" s="65"/>
      <c r="AJ1715" s="65"/>
      <c r="AK1715" s="65"/>
    </row>
    <row r="1716" spans="3:37" ht="34.5" customHeight="1" x14ac:dyDescent="0.25">
      <c r="C1716" s="359"/>
      <c r="AI1716" s="65"/>
      <c r="AJ1716" s="65"/>
      <c r="AK1716" s="65"/>
    </row>
    <row r="1717" spans="3:37" ht="34.5" customHeight="1" x14ac:dyDescent="0.25">
      <c r="C1717" s="359"/>
      <c r="AI1717" s="65"/>
      <c r="AJ1717" s="65"/>
      <c r="AK1717" s="65"/>
    </row>
    <row r="1718" spans="3:37" ht="34.5" customHeight="1" x14ac:dyDescent="0.25">
      <c r="C1718" s="359"/>
      <c r="AI1718" s="65"/>
      <c r="AJ1718" s="65"/>
      <c r="AK1718" s="65"/>
    </row>
    <row r="1719" spans="3:37" ht="34.5" customHeight="1" x14ac:dyDescent="0.25">
      <c r="C1719" s="359"/>
      <c r="AI1719" s="65"/>
      <c r="AJ1719" s="65"/>
      <c r="AK1719" s="65"/>
    </row>
    <row r="1720" spans="3:37" ht="34.5" customHeight="1" x14ac:dyDescent="0.25">
      <c r="C1720" s="359"/>
      <c r="AI1720" s="65"/>
      <c r="AJ1720" s="65"/>
      <c r="AK1720" s="65"/>
    </row>
    <row r="1721" spans="3:37" ht="34.5" customHeight="1" x14ac:dyDescent="0.25">
      <c r="C1721" s="359"/>
      <c r="AI1721" s="65"/>
      <c r="AJ1721" s="65"/>
      <c r="AK1721" s="65"/>
    </row>
    <row r="1722" spans="3:37" ht="34.5" customHeight="1" x14ac:dyDescent="0.25">
      <c r="C1722" s="359"/>
      <c r="AI1722" s="65"/>
      <c r="AJ1722" s="65"/>
      <c r="AK1722" s="65"/>
    </row>
    <row r="1723" spans="3:37" ht="34.5" customHeight="1" x14ac:dyDescent="0.25">
      <c r="C1723" s="359"/>
      <c r="AI1723" s="65"/>
      <c r="AJ1723" s="65"/>
      <c r="AK1723" s="65"/>
    </row>
    <row r="1724" spans="3:37" ht="34.5" customHeight="1" x14ac:dyDescent="0.25">
      <c r="C1724" s="359"/>
      <c r="AI1724" s="65"/>
      <c r="AJ1724" s="65"/>
      <c r="AK1724" s="65"/>
    </row>
    <row r="1725" spans="3:37" ht="34.5" customHeight="1" x14ac:dyDescent="0.25">
      <c r="C1725" s="359"/>
      <c r="AI1725" s="65"/>
      <c r="AJ1725" s="65"/>
      <c r="AK1725" s="65"/>
    </row>
    <row r="1726" spans="3:37" ht="34.5" customHeight="1" x14ac:dyDescent="0.25">
      <c r="C1726" s="359"/>
      <c r="AI1726" s="65"/>
      <c r="AJ1726" s="65"/>
      <c r="AK1726" s="65"/>
    </row>
    <row r="1727" spans="3:37" ht="34.5" customHeight="1" x14ac:dyDescent="0.25">
      <c r="C1727" s="359"/>
      <c r="AI1727" s="65"/>
      <c r="AJ1727" s="65"/>
      <c r="AK1727" s="65"/>
    </row>
    <row r="1728" spans="3:37" ht="34.5" customHeight="1" x14ac:dyDescent="0.25">
      <c r="C1728" s="359"/>
      <c r="AI1728" s="65"/>
      <c r="AJ1728" s="65"/>
      <c r="AK1728" s="65"/>
    </row>
    <row r="1729" spans="3:37" ht="34.5" customHeight="1" x14ac:dyDescent="0.25">
      <c r="C1729" s="359"/>
      <c r="AI1729" s="65"/>
      <c r="AJ1729" s="65"/>
      <c r="AK1729" s="65"/>
    </row>
    <row r="1730" spans="3:37" ht="34.5" customHeight="1" x14ac:dyDescent="0.25">
      <c r="C1730" s="359"/>
      <c r="AI1730" s="65"/>
      <c r="AJ1730" s="65"/>
      <c r="AK1730" s="65"/>
    </row>
    <row r="1731" spans="3:37" ht="34.5" customHeight="1" x14ac:dyDescent="0.25">
      <c r="C1731" s="359"/>
      <c r="AI1731" s="65"/>
      <c r="AJ1731" s="65"/>
      <c r="AK1731" s="65"/>
    </row>
    <row r="1732" spans="3:37" ht="34.5" customHeight="1" x14ac:dyDescent="0.25">
      <c r="C1732" s="359"/>
      <c r="AI1732" s="65"/>
      <c r="AJ1732" s="65"/>
      <c r="AK1732" s="65"/>
    </row>
    <row r="1733" spans="3:37" ht="34.5" customHeight="1" x14ac:dyDescent="0.25">
      <c r="C1733" s="359"/>
      <c r="AI1733" s="65"/>
      <c r="AJ1733" s="65"/>
      <c r="AK1733" s="65"/>
    </row>
    <row r="1734" spans="3:37" ht="34.5" customHeight="1" x14ac:dyDescent="0.25">
      <c r="C1734" s="359"/>
      <c r="AI1734" s="65"/>
      <c r="AJ1734" s="65"/>
      <c r="AK1734" s="65"/>
    </row>
    <row r="1735" spans="3:37" ht="34.5" customHeight="1" x14ac:dyDescent="0.25">
      <c r="C1735" s="359"/>
      <c r="AI1735" s="65"/>
      <c r="AJ1735" s="65"/>
      <c r="AK1735" s="65"/>
    </row>
    <row r="1736" spans="3:37" ht="34.5" customHeight="1" x14ac:dyDescent="0.25">
      <c r="C1736" s="359"/>
      <c r="AI1736" s="65"/>
      <c r="AJ1736" s="65"/>
      <c r="AK1736" s="65"/>
    </row>
    <row r="1737" spans="3:37" ht="34.5" customHeight="1" x14ac:dyDescent="0.25">
      <c r="C1737" s="359"/>
      <c r="AI1737" s="65"/>
      <c r="AJ1737" s="65"/>
      <c r="AK1737" s="65"/>
    </row>
    <row r="1738" spans="3:37" ht="34.5" customHeight="1" x14ac:dyDescent="0.25">
      <c r="C1738" s="359"/>
      <c r="AI1738" s="65"/>
      <c r="AJ1738" s="65"/>
      <c r="AK1738" s="65"/>
    </row>
    <row r="1739" spans="3:37" ht="34.5" customHeight="1" x14ac:dyDescent="0.25">
      <c r="C1739" s="359"/>
      <c r="AI1739" s="65"/>
      <c r="AJ1739" s="65"/>
      <c r="AK1739" s="65"/>
    </row>
    <row r="1740" spans="3:37" ht="34.5" customHeight="1" x14ac:dyDescent="0.25">
      <c r="C1740" s="359"/>
      <c r="AI1740" s="65"/>
      <c r="AJ1740" s="65"/>
      <c r="AK1740" s="65"/>
    </row>
    <row r="1741" spans="3:37" ht="34.5" customHeight="1" x14ac:dyDescent="0.25">
      <c r="C1741" s="359"/>
      <c r="AI1741" s="65"/>
      <c r="AJ1741" s="65"/>
      <c r="AK1741" s="65"/>
    </row>
    <row r="1742" spans="3:37" ht="34.5" customHeight="1" x14ac:dyDescent="0.25">
      <c r="C1742" s="359"/>
      <c r="AI1742" s="65"/>
      <c r="AJ1742" s="65"/>
      <c r="AK1742" s="65"/>
    </row>
    <row r="1743" spans="3:37" ht="34.5" customHeight="1" x14ac:dyDescent="0.25">
      <c r="C1743" s="359"/>
      <c r="AI1743" s="65"/>
      <c r="AJ1743" s="65"/>
      <c r="AK1743" s="65"/>
    </row>
    <row r="1744" spans="3:37" ht="34.5" customHeight="1" x14ac:dyDescent="0.25">
      <c r="C1744" s="359"/>
      <c r="AI1744" s="65"/>
      <c r="AJ1744" s="65"/>
      <c r="AK1744" s="65"/>
    </row>
    <row r="1745" spans="3:37" ht="34.5" customHeight="1" x14ac:dyDescent="0.25">
      <c r="C1745" s="359"/>
      <c r="AI1745" s="65"/>
      <c r="AJ1745" s="65"/>
      <c r="AK1745" s="65"/>
    </row>
    <row r="1746" spans="3:37" ht="34.5" customHeight="1" x14ac:dyDescent="0.25">
      <c r="C1746" s="359"/>
      <c r="AI1746" s="65"/>
      <c r="AJ1746" s="65"/>
      <c r="AK1746" s="65"/>
    </row>
    <row r="1747" spans="3:37" ht="34.5" customHeight="1" x14ac:dyDescent="0.25">
      <c r="C1747" s="359"/>
      <c r="AI1747" s="65"/>
      <c r="AJ1747" s="65"/>
      <c r="AK1747" s="65"/>
    </row>
    <row r="1748" spans="3:37" ht="34.5" customHeight="1" x14ac:dyDescent="0.25">
      <c r="C1748" s="359"/>
      <c r="AI1748" s="65"/>
      <c r="AJ1748" s="65"/>
      <c r="AK1748" s="65"/>
    </row>
    <row r="1749" spans="3:37" ht="34.5" customHeight="1" x14ac:dyDescent="0.25">
      <c r="C1749" s="359"/>
      <c r="AI1749" s="65"/>
      <c r="AJ1749" s="65"/>
      <c r="AK1749" s="65"/>
    </row>
    <row r="1750" spans="3:37" ht="34.5" customHeight="1" x14ac:dyDescent="0.25">
      <c r="C1750" s="359"/>
      <c r="AI1750" s="65"/>
      <c r="AJ1750" s="65"/>
      <c r="AK1750" s="65"/>
    </row>
    <row r="1751" spans="3:37" ht="34.5" customHeight="1" x14ac:dyDescent="0.25">
      <c r="C1751" s="359"/>
      <c r="AI1751" s="65"/>
      <c r="AJ1751" s="65"/>
      <c r="AK1751" s="65"/>
    </row>
    <row r="1752" spans="3:37" ht="34.5" customHeight="1" x14ac:dyDescent="0.25">
      <c r="C1752" s="359"/>
      <c r="AI1752" s="65"/>
      <c r="AJ1752" s="65"/>
      <c r="AK1752" s="65"/>
    </row>
    <row r="1753" spans="3:37" ht="34.5" customHeight="1" x14ac:dyDescent="0.25">
      <c r="C1753" s="359"/>
      <c r="AI1753" s="65"/>
      <c r="AJ1753" s="65"/>
      <c r="AK1753" s="65"/>
    </row>
    <row r="1754" spans="3:37" ht="34.5" customHeight="1" x14ac:dyDescent="0.25">
      <c r="C1754" s="359"/>
      <c r="AI1754" s="65"/>
      <c r="AJ1754" s="65"/>
      <c r="AK1754" s="65"/>
    </row>
    <row r="1755" spans="3:37" ht="34.5" customHeight="1" x14ac:dyDescent="0.25">
      <c r="C1755" s="359"/>
      <c r="AI1755" s="65"/>
      <c r="AJ1755" s="65"/>
      <c r="AK1755" s="65"/>
    </row>
    <row r="1756" spans="3:37" ht="34.5" customHeight="1" x14ac:dyDescent="0.25">
      <c r="C1756" s="359"/>
      <c r="AI1756" s="65"/>
      <c r="AJ1756" s="65"/>
      <c r="AK1756" s="65"/>
    </row>
    <row r="1757" spans="3:37" ht="34.5" customHeight="1" x14ac:dyDescent="0.25">
      <c r="C1757" s="359"/>
      <c r="AI1757" s="65"/>
      <c r="AJ1757" s="65"/>
      <c r="AK1757" s="65"/>
    </row>
    <row r="1758" spans="3:37" ht="34.5" customHeight="1" x14ac:dyDescent="0.25">
      <c r="C1758" s="359"/>
      <c r="AI1758" s="65"/>
      <c r="AJ1758" s="65"/>
      <c r="AK1758" s="65"/>
    </row>
    <row r="1759" spans="3:37" ht="34.5" customHeight="1" x14ac:dyDescent="0.25">
      <c r="C1759" s="359"/>
      <c r="AI1759" s="65"/>
      <c r="AJ1759" s="65"/>
      <c r="AK1759" s="65"/>
    </row>
    <row r="1760" spans="3:37" ht="34.5" customHeight="1" x14ac:dyDescent="0.25">
      <c r="C1760" s="359"/>
      <c r="AI1760" s="65"/>
      <c r="AJ1760" s="65"/>
      <c r="AK1760" s="65"/>
    </row>
    <row r="1761" spans="3:37" ht="34.5" customHeight="1" x14ac:dyDescent="0.25">
      <c r="C1761" s="359"/>
      <c r="AI1761" s="65"/>
      <c r="AJ1761" s="65"/>
      <c r="AK1761" s="65"/>
    </row>
    <row r="1762" spans="3:37" ht="34.5" customHeight="1" x14ac:dyDescent="0.25">
      <c r="C1762" s="359"/>
      <c r="AI1762" s="65"/>
      <c r="AJ1762" s="65"/>
      <c r="AK1762" s="65"/>
    </row>
    <row r="1763" spans="3:37" ht="34.5" customHeight="1" x14ac:dyDescent="0.25">
      <c r="C1763" s="359"/>
      <c r="AI1763" s="65"/>
      <c r="AJ1763" s="65"/>
      <c r="AK1763" s="65"/>
    </row>
    <row r="1764" spans="3:37" ht="34.5" customHeight="1" x14ac:dyDescent="0.25">
      <c r="C1764" s="359"/>
      <c r="AI1764" s="65"/>
      <c r="AJ1764" s="65"/>
      <c r="AK1764" s="65"/>
    </row>
    <row r="1765" spans="3:37" ht="34.5" customHeight="1" x14ac:dyDescent="0.25">
      <c r="C1765" s="359"/>
      <c r="AI1765" s="65"/>
      <c r="AJ1765" s="65"/>
      <c r="AK1765" s="65"/>
    </row>
    <row r="1766" spans="3:37" ht="34.5" customHeight="1" x14ac:dyDescent="0.25">
      <c r="C1766" s="359"/>
      <c r="AI1766" s="65"/>
      <c r="AJ1766" s="65"/>
      <c r="AK1766" s="65"/>
    </row>
    <row r="1767" spans="3:37" ht="34.5" customHeight="1" x14ac:dyDescent="0.25">
      <c r="C1767" s="359"/>
      <c r="AI1767" s="65"/>
      <c r="AJ1767" s="65"/>
      <c r="AK1767" s="65"/>
    </row>
    <row r="1768" spans="3:37" ht="34.5" customHeight="1" x14ac:dyDescent="0.25">
      <c r="C1768" s="359"/>
      <c r="AI1768" s="65"/>
      <c r="AJ1768" s="65"/>
      <c r="AK1768" s="65"/>
    </row>
    <row r="1769" spans="3:37" ht="34.5" customHeight="1" x14ac:dyDescent="0.25">
      <c r="C1769" s="359"/>
      <c r="AI1769" s="65"/>
      <c r="AJ1769" s="65"/>
      <c r="AK1769" s="65"/>
    </row>
    <row r="1770" spans="3:37" ht="34.5" customHeight="1" x14ac:dyDescent="0.25">
      <c r="C1770" s="359"/>
      <c r="AI1770" s="65"/>
      <c r="AJ1770" s="65"/>
      <c r="AK1770" s="65"/>
    </row>
    <row r="1771" spans="3:37" ht="34.5" customHeight="1" x14ac:dyDescent="0.25">
      <c r="C1771" s="359"/>
      <c r="AI1771" s="65"/>
      <c r="AJ1771" s="65"/>
      <c r="AK1771" s="65"/>
    </row>
    <row r="1772" spans="3:37" ht="34.5" customHeight="1" x14ac:dyDescent="0.25">
      <c r="C1772" s="359"/>
      <c r="AI1772" s="65"/>
      <c r="AJ1772" s="65"/>
      <c r="AK1772" s="65"/>
    </row>
    <row r="1773" spans="3:37" ht="34.5" customHeight="1" x14ac:dyDescent="0.25">
      <c r="C1773" s="359"/>
      <c r="AI1773" s="65"/>
      <c r="AJ1773" s="65"/>
      <c r="AK1773" s="65"/>
    </row>
    <row r="1774" spans="3:37" ht="34.5" customHeight="1" x14ac:dyDescent="0.25">
      <c r="C1774" s="359"/>
      <c r="AI1774" s="65"/>
      <c r="AJ1774" s="65"/>
      <c r="AK1774" s="65"/>
    </row>
    <row r="1775" spans="3:37" ht="34.5" customHeight="1" x14ac:dyDescent="0.25">
      <c r="C1775" s="359"/>
      <c r="AI1775" s="65"/>
      <c r="AJ1775" s="65"/>
      <c r="AK1775" s="65"/>
    </row>
    <row r="1776" spans="3:37" ht="34.5" customHeight="1" x14ac:dyDescent="0.25">
      <c r="C1776" s="359"/>
      <c r="AI1776" s="65"/>
      <c r="AJ1776" s="65"/>
      <c r="AK1776" s="65"/>
    </row>
    <row r="1777" spans="3:37" ht="34.5" customHeight="1" x14ac:dyDescent="0.25">
      <c r="C1777" s="359"/>
      <c r="AI1777" s="65"/>
      <c r="AJ1777" s="65"/>
      <c r="AK1777" s="65"/>
    </row>
    <row r="1778" spans="3:37" ht="34.5" customHeight="1" x14ac:dyDescent="0.25">
      <c r="C1778" s="359"/>
      <c r="AI1778" s="65"/>
      <c r="AJ1778" s="65"/>
      <c r="AK1778" s="65"/>
    </row>
    <row r="1779" spans="3:37" ht="34.5" customHeight="1" x14ac:dyDescent="0.25">
      <c r="C1779" s="359"/>
      <c r="AI1779" s="65"/>
      <c r="AJ1779" s="65"/>
      <c r="AK1779" s="65"/>
    </row>
    <row r="1780" spans="3:37" ht="34.5" customHeight="1" x14ac:dyDescent="0.25">
      <c r="C1780" s="359"/>
      <c r="AI1780" s="65"/>
      <c r="AJ1780" s="65"/>
      <c r="AK1780" s="65"/>
    </row>
    <row r="1781" spans="3:37" ht="34.5" customHeight="1" x14ac:dyDescent="0.25">
      <c r="C1781" s="359"/>
      <c r="AI1781" s="65"/>
      <c r="AJ1781" s="65"/>
      <c r="AK1781" s="65"/>
    </row>
    <row r="1782" spans="3:37" ht="34.5" customHeight="1" x14ac:dyDescent="0.25">
      <c r="AI1782" s="65"/>
      <c r="AJ1782" s="65"/>
      <c r="AK1782" s="65"/>
    </row>
    <row r="1783" spans="3:37" ht="34.5" customHeight="1" x14ac:dyDescent="0.25">
      <c r="AI1783" s="65"/>
      <c r="AJ1783" s="65"/>
      <c r="AK1783" s="65"/>
    </row>
    <row r="1784" spans="3:37" ht="34.5" customHeight="1" x14ac:dyDescent="0.25">
      <c r="AI1784" s="65"/>
      <c r="AJ1784" s="65"/>
      <c r="AK1784" s="65"/>
    </row>
    <row r="1785" spans="3:37" ht="34.5" customHeight="1" x14ac:dyDescent="0.25">
      <c r="AI1785" s="65"/>
      <c r="AJ1785" s="65"/>
      <c r="AK1785" s="65"/>
    </row>
    <row r="1786" spans="3:37" ht="34.5" customHeight="1" x14ac:dyDescent="0.25">
      <c r="AI1786" s="65"/>
      <c r="AJ1786" s="65"/>
      <c r="AK1786" s="65"/>
    </row>
    <row r="1787" spans="3:37" ht="34.5" customHeight="1" x14ac:dyDescent="0.25">
      <c r="AI1787" s="65"/>
      <c r="AJ1787" s="65"/>
      <c r="AK1787" s="65"/>
    </row>
    <row r="1788" spans="3:37" ht="34.5" customHeight="1" x14ac:dyDescent="0.25">
      <c r="AI1788" s="65"/>
      <c r="AJ1788" s="65"/>
      <c r="AK1788" s="65"/>
    </row>
    <row r="1789" spans="3:37" ht="34.5" customHeight="1" x14ac:dyDescent="0.25">
      <c r="AI1789" s="65"/>
      <c r="AJ1789" s="65"/>
      <c r="AK1789" s="65"/>
    </row>
    <row r="1790" spans="3:37" ht="34.5" customHeight="1" x14ac:dyDescent="0.25">
      <c r="AI1790" s="65"/>
      <c r="AJ1790" s="65"/>
      <c r="AK1790" s="65"/>
    </row>
    <row r="1791" spans="3:37" ht="34.5" customHeight="1" x14ac:dyDescent="0.25">
      <c r="AI1791" s="65"/>
      <c r="AJ1791" s="65"/>
      <c r="AK1791" s="65"/>
    </row>
    <row r="1792" spans="3:37" ht="34.5" customHeight="1" x14ac:dyDescent="0.25">
      <c r="AI1792" s="65"/>
      <c r="AJ1792" s="65"/>
      <c r="AK1792" s="65"/>
    </row>
    <row r="1793" spans="35:37" ht="34.5" customHeight="1" x14ac:dyDescent="0.25">
      <c r="AI1793" s="65"/>
      <c r="AJ1793" s="65"/>
      <c r="AK1793" s="65"/>
    </row>
    <row r="1794" spans="35:37" ht="34.5" customHeight="1" x14ac:dyDescent="0.25">
      <c r="AI1794" s="65"/>
      <c r="AJ1794" s="65"/>
      <c r="AK1794" s="65"/>
    </row>
    <row r="1795" spans="35:37" ht="34.5" customHeight="1" x14ac:dyDescent="0.25">
      <c r="AI1795" s="65"/>
      <c r="AJ1795" s="65"/>
      <c r="AK1795" s="65"/>
    </row>
    <row r="1796" spans="35:37" ht="34.5" customHeight="1" x14ac:dyDescent="0.25">
      <c r="AI1796" s="65"/>
      <c r="AJ1796" s="65"/>
      <c r="AK1796" s="65"/>
    </row>
    <row r="1797" spans="35:37" ht="34.5" customHeight="1" x14ac:dyDescent="0.25">
      <c r="AI1797" s="65"/>
      <c r="AJ1797" s="65"/>
      <c r="AK1797" s="65"/>
    </row>
    <row r="1798" spans="35:37" ht="34.5" customHeight="1" x14ac:dyDescent="0.25">
      <c r="AI1798" s="65"/>
      <c r="AJ1798" s="65"/>
      <c r="AK1798" s="65"/>
    </row>
    <row r="1799" spans="35:37" ht="34.5" customHeight="1" x14ac:dyDescent="0.25">
      <c r="AI1799" s="65"/>
      <c r="AJ1799" s="65"/>
      <c r="AK1799" s="65"/>
    </row>
    <row r="1800" spans="35:37" ht="34.5" customHeight="1" x14ac:dyDescent="0.25">
      <c r="AI1800" s="65"/>
      <c r="AJ1800" s="65"/>
      <c r="AK1800" s="65"/>
    </row>
    <row r="1801" spans="35:37" ht="34.5" customHeight="1" x14ac:dyDescent="0.25">
      <c r="AI1801" s="65"/>
      <c r="AJ1801" s="65"/>
      <c r="AK1801" s="65"/>
    </row>
    <row r="1802" spans="35:37" ht="34.5" customHeight="1" x14ac:dyDescent="0.25">
      <c r="AI1802" s="65"/>
      <c r="AJ1802" s="65"/>
      <c r="AK1802" s="65"/>
    </row>
    <row r="1803" spans="35:37" ht="34.5" customHeight="1" x14ac:dyDescent="0.25">
      <c r="AI1803" s="65"/>
      <c r="AJ1803" s="65"/>
      <c r="AK1803" s="65"/>
    </row>
    <row r="1804" spans="35:37" ht="34.5" customHeight="1" x14ac:dyDescent="0.25">
      <c r="AI1804" s="65"/>
      <c r="AJ1804" s="65"/>
      <c r="AK1804" s="65"/>
    </row>
    <row r="1805" spans="35:37" ht="34.5" customHeight="1" x14ac:dyDescent="0.25">
      <c r="AI1805" s="65"/>
      <c r="AJ1805" s="65"/>
      <c r="AK1805" s="65"/>
    </row>
    <row r="1806" spans="35:37" ht="34.5" customHeight="1" x14ac:dyDescent="0.25">
      <c r="AI1806" s="65"/>
      <c r="AJ1806" s="65"/>
      <c r="AK1806" s="65"/>
    </row>
    <row r="1807" spans="35:37" ht="34.5" customHeight="1" x14ac:dyDescent="0.25">
      <c r="AI1807" s="65"/>
      <c r="AJ1807" s="65"/>
      <c r="AK1807" s="65"/>
    </row>
    <row r="1808" spans="35:37" ht="34.5" customHeight="1" x14ac:dyDescent="0.25">
      <c r="AI1808" s="65"/>
      <c r="AJ1808" s="65"/>
      <c r="AK1808" s="65"/>
    </row>
    <row r="1809" spans="35:37" ht="34.5" customHeight="1" x14ac:dyDescent="0.25">
      <c r="AI1809" s="65"/>
      <c r="AJ1809" s="65"/>
      <c r="AK1809" s="65"/>
    </row>
    <row r="1810" spans="35:37" ht="34.5" customHeight="1" x14ac:dyDescent="0.25">
      <c r="AI1810" s="65"/>
      <c r="AJ1810" s="65"/>
      <c r="AK1810" s="65"/>
    </row>
    <row r="1811" spans="35:37" ht="34.5" customHeight="1" x14ac:dyDescent="0.25">
      <c r="AI1811" s="65"/>
      <c r="AJ1811" s="65"/>
      <c r="AK1811" s="65"/>
    </row>
    <row r="1812" spans="35:37" ht="34.5" customHeight="1" x14ac:dyDescent="0.25">
      <c r="AI1812" s="65"/>
      <c r="AJ1812" s="65"/>
      <c r="AK1812" s="65"/>
    </row>
    <row r="1813" spans="35:37" ht="34.5" customHeight="1" x14ac:dyDescent="0.25">
      <c r="AI1813" s="65"/>
      <c r="AJ1813" s="65"/>
      <c r="AK1813" s="65"/>
    </row>
    <row r="1814" spans="35:37" ht="34.5" customHeight="1" x14ac:dyDescent="0.25">
      <c r="AI1814" s="65"/>
      <c r="AJ1814" s="65"/>
      <c r="AK1814" s="65"/>
    </row>
    <row r="1815" spans="35:37" ht="34.5" customHeight="1" x14ac:dyDescent="0.25">
      <c r="AI1815" s="65"/>
      <c r="AJ1815" s="65"/>
      <c r="AK1815" s="65"/>
    </row>
    <row r="1816" spans="35:37" ht="34.5" customHeight="1" x14ac:dyDescent="0.25">
      <c r="AI1816" s="65"/>
      <c r="AJ1816" s="65"/>
      <c r="AK1816" s="65"/>
    </row>
    <row r="1817" spans="35:37" ht="34.5" customHeight="1" x14ac:dyDescent="0.25">
      <c r="AI1817" s="65"/>
      <c r="AJ1817" s="65"/>
      <c r="AK1817" s="65"/>
    </row>
    <row r="1818" spans="35:37" ht="34.5" customHeight="1" x14ac:dyDescent="0.25">
      <c r="AI1818" s="65"/>
      <c r="AJ1818" s="65"/>
      <c r="AK1818" s="65"/>
    </row>
    <row r="1819" spans="35:37" ht="34.5" customHeight="1" x14ac:dyDescent="0.25">
      <c r="AI1819" s="65"/>
      <c r="AJ1819" s="65"/>
      <c r="AK1819" s="65"/>
    </row>
    <row r="1820" spans="35:37" ht="34.5" customHeight="1" x14ac:dyDescent="0.25">
      <c r="AI1820" s="65"/>
      <c r="AJ1820" s="65"/>
      <c r="AK1820" s="65"/>
    </row>
    <row r="1821" spans="35:37" ht="34.5" customHeight="1" x14ac:dyDescent="0.25">
      <c r="AI1821" s="65"/>
      <c r="AJ1821" s="65"/>
      <c r="AK1821" s="65"/>
    </row>
    <row r="1822" spans="35:37" ht="34.5" customHeight="1" x14ac:dyDescent="0.25">
      <c r="AI1822" s="65"/>
      <c r="AJ1822" s="65"/>
      <c r="AK1822" s="65"/>
    </row>
    <row r="1823" spans="35:37" ht="34.5" customHeight="1" x14ac:dyDescent="0.25">
      <c r="AI1823" s="65"/>
      <c r="AJ1823" s="65"/>
      <c r="AK1823" s="65"/>
    </row>
    <row r="1824" spans="35:37" ht="34.5" customHeight="1" x14ac:dyDescent="0.25">
      <c r="AI1824" s="65"/>
      <c r="AJ1824" s="65"/>
      <c r="AK1824" s="65"/>
    </row>
    <row r="1825" spans="35:37" ht="34.5" customHeight="1" x14ac:dyDescent="0.25">
      <c r="AI1825" s="65"/>
      <c r="AJ1825" s="65"/>
      <c r="AK1825" s="65"/>
    </row>
    <row r="1826" spans="35:37" ht="34.5" customHeight="1" x14ac:dyDescent="0.25">
      <c r="AI1826" s="65"/>
      <c r="AJ1826" s="65"/>
      <c r="AK1826" s="65"/>
    </row>
    <row r="1827" spans="35:37" ht="34.5" customHeight="1" x14ac:dyDescent="0.25">
      <c r="AI1827" s="65"/>
      <c r="AJ1827" s="65"/>
      <c r="AK1827" s="65"/>
    </row>
    <row r="1828" spans="35:37" ht="34.5" customHeight="1" x14ac:dyDescent="0.25">
      <c r="AI1828" s="65"/>
      <c r="AJ1828" s="65"/>
      <c r="AK1828" s="65"/>
    </row>
    <row r="1829" spans="35:37" ht="34.5" customHeight="1" x14ac:dyDescent="0.25">
      <c r="AI1829" s="65"/>
      <c r="AJ1829" s="65"/>
      <c r="AK1829" s="65"/>
    </row>
    <row r="1830" spans="35:37" ht="34.5" customHeight="1" x14ac:dyDescent="0.25">
      <c r="AI1830" s="65"/>
      <c r="AJ1830" s="65"/>
      <c r="AK1830" s="65"/>
    </row>
    <row r="1831" spans="35:37" ht="34.5" customHeight="1" x14ac:dyDescent="0.25">
      <c r="AI1831" s="65"/>
      <c r="AJ1831" s="65"/>
      <c r="AK1831" s="65"/>
    </row>
    <row r="1832" spans="35:37" ht="34.5" customHeight="1" x14ac:dyDescent="0.25">
      <c r="AI1832" s="65"/>
      <c r="AJ1832" s="65"/>
      <c r="AK1832" s="65"/>
    </row>
    <row r="1833" spans="35:37" ht="34.5" customHeight="1" x14ac:dyDescent="0.25">
      <c r="AI1833" s="65"/>
      <c r="AJ1833" s="65"/>
      <c r="AK1833" s="65"/>
    </row>
    <row r="1834" spans="35:37" ht="34.5" customHeight="1" x14ac:dyDescent="0.25">
      <c r="AI1834" s="65"/>
      <c r="AJ1834" s="65"/>
      <c r="AK1834" s="65"/>
    </row>
    <row r="1835" spans="35:37" ht="34.5" customHeight="1" x14ac:dyDescent="0.25">
      <c r="AI1835" s="65"/>
      <c r="AJ1835" s="65"/>
      <c r="AK1835" s="65"/>
    </row>
    <row r="1836" spans="35:37" ht="34.5" customHeight="1" x14ac:dyDescent="0.25">
      <c r="AI1836" s="65"/>
      <c r="AJ1836" s="65"/>
      <c r="AK1836" s="65"/>
    </row>
    <row r="1837" spans="35:37" ht="34.5" customHeight="1" x14ac:dyDescent="0.25">
      <c r="AI1837" s="65"/>
      <c r="AJ1837" s="65"/>
      <c r="AK1837" s="65"/>
    </row>
    <row r="1838" spans="35:37" ht="34.5" customHeight="1" x14ac:dyDescent="0.25">
      <c r="AI1838" s="65"/>
      <c r="AJ1838" s="65"/>
      <c r="AK1838" s="65"/>
    </row>
    <row r="1839" spans="35:37" ht="34.5" customHeight="1" x14ac:dyDescent="0.25">
      <c r="AI1839" s="65"/>
      <c r="AJ1839" s="65"/>
      <c r="AK1839" s="65"/>
    </row>
    <row r="1840" spans="35:37" ht="34.5" customHeight="1" x14ac:dyDescent="0.25">
      <c r="AI1840" s="65"/>
      <c r="AJ1840" s="65"/>
      <c r="AK1840" s="65"/>
    </row>
    <row r="1841" spans="35:37" ht="34.5" customHeight="1" x14ac:dyDescent="0.25">
      <c r="AI1841" s="65"/>
      <c r="AJ1841" s="65"/>
      <c r="AK1841" s="65"/>
    </row>
    <row r="1842" spans="35:37" ht="34.5" customHeight="1" x14ac:dyDescent="0.25">
      <c r="AI1842" s="65"/>
      <c r="AJ1842" s="65"/>
      <c r="AK1842" s="65"/>
    </row>
    <row r="1843" spans="35:37" ht="34.5" customHeight="1" x14ac:dyDescent="0.25">
      <c r="AI1843" s="65"/>
      <c r="AJ1843" s="65"/>
      <c r="AK1843" s="65"/>
    </row>
    <row r="1844" spans="35:37" ht="34.5" customHeight="1" x14ac:dyDescent="0.25">
      <c r="AI1844" s="65"/>
      <c r="AJ1844" s="65"/>
      <c r="AK1844" s="65"/>
    </row>
    <row r="1845" spans="35:37" ht="34.5" customHeight="1" x14ac:dyDescent="0.25">
      <c r="AI1845" s="65"/>
      <c r="AJ1845" s="65"/>
      <c r="AK1845" s="65"/>
    </row>
    <row r="1846" spans="35:37" ht="34.5" customHeight="1" x14ac:dyDescent="0.25">
      <c r="AI1846" s="65"/>
      <c r="AJ1846" s="65"/>
      <c r="AK1846" s="65"/>
    </row>
    <row r="1847" spans="35:37" ht="34.5" customHeight="1" x14ac:dyDescent="0.25">
      <c r="AI1847" s="65"/>
      <c r="AJ1847" s="65"/>
      <c r="AK1847" s="65"/>
    </row>
    <row r="1848" spans="35:37" ht="34.5" customHeight="1" x14ac:dyDescent="0.25">
      <c r="AI1848" s="65"/>
      <c r="AJ1848" s="65"/>
      <c r="AK1848" s="65"/>
    </row>
    <row r="1849" spans="35:37" ht="34.5" customHeight="1" x14ac:dyDescent="0.25">
      <c r="AI1849" s="65"/>
      <c r="AJ1849" s="65"/>
      <c r="AK1849" s="65"/>
    </row>
    <row r="1850" spans="35:37" ht="34.5" customHeight="1" x14ac:dyDescent="0.25">
      <c r="AI1850" s="65"/>
      <c r="AJ1850" s="65"/>
      <c r="AK1850" s="65"/>
    </row>
    <row r="1851" spans="35:37" ht="34.5" customHeight="1" x14ac:dyDescent="0.25">
      <c r="AI1851" s="65"/>
      <c r="AJ1851" s="65"/>
      <c r="AK1851" s="65"/>
    </row>
    <row r="1852" spans="35:37" ht="34.5" customHeight="1" x14ac:dyDescent="0.25">
      <c r="AI1852" s="65"/>
      <c r="AJ1852" s="65"/>
      <c r="AK1852" s="65"/>
    </row>
    <row r="1853" spans="35:37" ht="34.5" customHeight="1" x14ac:dyDescent="0.25">
      <c r="AI1853" s="65"/>
      <c r="AJ1853" s="65"/>
      <c r="AK1853" s="65"/>
    </row>
    <row r="1854" spans="35:37" ht="34.5" customHeight="1" x14ac:dyDescent="0.25">
      <c r="AI1854" s="65"/>
      <c r="AJ1854" s="65"/>
      <c r="AK1854" s="65"/>
    </row>
    <row r="1855" spans="35:37" ht="34.5" customHeight="1" x14ac:dyDescent="0.25">
      <c r="AI1855" s="65"/>
      <c r="AJ1855" s="65"/>
      <c r="AK1855" s="65"/>
    </row>
    <row r="1856" spans="35:37" ht="34.5" customHeight="1" x14ac:dyDescent="0.25">
      <c r="AI1856" s="65"/>
      <c r="AJ1856" s="65"/>
      <c r="AK1856" s="65"/>
    </row>
    <row r="1857" spans="35:37" ht="34.5" customHeight="1" x14ac:dyDescent="0.25">
      <c r="AI1857" s="65"/>
      <c r="AJ1857" s="65"/>
      <c r="AK1857" s="65"/>
    </row>
    <row r="1858" spans="35:37" ht="34.5" customHeight="1" x14ac:dyDescent="0.25">
      <c r="AI1858" s="65"/>
      <c r="AJ1858" s="65"/>
      <c r="AK1858" s="65"/>
    </row>
    <row r="1859" spans="35:37" ht="34.5" customHeight="1" x14ac:dyDescent="0.25">
      <c r="AI1859" s="65"/>
      <c r="AJ1859" s="65"/>
      <c r="AK1859" s="65"/>
    </row>
    <row r="1860" spans="35:37" ht="34.5" customHeight="1" x14ac:dyDescent="0.25">
      <c r="AI1860" s="65"/>
      <c r="AJ1860" s="65"/>
      <c r="AK1860" s="65"/>
    </row>
    <row r="1861" spans="35:37" ht="34.5" customHeight="1" x14ac:dyDescent="0.25">
      <c r="AI1861" s="65"/>
      <c r="AJ1861" s="65"/>
      <c r="AK1861" s="65"/>
    </row>
    <row r="1862" spans="35:37" ht="34.5" customHeight="1" x14ac:dyDescent="0.25">
      <c r="AI1862" s="65"/>
      <c r="AJ1862" s="65"/>
      <c r="AK1862" s="65"/>
    </row>
    <row r="1863" spans="35:37" ht="34.5" customHeight="1" x14ac:dyDescent="0.25">
      <c r="AI1863" s="65"/>
      <c r="AJ1863" s="65"/>
      <c r="AK1863" s="65"/>
    </row>
    <row r="1864" spans="35:37" ht="34.5" customHeight="1" x14ac:dyDescent="0.25">
      <c r="AI1864" s="65"/>
      <c r="AJ1864" s="65"/>
      <c r="AK1864" s="65"/>
    </row>
    <row r="1865" spans="35:37" ht="34.5" customHeight="1" x14ac:dyDescent="0.25">
      <c r="AI1865" s="65"/>
      <c r="AJ1865" s="65"/>
      <c r="AK1865" s="65"/>
    </row>
    <row r="1866" spans="35:37" ht="34.5" customHeight="1" x14ac:dyDescent="0.25">
      <c r="AI1866" s="65"/>
      <c r="AJ1866" s="65"/>
      <c r="AK1866" s="65"/>
    </row>
    <row r="1867" spans="35:37" ht="34.5" customHeight="1" x14ac:dyDescent="0.25">
      <c r="AI1867" s="65"/>
      <c r="AJ1867" s="65"/>
      <c r="AK1867" s="65"/>
    </row>
    <row r="1868" spans="35:37" ht="34.5" customHeight="1" x14ac:dyDescent="0.25">
      <c r="AI1868" s="65"/>
      <c r="AJ1868" s="65"/>
      <c r="AK1868" s="65"/>
    </row>
    <row r="1869" spans="35:37" ht="34.5" customHeight="1" x14ac:dyDescent="0.25">
      <c r="AI1869" s="65"/>
      <c r="AJ1869" s="65"/>
      <c r="AK1869" s="65"/>
    </row>
    <row r="1870" spans="35:37" ht="34.5" customHeight="1" x14ac:dyDescent="0.25">
      <c r="AI1870" s="65"/>
      <c r="AJ1870" s="65"/>
      <c r="AK1870" s="65"/>
    </row>
    <row r="1871" spans="35:37" ht="34.5" customHeight="1" x14ac:dyDescent="0.25">
      <c r="AI1871" s="65"/>
      <c r="AJ1871" s="65"/>
      <c r="AK1871" s="65"/>
    </row>
    <row r="1872" spans="35:37" ht="34.5" customHeight="1" x14ac:dyDescent="0.25">
      <c r="AI1872" s="65"/>
      <c r="AJ1872" s="65"/>
      <c r="AK1872" s="65"/>
    </row>
    <row r="1873" spans="35:37" ht="34.5" customHeight="1" x14ac:dyDescent="0.25">
      <c r="AI1873" s="65"/>
      <c r="AJ1873" s="65"/>
      <c r="AK1873" s="65"/>
    </row>
    <row r="1874" spans="35:37" ht="34.5" customHeight="1" x14ac:dyDescent="0.25">
      <c r="AI1874" s="65"/>
      <c r="AJ1874" s="65"/>
      <c r="AK1874" s="65"/>
    </row>
    <row r="1875" spans="35:37" ht="34.5" customHeight="1" x14ac:dyDescent="0.25">
      <c r="AI1875" s="65"/>
      <c r="AJ1875" s="65"/>
      <c r="AK1875" s="65"/>
    </row>
    <row r="1876" spans="35:37" ht="34.5" customHeight="1" x14ac:dyDescent="0.25">
      <c r="AI1876" s="65"/>
      <c r="AJ1876" s="65"/>
      <c r="AK1876" s="65"/>
    </row>
    <row r="1877" spans="35:37" ht="34.5" customHeight="1" x14ac:dyDescent="0.25">
      <c r="AI1877" s="65"/>
      <c r="AJ1877" s="65"/>
      <c r="AK1877" s="65"/>
    </row>
    <row r="1878" spans="35:37" ht="34.5" customHeight="1" x14ac:dyDescent="0.25">
      <c r="AI1878" s="65"/>
      <c r="AJ1878" s="65"/>
      <c r="AK1878" s="65"/>
    </row>
    <row r="1879" spans="35:37" ht="34.5" customHeight="1" x14ac:dyDescent="0.25">
      <c r="AI1879" s="65"/>
      <c r="AJ1879" s="65"/>
      <c r="AK1879" s="65"/>
    </row>
    <row r="1880" spans="35:37" ht="34.5" customHeight="1" x14ac:dyDescent="0.25">
      <c r="AI1880" s="65"/>
      <c r="AJ1880" s="65"/>
      <c r="AK1880" s="65"/>
    </row>
    <row r="1881" spans="35:37" ht="34.5" customHeight="1" x14ac:dyDescent="0.25">
      <c r="AI1881" s="65"/>
      <c r="AJ1881" s="65"/>
      <c r="AK1881" s="65"/>
    </row>
    <row r="1882" spans="35:37" ht="34.5" customHeight="1" x14ac:dyDescent="0.25">
      <c r="AI1882" s="65"/>
      <c r="AJ1882" s="65"/>
      <c r="AK1882" s="65"/>
    </row>
    <row r="1883" spans="35:37" ht="34.5" customHeight="1" x14ac:dyDescent="0.25">
      <c r="AI1883" s="65"/>
      <c r="AJ1883" s="65"/>
      <c r="AK1883" s="65"/>
    </row>
    <row r="1884" spans="35:37" ht="34.5" customHeight="1" x14ac:dyDescent="0.25">
      <c r="AI1884" s="65"/>
      <c r="AJ1884" s="65"/>
      <c r="AK1884" s="65"/>
    </row>
    <row r="1885" spans="35:37" ht="34.5" customHeight="1" x14ac:dyDescent="0.25">
      <c r="AI1885" s="65"/>
      <c r="AJ1885" s="65"/>
      <c r="AK1885" s="65"/>
    </row>
    <row r="1886" spans="35:37" ht="34.5" customHeight="1" x14ac:dyDescent="0.25">
      <c r="AI1886" s="65"/>
      <c r="AJ1886" s="65"/>
      <c r="AK1886" s="65"/>
    </row>
    <row r="1887" spans="35:37" ht="34.5" customHeight="1" x14ac:dyDescent="0.25">
      <c r="AI1887" s="65"/>
      <c r="AJ1887" s="65"/>
      <c r="AK1887" s="65"/>
    </row>
    <row r="1888" spans="35:37" ht="34.5" customHeight="1" x14ac:dyDescent="0.25">
      <c r="AI1888" s="65"/>
      <c r="AJ1888" s="65"/>
      <c r="AK1888" s="65"/>
    </row>
    <row r="1889" spans="35:37" ht="34.5" customHeight="1" x14ac:dyDescent="0.25">
      <c r="AI1889" s="65"/>
      <c r="AJ1889" s="65"/>
      <c r="AK1889" s="65"/>
    </row>
    <row r="1890" spans="35:37" ht="34.5" customHeight="1" x14ac:dyDescent="0.25">
      <c r="AI1890" s="65"/>
      <c r="AJ1890" s="65"/>
      <c r="AK1890" s="65"/>
    </row>
    <row r="1891" spans="35:37" ht="34.5" customHeight="1" x14ac:dyDescent="0.25">
      <c r="AI1891" s="65"/>
      <c r="AJ1891" s="65"/>
      <c r="AK1891" s="65"/>
    </row>
    <row r="1892" spans="35:37" ht="34.5" customHeight="1" x14ac:dyDescent="0.25">
      <c r="AI1892" s="65"/>
      <c r="AJ1892" s="65"/>
      <c r="AK1892" s="65"/>
    </row>
    <row r="1893" spans="35:37" ht="34.5" customHeight="1" x14ac:dyDescent="0.25">
      <c r="AI1893" s="65"/>
      <c r="AJ1893" s="65"/>
      <c r="AK1893" s="65"/>
    </row>
    <row r="1894" spans="35:37" ht="34.5" customHeight="1" x14ac:dyDescent="0.25">
      <c r="AI1894" s="65"/>
      <c r="AJ1894" s="65"/>
      <c r="AK1894" s="65"/>
    </row>
    <row r="1895" spans="35:37" ht="34.5" customHeight="1" x14ac:dyDescent="0.25">
      <c r="AI1895" s="65"/>
      <c r="AJ1895" s="65"/>
      <c r="AK1895" s="65"/>
    </row>
    <row r="1896" spans="35:37" ht="34.5" customHeight="1" x14ac:dyDescent="0.25">
      <c r="AI1896" s="65"/>
      <c r="AJ1896" s="65"/>
      <c r="AK1896" s="65"/>
    </row>
    <row r="1897" spans="35:37" ht="34.5" customHeight="1" x14ac:dyDescent="0.25">
      <c r="AI1897" s="65"/>
      <c r="AJ1897" s="65"/>
      <c r="AK1897" s="65"/>
    </row>
    <row r="1898" spans="35:37" ht="34.5" customHeight="1" x14ac:dyDescent="0.25">
      <c r="AI1898" s="65"/>
      <c r="AJ1898" s="65"/>
      <c r="AK1898" s="65"/>
    </row>
    <row r="1899" spans="35:37" ht="34.5" customHeight="1" x14ac:dyDescent="0.25">
      <c r="AI1899" s="65"/>
      <c r="AJ1899" s="65"/>
      <c r="AK1899" s="65"/>
    </row>
    <row r="1900" spans="35:37" ht="34.5" customHeight="1" x14ac:dyDescent="0.25">
      <c r="AI1900" s="65"/>
      <c r="AJ1900" s="65"/>
      <c r="AK1900" s="65"/>
    </row>
  </sheetData>
  <autoFilter ref="A1:AK114" xr:uid="{00000000-0009-0000-0000-000007000000}"/>
  <conditionalFormatting sqref="D103:F103 H103:AC103 D101:AC102 D100:F100 H100:AC100 D104:AC107 A115:AK384 D108:F108 H108:M108 O108:AC108 D109:AC114 A2:AK2 AD3:AK114 A3:AC13 A14:C114 D14:AC99">
    <cfRule type="expression" dxfId="5" priority="3">
      <formula>$Z2="FACTURACION"</formula>
    </cfRule>
    <cfRule type="expression" dxfId="4" priority="4">
      <formula>$Z2="CARPETAS FACTURACION"</formula>
    </cfRule>
    <cfRule type="expression" dxfId="3" priority="5">
      <formula>$Z2="PEDIDO DIA"</formula>
    </cfRule>
    <cfRule type="expression" dxfId="2" priority="6">
      <formula>$Z2="ARCHIVADO"</formula>
    </cfRule>
  </conditionalFormatting>
  <conditionalFormatting sqref="D103:F103 H103:AC103 D101:AC102 D100:F100 H100:AC100 D104:AC107 A115:AK116 D108:F108 H108:M108 O108:AC108 D109:AC114 A2:AK2 AD3:AK114 A3:AC13 A14:C114 D14:AC99">
    <cfRule type="expression" dxfId="1" priority="2">
      <formula>$Z2="PROGRAMACION BRYAM"</formula>
    </cfRule>
  </conditionalFormatting>
  <conditionalFormatting sqref="D103:F103 H103:W103 D101:W102 D100:F100 H100:W100 X2:X114 D104:W107 D109:W110 D108:F108 H108:M108 O108:W108 Y2:AK2 Y3:AC110 AE3:AK110 AD3:AD114 A2:W13 A14:C114 D14:W99">
    <cfRule type="expression" dxfId="0" priority="1">
      <formula>$Z2="ASESOR"</formula>
    </cfRule>
  </conditionalFormatting>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0000000}">
          <x14:formula1>
            <xm:f>LiSTAS!$A$2:$A$14</xm:f>
          </x14:formula1>
          <xm:sqref>V2:V114</xm:sqref>
        </x14:dataValidation>
        <x14:dataValidation type="list" allowBlank="1" showInputMessage="1" showErrorMessage="1" xr:uid="{00000000-0002-0000-0700-000001000000}">
          <x14:formula1>
            <xm:f>LiSTAS!$C$2:$C$11</xm:f>
          </x14:formula1>
          <xm:sqref>Z2:Z114</xm:sqref>
        </x14:dataValidation>
        <x14:dataValidation type="list" allowBlank="1" showInputMessage="1" showErrorMessage="1" xr:uid="{00000000-0002-0000-0700-000002000000}">
          <x14:formula1>
            <xm:f>LiSTAS!$B$2:$B$7</xm:f>
          </x14:formula1>
          <xm:sqref>K115:K1048576 K2:K15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dimension ref="A1:T261"/>
  <sheetViews>
    <sheetView zoomScale="85" zoomScaleNormal="85" workbookViewId="0">
      <pane xSplit="3" ySplit="1" topLeftCell="J39" activePane="bottomRight" state="frozen"/>
      <selection pane="topRight" activeCell="D1" sqref="D1"/>
      <selection pane="bottomLeft" activeCell="A2" sqref="A2"/>
      <selection pane="bottomRight" activeCell="T43" sqref="T43"/>
    </sheetView>
  </sheetViews>
  <sheetFormatPr baseColWidth="10" defaultColWidth="8.85546875" defaultRowHeight="24.75" customHeight="1" x14ac:dyDescent="0.25"/>
  <cols>
    <col min="1" max="1" width="6.85546875" customWidth="1"/>
    <col min="2" max="2" width="6.28515625" style="74" customWidth="1"/>
    <col min="3" max="3" width="8.85546875" customWidth="1"/>
    <col min="4" max="4" width="7.42578125" style="74" customWidth="1"/>
    <col min="5" max="5" width="37.42578125" customWidth="1"/>
    <col min="6" max="6" width="16.85546875" customWidth="1"/>
    <col min="7" max="7" width="18.28515625" bestFit="1" customWidth="1"/>
    <col min="8" max="8" width="12.85546875" customWidth="1"/>
    <col min="9" max="9" width="14" bestFit="1" customWidth="1"/>
    <col min="10" max="10" width="13.28515625" customWidth="1"/>
    <col min="11" max="11" width="42.5703125" style="40" customWidth="1"/>
    <col min="13" max="13" width="9.7109375" style="69" customWidth="1"/>
    <col min="14" max="14" width="22" customWidth="1"/>
    <col min="15" max="15" width="15.42578125" customWidth="1"/>
    <col min="16" max="16" width="12.28515625" customWidth="1"/>
    <col min="17" max="17" width="35.140625" customWidth="1"/>
    <col min="19" max="19" width="11.28515625" customWidth="1"/>
  </cols>
  <sheetData>
    <row r="1" spans="1:20" ht="54.75" customHeight="1" x14ac:dyDescent="0.25">
      <c r="A1" s="71" t="s">
        <v>0</v>
      </c>
      <c r="B1" s="71" t="s">
        <v>104</v>
      </c>
      <c r="C1" s="71" t="s">
        <v>105</v>
      </c>
      <c r="D1" s="71" t="s">
        <v>106</v>
      </c>
      <c r="E1" s="71" t="s">
        <v>4</v>
      </c>
      <c r="F1" s="71" t="s">
        <v>8</v>
      </c>
      <c r="G1" s="72" t="s">
        <v>107</v>
      </c>
      <c r="H1" s="72" t="s">
        <v>108</v>
      </c>
      <c r="I1" s="72" t="s">
        <v>109</v>
      </c>
      <c r="J1" s="73" t="s">
        <v>123</v>
      </c>
      <c r="K1" s="71" t="s">
        <v>110</v>
      </c>
      <c r="L1" s="71" t="s">
        <v>118</v>
      </c>
      <c r="M1" s="71" t="s">
        <v>14</v>
      </c>
      <c r="N1" s="71" t="s">
        <v>111</v>
      </c>
      <c r="O1" s="71" t="s">
        <v>21</v>
      </c>
      <c r="P1" s="76" t="s">
        <v>112</v>
      </c>
      <c r="Q1" s="76" t="s">
        <v>113</v>
      </c>
      <c r="R1" s="76" t="s">
        <v>127</v>
      </c>
      <c r="S1" s="77" t="s">
        <v>130</v>
      </c>
      <c r="T1" s="77" t="s">
        <v>129</v>
      </c>
    </row>
    <row r="2" spans="1:20" s="65" customFormat="1" ht="73.5" customHeight="1" x14ac:dyDescent="0.25">
      <c r="A2" s="99">
        <v>2025</v>
      </c>
      <c r="B2" s="99">
        <v>1</v>
      </c>
      <c r="C2" s="99">
        <v>3706</v>
      </c>
      <c r="D2" s="99">
        <v>3</v>
      </c>
      <c r="E2" s="99" t="s">
        <v>198</v>
      </c>
      <c r="F2" s="99">
        <v>3004864890</v>
      </c>
      <c r="G2" s="97">
        <v>45671</v>
      </c>
      <c r="H2" s="97">
        <v>45685</v>
      </c>
      <c r="I2" s="97">
        <v>45671</v>
      </c>
      <c r="J2" s="97"/>
      <c r="K2" s="101" t="s">
        <v>237</v>
      </c>
      <c r="L2" s="99" t="s">
        <v>136</v>
      </c>
      <c r="M2" s="99" t="s">
        <v>136</v>
      </c>
      <c r="N2" s="120" t="s">
        <v>90</v>
      </c>
      <c r="O2" s="99" t="s">
        <v>89</v>
      </c>
      <c r="P2" s="99">
        <v>5623</v>
      </c>
      <c r="Q2" s="119" t="s">
        <v>199</v>
      </c>
      <c r="R2" s="99"/>
      <c r="S2" s="97">
        <v>45678</v>
      </c>
      <c r="T2" s="99" t="s">
        <v>137</v>
      </c>
    </row>
    <row r="3" spans="1:20" s="65" customFormat="1" ht="45" customHeight="1" x14ac:dyDescent="0.25">
      <c r="A3" s="110">
        <v>2025</v>
      </c>
      <c r="B3" s="110">
        <v>1</v>
      </c>
      <c r="C3" s="110">
        <v>3707</v>
      </c>
      <c r="D3" s="110">
        <v>2</v>
      </c>
      <c r="E3" s="110" t="s">
        <v>229</v>
      </c>
      <c r="F3" s="110"/>
      <c r="G3" s="108">
        <v>45674</v>
      </c>
      <c r="H3" s="108">
        <v>45674</v>
      </c>
      <c r="I3" s="108">
        <v>45674</v>
      </c>
      <c r="J3" s="108">
        <v>45674</v>
      </c>
      <c r="K3" s="112" t="s">
        <v>230</v>
      </c>
      <c r="L3" s="110" t="s">
        <v>136</v>
      </c>
      <c r="M3" s="110" t="s">
        <v>136</v>
      </c>
      <c r="N3" s="126" t="s">
        <v>85</v>
      </c>
      <c r="O3" s="110" t="s">
        <v>89</v>
      </c>
      <c r="P3" s="110" t="s">
        <v>136</v>
      </c>
      <c r="Q3" s="127" t="s">
        <v>240</v>
      </c>
      <c r="R3" s="110"/>
      <c r="S3" s="108">
        <v>45677</v>
      </c>
      <c r="T3" s="110" t="s">
        <v>137</v>
      </c>
    </row>
    <row r="4" spans="1:20" s="65" customFormat="1" ht="60" x14ac:dyDescent="0.25">
      <c r="A4" s="99">
        <v>2025</v>
      </c>
      <c r="B4" s="99">
        <v>1</v>
      </c>
      <c r="C4" s="99">
        <v>3708</v>
      </c>
      <c r="D4" s="99">
        <v>5</v>
      </c>
      <c r="E4" s="99" t="s">
        <v>239</v>
      </c>
      <c r="F4" s="99">
        <v>31284</v>
      </c>
      <c r="G4" s="97">
        <v>45675</v>
      </c>
      <c r="H4" s="97">
        <v>45682</v>
      </c>
      <c r="I4" s="99"/>
      <c r="J4" s="97"/>
      <c r="K4" s="101" t="s">
        <v>241</v>
      </c>
      <c r="L4" s="99" t="s">
        <v>136</v>
      </c>
      <c r="M4" s="99" t="s">
        <v>136</v>
      </c>
      <c r="N4" s="120" t="s">
        <v>90</v>
      </c>
      <c r="O4" s="99" t="s">
        <v>89</v>
      </c>
      <c r="P4" s="99" t="s">
        <v>136</v>
      </c>
      <c r="Q4" s="121"/>
      <c r="R4" s="99"/>
      <c r="S4" s="97">
        <v>45679</v>
      </c>
      <c r="T4" s="99" t="s">
        <v>137</v>
      </c>
    </row>
    <row r="5" spans="1:20" s="65" customFormat="1" ht="45" x14ac:dyDescent="0.25">
      <c r="A5" s="99">
        <v>2025</v>
      </c>
      <c r="B5" s="99">
        <v>1</v>
      </c>
      <c r="C5" s="99">
        <v>3709</v>
      </c>
      <c r="D5" s="99">
        <v>6</v>
      </c>
      <c r="E5" s="99" t="s">
        <v>305</v>
      </c>
      <c r="F5" s="146">
        <v>3004864890</v>
      </c>
      <c r="G5" s="97">
        <v>45685</v>
      </c>
      <c r="H5" s="97">
        <v>45695</v>
      </c>
      <c r="I5" s="141"/>
      <c r="J5" s="97"/>
      <c r="K5" s="101" t="s">
        <v>306</v>
      </c>
      <c r="L5" s="99" t="s">
        <v>136</v>
      </c>
      <c r="M5" s="99" t="s">
        <v>136</v>
      </c>
      <c r="N5" s="120" t="s">
        <v>90</v>
      </c>
      <c r="O5" s="99" t="s">
        <v>89</v>
      </c>
      <c r="P5" s="99">
        <v>5663</v>
      </c>
      <c r="Q5" s="121"/>
      <c r="R5" s="99"/>
      <c r="S5" s="97">
        <v>45685</v>
      </c>
      <c r="T5" s="99" t="s">
        <v>137</v>
      </c>
    </row>
    <row r="6" spans="1:20" s="65" customFormat="1" ht="45" x14ac:dyDescent="0.25">
      <c r="A6" s="99">
        <v>2025</v>
      </c>
      <c r="B6" s="99">
        <v>1</v>
      </c>
      <c r="C6" s="99">
        <v>3710</v>
      </c>
      <c r="D6" s="99">
        <v>3</v>
      </c>
      <c r="E6" s="99" t="s">
        <v>305</v>
      </c>
      <c r="F6" s="146">
        <v>3004864890</v>
      </c>
      <c r="G6" s="97">
        <v>45685</v>
      </c>
      <c r="H6" s="97">
        <v>45693</v>
      </c>
      <c r="I6" s="97"/>
      <c r="J6" s="97"/>
      <c r="K6" s="101" t="s">
        <v>351</v>
      </c>
      <c r="L6" s="99">
        <v>8346</v>
      </c>
      <c r="M6" s="99">
        <v>5926</v>
      </c>
      <c r="N6" s="120" t="s">
        <v>90</v>
      </c>
      <c r="O6" s="99" t="s">
        <v>89</v>
      </c>
      <c r="P6" s="99" t="s">
        <v>352</v>
      </c>
      <c r="Q6" s="121"/>
      <c r="R6" s="99" t="s">
        <v>136</v>
      </c>
      <c r="S6" s="97">
        <v>45692</v>
      </c>
      <c r="T6" s="99" t="s">
        <v>245</v>
      </c>
    </row>
    <row r="7" spans="1:20" s="65" customFormat="1" ht="75" x14ac:dyDescent="0.25">
      <c r="A7" s="110">
        <v>2025</v>
      </c>
      <c r="B7" s="110">
        <v>1</v>
      </c>
      <c r="C7" s="110">
        <v>3711</v>
      </c>
      <c r="D7" s="110">
        <v>11</v>
      </c>
      <c r="E7" s="110" t="s">
        <v>347</v>
      </c>
      <c r="F7" s="110">
        <v>3103963936</v>
      </c>
      <c r="G7" s="108">
        <v>45687</v>
      </c>
      <c r="H7" s="108">
        <v>45699</v>
      </c>
      <c r="I7" s="108"/>
      <c r="J7" s="108"/>
      <c r="K7" s="112" t="s">
        <v>348</v>
      </c>
      <c r="L7" s="110">
        <v>8229</v>
      </c>
      <c r="M7" s="110">
        <v>5936</v>
      </c>
      <c r="N7" s="126" t="s">
        <v>85</v>
      </c>
      <c r="O7" s="110" t="s">
        <v>89</v>
      </c>
      <c r="P7" s="110" t="s">
        <v>136</v>
      </c>
      <c r="Q7" s="127"/>
      <c r="R7" s="110" t="s">
        <v>136</v>
      </c>
      <c r="S7" s="108">
        <v>45692</v>
      </c>
      <c r="T7" s="110" t="s">
        <v>245</v>
      </c>
    </row>
    <row r="8" spans="1:20" s="65" customFormat="1" ht="30" x14ac:dyDescent="0.25">
      <c r="A8" s="110">
        <v>2025</v>
      </c>
      <c r="B8" s="110">
        <v>1</v>
      </c>
      <c r="C8" s="110">
        <v>3712</v>
      </c>
      <c r="D8" s="110">
        <v>3</v>
      </c>
      <c r="E8" s="110" t="s">
        <v>349</v>
      </c>
      <c r="F8" s="110">
        <v>3113904543</v>
      </c>
      <c r="G8" s="108">
        <v>45688</v>
      </c>
      <c r="H8" s="108">
        <v>45689</v>
      </c>
      <c r="I8" s="108"/>
      <c r="J8" s="108"/>
      <c r="K8" s="112" t="s">
        <v>350</v>
      </c>
      <c r="L8" s="110" t="s">
        <v>136</v>
      </c>
      <c r="M8" s="110">
        <v>5934</v>
      </c>
      <c r="N8" s="126" t="s">
        <v>85</v>
      </c>
      <c r="O8" s="110" t="s">
        <v>89</v>
      </c>
      <c r="P8" s="110" t="s">
        <v>136</v>
      </c>
      <c r="Q8" s="127"/>
      <c r="R8" s="110" t="s">
        <v>136</v>
      </c>
      <c r="S8" s="108">
        <v>45692</v>
      </c>
      <c r="T8" s="110" t="s">
        <v>245</v>
      </c>
    </row>
    <row r="9" spans="1:20" s="65" customFormat="1" ht="90" x14ac:dyDescent="0.25">
      <c r="A9" s="99">
        <v>2025</v>
      </c>
      <c r="B9" s="99">
        <v>2</v>
      </c>
      <c r="C9" s="99">
        <v>3713</v>
      </c>
      <c r="D9" s="99">
        <v>4</v>
      </c>
      <c r="E9" s="99" t="s">
        <v>377</v>
      </c>
      <c r="F9" s="99"/>
      <c r="G9" s="97">
        <v>45693</v>
      </c>
      <c r="H9" s="97">
        <v>45706</v>
      </c>
      <c r="I9" s="97">
        <v>45705</v>
      </c>
      <c r="J9" s="97">
        <v>45762</v>
      </c>
      <c r="K9" s="101" t="s">
        <v>378</v>
      </c>
      <c r="L9" s="99">
        <v>8366</v>
      </c>
      <c r="M9" s="99">
        <v>5941</v>
      </c>
      <c r="N9" s="99" t="s">
        <v>90</v>
      </c>
      <c r="O9" s="99" t="s">
        <v>89</v>
      </c>
      <c r="P9" s="99">
        <v>5683</v>
      </c>
      <c r="Q9" s="119" t="s">
        <v>913</v>
      </c>
      <c r="R9" s="99" t="s">
        <v>136</v>
      </c>
      <c r="S9" s="97">
        <v>45761</v>
      </c>
      <c r="T9" s="99" t="s">
        <v>245</v>
      </c>
    </row>
    <row r="10" spans="1:20" s="65" customFormat="1" ht="33.75" customHeight="1" x14ac:dyDescent="0.25">
      <c r="A10" s="94">
        <v>2025</v>
      </c>
      <c r="B10" s="94">
        <v>2</v>
      </c>
      <c r="C10" s="94">
        <v>3714</v>
      </c>
      <c r="D10" s="94">
        <v>2</v>
      </c>
      <c r="E10" s="94" t="s">
        <v>410</v>
      </c>
      <c r="F10" s="94">
        <v>3116198169</v>
      </c>
      <c r="G10" s="89">
        <v>45698</v>
      </c>
      <c r="H10" s="89">
        <v>45698</v>
      </c>
      <c r="I10" s="89"/>
      <c r="J10" s="89"/>
      <c r="K10" s="91" t="s">
        <v>411</v>
      </c>
      <c r="L10" s="94" t="s">
        <v>136</v>
      </c>
      <c r="M10" s="94">
        <v>5951</v>
      </c>
      <c r="N10" s="94" t="s">
        <v>412</v>
      </c>
      <c r="O10" s="94" t="s">
        <v>413</v>
      </c>
      <c r="P10" s="94" t="s">
        <v>136</v>
      </c>
      <c r="Q10" s="135"/>
      <c r="R10" s="94" t="s">
        <v>136</v>
      </c>
      <c r="S10" s="89">
        <v>45699</v>
      </c>
      <c r="T10" s="94" t="s">
        <v>245</v>
      </c>
    </row>
    <row r="11" spans="1:20" s="65" customFormat="1" ht="45" x14ac:dyDescent="0.25">
      <c r="A11" s="110">
        <v>2025</v>
      </c>
      <c r="B11" s="110">
        <v>2</v>
      </c>
      <c r="C11" s="110">
        <v>3715</v>
      </c>
      <c r="D11" s="110">
        <v>1</v>
      </c>
      <c r="E11" s="110" t="s">
        <v>481</v>
      </c>
      <c r="F11" s="110"/>
      <c r="G11" s="145">
        <v>45702</v>
      </c>
      <c r="H11" s="108">
        <v>45705</v>
      </c>
      <c r="I11" s="110"/>
      <c r="J11" s="108"/>
      <c r="K11" s="112" t="s">
        <v>482</v>
      </c>
      <c r="L11" s="110" t="s">
        <v>136</v>
      </c>
      <c r="M11" s="110" t="s">
        <v>136</v>
      </c>
      <c r="N11" s="126" t="s">
        <v>412</v>
      </c>
      <c r="O11" s="110" t="s">
        <v>413</v>
      </c>
      <c r="P11" s="110" t="s">
        <v>136</v>
      </c>
      <c r="Q11" s="127"/>
      <c r="R11" s="110" t="s">
        <v>136</v>
      </c>
      <c r="S11" s="108">
        <v>45708</v>
      </c>
      <c r="T11" s="110" t="s">
        <v>245</v>
      </c>
    </row>
    <row r="12" spans="1:20" s="65" customFormat="1" ht="30" customHeight="1" x14ac:dyDescent="0.25">
      <c r="A12" s="94">
        <v>2025</v>
      </c>
      <c r="B12" s="94">
        <v>2</v>
      </c>
      <c r="C12" s="94">
        <v>3716</v>
      </c>
      <c r="D12" s="94">
        <v>1</v>
      </c>
      <c r="E12" s="94" t="s">
        <v>493</v>
      </c>
      <c r="F12" s="94">
        <v>3003125524</v>
      </c>
      <c r="G12" s="89">
        <v>45712</v>
      </c>
      <c r="H12" s="89">
        <v>45723</v>
      </c>
      <c r="I12" s="89"/>
      <c r="J12" s="89"/>
      <c r="K12" s="91" t="s">
        <v>494</v>
      </c>
      <c r="L12" s="94" t="s">
        <v>136</v>
      </c>
      <c r="M12" s="94">
        <v>5991</v>
      </c>
      <c r="N12" s="134" t="s">
        <v>114</v>
      </c>
      <c r="O12" s="94" t="s">
        <v>89</v>
      </c>
      <c r="P12" s="94" t="s">
        <v>495</v>
      </c>
      <c r="Q12" s="93"/>
      <c r="R12" s="94" t="s">
        <v>136</v>
      </c>
      <c r="S12" s="89">
        <v>45712</v>
      </c>
      <c r="T12" s="94" t="s">
        <v>397</v>
      </c>
    </row>
    <row r="13" spans="1:20" s="65" customFormat="1" ht="60" x14ac:dyDescent="0.25">
      <c r="A13" s="99">
        <v>2025</v>
      </c>
      <c r="B13" s="99">
        <v>2</v>
      </c>
      <c r="C13" s="99">
        <v>3717</v>
      </c>
      <c r="D13" s="99">
        <v>4</v>
      </c>
      <c r="E13" s="99" t="s">
        <v>533</v>
      </c>
      <c r="F13" s="99">
        <v>3103963936</v>
      </c>
      <c r="G13" s="97">
        <v>45717</v>
      </c>
      <c r="H13" s="97">
        <v>45730</v>
      </c>
      <c r="I13" s="141"/>
      <c r="J13" s="97"/>
      <c r="K13" s="101" t="s">
        <v>534</v>
      </c>
      <c r="L13" s="99" t="s">
        <v>136</v>
      </c>
      <c r="M13" s="99">
        <v>6005</v>
      </c>
      <c r="N13" s="99" t="s">
        <v>90</v>
      </c>
      <c r="O13" s="99" t="s">
        <v>89</v>
      </c>
      <c r="P13" s="99" t="s">
        <v>495</v>
      </c>
      <c r="Q13" s="121"/>
      <c r="R13" s="99" t="s">
        <v>136</v>
      </c>
      <c r="S13" s="97">
        <v>45721</v>
      </c>
      <c r="T13" s="99" t="s">
        <v>245</v>
      </c>
    </row>
    <row r="14" spans="1:20" s="65" customFormat="1" ht="45" x14ac:dyDescent="0.25">
      <c r="A14" s="110">
        <v>2025</v>
      </c>
      <c r="B14" s="110">
        <v>2</v>
      </c>
      <c r="C14" s="110">
        <v>3718</v>
      </c>
      <c r="D14" s="110">
        <v>1</v>
      </c>
      <c r="E14" s="110" t="s">
        <v>535</v>
      </c>
      <c r="F14" s="110">
        <v>31545529699</v>
      </c>
      <c r="G14" s="108">
        <v>45720</v>
      </c>
      <c r="H14" s="108">
        <v>45724</v>
      </c>
      <c r="I14" s="108"/>
      <c r="J14" s="108"/>
      <c r="K14" s="112" t="s">
        <v>536</v>
      </c>
      <c r="L14" s="110">
        <v>8493</v>
      </c>
      <c r="M14" s="110" t="s">
        <v>136</v>
      </c>
      <c r="N14" s="110" t="s">
        <v>85</v>
      </c>
      <c r="O14" s="110" t="s">
        <v>89</v>
      </c>
      <c r="P14" s="110" t="s">
        <v>136</v>
      </c>
      <c r="Q14" s="127"/>
      <c r="R14" s="110" t="s">
        <v>136</v>
      </c>
      <c r="S14" s="108">
        <v>45721</v>
      </c>
      <c r="T14" s="110" t="s">
        <v>397</v>
      </c>
    </row>
    <row r="15" spans="1:20" s="65" customFormat="1" ht="30" x14ac:dyDescent="0.25">
      <c r="A15" s="110">
        <v>2025</v>
      </c>
      <c r="B15" s="110">
        <v>2</v>
      </c>
      <c r="C15" s="110">
        <v>3719</v>
      </c>
      <c r="D15" s="110">
        <v>1</v>
      </c>
      <c r="E15" s="110" t="s">
        <v>537</v>
      </c>
      <c r="F15" s="110">
        <v>3127200427</v>
      </c>
      <c r="G15" s="108">
        <v>45720</v>
      </c>
      <c r="H15" s="108">
        <v>45724</v>
      </c>
      <c r="I15" s="108"/>
      <c r="J15" s="108"/>
      <c r="K15" s="112" t="s">
        <v>538</v>
      </c>
      <c r="L15" s="110"/>
      <c r="M15" s="110">
        <v>6013</v>
      </c>
      <c r="N15" s="126" t="s">
        <v>85</v>
      </c>
      <c r="O15" s="110" t="s">
        <v>89</v>
      </c>
      <c r="P15" s="110" t="s">
        <v>136</v>
      </c>
      <c r="Q15" s="127"/>
      <c r="R15" s="110" t="s">
        <v>136</v>
      </c>
      <c r="S15" s="108">
        <v>45721</v>
      </c>
      <c r="T15" s="110" t="s">
        <v>397</v>
      </c>
    </row>
    <row r="16" spans="1:20" s="65" customFormat="1" ht="39.75" customHeight="1" x14ac:dyDescent="0.25">
      <c r="A16" s="110">
        <v>2025</v>
      </c>
      <c r="B16" s="110">
        <v>2</v>
      </c>
      <c r="C16" s="110">
        <v>3720</v>
      </c>
      <c r="D16" s="110"/>
      <c r="E16" s="110" t="s">
        <v>537</v>
      </c>
      <c r="F16" s="110">
        <v>3127200427</v>
      </c>
      <c r="G16" s="108">
        <v>45721</v>
      </c>
      <c r="H16" s="108">
        <v>45724</v>
      </c>
      <c r="I16" s="108"/>
      <c r="J16" s="108"/>
      <c r="K16" s="112" t="s">
        <v>544</v>
      </c>
      <c r="L16" s="110"/>
      <c r="M16" s="110">
        <v>6017</v>
      </c>
      <c r="N16" s="126" t="s">
        <v>85</v>
      </c>
      <c r="O16" s="110" t="s">
        <v>89</v>
      </c>
      <c r="P16" s="110" t="s">
        <v>136</v>
      </c>
      <c r="Q16" s="127"/>
      <c r="R16" s="110" t="s">
        <v>136</v>
      </c>
      <c r="S16" s="108">
        <v>45721</v>
      </c>
      <c r="T16" s="110" t="s">
        <v>245</v>
      </c>
    </row>
    <row r="17" spans="1:20" s="65" customFormat="1" ht="54" customHeight="1" x14ac:dyDescent="0.25">
      <c r="A17" s="110">
        <v>2025</v>
      </c>
      <c r="B17" s="110">
        <v>2</v>
      </c>
      <c r="C17" s="110">
        <v>3721</v>
      </c>
      <c r="D17" s="110">
        <v>4</v>
      </c>
      <c r="E17" s="110" t="s">
        <v>552</v>
      </c>
      <c r="F17" s="110">
        <v>3136396596</v>
      </c>
      <c r="G17" s="204">
        <v>45721</v>
      </c>
      <c r="H17" s="108">
        <v>45733</v>
      </c>
      <c r="I17" s="108"/>
      <c r="J17" s="108"/>
      <c r="K17" s="112" t="s">
        <v>553</v>
      </c>
      <c r="L17" s="110"/>
      <c r="M17" s="110">
        <v>6018</v>
      </c>
      <c r="N17" s="111" t="s">
        <v>599</v>
      </c>
      <c r="O17" s="110" t="s">
        <v>89</v>
      </c>
      <c r="P17" s="110" t="s">
        <v>136</v>
      </c>
      <c r="Q17" s="127"/>
      <c r="R17" s="110" t="s">
        <v>136</v>
      </c>
      <c r="S17" s="108">
        <v>45722</v>
      </c>
      <c r="T17" s="110" t="s">
        <v>245</v>
      </c>
    </row>
    <row r="18" spans="1:20" s="65" customFormat="1" ht="45" x14ac:dyDescent="0.25">
      <c r="A18" s="99">
        <v>2025</v>
      </c>
      <c r="B18" s="99">
        <v>2</v>
      </c>
      <c r="C18" s="99">
        <v>3722</v>
      </c>
      <c r="D18" s="99">
        <v>2</v>
      </c>
      <c r="E18" s="99" t="s">
        <v>537</v>
      </c>
      <c r="F18" s="99">
        <v>3127200427</v>
      </c>
      <c r="G18" s="141">
        <v>45718</v>
      </c>
      <c r="H18" s="97">
        <v>45731</v>
      </c>
      <c r="I18" s="99"/>
      <c r="J18" s="97"/>
      <c r="K18" s="200" t="s">
        <v>554</v>
      </c>
      <c r="L18" s="99"/>
      <c r="M18" s="99">
        <v>6019</v>
      </c>
      <c r="N18" s="100" t="s">
        <v>90</v>
      </c>
      <c r="O18" s="99" t="s">
        <v>89</v>
      </c>
      <c r="P18" s="99" t="s">
        <v>136</v>
      </c>
      <c r="Q18" s="121"/>
      <c r="R18" s="99" t="s">
        <v>136</v>
      </c>
      <c r="S18" s="97">
        <v>45722</v>
      </c>
      <c r="T18" s="99" t="s">
        <v>245</v>
      </c>
    </row>
    <row r="19" spans="1:20" s="65" customFormat="1" ht="42" customHeight="1" x14ac:dyDescent="0.25">
      <c r="A19" s="94">
        <v>2025</v>
      </c>
      <c r="B19" s="94">
        <v>2</v>
      </c>
      <c r="C19" s="94">
        <v>3723</v>
      </c>
      <c r="D19" s="94">
        <v>2</v>
      </c>
      <c r="E19" s="94" t="s">
        <v>560</v>
      </c>
      <c r="F19" s="94">
        <v>3207339624</v>
      </c>
      <c r="G19" s="160">
        <v>45723</v>
      </c>
      <c r="H19" s="89">
        <v>45736</v>
      </c>
      <c r="I19" s="94"/>
      <c r="J19" s="89"/>
      <c r="K19" s="91" t="s">
        <v>561</v>
      </c>
      <c r="L19" s="94">
        <v>8627</v>
      </c>
      <c r="M19" s="94">
        <v>6024</v>
      </c>
      <c r="N19" s="94" t="s">
        <v>114</v>
      </c>
      <c r="O19" s="94" t="s">
        <v>89</v>
      </c>
      <c r="P19" s="94" t="s">
        <v>136</v>
      </c>
      <c r="Q19" s="135"/>
      <c r="R19" s="94" t="s">
        <v>136</v>
      </c>
      <c r="S19" s="89">
        <v>45724</v>
      </c>
      <c r="T19" s="94" t="s">
        <v>245</v>
      </c>
    </row>
    <row r="20" spans="1:20" s="65" customFormat="1" ht="75" x14ac:dyDescent="0.25">
      <c r="A20" s="94">
        <v>2025</v>
      </c>
      <c r="B20" s="94">
        <v>2</v>
      </c>
      <c r="C20" s="94">
        <v>3724</v>
      </c>
      <c r="D20" s="94">
        <v>4</v>
      </c>
      <c r="E20" s="94" t="s">
        <v>609</v>
      </c>
      <c r="F20" s="94" t="s">
        <v>610</v>
      </c>
      <c r="G20" s="89">
        <v>45730</v>
      </c>
      <c r="H20" s="89">
        <v>45743</v>
      </c>
      <c r="I20" s="89"/>
      <c r="J20" s="89"/>
      <c r="K20" s="91" t="s">
        <v>611</v>
      </c>
      <c r="L20" s="94"/>
      <c r="M20" s="94">
        <v>6040</v>
      </c>
      <c r="N20" s="90" t="s">
        <v>114</v>
      </c>
      <c r="O20" s="94" t="s">
        <v>89</v>
      </c>
      <c r="P20" s="94">
        <v>5791</v>
      </c>
      <c r="Q20" s="93"/>
      <c r="R20" s="94"/>
      <c r="S20" s="89"/>
      <c r="T20" s="94"/>
    </row>
    <row r="21" spans="1:20" s="65" customFormat="1" ht="60" x14ac:dyDescent="0.25">
      <c r="A21" s="110">
        <v>2025</v>
      </c>
      <c r="B21" s="110">
        <v>2</v>
      </c>
      <c r="C21" s="110">
        <v>3725</v>
      </c>
      <c r="D21" s="110">
        <v>8</v>
      </c>
      <c r="E21" s="110" t="s">
        <v>608</v>
      </c>
      <c r="F21" s="110">
        <v>3125274195</v>
      </c>
      <c r="G21" s="108">
        <v>45736</v>
      </c>
      <c r="H21" s="108">
        <v>45744</v>
      </c>
      <c r="I21" s="108">
        <v>45750</v>
      </c>
      <c r="J21" s="108">
        <v>45752</v>
      </c>
      <c r="K21" s="215" t="s">
        <v>871</v>
      </c>
      <c r="L21" s="110"/>
      <c r="M21" s="110">
        <v>6059</v>
      </c>
      <c r="N21" s="111" t="s">
        <v>85</v>
      </c>
      <c r="O21" s="110" t="s">
        <v>89</v>
      </c>
      <c r="P21" s="110">
        <v>5808</v>
      </c>
      <c r="Q21" s="125" t="s">
        <v>867</v>
      </c>
      <c r="R21" s="110" t="s">
        <v>136</v>
      </c>
      <c r="S21" s="108">
        <v>45758</v>
      </c>
      <c r="T21" s="110" t="s">
        <v>571</v>
      </c>
    </row>
    <row r="22" spans="1:20" s="65" customFormat="1" ht="72" customHeight="1" x14ac:dyDescent="0.25">
      <c r="A22" s="110">
        <v>2025</v>
      </c>
      <c r="B22" s="110">
        <v>3</v>
      </c>
      <c r="C22" s="110">
        <v>3726</v>
      </c>
      <c r="D22" s="173">
        <v>2</v>
      </c>
      <c r="E22" s="173" t="s">
        <v>552</v>
      </c>
      <c r="F22" s="173"/>
      <c r="G22" s="175">
        <v>45737</v>
      </c>
      <c r="H22" s="175">
        <v>45751</v>
      </c>
      <c r="I22" s="175">
        <v>45762</v>
      </c>
      <c r="J22" s="175">
        <v>45770</v>
      </c>
      <c r="K22" s="218" t="s">
        <v>870</v>
      </c>
      <c r="L22" s="173"/>
      <c r="M22" s="155">
        <v>6066</v>
      </c>
      <c r="N22" s="111" t="s">
        <v>85</v>
      </c>
      <c r="O22" s="173" t="s">
        <v>89</v>
      </c>
      <c r="P22" s="173">
        <v>5809</v>
      </c>
      <c r="Q22" s="268" t="s">
        <v>980</v>
      </c>
      <c r="R22" s="173" t="s">
        <v>136</v>
      </c>
      <c r="S22" s="175">
        <v>45771</v>
      </c>
      <c r="T22" s="173" t="s">
        <v>571</v>
      </c>
    </row>
    <row r="23" spans="1:20" s="65" customFormat="1" ht="60" x14ac:dyDescent="0.25">
      <c r="A23" s="110">
        <v>2025</v>
      </c>
      <c r="B23" s="173">
        <v>3</v>
      </c>
      <c r="C23" s="110">
        <v>3727</v>
      </c>
      <c r="D23" s="110">
        <v>1</v>
      </c>
      <c r="E23" s="110" t="s">
        <v>734</v>
      </c>
      <c r="F23" s="110"/>
      <c r="G23" s="108">
        <v>45738</v>
      </c>
      <c r="H23" s="108">
        <v>45750</v>
      </c>
      <c r="I23" s="108">
        <v>45750</v>
      </c>
      <c r="J23" s="108">
        <v>45752</v>
      </c>
      <c r="K23" s="215" t="s">
        <v>735</v>
      </c>
      <c r="L23" s="110"/>
      <c r="M23" s="110">
        <v>6068</v>
      </c>
      <c r="N23" s="126" t="s">
        <v>85</v>
      </c>
      <c r="O23" s="110" t="s">
        <v>89</v>
      </c>
      <c r="P23" s="110">
        <v>5813</v>
      </c>
      <c r="Q23" s="142" t="s">
        <v>868</v>
      </c>
      <c r="R23" s="110" t="s">
        <v>136</v>
      </c>
      <c r="S23" s="108">
        <v>45758</v>
      </c>
      <c r="T23" s="110" t="s">
        <v>571</v>
      </c>
    </row>
    <row r="24" spans="1:20" s="65" customFormat="1" ht="45" x14ac:dyDescent="0.25">
      <c r="A24" s="110">
        <v>2025</v>
      </c>
      <c r="B24" s="173">
        <v>3</v>
      </c>
      <c r="C24" s="110">
        <v>3728</v>
      </c>
      <c r="D24" s="110">
        <v>1</v>
      </c>
      <c r="E24" s="110" t="s">
        <v>895</v>
      </c>
      <c r="F24" s="110"/>
      <c r="G24" s="108">
        <v>45749</v>
      </c>
      <c r="H24" s="108">
        <v>45756</v>
      </c>
      <c r="I24" s="202">
        <v>45754</v>
      </c>
      <c r="J24" s="110"/>
      <c r="K24" s="112" t="s">
        <v>893</v>
      </c>
      <c r="L24" s="110"/>
      <c r="M24" s="110" t="s">
        <v>136</v>
      </c>
      <c r="N24" s="126" t="s">
        <v>85</v>
      </c>
      <c r="O24" s="173" t="s">
        <v>89</v>
      </c>
      <c r="P24" s="173"/>
      <c r="Q24" s="176" t="s">
        <v>894</v>
      </c>
      <c r="R24" s="173" t="s">
        <v>136</v>
      </c>
      <c r="S24" s="175">
        <v>45759</v>
      </c>
      <c r="T24" s="173" t="s">
        <v>571</v>
      </c>
    </row>
    <row r="25" spans="1:20" s="65" customFormat="1" ht="75" x14ac:dyDescent="0.25">
      <c r="A25" s="99">
        <v>2025</v>
      </c>
      <c r="B25" s="220">
        <v>4</v>
      </c>
      <c r="C25" s="99">
        <v>3729</v>
      </c>
      <c r="D25" s="99">
        <v>2</v>
      </c>
      <c r="E25" s="99" t="s">
        <v>869</v>
      </c>
      <c r="F25" s="99">
        <v>3113880436</v>
      </c>
      <c r="G25" s="97">
        <v>45749</v>
      </c>
      <c r="H25" s="97">
        <v>45762</v>
      </c>
      <c r="I25" s="97">
        <v>45759</v>
      </c>
      <c r="J25" s="205">
        <v>45782</v>
      </c>
      <c r="K25" s="100" t="s">
        <v>872</v>
      </c>
      <c r="L25" s="99"/>
      <c r="M25" s="99">
        <v>6090</v>
      </c>
      <c r="N25" s="120" t="s">
        <v>90</v>
      </c>
      <c r="O25" s="99" t="s">
        <v>89</v>
      </c>
      <c r="P25" s="99">
        <v>5842</v>
      </c>
      <c r="Q25" s="100" t="s">
        <v>1444</v>
      </c>
      <c r="R25" s="99" t="s">
        <v>136</v>
      </c>
      <c r="S25" s="97">
        <v>45782</v>
      </c>
      <c r="T25" s="99" t="s">
        <v>571</v>
      </c>
    </row>
    <row r="26" spans="1:20" s="65" customFormat="1" ht="15" x14ac:dyDescent="0.25">
      <c r="A26" s="94">
        <v>2025</v>
      </c>
      <c r="B26" s="260">
        <v>4</v>
      </c>
      <c r="C26" s="94">
        <v>3730</v>
      </c>
      <c r="D26" s="94">
        <v>1</v>
      </c>
      <c r="E26" s="94" t="s">
        <v>608</v>
      </c>
      <c r="F26" s="94">
        <v>3122574195</v>
      </c>
      <c r="G26" s="89">
        <v>45736</v>
      </c>
      <c r="H26" s="89">
        <v>45752</v>
      </c>
      <c r="I26" s="89"/>
      <c r="J26" s="94"/>
      <c r="K26" s="90" t="s">
        <v>896</v>
      </c>
      <c r="L26" s="94"/>
      <c r="M26" s="94" t="s">
        <v>136</v>
      </c>
      <c r="N26" s="94" t="s">
        <v>114</v>
      </c>
      <c r="O26" s="94" t="s">
        <v>89</v>
      </c>
      <c r="P26" s="94"/>
      <c r="Q26" s="94" t="s">
        <v>897</v>
      </c>
      <c r="R26" s="94" t="s">
        <v>900</v>
      </c>
      <c r="S26" s="89">
        <v>45759</v>
      </c>
      <c r="T26" s="94" t="s">
        <v>571</v>
      </c>
    </row>
    <row r="27" spans="1:20" s="65" customFormat="1" ht="75" x14ac:dyDescent="0.25">
      <c r="A27" s="94">
        <v>2025</v>
      </c>
      <c r="B27" s="260">
        <v>4</v>
      </c>
      <c r="C27" s="94">
        <v>3731</v>
      </c>
      <c r="D27" s="94">
        <v>10</v>
      </c>
      <c r="E27" s="94" t="s">
        <v>898</v>
      </c>
      <c r="F27" s="94"/>
      <c r="G27" s="89">
        <v>45756</v>
      </c>
      <c r="H27" s="89">
        <v>45770</v>
      </c>
      <c r="I27" s="94"/>
      <c r="J27" s="94"/>
      <c r="K27" s="90" t="s">
        <v>899</v>
      </c>
      <c r="L27" s="94"/>
      <c r="M27" s="94">
        <v>6108</v>
      </c>
      <c r="N27" s="134" t="s">
        <v>114</v>
      </c>
      <c r="O27" s="94" t="s">
        <v>413</v>
      </c>
      <c r="P27" s="94">
        <v>5864</v>
      </c>
      <c r="Q27" s="94"/>
      <c r="R27" s="94" t="s">
        <v>136</v>
      </c>
      <c r="S27" s="89">
        <v>45759</v>
      </c>
      <c r="T27" s="94" t="s">
        <v>571</v>
      </c>
    </row>
    <row r="28" spans="1:20" s="65" customFormat="1" ht="24.75" customHeight="1" x14ac:dyDescent="0.25">
      <c r="A28" s="110">
        <v>2025</v>
      </c>
      <c r="B28" s="173">
        <v>4</v>
      </c>
      <c r="C28" s="110">
        <v>3732</v>
      </c>
      <c r="D28" s="110">
        <v>1</v>
      </c>
      <c r="E28" s="110" t="s">
        <v>901</v>
      </c>
      <c r="F28" s="110"/>
      <c r="G28" s="108">
        <v>45758</v>
      </c>
      <c r="H28" s="202">
        <v>45772</v>
      </c>
      <c r="I28" s="202">
        <v>45762</v>
      </c>
      <c r="J28" s="202">
        <v>45762</v>
      </c>
      <c r="K28" s="111" t="s">
        <v>902</v>
      </c>
      <c r="L28" s="110"/>
      <c r="M28" s="110"/>
      <c r="N28" s="126" t="s">
        <v>90</v>
      </c>
      <c r="O28" s="110" t="s">
        <v>89</v>
      </c>
      <c r="P28" s="110"/>
      <c r="Q28" s="110" t="s">
        <v>916</v>
      </c>
      <c r="R28" s="110" t="s">
        <v>136</v>
      </c>
      <c r="S28" s="202">
        <v>45762</v>
      </c>
      <c r="T28" s="110" t="s">
        <v>571</v>
      </c>
    </row>
    <row r="29" spans="1:20" s="207" customFormat="1" ht="120" x14ac:dyDescent="0.25">
      <c r="A29" s="99">
        <v>2025</v>
      </c>
      <c r="B29" s="220">
        <v>4</v>
      </c>
      <c r="C29" s="99">
        <v>3733</v>
      </c>
      <c r="D29" s="99">
        <v>2</v>
      </c>
      <c r="E29" s="99" t="s">
        <v>1014</v>
      </c>
      <c r="F29" s="99"/>
      <c r="G29" s="97">
        <v>45772</v>
      </c>
      <c r="H29" s="205">
        <v>45785</v>
      </c>
      <c r="I29" s="205">
        <v>45786</v>
      </c>
      <c r="J29" s="99"/>
      <c r="K29" s="100" t="s">
        <v>1015</v>
      </c>
      <c r="L29" s="99"/>
      <c r="M29" s="99">
        <v>6142</v>
      </c>
      <c r="N29" s="120" t="s">
        <v>90</v>
      </c>
      <c r="O29" s="99" t="s">
        <v>89</v>
      </c>
      <c r="P29" s="99"/>
      <c r="Q29" s="99" t="s">
        <v>1553</v>
      </c>
      <c r="R29" s="99" t="s">
        <v>136</v>
      </c>
      <c r="S29" s="205">
        <v>45786</v>
      </c>
      <c r="T29" s="99" t="s">
        <v>571</v>
      </c>
    </row>
    <row r="30" spans="1:20" s="65" customFormat="1" ht="75" x14ac:dyDescent="0.25">
      <c r="A30" s="94">
        <v>2025</v>
      </c>
      <c r="B30" s="260">
        <v>4</v>
      </c>
      <c r="C30" s="94">
        <v>3734</v>
      </c>
      <c r="D30" s="94">
        <v>2</v>
      </c>
      <c r="E30" s="94" t="s">
        <v>537</v>
      </c>
      <c r="F30" s="94">
        <v>3127200427</v>
      </c>
      <c r="G30" s="208">
        <v>45775</v>
      </c>
      <c r="H30" s="208">
        <v>45786</v>
      </c>
      <c r="I30" s="94"/>
      <c r="J30" s="208">
        <v>45779</v>
      </c>
      <c r="K30" s="90" t="s">
        <v>1050</v>
      </c>
      <c r="L30" s="94"/>
      <c r="M30" s="94">
        <v>6147</v>
      </c>
      <c r="N30" s="134" t="s">
        <v>85</v>
      </c>
      <c r="O30" s="94" t="s">
        <v>89</v>
      </c>
      <c r="P30" s="94"/>
      <c r="Q30" s="94" t="s">
        <v>2140</v>
      </c>
      <c r="R30" s="94" t="s">
        <v>136</v>
      </c>
      <c r="S30" s="208">
        <v>45833</v>
      </c>
      <c r="T30" s="94" t="s">
        <v>1705</v>
      </c>
    </row>
    <row r="31" spans="1:20" s="65" customFormat="1" ht="90" x14ac:dyDescent="0.25">
      <c r="A31" s="99">
        <v>2025</v>
      </c>
      <c r="B31" s="220">
        <v>4</v>
      </c>
      <c r="C31" s="99">
        <v>3735</v>
      </c>
      <c r="D31" s="220">
        <v>2</v>
      </c>
      <c r="E31" s="220" t="s">
        <v>1139</v>
      </c>
      <c r="F31" s="220"/>
      <c r="G31" s="304">
        <v>45777</v>
      </c>
      <c r="H31" s="304">
        <v>45780</v>
      </c>
      <c r="I31" s="304">
        <v>45779</v>
      </c>
      <c r="J31" s="220"/>
      <c r="K31" s="259" t="s">
        <v>1140</v>
      </c>
      <c r="L31" s="99"/>
      <c r="M31" s="99">
        <v>6157</v>
      </c>
      <c r="N31" s="120" t="s">
        <v>21</v>
      </c>
      <c r="O31" s="99" t="s">
        <v>89</v>
      </c>
      <c r="P31" s="99"/>
      <c r="Q31" s="99"/>
      <c r="R31" s="99" t="s">
        <v>136</v>
      </c>
      <c r="S31" s="205">
        <v>45780</v>
      </c>
      <c r="T31" s="99" t="s">
        <v>571</v>
      </c>
    </row>
    <row r="32" spans="1:20" ht="15" x14ac:dyDescent="0.25">
      <c r="A32" s="110">
        <v>2025</v>
      </c>
      <c r="B32" s="173">
        <v>5</v>
      </c>
      <c r="C32" s="110">
        <v>3736</v>
      </c>
      <c r="D32" s="110">
        <v>2</v>
      </c>
      <c r="E32" s="110" t="s">
        <v>1767</v>
      </c>
      <c r="F32" s="110"/>
      <c r="G32" s="108">
        <v>45793</v>
      </c>
      <c r="H32" s="108">
        <v>45800</v>
      </c>
      <c r="I32" s="108"/>
      <c r="J32" s="110"/>
      <c r="K32" s="390" t="s">
        <v>1768</v>
      </c>
      <c r="L32" s="110"/>
      <c r="M32" s="110">
        <v>6193</v>
      </c>
      <c r="N32" s="126" t="s">
        <v>85</v>
      </c>
      <c r="O32" s="110"/>
      <c r="P32" s="110"/>
      <c r="Q32" s="391"/>
      <c r="R32" s="110" t="s">
        <v>136</v>
      </c>
      <c r="S32" s="108">
        <v>45798</v>
      </c>
      <c r="T32" s="110" t="s">
        <v>1705</v>
      </c>
    </row>
    <row r="33" spans="1:20" ht="24.75" customHeight="1" x14ac:dyDescent="0.25">
      <c r="A33" s="406">
        <v>2025</v>
      </c>
      <c r="B33" s="407">
        <v>5</v>
      </c>
      <c r="C33" s="406">
        <v>3737</v>
      </c>
      <c r="D33" s="408">
        <v>1</v>
      </c>
      <c r="E33" s="409" t="s">
        <v>1885</v>
      </c>
      <c r="F33" s="409"/>
      <c r="G33" s="410">
        <v>45803</v>
      </c>
      <c r="H33" s="410">
        <v>45814</v>
      </c>
      <c r="I33" s="410">
        <v>45812</v>
      </c>
      <c r="J33" s="409"/>
      <c r="K33" s="411" t="s">
        <v>1886</v>
      </c>
      <c r="L33" s="409"/>
      <c r="M33" s="412"/>
      <c r="N33" s="413" t="s">
        <v>90</v>
      </c>
      <c r="O33" s="409" t="s">
        <v>89</v>
      </c>
      <c r="P33" s="409">
        <v>5976</v>
      </c>
      <c r="Q33" s="409"/>
      <c r="R33" s="409" t="s">
        <v>136</v>
      </c>
      <c r="S33" s="410">
        <v>45812</v>
      </c>
      <c r="T33" s="409" t="s">
        <v>1705</v>
      </c>
    </row>
    <row r="34" spans="1:20" ht="24.75" customHeight="1" x14ac:dyDescent="0.25">
      <c r="A34" s="78">
        <v>2025</v>
      </c>
      <c r="B34" s="78">
        <v>5</v>
      </c>
      <c r="C34" s="78">
        <v>3738</v>
      </c>
      <c r="D34" s="82">
        <v>1</v>
      </c>
      <c r="E34" s="83" t="s">
        <v>1887</v>
      </c>
      <c r="F34" s="83"/>
      <c r="G34" s="404">
        <v>45805</v>
      </c>
      <c r="H34" s="404">
        <v>45815</v>
      </c>
      <c r="I34" s="404">
        <v>45814</v>
      </c>
      <c r="J34" s="404">
        <v>45814</v>
      </c>
      <c r="K34" s="84" t="s">
        <v>1888</v>
      </c>
      <c r="L34" s="83" t="s">
        <v>2136</v>
      </c>
      <c r="M34" s="85" t="s">
        <v>2136</v>
      </c>
      <c r="N34" s="80" t="s">
        <v>114</v>
      </c>
      <c r="O34" s="83" t="s">
        <v>89</v>
      </c>
      <c r="P34" s="83">
        <v>5981</v>
      </c>
      <c r="Q34" s="83"/>
      <c r="R34" s="83" t="s">
        <v>136</v>
      </c>
      <c r="S34" s="404">
        <v>45814</v>
      </c>
      <c r="T34" s="83" t="s">
        <v>1705</v>
      </c>
    </row>
    <row r="35" spans="1:20" ht="24.75" customHeight="1" x14ac:dyDescent="0.25">
      <c r="A35" s="83">
        <v>2025</v>
      </c>
      <c r="B35" s="82">
        <v>6</v>
      </c>
      <c r="C35" s="83">
        <v>3739</v>
      </c>
      <c r="D35" s="82">
        <v>6</v>
      </c>
      <c r="E35" s="83" t="s">
        <v>1985</v>
      </c>
      <c r="F35" s="82">
        <v>3148939751</v>
      </c>
      <c r="G35" s="404">
        <v>45813</v>
      </c>
      <c r="H35" s="404">
        <v>45833</v>
      </c>
      <c r="I35" s="404">
        <v>45826</v>
      </c>
      <c r="J35" s="83"/>
      <c r="K35" s="84" t="s">
        <v>1986</v>
      </c>
      <c r="L35" s="83">
        <v>9001</v>
      </c>
      <c r="M35" s="85">
        <v>6827</v>
      </c>
      <c r="N35" s="80" t="s">
        <v>90</v>
      </c>
      <c r="O35" s="83" t="s">
        <v>87</v>
      </c>
      <c r="P35" s="83">
        <v>5993</v>
      </c>
      <c r="Q35" s="83"/>
      <c r="R35" s="83" t="s">
        <v>136</v>
      </c>
      <c r="S35" s="404">
        <v>45826</v>
      </c>
      <c r="T35" s="83" t="s">
        <v>1705</v>
      </c>
    </row>
    <row r="36" spans="1:20" ht="24.75" customHeight="1" x14ac:dyDescent="0.25">
      <c r="A36" s="83">
        <v>2025</v>
      </c>
      <c r="B36" s="82">
        <v>6</v>
      </c>
      <c r="C36" s="83">
        <v>3740</v>
      </c>
      <c r="D36" s="82">
        <v>8</v>
      </c>
      <c r="E36" s="83" t="s">
        <v>377</v>
      </c>
      <c r="F36" s="83"/>
      <c r="G36" s="404">
        <v>45820</v>
      </c>
      <c r="H36" s="83"/>
      <c r="I36" s="83"/>
      <c r="J36" s="83"/>
      <c r="K36" s="84" t="s">
        <v>2056</v>
      </c>
      <c r="L36" s="83"/>
      <c r="M36" s="85"/>
      <c r="N36" s="80" t="s">
        <v>114</v>
      </c>
      <c r="O36" s="83" t="s">
        <v>87</v>
      </c>
      <c r="P36" s="83">
        <v>6025</v>
      </c>
      <c r="Q36" s="83"/>
      <c r="R36" s="83" t="s">
        <v>136</v>
      </c>
      <c r="S36" s="404">
        <v>45821</v>
      </c>
      <c r="T36" s="83" t="s">
        <v>1705</v>
      </c>
    </row>
    <row r="37" spans="1:20" ht="24.75" customHeight="1" x14ac:dyDescent="0.25">
      <c r="A37" s="83">
        <v>2025</v>
      </c>
      <c r="B37" s="82">
        <v>6</v>
      </c>
      <c r="C37" s="83">
        <v>3741</v>
      </c>
      <c r="D37" s="82"/>
      <c r="E37" s="83" t="s">
        <v>2143</v>
      </c>
      <c r="F37" s="82">
        <v>35507025429</v>
      </c>
      <c r="G37" s="404">
        <v>45825</v>
      </c>
      <c r="H37" s="404">
        <v>45834</v>
      </c>
      <c r="I37" s="404">
        <v>45833</v>
      </c>
      <c r="J37" s="83"/>
      <c r="K37" s="84" t="s">
        <v>2144</v>
      </c>
      <c r="L37" s="83"/>
      <c r="M37" s="85"/>
      <c r="N37" s="80" t="s">
        <v>90</v>
      </c>
      <c r="O37" s="83" t="s">
        <v>119</v>
      </c>
      <c r="P37" s="83"/>
      <c r="Q37" s="83"/>
      <c r="R37" s="83" t="s">
        <v>136</v>
      </c>
      <c r="S37" s="404">
        <v>45833</v>
      </c>
      <c r="T37" s="83" t="s">
        <v>1705</v>
      </c>
    </row>
    <row r="38" spans="1:20" ht="24.75" customHeight="1" x14ac:dyDescent="0.25">
      <c r="A38" s="83">
        <v>2025</v>
      </c>
      <c r="B38" s="82">
        <v>6</v>
      </c>
      <c r="C38" s="83">
        <v>3742</v>
      </c>
      <c r="D38" s="82">
        <v>4</v>
      </c>
      <c r="E38" s="83" t="s">
        <v>2172</v>
      </c>
      <c r="F38" s="83"/>
      <c r="G38" s="404">
        <v>45833</v>
      </c>
      <c r="H38" s="404">
        <v>45843</v>
      </c>
      <c r="I38" s="83"/>
      <c r="J38" s="404">
        <v>45847</v>
      </c>
      <c r="K38" s="84" t="s">
        <v>2173</v>
      </c>
      <c r="L38" s="83" t="s">
        <v>2136</v>
      </c>
      <c r="M38" s="85">
        <v>6885</v>
      </c>
      <c r="N38" s="80" t="s">
        <v>85</v>
      </c>
      <c r="O38" s="83" t="s">
        <v>87</v>
      </c>
      <c r="P38" s="83">
        <v>6050</v>
      </c>
      <c r="Q38" s="83" t="s">
        <v>2097</v>
      </c>
      <c r="R38" s="83" t="s">
        <v>136</v>
      </c>
      <c r="S38" s="404">
        <v>45852</v>
      </c>
      <c r="T38" s="83" t="s">
        <v>1705</v>
      </c>
    </row>
    <row r="39" spans="1:20" ht="24.75" customHeight="1" x14ac:dyDescent="0.25">
      <c r="A39" s="83">
        <v>2025</v>
      </c>
      <c r="B39" s="82">
        <v>6</v>
      </c>
      <c r="C39" s="83">
        <v>3743</v>
      </c>
      <c r="D39" s="82">
        <v>4</v>
      </c>
      <c r="E39" s="83" t="s">
        <v>1014</v>
      </c>
      <c r="F39" s="83"/>
      <c r="G39" s="404">
        <v>45835</v>
      </c>
      <c r="H39" s="404">
        <v>45847</v>
      </c>
      <c r="I39" s="83"/>
      <c r="J39" s="83"/>
      <c r="K39" s="84" t="s">
        <v>2209</v>
      </c>
      <c r="L39" s="83"/>
      <c r="M39" s="85">
        <v>6056</v>
      </c>
      <c r="N39" s="80" t="s">
        <v>114</v>
      </c>
      <c r="O39" s="83" t="s">
        <v>89</v>
      </c>
      <c r="P39" s="83">
        <v>6056</v>
      </c>
      <c r="Q39" s="83"/>
      <c r="R39" s="83" t="s">
        <v>136</v>
      </c>
      <c r="S39" s="404">
        <v>45835</v>
      </c>
      <c r="T39" s="83" t="s">
        <v>1705</v>
      </c>
    </row>
    <row r="40" spans="1:20" s="451" customFormat="1" ht="24.75" customHeight="1" x14ac:dyDescent="0.25">
      <c r="A40" s="445">
        <v>2025</v>
      </c>
      <c r="B40" s="446">
        <v>6</v>
      </c>
      <c r="C40" s="445">
        <v>3744</v>
      </c>
      <c r="D40" s="446">
        <v>1</v>
      </c>
      <c r="E40" s="445" t="s">
        <v>2326</v>
      </c>
      <c r="F40" s="445"/>
      <c r="G40" s="447">
        <v>45823</v>
      </c>
      <c r="H40" s="445"/>
      <c r="I40" s="445"/>
      <c r="J40" s="447">
        <v>45823</v>
      </c>
      <c r="K40" s="448"/>
      <c r="L40" s="445"/>
      <c r="M40" s="449"/>
      <c r="N40" s="450" t="s">
        <v>85</v>
      </c>
      <c r="O40" s="445" t="s">
        <v>89</v>
      </c>
      <c r="P40" s="445"/>
      <c r="Q40" s="445" t="s">
        <v>2436</v>
      </c>
      <c r="R40" s="445"/>
      <c r="S40" s="445"/>
      <c r="T40" s="445"/>
    </row>
    <row r="41" spans="1:20" ht="24.75" customHeight="1" x14ac:dyDescent="0.25">
      <c r="A41" s="83">
        <v>2025</v>
      </c>
      <c r="B41" s="82">
        <v>7</v>
      </c>
      <c r="C41" s="83">
        <v>3745</v>
      </c>
      <c r="D41" s="82">
        <v>3</v>
      </c>
      <c r="E41" s="83" t="s">
        <v>2376</v>
      </c>
      <c r="F41" s="83"/>
      <c r="G41" s="83"/>
      <c r="H41" s="83"/>
      <c r="I41" s="83"/>
      <c r="J41" s="83"/>
      <c r="K41" s="84" t="s">
        <v>2377</v>
      </c>
      <c r="L41" s="83"/>
      <c r="M41" s="85"/>
      <c r="N41" s="80" t="s">
        <v>90</v>
      </c>
      <c r="O41" s="83"/>
      <c r="P41" s="83">
        <v>6076</v>
      </c>
      <c r="Q41" s="83"/>
      <c r="R41" s="83"/>
      <c r="S41" s="83"/>
      <c r="T41" s="83"/>
    </row>
    <row r="42" spans="1:20" ht="104.25" customHeight="1" x14ac:dyDescent="0.25">
      <c r="A42" s="83">
        <v>2025</v>
      </c>
      <c r="B42" s="82">
        <v>7</v>
      </c>
      <c r="C42" s="83">
        <v>3746</v>
      </c>
      <c r="D42" s="82">
        <v>8</v>
      </c>
      <c r="E42" s="83" t="s">
        <v>2327</v>
      </c>
      <c r="F42" s="83"/>
      <c r="G42" s="404">
        <v>45846</v>
      </c>
      <c r="H42" s="404">
        <v>45860</v>
      </c>
      <c r="I42" s="83"/>
      <c r="J42" s="83"/>
      <c r="K42" s="443" t="s">
        <v>2328</v>
      </c>
      <c r="L42" s="83">
        <v>9350</v>
      </c>
      <c r="M42" s="85">
        <v>6922</v>
      </c>
      <c r="N42" s="80" t="s">
        <v>114</v>
      </c>
      <c r="O42" s="83" t="s">
        <v>89</v>
      </c>
      <c r="P42" s="83"/>
      <c r="Q42" s="83" t="s">
        <v>2375</v>
      </c>
      <c r="R42" s="83" t="s">
        <v>136</v>
      </c>
      <c r="S42" s="404">
        <v>45852</v>
      </c>
      <c r="T42" s="83" t="s">
        <v>1705</v>
      </c>
    </row>
    <row r="43" spans="1:20" ht="24.75" customHeight="1" x14ac:dyDescent="0.25">
      <c r="A43" s="83">
        <v>2025</v>
      </c>
      <c r="B43" s="82">
        <v>7</v>
      </c>
      <c r="C43" s="83">
        <v>3747</v>
      </c>
      <c r="D43" s="82">
        <v>6</v>
      </c>
      <c r="E43" s="83" t="s">
        <v>2327</v>
      </c>
      <c r="F43" s="83"/>
      <c r="G43" s="404">
        <v>45859</v>
      </c>
      <c r="H43" s="404">
        <v>45868</v>
      </c>
      <c r="I43" s="83"/>
      <c r="J43" s="83"/>
      <c r="K43" s="84" t="s">
        <v>2486</v>
      </c>
      <c r="L43" s="83" t="s">
        <v>2136</v>
      </c>
      <c r="M43" s="85">
        <v>6959</v>
      </c>
      <c r="N43" s="80" t="s">
        <v>114</v>
      </c>
      <c r="O43" s="83" t="s">
        <v>89</v>
      </c>
      <c r="P43" s="83">
        <v>6122</v>
      </c>
      <c r="Q43" s="83"/>
      <c r="R43" s="83"/>
      <c r="S43" s="404">
        <v>45861</v>
      </c>
      <c r="T43" s="83" t="s">
        <v>1705</v>
      </c>
    </row>
    <row r="44" spans="1:20" ht="24.75" customHeight="1" x14ac:dyDescent="0.25">
      <c r="N44" s="70"/>
    </row>
    <row r="45" spans="1:20" ht="24.75" customHeight="1" x14ac:dyDescent="0.25">
      <c r="N45" s="70"/>
    </row>
    <row r="46" spans="1:20" ht="24.75" customHeight="1" x14ac:dyDescent="0.25">
      <c r="N46" s="70"/>
    </row>
    <row r="47" spans="1:20" ht="24.75" customHeight="1" x14ac:dyDescent="0.25">
      <c r="N47" s="70"/>
    </row>
    <row r="48" spans="1:20" ht="24.75" customHeight="1" x14ac:dyDescent="0.25">
      <c r="N48" s="70"/>
    </row>
    <row r="49" spans="14:14" ht="24.75" customHeight="1" x14ac:dyDescent="0.25">
      <c r="N49" s="70"/>
    </row>
    <row r="50" spans="14:14" ht="24.75" customHeight="1" x14ac:dyDescent="0.25">
      <c r="N50" s="70"/>
    </row>
    <row r="51" spans="14:14" ht="24.75" customHeight="1" x14ac:dyDescent="0.25">
      <c r="N51" s="70"/>
    </row>
    <row r="52" spans="14:14" ht="24.75" customHeight="1" x14ac:dyDescent="0.25">
      <c r="N52" s="70"/>
    </row>
    <row r="53" spans="14:14" ht="24.75" customHeight="1" x14ac:dyDescent="0.25">
      <c r="N53" s="70"/>
    </row>
    <row r="54" spans="14:14" ht="24.75" customHeight="1" x14ac:dyDescent="0.25">
      <c r="N54" s="70"/>
    </row>
    <row r="55" spans="14:14" ht="24.75" customHeight="1" x14ac:dyDescent="0.25">
      <c r="N55" s="70"/>
    </row>
    <row r="56" spans="14:14" ht="24.75" customHeight="1" x14ac:dyDescent="0.25">
      <c r="N56" s="70"/>
    </row>
    <row r="57" spans="14:14" ht="24.75" customHeight="1" x14ac:dyDescent="0.25">
      <c r="N57" s="70"/>
    </row>
    <row r="58" spans="14:14" ht="24.75" customHeight="1" x14ac:dyDescent="0.25">
      <c r="N58" s="70"/>
    </row>
    <row r="59" spans="14:14" ht="24.75" customHeight="1" x14ac:dyDescent="0.25">
      <c r="N59" s="70"/>
    </row>
    <row r="60" spans="14:14" ht="24.75" customHeight="1" x14ac:dyDescent="0.25">
      <c r="N60" s="70"/>
    </row>
    <row r="61" spans="14:14" ht="24.75" customHeight="1" x14ac:dyDescent="0.25">
      <c r="N61" s="70"/>
    </row>
    <row r="62" spans="14:14" ht="24.75" customHeight="1" x14ac:dyDescent="0.25">
      <c r="N62" s="70"/>
    </row>
    <row r="63" spans="14:14" ht="24.75" customHeight="1" x14ac:dyDescent="0.25">
      <c r="N63" s="70"/>
    </row>
    <row r="64" spans="14:14" ht="24.75" customHeight="1" x14ac:dyDescent="0.25">
      <c r="N64" s="70"/>
    </row>
    <row r="65" spans="14:14" ht="24.75" customHeight="1" x14ac:dyDescent="0.25">
      <c r="N65" s="70"/>
    </row>
    <row r="66" spans="14:14" ht="24.75" customHeight="1" x14ac:dyDescent="0.25">
      <c r="N66" s="70"/>
    </row>
    <row r="67" spans="14:14" ht="24.75" customHeight="1" x14ac:dyDescent="0.25">
      <c r="N67" s="70"/>
    </row>
    <row r="68" spans="14:14" ht="24.75" customHeight="1" x14ac:dyDescent="0.25">
      <c r="N68" s="70"/>
    </row>
    <row r="69" spans="14:14" ht="24.75" customHeight="1" x14ac:dyDescent="0.25">
      <c r="N69" s="70"/>
    </row>
    <row r="70" spans="14:14" ht="24.75" customHeight="1" x14ac:dyDescent="0.25">
      <c r="N70" s="70"/>
    </row>
    <row r="71" spans="14:14" ht="24.75" customHeight="1" x14ac:dyDescent="0.25">
      <c r="N71" s="70"/>
    </row>
    <row r="72" spans="14:14" ht="24.75" customHeight="1" x14ac:dyDescent="0.25">
      <c r="N72" s="70"/>
    </row>
    <row r="73" spans="14:14" ht="24.75" customHeight="1" x14ac:dyDescent="0.25">
      <c r="N73" s="70"/>
    </row>
    <row r="74" spans="14:14" ht="24.75" customHeight="1" x14ac:dyDescent="0.25">
      <c r="N74" s="70"/>
    </row>
    <row r="75" spans="14:14" ht="24.75" customHeight="1" x14ac:dyDescent="0.25">
      <c r="N75" s="70"/>
    </row>
    <row r="76" spans="14:14" ht="24.75" customHeight="1" x14ac:dyDescent="0.25">
      <c r="N76" s="70"/>
    </row>
    <row r="77" spans="14:14" ht="24.75" customHeight="1" x14ac:dyDescent="0.25">
      <c r="N77" s="70"/>
    </row>
    <row r="78" spans="14:14" ht="24.75" customHeight="1" x14ac:dyDescent="0.25">
      <c r="N78" s="70"/>
    </row>
    <row r="79" spans="14:14" ht="24.75" customHeight="1" x14ac:dyDescent="0.25">
      <c r="N79" s="70"/>
    </row>
    <row r="80" spans="14:14" ht="24.75" customHeight="1" x14ac:dyDescent="0.25">
      <c r="N80" s="70"/>
    </row>
    <row r="81" spans="7:14" ht="24.75" customHeight="1" x14ac:dyDescent="0.25">
      <c r="N81" s="70"/>
    </row>
    <row r="82" spans="7:14" ht="24.75" customHeight="1" x14ac:dyDescent="0.25">
      <c r="N82" s="70"/>
    </row>
    <row r="83" spans="7:14" ht="24.75" customHeight="1" x14ac:dyDescent="0.25">
      <c r="N83" s="70"/>
    </row>
    <row r="84" spans="7:14" ht="24.75" customHeight="1" x14ac:dyDescent="0.25">
      <c r="N84" s="70"/>
    </row>
    <row r="85" spans="7:14" ht="24.75" customHeight="1" x14ac:dyDescent="0.25">
      <c r="N85" s="70"/>
    </row>
    <row r="86" spans="7:14" ht="24.75" customHeight="1" x14ac:dyDescent="0.25">
      <c r="N86" s="70"/>
    </row>
    <row r="87" spans="7:14" ht="24.75" customHeight="1" x14ac:dyDescent="0.25">
      <c r="N87" s="70"/>
    </row>
    <row r="88" spans="7:14" ht="24.75" customHeight="1" x14ac:dyDescent="0.25">
      <c r="G88" s="75"/>
      <c r="H88" s="75"/>
      <c r="K88" s="41"/>
      <c r="N88" s="70"/>
    </row>
    <row r="89" spans="7:14" ht="24.75" customHeight="1" x14ac:dyDescent="0.25">
      <c r="G89" s="75"/>
      <c r="H89" s="75"/>
      <c r="K89" s="41"/>
      <c r="N89" s="70"/>
    </row>
    <row r="90" spans="7:14" ht="24.75" customHeight="1" x14ac:dyDescent="0.25">
      <c r="G90" s="75"/>
      <c r="H90" s="75"/>
      <c r="K90" s="41"/>
      <c r="N90" s="70"/>
    </row>
    <row r="91" spans="7:14" ht="24.75" customHeight="1" x14ac:dyDescent="0.25">
      <c r="G91" s="75"/>
      <c r="H91" s="75"/>
      <c r="I91" s="75"/>
      <c r="J91" s="75"/>
      <c r="K91" s="41"/>
      <c r="N91" s="70"/>
    </row>
    <row r="92" spans="7:14" ht="24.75" customHeight="1" x14ac:dyDescent="0.25">
      <c r="G92" s="75"/>
      <c r="H92" s="75"/>
      <c r="I92" s="75"/>
      <c r="J92" s="75"/>
      <c r="N92" s="70"/>
    </row>
    <row r="93" spans="7:14" ht="24.75" customHeight="1" x14ac:dyDescent="0.25">
      <c r="G93" s="75"/>
      <c r="H93" s="75"/>
      <c r="K93" s="41"/>
      <c r="N93" s="70"/>
    </row>
    <row r="94" spans="7:14" ht="24.75" customHeight="1" x14ac:dyDescent="0.25">
      <c r="G94" s="75"/>
      <c r="H94" s="75"/>
      <c r="I94" s="75"/>
      <c r="J94" s="75"/>
      <c r="K94" s="41"/>
      <c r="N94" s="70"/>
    </row>
    <row r="95" spans="7:14" ht="24.75" customHeight="1" x14ac:dyDescent="0.25">
      <c r="G95" s="75"/>
      <c r="H95" s="75"/>
      <c r="I95" s="75"/>
      <c r="J95" s="75"/>
      <c r="K95" s="41"/>
      <c r="N95" s="70"/>
    </row>
    <row r="96" spans="7:14" ht="24.75" customHeight="1" x14ac:dyDescent="0.25">
      <c r="N96" s="70"/>
    </row>
    <row r="97" spans="14:14" ht="24.75" customHeight="1" x14ac:dyDescent="0.25">
      <c r="N97" s="70"/>
    </row>
    <row r="98" spans="14:14" ht="24.75" customHeight="1" x14ac:dyDescent="0.25">
      <c r="N98" s="70"/>
    </row>
    <row r="99" spans="14:14" ht="24.75" customHeight="1" x14ac:dyDescent="0.25">
      <c r="N99" s="70"/>
    </row>
    <row r="100" spans="14:14" ht="24.75" customHeight="1" x14ac:dyDescent="0.25">
      <c r="N100" s="70"/>
    </row>
    <row r="101" spans="14:14" ht="24.75" customHeight="1" x14ac:dyDescent="0.25">
      <c r="N101" s="70"/>
    </row>
    <row r="102" spans="14:14" ht="24.75" customHeight="1" x14ac:dyDescent="0.25">
      <c r="N102" s="70"/>
    </row>
    <row r="103" spans="14:14" ht="24.75" customHeight="1" x14ac:dyDescent="0.25">
      <c r="N103" s="70"/>
    </row>
    <row r="104" spans="14:14" ht="24.75" customHeight="1" x14ac:dyDescent="0.25">
      <c r="N104" s="70"/>
    </row>
    <row r="105" spans="14:14" ht="24.75" customHeight="1" x14ac:dyDescent="0.25">
      <c r="N105" s="70"/>
    </row>
    <row r="106" spans="14:14" ht="24.75" customHeight="1" x14ac:dyDescent="0.25">
      <c r="N106" s="70"/>
    </row>
    <row r="107" spans="14:14" ht="24.75" customHeight="1" x14ac:dyDescent="0.25">
      <c r="N107" s="70"/>
    </row>
    <row r="108" spans="14:14" ht="24.75" customHeight="1" x14ac:dyDescent="0.25">
      <c r="N108" s="70"/>
    </row>
    <row r="109" spans="14:14" ht="24.75" customHeight="1" x14ac:dyDescent="0.25">
      <c r="N109" s="70"/>
    </row>
    <row r="110" spans="14:14" ht="24.75" customHeight="1" x14ac:dyDescent="0.25">
      <c r="N110" s="70"/>
    </row>
    <row r="111" spans="14:14" ht="24.75" customHeight="1" x14ac:dyDescent="0.25">
      <c r="N111" s="70"/>
    </row>
    <row r="112" spans="14:14" ht="24.75" customHeight="1" x14ac:dyDescent="0.25">
      <c r="N112" s="70"/>
    </row>
    <row r="113" spans="14:14" ht="24.75" customHeight="1" x14ac:dyDescent="0.25">
      <c r="N113" s="70"/>
    </row>
    <row r="114" spans="14:14" ht="24.75" customHeight="1" x14ac:dyDescent="0.25">
      <c r="N114" s="70"/>
    </row>
    <row r="115" spans="14:14" ht="24.75" customHeight="1" x14ac:dyDescent="0.25">
      <c r="N115" s="70"/>
    </row>
    <row r="116" spans="14:14" ht="24.75" customHeight="1" x14ac:dyDescent="0.25">
      <c r="N116" s="70"/>
    </row>
    <row r="117" spans="14:14" ht="24.75" customHeight="1" x14ac:dyDescent="0.25">
      <c r="N117" s="70"/>
    </row>
    <row r="118" spans="14:14" ht="24.75" customHeight="1" x14ac:dyDescent="0.25">
      <c r="N118" s="70"/>
    </row>
    <row r="119" spans="14:14" ht="24.75" customHeight="1" x14ac:dyDescent="0.25">
      <c r="N119" s="70"/>
    </row>
    <row r="120" spans="14:14" ht="24.75" customHeight="1" x14ac:dyDescent="0.25">
      <c r="N120" s="70"/>
    </row>
    <row r="121" spans="14:14" ht="24.75" customHeight="1" x14ac:dyDescent="0.25">
      <c r="N121" s="70"/>
    </row>
    <row r="122" spans="14:14" ht="24.75" customHeight="1" x14ac:dyDescent="0.25">
      <c r="N122" s="70"/>
    </row>
    <row r="123" spans="14:14" ht="24.75" customHeight="1" x14ac:dyDescent="0.25">
      <c r="N123" s="70"/>
    </row>
    <row r="124" spans="14:14" ht="24.75" customHeight="1" x14ac:dyDescent="0.25">
      <c r="N124" s="70"/>
    </row>
    <row r="125" spans="14:14" ht="24.75" customHeight="1" x14ac:dyDescent="0.25">
      <c r="N125" s="70"/>
    </row>
    <row r="126" spans="14:14" ht="24.75" customHeight="1" x14ac:dyDescent="0.25">
      <c r="N126" s="70"/>
    </row>
    <row r="127" spans="14:14" ht="24.75" customHeight="1" x14ac:dyDescent="0.25">
      <c r="N127" s="70"/>
    </row>
    <row r="128" spans="14:14" ht="24.75" customHeight="1" x14ac:dyDescent="0.25">
      <c r="N128" s="70"/>
    </row>
    <row r="129" spans="14:14" ht="24.75" customHeight="1" x14ac:dyDescent="0.25">
      <c r="N129" s="70"/>
    </row>
    <row r="130" spans="14:14" ht="24.75" customHeight="1" x14ac:dyDescent="0.25">
      <c r="N130" s="70"/>
    </row>
    <row r="131" spans="14:14" ht="24.75" customHeight="1" x14ac:dyDescent="0.25">
      <c r="N131" s="70"/>
    </row>
    <row r="132" spans="14:14" ht="24.75" customHeight="1" x14ac:dyDescent="0.25">
      <c r="N132" s="70"/>
    </row>
    <row r="133" spans="14:14" ht="24.75" customHeight="1" x14ac:dyDescent="0.25">
      <c r="N133" s="70"/>
    </row>
    <row r="134" spans="14:14" ht="24.75" customHeight="1" x14ac:dyDescent="0.25">
      <c r="N134" s="70"/>
    </row>
    <row r="135" spans="14:14" ht="24.75" customHeight="1" x14ac:dyDescent="0.25">
      <c r="N135" s="70"/>
    </row>
    <row r="136" spans="14:14" ht="24.75" customHeight="1" x14ac:dyDescent="0.25">
      <c r="N136" s="70"/>
    </row>
    <row r="137" spans="14:14" ht="24.75" customHeight="1" x14ac:dyDescent="0.25">
      <c r="N137" s="70"/>
    </row>
    <row r="138" spans="14:14" ht="24.75" customHeight="1" x14ac:dyDescent="0.25">
      <c r="N138" s="70"/>
    </row>
    <row r="139" spans="14:14" ht="24.75" customHeight="1" x14ac:dyDescent="0.25">
      <c r="N139" s="70"/>
    </row>
    <row r="140" spans="14:14" ht="24.75" customHeight="1" x14ac:dyDescent="0.25">
      <c r="N140" s="70"/>
    </row>
    <row r="141" spans="14:14" ht="24.75" customHeight="1" x14ac:dyDescent="0.25">
      <c r="N141" s="70"/>
    </row>
    <row r="142" spans="14:14" ht="24.75" customHeight="1" x14ac:dyDescent="0.25">
      <c r="N142" s="70"/>
    </row>
    <row r="143" spans="14:14" ht="24.75" customHeight="1" x14ac:dyDescent="0.25">
      <c r="N143" s="70"/>
    </row>
    <row r="144" spans="14:14" ht="24.75" customHeight="1" x14ac:dyDescent="0.25">
      <c r="N144" s="70"/>
    </row>
    <row r="145" spans="14:14" ht="24.75" customHeight="1" x14ac:dyDescent="0.25">
      <c r="N145" s="70"/>
    </row>
    <row r="146" spans="14:14" ht="24.75" customHeight="1" x14ac:dyDescent="0.25">
      <c r="N146" s="70"/>
    </row>
    <row r="147" spans="14:14" ht="24.75" customHeight="1" x14ac:dyDescent="0.25">
      <c r="N147" s="70"/>
    </row>
    <row r="148" spans="14:14" ht="24.75" customHeight="1" x14ac:dyDescent="0.25">
      <c r="N148" s="70"/>
    </row>
    <row r="149" spans="14:14" ht="24.75" customHeight="1" x14ac:dyDescent="0.25">
      <c r="N149" s="70"/>
    </row>
    <row r="150" spans="14:14" ht="24.75" customHeight="1" x14ac:dyDescent="0.25">
      <c r="N150" s="70"/>
    </row>
    <row r="151" spans="14:14" ht="24.75" customHeight="1" x14ac:dyDescent="0.25">
      <c r="N151" s="70"/>
    </row>
    <row r="152" spans="14:14" ht="24.75" customHeight="1" x14ac:dyDescent="0.25">
      <c r="N152" s="70"/>
    </row>
    <row r="153" spans="14:14" ht="24.75" customHeight="1" x14ac:dyDescent="0.25">
      <c r="N153" s="70"/>
    </row>
    <row r="154" spans="14:14" ht="24.75" customHeight="1" x14ac:dyDescent="0.25">
      <c r="N154" s="70"/>
    </row>
    <row r="155" spans="14:14" ht="24.75" customHeight="1" x14ac:dyDescent="0.25">
      <c r="N155" s="70"/>
    </row>
    <row r="156" spans="14:14" ht="24.75" customHeight="1" x14ac:dyDescent="0.25">
      <c r="N156" s="70"/>
    </row>
    <row r="157" spans="14:14" ht="24.75" customHeight="1" x14ac:dyDescent="0.25">
      <c r="N157" s="70"/>
    </row>
    <row r="158" spans="14:14" ht="24.75" customHeight="1" x14ac:dyDescent="0.25">
      <c r="N158" s="70"/>
    </row>
    <row r="159" spans="14:14" ht="24.75" customHeight="1" x14ac:dyDescent="0.25">
      <c r="N159" s="70"/>
    </row>
    <row r="160" spans="14:14" ht="24.75" customHeight="1" x14ac:dyDescent="0.25">
      <c r="N160" s="70"/>
    </row>
    <row r="161" spans="14:14" ht="24.75" customHeight="1" x14ac:dyDescent="0.25">
      <c r="N161" s="70"/>
    </row>
    <row r="162" spans="14:14" ht="24.75" customHeight="1" x14ac:dyDescent="0.25">
      <c r="N162" s="70"/>
    </row>
    <row r="163" spans="14:14" ht="24.75" customHeight="1" x14ac:dyDescent="0.25">
      <c r="N163" s="70"/>
    </row>
    <row r="164" spans="14:14" ht="24.75" customHeight="1" x14ac:dyDescent="0.25">
      <c r="N164" s="70"/>
    </row>
    <row r="165" spans="14:14" ht="24.75" customHeight="1" x14ac:dyDescent="0.25">
      <c r="N165" s="70"/>
    </row>
    <row r="166" spans="14:14" ht="24.75" customHeight="1" x14ac:dyDescent="0.25">
      <c r="N166" s="70"/>
    </row>
    <row r="167" spans="14:14" ht="24.75" customHeight="1" x14ac:dyDescent="0.25">
      <c r="N167" s="70"/>
    </row>
    <row r="168" spans="14:14" ht="24.75" customHeight="1" x14ac:dyDescent="0.25">
      <c r="N168" s="70"/>
    </row>
    <row r="169" spans="14:14" ht="24.75" customHeight="1" x14ac:dyDescent="0.25">
      <c r="N169" s="70"/>
    </row>
    <row r="170" spans="14:14" ht="24.75" customHeight="1" x14ac:dyDescent="0.25">
      <c r="N170" s="70"/>
    </row>
    <row r="171" spans="14:14" ht="24.75" customHeight="1" x14ac:dyDescent="0.25">
      <c r="N171" s="70"/>
    </row>
    <row r="172" spans="14:14" ht="24.75" customHeight="1" x14ac:dyDescent="0.25">
      <c r="N172" s="70"/>
    </row>
    <row r="173" spans="14:14" ht="24.75" customHeight="1" x14ac:dyDescent="0.25">
      <c r="N173" s="70"/>
    </row>
    <row r="174" spans="14:14" ht="24.75" customHeight="1" x14ac:dyDescent="0.25">
      <c r="N174" s="70"/>
    </row>
    <row r="175" spans="14:14" ht="24.75" customHeight="1" x14ac:dyDescent="0.25">
      <c r="N175" s="70"/>
    </row>
    <row r="176" spans="14:14" ht="24.75" customHeight="1" x14ac:dyDescent="0.25">
      <c r="N176" s="70"/>
    </row>
    <row r="177" spans="14:14" ht="24.75" customHeight="1" x14ac:dyDescent="0.25">
      <c r="N177" s="70"/>
    </row>
    <row r="178" spans="14:14" ht="24.75" customHeight="1" x14ac:dyDescent="0.25">
      <c r="N178" s="70"/>
    </row>
    <row r="179" spans="14:14" ht="24.75" customHeight="1" x14ac:dyDescent="0.25">
      <c r="N179" s="70"/>
    </row>
    <row r="180" spans="14:14" ht="24.75" customHeight="1" x14ac:dyDescent="0.25">
      <c r="N180" s="70"/>
    </row>
    <row r="181" spans="14:14" ht="24.75" customHeight="1" x14ac:dyDescent="0.25">
      <c r="N181" s="70"/>
    </row>
    <row r="182" spans="14:14" ht="24.75" customHeight="1" x14ac:dyDescent="0.25">
      <c r="N182" s="70"/>
    </row>
    <row r="183" spans="14:14" ht="24.75" customHeight="1" x14ac:dyDescent="0.25">
      <c r="N183" s="70"/>
    </row>
    <row r="184" spans="14:14" ht="24.75" customHeight="1" x14ac:dyDescent="0.25">
      <c r="N184" s="70"/>
    </row>
    <row r="185" spans="14:14" ht="24.75" customHeight="1" x14ac:dyDescent="0.25">
      <c r="N185" s="70"/>
    </row>
    <row r="186" spans="14:14" ht="24.75" customHeight="1" x14ac:dyDescent="0.25">
      <c r="N186" s="70"/>
    </row>
    <row r="187" spans="14:14" ht="24.75" customHeight="1" x14ac:dyDescent="0.25">
      <c r="N187" s="70"/>
    </row>
    <row r="188" spans="14:14" ht="24.75" customHeight="1" x14ac:dyDescent="0.25">
      <c r="N188" s="70"/>
    </row>
    <row r="189" spans="14:14" ht="24.75" customHeight="1" x14ac:dyDescent="0.25">
      <c r="N189" s="70"/>
    </row>
    <row r="190" spans="14:14" ht="24.75" customHeight="1" x14ac:dyDescent="0.25">
      <c r="N190" s="70"/>
    </row>
    <row r="191" spans="14:14" ht="24.75" customHeight="1" x14ac:dyDescent="0.25">
      <c r="N191" s="70"/>
    </row>
    <row r="192" spans="14:14" ht="24.75" customHeight="1" x14ac:dyDescent="0.25">
      <c r="N192" s="70"/>
    </row>
    <row r="193" spans="14:14" ht="24.75" customHeight="1" x14ac:dyDescent="0.25">
      <c r="N193" s="70"/>
    </row>
    <row r="194" spans="14:14" ht="24.75" customHeight="1" x14ac:dyDescent="0.25">
      <c r="N194" s="70"/>
    </row>
    <row r="195" spans="14:14" ht="24.75" customHeight="1" x14ac:dyDescent="0.25">
      <c r="N195" s="70"/>
    </row>
    <row r="196" spans="14:14" ht="24.75" customHeight="1" x14ac:dyDescent="0.25">
      <c r="N196" s="70"/>
    </row>
    <row r="197" spans="14:14" ht="24.75" customHeight="1" x14ac:dyDescent="0.25">
      <c r="N197" s="70"/>
    </row>
    <row r="198" spans="14:14" ht="24.75" customHeight="1" x14ac:dyDescent="0.25">
      <c r="N198" s="70"/>
    </row>
    <row r="199" spans="14:14" ht="24.75" customHeight="1" x14ac:dyDescent="0.25">
      <c r="N199" s="70"/>
    </row>
    <row r="200" spans="14:14" ht="24.75" customHeight="1" x14ac:dyDescent="0.25">
      <c r="N200" s="70"/>
    </row>
    <row r="201" spans="14:14" ht="24.75" customHeight="1" x14ac:dyDescent="0.25">
      <c r="N201" s="70"/>
    </row>
    <row r="202" spans="14:14" ht="24.75" customHeight="1" x14ac:dyDescent="0.25">
      <c r="N202" s="70"/>
    </row>
    <row r="203" spans="14:14" ht="24.75" customHeight="1" x14ac:dyDescent="0.25">
      <c r="N203" s="70"/>
    </row>
    <row r="204" spans="14:14" ht="24.75" customHeight="1" x14ac:dyDescent="0.25">
      <c r="N204" s="70"/>
    </row>
    <row r="205" spans="14:14" ht="24.75" customHeight="1" x14ac:dyDescent="0.25">
      <c r="N205" s="70"/>
    </row>
    <row r="206" spans="14:14" ht="24.75" customHeight="1" x14ac:dyDescent="0.25">
      <c r="N206" s="70"/>
    </row>
    <row r="207" spans="14:14" ht="24.75" customHeight="1" x14ac:dyDescent="0.25">
      <c r="N207" s="70"/>
    </row>
    <row r="208" spans="14:14" ht="24.75" customHeight="1" x14ac:dyDescent="0.25">
      <c r="N208" s="70"/>
    </row>
    <row r="209" spans="14:14" ht="24.75" customHeight="1" x14ac:dyDescent="0.25">
      <c r="N209" s="70"/>
    </row>
    <row r="210" spans="14:14" ht="24.75" customHeight="1" x14ac:dyDescent="0.25">
      <c r="N210" s="70"/>
    </row>
    <row r="211" spans="14:14" ht="24.75" customHeight="1" x14ac:dyDescent="0.25">
      <c r="N211" s="70"/>
    </row>
    <row r="212" spans="14:14" ht="24.75" customHeight="1" x14ac:dyDescent="0.25">
      <c r="N212" s="70"/>
    </row>
    <row r="213" spans="14:14" ht="24.75" customHeight="1" x14ac:dyDescent="0.25">
      <c r="N213" s="70"/>
    </row>
    <row r="214" spans="14:14" ht="24.75" customHeight="1" x14ac:dyDescent="0.25">
      <c r="N214" s="70"/>
    </row>
    <row r="215" spans="14:14" ht="24.75" customHeight="1" x14ac:dyDescent="0.25">
      <c r="N215" s="70"/>
    </row>
    <row r="216" spans="14:14" ht="24.75" customHeight="1" x14ac:dyDescent="0.25">
      <c r="N216" s="70"/>
    </row>
    <row r="217" spans="14:14" ht="24.75" customHeight="1" x14ac:dyDescent="0.25">
      <c r="N217" s="70"/>
    </row>
    <row r="218" spans="14:14" ht="24.75" customHeight="1" x14ac:dyDescent="0.25">
      <c r="N218" s="70"/>
    </row>
    <row r="219" spans="14:14" ht="24.75" customHeight="1" x14ac:dyDescent="0.25">
      <c r="N219" s="70"/>
    </row>
    <row r="220" spans="14:14" ht="24.75" customHeight="1" x14ac:dyDescent="0.25">
      <c r="N220" s="70"/>
    </row>
    <row r="221" spans="14:14" ht="24.75" customHeight="1" x14ac:dyDescent="0.25">
      <c r="N221" s="70"/>
    </row>
    <row r="222" spans="14:14" ht="24.75" customHeight="1" x14ac:dyDescent="0.25">
      <c r="N222" s="70"/>
    </row>
    <row r="223" spans="14:14" ht="24.75" customHeight="1" x14ac:dyDescent="0.25">
      <c r="N223" s="70"/>
    </row>
    <row r="224" spans="14:14" ht="24.75" customHeight="1" x14ac:dyDescent="0.25">
      <c r="N224" s="70"/>
    </row>
    <row r="225" spans="14:14" ht="24.75" customHeight="1" x14ac:dyDescent="0.25">
      <c r="N225" s="70"/>
    </row>
    <row r="226" spans="14:14" ht="24.75" customHeight="1" x14ac:dyDescent="0.25">
      <c r="N226" s="70"/>
    </row>
    <row r="227" spans="14:14" ht="24.75" customHeight="1" x14ac:dyDescent="0.25">
      <c r="N227" s="70"/>
    </row>
    <row r="228" spans="14:14" ht="24.75" customHeight="1" x14ac:dyDescent="0.25">
      <c r="N228" s="70"/>
    </row>
    <row r="229" spans="14:14" ht="24.75" customHeight="1" x14ac:dyDescent="0.25">
      <c r="N229" s="70"/>
    </row>
    <row r="230" spans="14:14" ht="24.75" customHeight="1" x14ac:dyDescent="0.25">
      <c r="N230" s="70"/>
    </row>
    <row r="231" spans="14:14" ht="24.75" customHeight="1" x14ac:dyDescent="0.25">
      <c r="N231" s="70"/>
    </row>
    <row r="232" spans="14:14" ht="24.75" customHeight="1" x14ac:dyDescent="0.25">
      <c r="N232" s="70"/>
    </row>
    <row r="233" spans="14:14" ht="24.75" customHeight="1" x14ac:dyDescent="0.25">
      <c r="N233" s="70"/>
    </row>
    <row r="234" spans="14:14" ht="24.75" customHeight="1" x14ac:dyDescent="0.25">
      <c r="N234" s="70"/>
    </row>
    <row r="235" spans="14:14" ht="24.75" customHeight="1" x14ac:dyDescent="0.25">
      <c r="N235" s="70"/>
    </row>
    <row r="236" spans="14:14" ht="24.75" customHeight="1" x14ac:dyDescent="0.25">
      <c r="N236" s="70"/>
    </row>
    <row r="237" spans="14:14" ht="24.75" customHeight="1" x14ac:dyDescent="0.25">
      <c r="N237" s="70"/>
    </row>
    <row r="238" spans="14:14" ht="24.75" customHeight="1" x14ac:dyDescent="0.25">
      <c r="N238" s="70"/>
    </row>
    <row r="239" spans="14:14" ht="24.75" customHeight="1" x14ac:dyDescent="0.25">
      <c r="N239" s="70"/>
    </row>
    <row r="240" spans="14:14" ht="24.75" customHeight="1" x14ac:dyDescent="0.25">
      <c r="N240" s="70"/>
    </row>
    <row r="241" spans="14:14" ht="24.75" customHeight="1" x14ac:dyDescent="0.25">
      <c r="N241" s="70"/>
    </row>
    <row r="242" spans="14:14" ht="24.75" customHeight="1" x14ac:dyDescent="0.25">
      <c r="N242" s="70"/>
    </row>
    <row r="243" spans="14:14" ht="24.75" customHeight="1" x14ac:dyDescent="0.25">
      <c r="N243" s="70"/>
    </row>
    <row r="244" spans="14:14" ht="24.75" customHeight="1" x14ac:dyDescent="0.25">
      <c r="N244" s="70"/>
    </row>
    <row r="245" spans="14:14" ht="24.75" customHeight="1" x14ac:dyDescent="0.25">
      <c r="N245" s="70"/>
    </row>
    <row r="246" spans="14:14" ht="24.75" customHeight="1" x14ac:dyDescent="0.25">
      <c r="N246" s="70"/>
    </row>
    <row r="247" spans="14:14" ht="24.75" customHeight="1" x14ac:dyDescent="0.25">
      <c r="N247" s="70"/>
    </row>
    <row r="248" spans="14:14" ht="24.75" customHeight="1" x14ac:dyDescent="0.25">
      <c r="N248" s="70"/>
    </row>
    <row r="249" spans="14:14" ht="24.75" customHeight="1" x14ac:dyDescent="0.25">
      <c r="N249" s="70"/>
    </row>
    <row r="250" spans="14:14" ht="24.75" customHeight="1" x14ac:dyDescent="0.25">
      <c r="N250" s="70"/>
    </row>
    <row r="251" spans="14:14" ht="24.75" customHeight="1" x14ac:dyDescent="0.25">
      <c r="N251" s="70"/>
    </row>
    <row r="252" spans="14:14" ht="24.75" customHeight="1" x14ac:dyDescent="0.25">
      <c r="N252" s="70"/>
    </row>
    <row r="253" spans="14:14" ht="24.75" customHeight="1" x14ac:dyDescent="0.25">
      <c r="N253" s="70"/>
    </row>
    <row r="254" spans="14:14" ht="24.75" customHeight="1" x14ac:dyDescent="0.25">
      <c r="N254" s="70"/>
    </row>
    <row r="255" spans="14:14" ht="24.75" customHeight="1" x14ac:dyDescent="0.25">
      <c r="N255" s="70"/>
    </row>
    <row r="256" spans="14:14" ht="24.75" customHeight="1" x14ac:dyDescent="0.25">
      <c r="N256" s="70"/>
    </row>
    <row r="257" spans="14:14" ht="24.75" customHeight="1" x14ac:dyDescent="0.25">
      <c r="N257" s="70"/>
    </row>
    <row r="258" spans="14:14" ht="24.75" customHeight="1" x14ac:dyDescent="0.25">
      <c r="N258" s="70"/>
    </row>
    <row r="259" spans="14:14" ht="24.75" customHeight="1" x14ac:dyDescent="0.25">
      <c r="N259" s="70"/>
    </row>
    <row r="260" spans="14:14" ht="24.75" customHeight="1" x14ac:dyDescent="0.25">
      <c r="N260" s="70"/>
    </row>
    <row r="261" spans="14:14" ht="24.75" customHeight="1" x14ac:dyDescent="0.25">
      <c r="N261" s="70"/>
    </row>
  </sheetData>
  <autoFilter ref="A1:T33" xr:uid="{00000000-0009-0000-0000-000008000000}"/>
  <pageMargins left="0.7" right="0.7" top="0.75" bottom="0.75" header="0.3" footer="0.3"/>
  <pageSetup paperSize="9"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LiSTAS!$C$2:$C$11</xm:f>
          </x14:formula1>
          <xm:sqref>N7:N8 N15:N16 N23:N25 N27:N261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S100"/>
  <sheetViews>
    <sheetView zoomScale="90" zoomScaleNormal="90" workbookViewId="0">
      <selection activeCell="B8" sqref="B8"/>
    </sheetView>
  </sheetViews>
  <sheetFormatPr baseColWidth="10" defaultRowHeight="15" x14ac:dyDescent="0.25"/>
  <cols>
    <col min="5" max="5" width="11.85546875" bestFit="1" customWidth="1"/>
    <col min="11" max="11" width="9.85546875" customWidth="1"/>
    <col min="12" max="12" width="17.28515625" customWidth="1"/>
    <col min="14" max="14" width="6.85546875" customWidth="1"/>
    <col min="19" max="19" width="0.5703125" customWidth="1"/>
  </cols>
  <sheetData>
    <row r="1" spans="1:19" ht="52.5" customHeight="1" thickBot="1" x14ac:dyDescent="0.3">
      <c r="A1" s="462" t="s">
        <v>1790</v>
      </c>
      <c r="B1" s="463"/>
      <c r="C1" s="463"/>
      <c r="D1" s="463"/>
      <c r="E1" s="463"/>
      <c r="F1" s="463"/>
      <c r="G1" s="463"/>
      <c r="H1" s="463"/>
      <c r="I1" s="463"/>
      <c r="J1" s="463"/>
      <c r="K1" s="463"/>
      <c r="L1" s="463"/>
      <c r="M1" s="463"/>
      <c r="N1" s="463"/>
      <c r="O1" s="459">
        <f ca="1">NOW()</f>
        <v>45861.640435416666</v>
      </c>
      <c r="P1" s="460"/>
      <c r="Q1" s="460"/>
      <c r="R1" s="460"/>
      <c r="S1" s="461"/>
    </row>
    <row r="5" spans="1:19" ht="2.25" customHeight="1" thickBot="1" x14ac:dyDescent="0.3"/>
    <row r="6" spans="1:19" ht="24.75" customHeight="1" thickBot="1" x14ac:dyDescent="0.4">
      <c r="A6" s="464" t="s">
        <v>1903</v>
      </c>
      <c r="B6" s="465"/>
      <c r="C6" s="465"/>
      <c r="D6" s="465"/>
      <c r="E6" s="465"/>
      <c r="F6" s="465"/>
      <c r="G6" s="465"/>
      <c r="H6" s="465"/>
      <c r="I6" s="465"/>
      <c r="J6" s="465"/>
      <c r="K6" s="465"/>
      <c r="L6" s="465"/>
      <c r="M6" s="465"/>
      <c r="N6" s="465"/>
      <c r="O6" s="465"/>
      <c r="P6" s="465"/>
      <c r="Q6" s="465"/>
      <c r="R6" s="466"/>
    </row>
    <row r="7" spans="1:19" s="487" customFormat="1" x14ac:dyDescent="0.25"/>
    <row r="8" spans="1:19" s="487" customFormat="1" ht="15.75" x14ac:dyDescent="0.25">
      <c r="A8" s="488" t="s">
        <v>1791</v>
      </c>
      <c r="B8" s="475">
        <v>22741</v>
      </c>
      <c r="C8" s="489" t="s">
        <v>1793</v>
      </c>
      <c r="D8" s="489"/>
      <c r="E8" s="476" t="s">
        <v>2012</v>
      </c>
      <c r="F8" s="476"/>
      <c r="G8" s="476"/>
      <c r="H8" s="476"/>
      <c r="I8" s="476"/>
      <c r="J8" s="476"/>
      <c r="K8" s="476"/>
      <c r="L8" s="490" t="s">
        <v>1795</v>
      </c>
      <c r="M8" s="477">
        <v>3154529699</v>
      </c>
      <c r="N8" s="476"/>
      <c r="P8" s="490" t="s">
        <v>1796</v>
      </c>
      <c r="Q8" s="476" t="s">
        <v>570</v>
      </c>
      <c r="R8" s="476"/>
    </row>
    <row r="9" spans="1:19" s="487" customFormat="1" x14ac:dyDescent="0.25"/>
    <row r="10" spans="1:19" s="487" customFormat="1" ht="15.75" x14ac:dyDescent="0.25">
      <c r="C10" s="489" t="s">
        <v>1797</v>
      </c>
      <c r="D10" s="489"/>
      <c r="E10" s="478">
        <v>45828</v>
      </c>
      <c r="G10" s="488" t="s">
        <v>1799</v>
      </c>
      <c r="H10" s="476" t="s">
        <v>89</v>
      </c>
      <c r="I10" s="476"/>
      <c r="J10" s="476"/>
      <c r="K10" s="476"/>
      <c r="L10" s="490" t="s">
        <v>1800</v>
      </c>
      <c r="M10" s="476" t="s">
        <v>97</v>
      </c>
      <c r="N10" s="476"/>
      <c r="O10" s="476"/>
      <c r="P10" s="490" t="s">
        <v>1798</v>
      </c>
      <c r="Q10" s="479" t="s">
        <v>88</v>
      </c>
      <c r="R10" s="476"/>
    </row>
    <row r="11" spans="1:19" s="487" customFormat="1" x14ac:dyDescent="0.25"/>
    <row r="12" spans="1:19" s="487" customFormat="1" ht="15.75" customHeight="1" x14ac:dyDescent="0.25">
      <c r="A12" s="489" t="s">
        <v>1802</v>
      </c>
      <c r="B12" s="489"/>
      <c r="C12" s="480" t="s">
        <v>2014</v>
      </c>
      <c r="D12" s="481"/>
      <c r="E12" s="481"/>
      <c r="F12" s="481"/>
      <c r="G12" s="481"/>
      <c r="H12" s="481"/>
      <c r="I12" s="481"/>
      <c r="J12" s="481"/>
      <c r="K12" s="481"/>
      <c r="L12" s="481"/>
      <c r="M12" s="481"/>
      <c r="N12" s="481"/>
      <c r="O12" s="481"/>
      <c r="P12" s="481"/>
      <c r="Q12" s="481"/>
      <c r="R12" s="481"/>
    </row>
    <row r="13" spans="1:19" s="487" customFormat="1" x14ac:dyDescent="0.25"/>
    <row r="14" spans="1:19" s="487" customFormat="1" x14ac:dyDescent="0.25">
      <c r="A14" s="489" t="s">
        <v>1905</v>
      </c>
      <c r="B14" s="489"/>
      <c r="C14" s="482">
        <v>45827</v>
      </c>
      <c r="E14" s="489" t="s">
        <v>1906</v>
      </c>
      <c r="F14" s="489"/>
      <c r="G14" s="482">
        <v>45832</v>
      </c>
      <c r="H14" s="491" t="s">
        <v>1805</v>
      </c>
      <c r="I14" s="491"/>
      <c r="J14" s="483" t="s">
        <v>1987</v>
      </c>
      <c r="K14" s="484"/>
      <c r="L14" s="484"/>
      <c r="M14" s="484"/>
      <c r="N14" s="484"/>
      <c r="O14" s="484"/>
      <c r="P14" s="484"/>
      <c r="Q14" s="484"/>
      <c r="R14" s="484"/>
    </row>
    <row r="15" spans="1:19" s="487" customFormat="1" x14ac:dyDescent="0.25"/>
    <row r="16" spans="1:19" s="487" customFormat="1" x14ac:dyDescent="0.25">
      <c r="A16" s="489" t="s">
        <v>1806</v>
      </c>
      <c r="B16" s="489"/>
      <c r="C16" s="485">
        <v>12383575.539999999</v>
      </c>
      <c r="D16" s="485"/>
      <c r="E16" s="491" t="s">
        <v>1807</v>
      </c>
      <c r="F16" s="491"/>
      <c r="G16" s="485">
        <v>0</v>
      </c>
      <c r="H16" s="485"/>
      <c r="J16" s="492" t="s">
        <v>1907</v>
      </c>
      <c r="K16" s="493"/>
      <c r="L16" s="467">
        <v>12383575</v>
      </c>
      <c r="M16" s="486"/>
      <c r="N16" s="486"/>
    </row>
    <row r="17" spans="5:14" s="487" customFormat="1" x14ac:dyDescent="0.25">
      <c r="E17" s="491" t="s">
        <v>1809</v>
      </c>
      <c r="F17" s="491"/>
      <c r="G17" s="485">
        <v>0</v>
      </c>
      <c r="H17" s="485"/>
      <c r="J17" s="493"/>
      <c r="K17" s="493"/>
      <c r="L17" s="486"/>
      <c r="M17" s="486"/>
      <c r="N17" s="486"/>
    </row>
    <row r="18" spans="5:14" s="487" customFormat="1" x14ac:dyDescent="0.25">
      <c r="E18" s="491" t="s">
        <v>1808</v>
      </c>
      <c r="F18" s="491"/>
      <c r="G18" s="484"/>
      <c r="H18" s="484"/>
      <c r="J18" s="493"/>
      <c r="K18" s="493"/>
      <c r="L18" s="486"/>
      <c r="M18" s="486"/>
      <c r="N18" s="486"/>
    </row>
    <row r="19" spans="5:14" s="487" customFormat="1" x14ac:dyDescent="0.25"/>
    <row r="20" spans="5:14" s="487" customFormat="1" x14ac:dyDescent="0.25"/>
    <row r="21" spans="5:14" s="487" customFormat="1" x14ac:dyDescent="0.25"/>
    <row r="22" spans="5:14" s="487" customFormat="1" x14ac:dyDescent="0.25"/>
    <row r="23" spans="5:14" s="487" customFormat="1" x14ac:dyDescent="0.25"/>
    <row r="24" spans="5:14" s="487" customFormat="1" x14ac:dyDescent="0.25"/>
    <row r="25" spans="5:14" s="487" customFormat="1" x14ac:dyDescent="0.25"/>
    <row r="26" spans="5:14" s="487" customFormat="1" x14ac:dyDescent="0.25"/>
    <row r="27" spans="5:14" s="487" customFormat="1" x14ac:dyDescent="0.25"/>
    <row r="28" spans="5:14" s="487" customFormat="1" x14ac:dyDescent="0.25"/>
    <row r="29" spans="5:14" s="487" customFormat="1" x14ac:dyDescent="0.25"/>
    <row r="30" spans="5:14" s="487" customFormat="1" x14ac:dyDescent="0.25"/>
    <row r="31" spans="5:14" s="487" customFormat="1" x14ac:dyDescent="0.25"/>
    <row r="32" spans="5:14" s="487" customFormat="1" x14ac:dyDescent="0.25"/>
    <row r="33" s="487" customFormat="1" x14ac:dyDescent="0.25"/>
    <row r="34" s="487" customFormat="1" x14ac:dyDescent="0.25"/>
    <row r="35" s="487" customFormat="1" x14ac:dyDescent="0.25"/>
    <row r="36" s="487" customFormat="1" x14ac:dyDescent="0.25"/>
    <row r="37" s="487" customFormat="1" x14ac:dyDescent="0.25"/>
    <row r="38" s="487" customFormat="1" x14ac:dyDescent="0.25"/>
    <row r="39" s="487" customFormat="1" x14ac:dyDescent="0.25"/>
    <row r="40" s="487" customFormat="1" x14ac:dyDescent="0.25"/>
    <row r="41" s="487" customFormat="1" x14ac:dyDescent="0.25"/>
    <row r="42" s="487" customFormat="1" x14ac:dyDescent="0.25"/>
    <row r="43" s="487" customFormat="1" x14ac:dyDescent="0.25"/>
    <row r="44" s="487" customFormat="1" x14ac:dyDescent="0.25"/>
    <row r="45" s="487" customFormat="1" x14ac:dyDescent="0.25"/>
    <row r="46" s="487" customFormat="1" x14ac:dyDescent="0.25"/>
    <row r="47" s="487" customFormat="1" x14ac:dyDescent="0.25"/>
    <row r="48" s="487" customFormat="1" x14ac:dyDescent="0.25"/>
    <row r="49" spans="1:18" s="487" customFormat="1" x14ac:dyDescent="0.25"/>
    <row r="50" spans="1:18" ht="15.75" x14ac:dyDescent="0.25">
      <c r="A50" s="405" t="s">
        <v>21</v>
      </c>
      <c r="B50" s="405" t="s">
        <v>2</v>
      </c>
      <c r="C50" s="473" t="s">
        <v>4</v>
      </c>
      <c r="D50" s="473"/>
      <c r="E50" s="473"/>
      <c r="F50" s="473"/>
      <c r="G50" s="473"/>
      <c r="H50" s="473" t="s">
        <v>1908</v>
      </c>
      <c r="I50" s="473"/>
      <c r="J50" s="473" t="s">
        <v>1909</v>
      </c>
      <c r="K50" s="473"/>
      <c r="L50" s="405" t="s">
        <v>67</v>
      </c>
      <c r="M50" s="473" t="s">
        <v>30</v>
      </c>
      <c r="N50" s="473"/>
      <c r="O50" s="473" t="s">
        <v>1910</v>
      </c>
      <c r="P50" s="473"/>
      <c r="Q50" s="473"/>
      <c r="R50" s="473"/>
    </row>
    <row r="51" spans="1:18" x14ac:dyDescent="0.25">
      <c r="A51" s="74"/>
      <c r="B51" s="74"/>
      <c r="C51" s="472"/>
      <c r="D51" s="472"/>
      <c r="E51" s="472"/>
      <c r="F51" s="472"/>
      <c r="G51" s="472"/>
      <c r="H51" s="472"/>
      <c r="I51" s="472"/>
      <c r="J51" s="472"/>
      <c r="K51" s="472"/>
      <c r="L51" s="74"/>
      <c r="M51" s="472"/>
      <c r="N51" s="472"/>
      <c r="O51" s="472"/>
      <c r="P51" s="472"/>
      <c r="Q51" s="472"/>
      <c r="R51" s="472"/>
    </row>
    <row r="52" spans="1:18" x14ac:dyDescent="0.25">
      <c r="A52" s="74"/>
      <c r="B52" s="74"/>
      <c r="C52" s="472"/>
      <c r="D52" s="472"/>
      <c r="E52" s="472"/>
      <c r="F52" s="472"/>
      <c r="G52" s="472"/>
      <c r="H52" s="472"/>
      <c r="I52" s="472"/>
      <c r="J52" s="472"/>
      <c r="K52" s="472"/>
      <c r="L52" s="74"/>
      <c r="M52" s="472"/>
      <c r="N52" s="472"/>
      <c r="O52" s="472"/>
      <c r="P52" s="472"/>
      <c r="Q52" s="472"/>
      <c r="R52" s="472"/>
    </row>
    <row r="53" spans="1:18" x14ac:dyDescent="0.25">
      <c r="A53" s="74"/>
      <c r="B53" s="74"/>
      <c r="C53" s="472"/>
      <c r="D53" s="472"/>
      <c r="E53" s="472"/>
      <c r="F53" s="472"/>
      <c r="G53" s="472"/>
      <c r="H53" s="472"/>
      <c r="I53" s="472"/>
      <c r="J53" s="472"/>
      <c r="K53" s="472"/>
      <c r="L53" s="74"/>
      <c r="M53" s="472"/>
      <c r="N53" s="472"/>
      <c r="O53" s="472"/>
      <c r="P53" s="472"/>
      <c r="Q53" s="472"/>
      <c r="R53" s="472"/>
    </row>
    <row r="54" spans="1:18" x14ac:dyDescent="0.25">
      <c r="A54" s="74"/>
      <c r="B54" s="74"/>
      <c r="C54" s="472"/>
      <c r="D54" s="472"/>
      <c r="E54" s="472"/>
      <c r="F54" s="472"/>
      <c r="G54" s="472"/>
      <c r="H54" s="472"/>
      <c r="I54" s="472"/>
      <c r="J54" s="472"/>
      <c r="K54" s="472"/>
      <c r="L54" s="74"/>
      <c r="M54" s="472"/>
      <c r="N54" s="472"/>
      <c r="O54" s="472"/>
      <c r="P54" s="472"/>
      <c r="Q54" s="472"/>
      <c r="R54" s="472"/>
    </row>
    <row r="55" spans="1:18" x14ac:dyDescent="0.25">
      <c r="A55" s="74"/>
      <c r="B55" s="74"/>
      <c r="C55" s="472"/>
      <c r="D55" s="472"/>
      <c r="E55" s="472"/>
      <c r="F55" s="472"/>
      <c r="G55" s="472"/>
      <c r="H55" s="472"/>
      <c r="I55" s="472"/>
      <c r="J55" s="472"/>
      <c r="K55" s="472"/>
      <c r="L55" s="74"/>
      <c r="M55" s="472"/>
      <c r="N55" s="472"/>
      <c r="O55" s="472"/>
      <c r="P55" s="472"/>
      <c r="Q55" s="472"/>
      <c r="R55" s="472"/>
    </row>
    <row r="56" spans="1:18" x14ac:dyDescent="0.25">
      <c r="A56" s="74"/>
      <c r="B56" s="74"/>
      <c r="C56" s="472"/>
      <c r="D56" s="472"/>
      <c r="E56" s="472"/>
      <c r="F56" s="472"/>
      <c r="G56" s="472"/>
      <c r="H56" s="472"/>
      <c r="I56" s="472"/>
      <c r="J56" s="472"/>
      <c r="K56" s="472"/>
      <c r="L56" s="74"/>
      <c r="M56" s="472"/>
      <c r="N56" s="472"/>
      <c r="O56" s="472"/>
      <c r="P56" s="472"/>
      <c r="Q56" s="472"/>
      <c r="R56" s="472"/>
    </row>
    <row r="57" spans="1:18" x14ac:dyDescent="0.25">
      <c r="A57" s="74"/>
      <c r="B57" s="74"/>
      <c r="C57" s="472"/>
      <c r="D57" s="472"/>
      <c r="E57" s="472"/>
      <c r="F57" s="472"/>
      <c r="G57" s="472"/>
      <c r="H57" s="472"/>
      <c r="I57" s="472"/>
      <c r="J57" s="472"/>
      <c r="K57" s="472"/>
      <c r="L57" s="74"/>
      <c r="M57" s="472"/>
      <c r="N57" s="472"/>
      <c r="O57" s="472"/>
      <c r="P57" s="472"/>
      <c r="Q57" s="472"/>
      <c r="R57" s="472"/>
    </row>
    <row r="58" spans="1:18" x14ac:dyDescent="0.25">
      <c r="A58" s="74"/>
      <c r="B58" s="74"/>
      <c r="C58" s="472"/>
      <c r="D58" s="472"/>
      <c r="E58" s="472"/>
      <c r="F58" s="472"/>
      <c r="G58" s="472"/>
      <c r="H58" s="472"/>
      <c r="I58" s="472"/>
      <c r="J58" s="472"/>
      <c r="K58" s="472"/>
      <c r="L58" s="74"/>
      <c r="M58" s="472"/>
      <c r="N58" s="472"/>
      <c r="O58" s="472"/>
      <c r="P58" s="472"/>
      <c r="Q58" s="472"/>
      <c r="R58" s="472"/>
    </row>
    <row r="59" spans="1:18" x14ac:dyDescent="0.25">
      <c r="A59" s="74"/>
      <c r="B59" s="74"/>
      <c r="C59" s="472"/>
      <c r="D59" s="472"/>
      <c r="E59" s="472"/>
      <c r="F59" s="472"/>
      <c r="G59" s="472"/>
      <c r="H59" s="472"/>
      <c r="I59" s="472"/>
      <c r="J59" s="472"/>
      <c r="K59" s="472"/>
      <c r="L59" s="74"/>
      <c r="M59" s="472"/>
      <c r="N59" s="472"/>
      <c r="O59" s="472"/>
      <c r="P59" s="472"/>
      <c r="Q59" s="472"/>
      <c r="R59" s="472"/>
    </row>
    <row r="60" spans="1:18" x14ac:dyDescent="0.25">
      <c r="A60" s="74"/>
      <c r="B60" s="74"/>
      <c r="C60" s="472"/>
      <c r="D60" s="472"/>
      <c r="E60" s="472"/>
      <c r="F60" s="472"/>
      <c r="G60" s="472"/>
      <c r="H60" s="472"/>
      <c r="I60" s="472"/>
      <c r="J60" s="472"/>
      <c r="K60" s="472"/>
      <c r="L60" s="74"/>
      <c r="M60" s="472"/>
      <c r="N60" s="472"/>
      <c r="O60" s="472"/>
      <c r="P60" s="472"/>
      <c r="Q60" s="472"/>
      <c r="R60" s="472"/>
    </row>
    <row r="61" spans="1:18" x14ac:dyDescent="0.25">
      <c r="A61" s="74"/>
      <c r="B61" s="74"/>
      <c r="C61" s="472"/>
      <c r="D61" s="472"/>
      <c r="E61" s="472"/>
      <c r="F61" s="472"/>
      <c r="G61" s="472"/>
      <c r="H61" s="472"/>
      <c r="I61" s="472"/>
      <c r="J61" s="472"/>
      <c r="K61" s="472"/>
      <c r="L61" s="74"/>
      <c r="M61" s="472"/>
      <c r="N61" s="472"/>
      <c r="O61" s="472"/>
      <c r="P61" s="472"/>
      <c r="Q61" s="472"/>
      <c r="R61" s="472"/>
    </row>
    <row r="62" spans="1:18" x14ac:dyDescent="0.25">
      <c r="A62" s="74"/>
      <c r="B62" s="74"/>
      <c r="C62" s="472"/>
      <c r="D62" s="472"/>
      <c r="E62" s="472"/>
      <c r="F62" s="472"/>
      <c r="G62" s="472"/>
      <c r="H62" s="472"/>
      <c r="I62" s="472"/>
      <c r="J62" s="472"/>
      <c r="K62" s="472"/>
      <c r="L62" s="74"/>
      <c r="M62" s="472"/>
      <c r="N62" s="472"/>
      <c r="O62" s="472"/>
      <c r="P62" s="472"/>
      <c r="Q62" s="472"/>
      <c r="R62" s="472"/>
    </row>
    <row r="63" spans="1:18" x14ac:dyDescent="0.25">
      <c r="A63" s="74"/>
      <c r="B63" s="74"/>
      <c r="C63" s="472"/>
      <c r="D63" s="472"/>
      <c r="E63" s="472"/>
      <c r="F63" s="472"/>
      <c r="G63" s="472"/>
      <c r="H63" s="472"/>
      <c r="I63" s="472"/>
      <c r="J63" s="472"/>
      <c r="K63" s="472"/>
      <c r="L63" s="74"/>
      <c r="M63" s="472"/>
      <c r="N63" s="472"/>
      <c r="O63" s="472"/>
      <c r="P63" s="472"/>
      <c r="Q63" s="472"/>
      <c r="R63" s="472"/>
    </row>
    <row r="64" spans="1:18" x14ac:dyDescent="0.25">
      <c r="A64" s="74"/>
      <c r="B64" s="74"/>
      <c r="C64" s="472"/>
      <c r="D64" s="472"/>
      <c r="E64" s="472"/>
      <c r="F64" s="472"/>
      <c r="G64" s="472"/>
      <c r="H64" s="472"/>
      <c r="I64" s="472"/>
      <c r="J64" s="472"/>
      <c r="K64" s="472"/>
      <c r="L64" s="74"/>
      <c r="M64" s="472"/>
      <c r="N64" s="472"/>
      <c r="O64" s="472"/>
      <c r="P64" s="472"/>
      <c r="Q64" s="472"/>
      <c r="R64" s="472"/>
    </row>
    <row r="65" spans="1:18" x14ac:dyDescent="0.25">
      <c r="A65" s="74"/>
      <c r="B65" s="74"/>
      <c r="C65" s="472"/>
      <c r="D65" s="472"/>
      <c r="E65" s="472"/>
      <c r="F65" s="472"/>
      <c r="G65" s="472"/>
      <c r="H65" s="472"/>
      <c r="I65" s="472"/>
      <c r="J65" s="472"/>
      <c r="K65" s="472"/>
      <c r="L65" s="74"/>
      <c r="M65" s="472"/>
      <c r="N65" s="472"/>
      <c r="O65" s="472"/>
      <c r="P65" s="472"/>
      <c r="Q65" s="472"/>
      <c r="R65" s="472"/>
    </row>
    <row r="66" spans="1:18" x14ac:dyDescent="0.25">
      <c r="A66" s="74"/>
      <c r="B66" s="74"/>
      <c r="C66" s="472"/>
      <c r="D66" s="472"/>
      <c r="E66" s="472"/>
      <c r="F66" s="472"/>
      <c r="G66" s="472"/>
      <c r="H66" s="472"/>
      <c r="I66" s="472"/>
      <c r="J66" s="472"/>
      <c r="K66" s="472"/>
      <c r="L66" s="74"/>
      <c r="M66" s="472"/>
      <c r="N66" s="472"/>
      <c r="O66" s="472"/>
      <c r="P66" s="472"/>
      <c r="Q66" s="472"/>
      <c r="R66" s="472"/>
    </row>
    <row r="67" spans="1:18" x14ac:dyDescent="0.25">
      <c r="A67" s="74"/>
      <c r="B67" s="74"/>
      <c r="C67" s="472"/>
      <c r="D67" s="472"/>
      <c r="E67" s="472"/>
      <c r="F67" s="472"/>
      <c r="G67" s="472"/>
      <c r="H67" s="472"/>
      <c r="I67" s="472"/>
      <c r="J67" s="472"/>
      <c r="K67" s="472"/>
      <c r="L67" s="74"/>
      <c r="M67" s="472"/>
      <c r="N67" s="472"/>
      <c r="O67" s="472"/>
      <c r="P67" s="472"/>
      <c r="Q67" s="472"/>
      <c r="R67" s="472"/>
    </row>
    <row r="68" spans="1:18" x14ac:dyDescent="0.25">
      <c r="A68" s="74"/>
      <c r="B68" s="74"/>
      <c r="C68" s="472"/>
      <c r="D68" s="472"/>
      <c r="E68" s="472"/>
      <c r="F68" s="472"/>
      <c r="G68" s="472"/>
      <c r="H68" s="472"/>
      <c r="I68" s="472"/>
      <c r="J68" s="472"/>
      <c r="K68" s="472"/>
      <c r="L68" s="74"/>
      <c r="M68" s="472"/>
      <c r="N68" s="472"/>
      <c r="O68" s="472"/>
      <c r="P68" s="472"/>
      <c r="Q68" s="472"/>
      <c r="R68" s="472"/>
    </row>
    <row r="69" spans="1:18" x14ac:dyDescent="0.25">
      <c r="A69" s="74"/>
      <c r="B69" s="74"/>
      <c r="C69" s="472"/>
      <c r="D69" s="472"/>
      <c r="E69" s="472"/>
      <c r="F69" s="472"/>
      <c r="G69" s="472"/>
      <c r="H69" s="472"/>
      <c r="I69" s="472"/>
      <c r="J69" s="472"/>
      <c r="K69" s="472"/>
      <c r="L69" s="74"/>
      <c r="M69" s="472"/>
      <c r="N69" s="472"/>
      <c r="O69" s="472"/>
      <c r="P69" s="472"/>
      <c r="Q69" s="472"/>
      <c r="R69" s="472"/>
    </row>
    <row r="70" spans="1:18" x14ac:dyDescent="0.25">
      <c r="A70" s="74"/>
      <c r="B70" s="74"/>
      <c r="C70" s="472"/>
      <c r="D70" s="472"/>
      <c r="E70" s="472"/>
      <c r="F70" s="472"/>
      <c r="G70" s="472"/>
      <c r="H70" s="472"/>
      <c r="I70" s="472"/>
      <c r="J70" s="472"/>
      <c r="K70" s="472"/>
      <c r="L70" s="74"/>
      <c r="M70" s="472"/>
      <c r="N70" s="472"/>
      <c r="O70" s="472"/>
      <c r="P70" s="472"/>
      <c r="Q70" s="472"/>
      <c r="R70" s="472"/>
    </row>
    <row r="71" spans="1:18" x14ac:dyDescent="0.25">
      <c r="A71" s="74"/>
      <c r="B71" s="74"/>
      <c r="C71" s="472"/>
      <c r="D71" s="472"/>
      <c r="E71" s="472"/>
      <c r="F71" s="472"/>
      <c r="G71" s="472"/>
      <c r="H71" s="472"/>
      <c r="I71" s="472"/>
      <c r="J71" s="472"/>
      <c r="K71" s="472"/>
      <c r="L71" s="74"/>
      <c r="M71" s="472"/>
      <c r="N71" s="472"/>
      <c r="O71" s="472"/>
      <c r="P71" s="472"/>
      <c r="Q71" s="472"/>
      <c r="R71" s="472"/>
    </row>
    <row r="72" spans="1:18" x14ac:dyDescent="0.25">
      <c r="A72" s="74"/>
      <c r="B72" s="74"/>
      <c r="C72" s="472"/>
      <c r="D72" s="472"/>
      <c r="E72" s="472"/>
      <c r="F72" s="472"/>
      <c r="G72" s="472"/>
      <c r="H72" s="472"/>
      <c r="I72" s="472"/>
      <c r="J72" s="472"/>
      <c r="K72" s="472"/>
      <c r="L72" s="74"/>
      <c r="M72" s="472"/>
      <c r="N72" s="472"/>
      <c r="O72" s="472"/>
      <c r="P72" s="472"/>
      <c r="Q72" s="472"/>
      <c r="R72" s="472"/>
    </row>
    <row r="73" spans="1:18" x14ac:dyDescent="0.25">
      <c r="A73" s="74"/>
      <c r="B73" s="74"/>
      <c r="C73" s="472"/>
      <c r="D73" s="472"/>
      <c r="E73" s="472"/>
      <c r="F73" s="472"/>
      <c r="G73" s="472"/>
      <c r="H73" s="472"/>
      <c r="I73" s="472"/>
      <c r="J73" s="472"/>
      <c r="K73" s="472"/>
      <c r="L73" s="74"/>
      <c r="M73" s="472"/>
      <c r="N73" s="472"/>
      <c r="O73" s="472"/>
      <c r="P73" s="472"/>
      <c r="Q73" s="472"/>
      <c r="R73" s="472"/>
    </row>
    <row r="74" spans="1:18" x14ac:dyDescent="0.25">
      <c r="A74" s="74"/>
      <c r="B74" s="74"/>
      <c r="C74" s="472"/>
      <c r="D74" s="472"/>
      <c r="E74" s="472"/>
      <c r="F74" s="472"/>
      <c r="G74" s="472"/>
      <c r="H74" s="472"/>
      <c r="I74" s="472"/>
      <c r="J74" s="472"/>
      <c r="K74" s="472"/>
      <c r="L74" s="74"/>
      <c r="M74" s="472"/>
      <c r="N74" s="472"/>
      <c r="O74" s="472"/>
      <c r="P74" s="472"/>
      <c r="Q74" s="472"/>
      <c r="R74" s="472"/>
    </row>
    <row r="75" spans="1:18" x14ac:dyDescent="0.25">
      <c r="A75" s="74"/>
      <c r="B75" s="74"/>
      <c r="C75" s="472"/>
      <c r="D75" s="472"/>
      <c r="E75" s="472"/>
      <c r="F75" s="472"/>
      <c r="G75" s="472"/>
      <c r="H75" s="472"/>
      <c r="I75" s="472"/>
      <c r="J75" s="472"/>
      <c r="K75" s="472"/>
      <c r="L75" s="74"/>
      <c r="M75" s="472"/>
      <c r="N75" s="472"/>
      <c r="O75" s="472"/>
      <c r="P75" s="472"/>
      <c r="Q75" s="472"/>
      <c r="R75" s="472"/>
    </row>
    <row r="76" spans="1:18" x14ac:dyDescent="0.25">
      <c r="A76" s="74"/>
      <c r="B76" s="74"/>
      <c r="C76" s="472"/>
      <c r="D76" s="472"/>
      <c r="E76" s="472"/>
      <c r="F76" s="472"/>
      <c r="G76" s="472"/>
      <c r="H76" s="472"/>
      <c r="I76" s="472"/>
      <c r="J76" s="472"/>
      <c r="K76" s="472"/>
      <c r="L76" s="74"/>
      <c r="M76" s="472"/>
      <c r="N76" s="472"/>
      <c r="O76" s="472"/>
      <c r="P76" s="472"/>
      <c r="Q76" s="472"/>
      <c r="R76" s="472"/>
    </row>
    <row r="77" spans="1:18" x14ac:dyDescent="0.25">
      <c r="A77" s="74"/>
      <c r="B77" s="74"/>
      <c r="C77" s="472"/>
      <c r="D77" s="472"/>
      <c r="E77" s="472"/>
      <c r="F77" s="472"/>
      <c r="G77" s="472"/>
      <c r="H77" s="472"/>
      <c r="I77" s="472"/>
      <c r="J77" s="472"/>
      <c r="K77" s="472"/>
      <c r="L77" s="74"/>
      <c r="M77" s="472"/>
      <c r="N77" s="472"/>
      <c r="O77" s="472"/>
      <c r="P77" s="472"/>
      <c r="Q77" s="472"/>
      <c r="R77" s="472"/>
    </row>
    <row r="78" spans="1:18" x14ac:dyDescent="0.25">
      <c r="A78" s="74"/>
      <c r="B78" s="74"/>
      <c r="C78" s="472"/>
      <c r="D78" s="472"/>
      <c r="E78" s="472"/>
      <c r="F78" s="472"/>
      <c r="G78" s="472"/>
      <c r="H78" s="472"/>
      <c r="I78" s="472"/>
      <c r="J78" s="472"/>
      <c r="K78" s="472"/>
      <c r="L78" s="74"/>
      <c r="M78" s="472"/>
      <c r="N78" s="472"/>
      <c r="O78" s="472"/>
      <c r="P78" s="472"/>
      <c r="Q78" s="472"/>
      <c r="R78" s="472"/>
    </row>
    <row r="79" spans="1:18" x14ac:dyDescent="0.25">
      <c r="A79" s="74"/>
      <c r="B79" s="74"/>
      <c r="C79" s="472"/>
      <c r="D79" s="472"/>
      <c r="E79" s="472"/>
      <c r="F79" s="472"/>
      <c r="G79" s="472"/>
      <c r="H79" s="472"/>
      <c r="I79" s="472"/>
      <c r="J79" s="472"/>
      <c r="K79" s="472"/>
      <c r="L79" s="74"/>
      <c r="M79" s="472"/>
      <c r="N79" s="472"/>
      <c r="O79" s="472"/>
      <c r="P79" s="472"/>
      <c r="Q79" s="472"/>
      <c r="R79" s="472"/>
    </row>
    <row r="80" spans="1:18" x14ac:dyDescent="0.25">
      <c r="A80" s="74"/>
      <c r="B80" s="74"/>
      <c r="C80" s="472"/>
      <c r="D80" s="472"/>
      <c r="E80" s="472"/>
      <c r="F80" s="472"/>
      <c r="G80" s="472"/>
      <c r="H80" s="472"/>
      <c r="I80" s="472"/>
      <c r="J80" s="472"/>
      <c r="K80" s="472"/>
      <c r="L80" s="74"/>
      <c r="M80" s="472"/>
      <c r="N80" s="472"/>
      <c r="O80" s="472"/>
      <c r="P80" s="472"/>
      <c r="Q80" s="472"/>
      <c r="R80" s="472"/>
    </row>
    <row r="81" spans="1:18" x14ac:dyDescent="0.25">
      <c r="A81" s="74"/>
      <c r="B81" s="74"/>
      <c r="C81" s="472"/>
      <c r="D81" s="472"/>
      <c r="E81" s="472"/>
      <c r="F81" s="472"/>
      <c r="G81" s="472"/>
      <c r="H81" s="472"/>
      <c r="I81" s="472"/>
      <c r="J81" s="472"/>
      <c r="K81" s="472"/>
      <c r="L81" s="74"/>
      <c r="M81" s="472"/>
      <c r="N81" s="472"/>
      <c r="O81" s="472"/>
      <c r="P81" s="472"/>
      <c r="Q81" s="472"/>
      <c r="R81" s="472"/>
    </row>
    <row r="82" spans="1:18" x14ac:dyDescent="0.25">
      <c r="A82" s="74"/>
      <c r="B82" s="74"/>
      <c r="C82" s="472"/>
      <c r="D82" s="472"/>
      <c r="E82" s="472"/>
      <c r="F82" s="472"/>
      <c r="G82" s="472"/>
      <c r="H82" s="472"/>
      <c r="I82" s="472"/>
      <c r="J82" s="472"/>
      <c r="K82" s="472"/>
      <c r="L82" s="74"/>
      <c r="M82" s="472"/>
      <c r="N82" s="472"/>
      <c r="O82" s="472"/>
      <c r="P82" s="472"/>
      <c r="Q82" s="472"/>
      <c r="R82" s="472"/>
    </row>
    <row r="83" spans="1:18" x14ac:dyDescent="0.25">
      <c r="A83" s="74"/>
      <c r="B83" s="74"/>
      <c r="C83" s="472"/>
      <c r="D83" s="472"/>
      <c r="E83" s="472"/>
      <c r="F83" s="472"/>
      <c r="G83" s="472"/>
      <c r="H83" s="472"/>
      <c r="I83" s="472"/>
      <c r="J83" s="472"/>
      <c r="K83" s="472"/>
      <c r="L83" s="74"/>
      <c r="M83" s="472"/>
      <c r="N83" s="472"/>
      <c r="O83" s="472"/>
      <c r="P83" s="472"/>
      <c r="Q83" s="472"/>
      <c r="R83" s="472"/>
    </row>
    <row r="84" spans="1:18" x14ac:dyDescent="0.25">
      <c r="A84" s="74"/>
      <c r="B84" s="74"/>
      <c r="C84" s="472"/>
      <c r="D84" s="472"/>
      <c r="E84" s="472"/>
      <c r="F84" s="472"/>
      <c r="G84" s="472"/>
      <c r="H84" s="472"/>
      <c r="I84" s="472"/>
      <c r="J84" s="472"/>
      <c r="K84" s="472"/>
      <c r="L84" s="74"/>
      <c r="M84" s="472"/>
      <c r="N84" s="472"/>
      <c r="O84" s="472"/>
      <c r="P84" s="472"/>
      <c r="Q84" s="472"/>
      <c r="R84" s="472"/>
    </row>
    <row r="85" spans="1:18" x14ac:dyDescent="0.25">
      <c r="A85" s="74"/>
      <c r="B85" s="74"/>
      <c r="C85" s="472"/>
      <c r="D85" s="472"/>
      <c r="E85" s="472"/>
      <c r="F85" s="472"/>
      <c r="G85" s="472"/>
      <c r="H85" s="472"/>
      <c r="I85" s="472"/>
      <c r="J85" s="472"/>
      <c r="K85" s="472"/>
      <c r="L85" s="74"/>
      <c r="M85" s="472"/>
      <c r="N85" s="472"/>
      <c r="O85" s="472"/>
      <c r="P85" s="472"/>
      <c r="Q85" s="472"/>
      <c r="R85" s="472"/>
    </row>
    <row r="86" spans="1:18" x14ac:dyDescent="0.25">
      <c r="A86" s="74"/>
      <c r="B86" s="74"/>
      <c r="C86" s="472"/>
      <c r="D86" s="472"/>
      <c r="E86" s="472"/>
      <c r="F86" s="472"/>
      <c r="G86" s="472"/>
      <c r="H86" s="472"/>
      <c r="I86" s="472"/>
      <c r="J86" s="472"/>
      <c r="K86" s="472"/>
      <c r="L86" s="74"/>
      <c r="M86" s="472"/>
      <c r="N86" s="472"/>
      <c r="O86" s="472"/>
      <c r="P86" s="472"/>
      <c r="Q86" s="472"/>
      <c r="R86" s="472"/>
    </row>
    <row r="87" spans="1:18" x14ac:dyDescent="0.25">
      <c r="A87" s="74"/>
      <c r="B87" s="74"/>
      <c r="C87" s="472"/>
      <c r="D87" s="472"/>
      <c r="E87" s="472"/>
      <c r="F87" s="472"/>
      <c r="G87" s="472"/>
      <c r="H87" s="472"/>
      <c r="I87" s="472"/>
      <c r="J87" s="472"/>
      <c r="K87" s="472"/>
      <c r="L87" s="74"/>
      <c r="M87" s="472"/>
      <c r="N87" s="472"/>
      <c r="O87" s="472"/>
      <c r="P87" s="472"/>
      <c r="Q87" s="472"/>
      <c r="R87" s="472"/>
    </row>
    <row r="88" spans="1:18" x14ac:dyDescent="0.25">
      <c r="A88" s="74"/>
      <c r="B88" s="74"/>
      <c r="C88" s="472"/>
      <c r="D88" s="472"/>
      <c r="E88" s="472"/>
      <c r="F88" s="472"/>
      <c r="G88" s="472"/>
      <c r="H88" s="472"/>
      <c r="I88" s="472"/>
      <c r="J88" s="472"/>
      <c r="K88" s="472"/>
      <c r="L88" s="74"/>
      <c r="M88" s="472"/>
      <c r="N88" s="472"/>
      <c r="O88" s="472"/>
      <c r="P88" s="472"/>
      <c r="Q88" s="472"/>
      <c r="R88" s="472"/>
    </row>
    <row r="89" spans="1:18" x14ac:dyDescent="0.25">
      <c r="A89" s="74"/>
      <c r="B89" s="74"/>
      <c r="C89" s="472"/>
      <c r="D89" s="472"/>
      <c r="E89" s="472"/>
      <c r="F89" s="472"/>
      <c r="G89" s="472"/>
      <c r="H89" s="472"/>
      <c r="I89" s="472"/>
      <c r="J89" s="472"/>
      <c r="K89" s="472"/>
      <c r="L89" s="74"/>
      <c r="M89" s="472"/>
      <c r="N89" s="472"/>
      <c r="O89" s="472"/>
      <c r="P89" s="472"/>
      <c r="Q89" s="472"/>
      <c r="R89" s="472"/>
    </row>
    <row r="90" spans="1:18" x14ac:dyDescent="0.25">
      <c r="A90" s="74"/>
      <c r="B90" s="74"/>
      <c r="C90" s="472"/>
      <c r="D90" s="472"/>
      <c r="E90" s="472"/>
      <c r="F90" s="472"/>
      <c r="G90" s="472"/>
      <c r="H90" s="472"/>
      <c r="I90" s="472"/>
      <c r="J90" s="472"/>
      <c r="K90" s="472"/>
      <c r="L90" s="74"/>
      <c r="M90" s="472"/>
      <c r="N90" s="472"/>
      <c r="O90" s="472"/>
      <c r="P90" s="472"/>
      <c r="Q90" s="472"/>
      <c r="R90" s="472"/>
    </row>
    <row r="91" spans="1:18" x14ac:dyDescent="0.25">
      <c r="A91" s="74"/>
      <c r="B91" s="74"/>
      <c r="C91" s="472"/>
      <c r="D91" s="472"/>
      <c r="E91" s="472"/>
      <c r="F91" s="472"/>
      <c r="G91" s="472"/>
      <c r="H91" s="472"/>
      <c r="I91" s="472"/>
      <c r="J91" s="472"/>
      <c r="K91" s="472"/>
      <c r="L91" s="74"/>
      <c r="M91" s="472"/>
      <c r="N91" s="472"/>
      <c r="O91" s="472"/>
      <c r="P91" s="472"/>
      <c r="Q91" s="472"/>
      <c r="R91" s="472"/>
    </row>
    <row r="92" spans="1:18" x14ac:dyDescent="0.25">
      <c r="A92" s="74"/>
      <c r="B92" s="74"/>
      <c r="C92" s="472"/>
      <c r="D92" s="472"/>
      <c r="E92" s="472"/>
      <c r="F92" s="472"/>
      <c r="G92" s="472"/>
      <c r="H92" s="472"/>
      <c r="I92" s="472"/>
      <c r="J92" s="472"/>
      <c r="K92" s="472"/>
      <c r="L92" s="74"/>
      <c r="M92" s="472"/>
      <c r="N92" s="472"/>
      <c r="O92" s="472"/>
      <c r="P92" s="472"/>
      <c r="Q92" s="472"/>
      <c r="R92" s="472"/>
    </row>
    <row r="93" spans="1:18" x14ac:dyDescent="0.25">
      <c r="A93" s="74"/>
      <c r="B93" s="74"/>
      <c r="C93" s="472"/>
      <c r="D93" s="472"/>
      <c r="E93" s="472"/>
      <c r="F93" s="472"/>
      <c r="G93" s="472"/>
      <c r="H93" s="472"/>
      <c r="I93" s="472"/>
      <c r="J93" s="472"/>
      <c r="K93" s="472"/>
      <c r="L93" s="74"/>
      <c r="M93" s="472"/>
      <c r="N93" s="472"/>
      <c r="O93" s="472"/>
      <c r="P93" s="472"/>
      <c r="Q93" s="472"/>
      <c r="R93" s="472"/>
    </row>
    <row r="94" spans="1:18" x14ac:dyDescent="0.25">
      <c r="A94" s="74"/>
      <c r="B94" s="74"/>
      <c r="C94" s="472"/>
      <c r="D94" s="472"/>
      <c r="E94" s="472"/>
      <c r="F94" s="472"/>
      <c r="G94" s="472"/>
      <c r="H94" s="472"/>
      <c r="I94" s="472"/>
      <c r="J94" s="472"/>
      <c r="K94" s="472"/>
      <c r="L94" s="74"/>
      <c r="M94" s="472"/>
      <c r="N94" s="472"/>
      <c r="O94" s="472"/>
      <c r="P94" s="472"/>
      <c r="Q94" s="472"/>
      <c r="R94" s="472"/>
    </row>
    <row r="95" spans="1:18" x14ac:dyDescent="0.25">
      <c r="A95" s="74"/>
      <c r="B95" s="74"/>
      <c r="C95" s="472"/>
      <c r="D95" s="472"/>
      <c r="E95" s="472"/>
      <c r="F95" s="472"/>
      <c r="G95" s="472"/>
      <c r="H95" s="472"/>
      <c r="I95" s="472"/>
      <c r="J95" s="472"/>
      <c r="K95" s="472"/>
      <c r="L95" s="74"/>
      <c r="M95" s="472"/>
      <c r="N95" s="472"/>
      <c r="O95" s="472"/>
      <c r="P95" s="472"/>
      <c r="Q95" s="472"/>
      <c r="R95" s="472"/>
    </row>
    <row r="96" spans="1:18" x14ac:dyDescent="0.25">
      <c r="A96" s="74"/>
      <c r="B96" s="74"/>
      <c r="C96" s="472"/>
      <c r="D96" s="472"/>
      <c r="E96" s="472"/>
      <c r="F96" s="472"/>
      <c r="G96" s="472"/>
      <c r="H96" s="472"/>
      <c r="I96" s="472"/>
      <c r="J96" s="472"/>
      <c r="K96" s="472"/>
      <c r="L96" s="74"/>
      <c r="M96" s="472"/>
      <c r="N96" s="472"/>
      <c r="O96" s="472"/>
      <c r="P96" s="472"/>
      <c r="Q96" s="472"/>
      <c r="R96" s="472"/>
    </row>
    <row r="97" spans="1:18" x14ac:dyDescent="0.25">
      <c r="A97" s="74"/>
      <c r="B97" s="74"/>
      <c r="C97" s="472"/>
      <c r="D97" s="472"/>
      <c r="E97" s="472"/>
      <c r="F97" s="472"/>
      <c r="G97" s="472"/>
      <c r="H97" s="472"/>
      <c r="I97" s="472"/>
      <c r="J97" s="472"/>
      <c r="K97" s="472"/>
      <c r="L97" s="74"/>
      <c r="M97" s="472"/>
      <c r="N97" s="472"/>
      <c r="O97" s="472"/>
      <c r="P97" s="472"/>
      <c r="Q97" s="472"/>
      <c r="R97" s="472"/>
    </row>
    <row r="98" spans="1:18" x14ac:dyDescent="0.25">
      <c r="A98" s="74"/>
      <c r="B98" s="74"/>
      <c r="C98" s="472"/>
      <c r="D98" s="472"/>
      <c r="E98" s="472"/>
      <c r="F98" s="472"/>
      <c r="G98" s="472"/>
      <c r="H98" s="472"/>
      <c r="I98" s="472"/>
      <c r="J98" s="472"/>
      <c r="K98" s="472"/>
      <c r="L98" s="74"/>
      <c r="M98" s="472"/>
      <c r="N98" s="472"/>
      <c r="O98" s="472"/>
      <c r="P98" s="472"/>
      <c r="Q98" s="472"/>
      <c r="R98" s="472"/>
    </row>
    <row r="99" spans="1:18" x14ac:dyDescent="0.25">
      <c r="A99" s="74"/>
      <c r="B99" s="74"/>
      <c r="C99" s="472"/>
      <c r="D99" s="472"/>
      <c r="E99" s="472"/>
      <c r="F99" s="472"/>
      <c r="G99" s="472"/>
      <c r="H99" s="472"/>
      <c r="I99" s="472"/>
      <c r="J99" s="472"/>
      <c r="K99" s="472"/>
      <c r="L99" s="74"/>
      <c r="M99" s="472"/>
      <c r="N99" s="472"/>
      <c r="O99" s="472"/>
      <c r="P99" s="472"/>
      <c r="Q99" s="472"/>
      <c r="R99" s="472"/>
    </row>
    <row r="100" spans="1:18" x14ac:dyDescent="0.25">
      <c r="A100" s="74"/>
      <c r="B100" s="74"/>
      <c r="C100" s="472"/>
      <c r="D100" s="472"/>
      <c r="E100" s="472"/>
      <c r="F100" s="472"/>
      <c r="G100" s="472"/>
      <c r="H100" s="472"/>
      <c r="I100" s="472"/>
      <c r="J100" s="472"/>
      <c r="K100" s="472"/>
      <c r="L100" s="74"/>
      <c r="M100" s="472"/>
      <c r="N100" s="472"/>
      <c r="O100" s="472"/>
      <c r="P100" s="472"/>
      <c r="Q100" s="472"/>
      <c r="R100" s="472"/>
    </row>
  </sheetData>
  <mergeCells count="282">
    <mergeCell ref="C100:G100"/>
    <mergeCell ref="J100:K100"/>
    <mergeCell ref="M100:N100"/>
    <mergeCell ref="O100:R100"/>
    <mergeCell ref="C98:G98"/>
    <mergeCell ref="J98:K98"/>
    <mergeCell ref="M98:N98"/>
    <mergeCell ref="O98:R98"/>
    <mergeCell ref="C99:G99"/>
    <mergeCell ref="J99:K99"/>
    <mergeCell ref="M99:N99"/>
    <mergeCell ref="O99:R99"/>
    <mergeCell ref="H98:I98"/>
    <mergeCell ref="H99:I99"/>
    <mergeCell ref="H100:I100"/>
    <mergeCell ref="C96:G96"/>
    <mergeCell ref="J96:K96"/>
    <mergeCell ref="M96:N96"/>
    <mergeCell ref="O96:R96"/>
    <mergeCell ref="C97:G97"/>
    <mergeCell ref="J97:K97"/>
    <mergeCell ref="M97:N97"/>
    <mergeCell ref="O97:R97"/>
    <mergeCell ref="C94:G94"/>
    <mergeCell ref="J94:K94"/>
    <mergeCell ref="M94:N94"/>
    <mergeCell ref="O94:R94"/>
    <mergeCell ref="C95:G95"/>
    <mergeCell ref="J95:K95"/>
    <mergeCell ref="M95:N95"/>
    <mergeCell ref="O95:R95"/>
    <mergeCell ref="H94:I94"/>
    <mergeCell ref="H95:I95"/>
    <mergeCell ref="H96:I96"/>
    <mergeCell ref="H97:I97"/>
    <mergeCell ref="C92:G92"/>
    <mergeCell ref="J92:K92"/>
    <mergeCell ref="M92:N92"/>
    <mergeCell ref="O92:R92"/>
    <mergeCell ref="C93:G93"/>
    <mergeCell ref="J93:K93"/>
    <mergeCell ref="M93:N93"/>
    <mergeCell ref="O93:R93"/>
    <mergeCell ref="C90:G90"/>
    <mergeCell ref="J90:K90"/>
    <mergeCell ref="M90:N90"/>
    <mergeCell ref="O90:R90"/>
    <mergeCell ref="C91:G91"/>
    <mergeCell ref="J91:K91"/>
    <mergeCell ref="M91:N91"/>
    <mergeCell ref="O91:R91"/>
    <mergeCell ref="H90:I90"/>
    <mergeCell ref="H91:I91"/>
    <mergeCell ref="H92:I92"/>
    <mergeCell ref="H93:I93"/>
    <mergeCell ref="C88:G88"/>
    <mergeCell ref="J88:K88"/>
    <mergeCell ref="M88:N88"/>
    <mergeCell ref="O88:R88"/>
    <mergeCell ref="C89:G89"/>
    <mergeCell ref="J89:K89"/>
    <mergeCell ref="M89:N89"/>
    <mergeCell ref="O89:R89"/>
    <mergeCell ref="C86:G86"/>
    <mergeCell ref="J86:K86"/>
    <mergeCell ref="M86:N86"/>
    <mergeCell ref="O86:R86"/>
    <mergeCell ref="C87:G87"/>
    <mergeCell ref="J87:K87"/>
    <mergeCell ref="M87:N87"/>
    <mergeCell ref="O87:R87"/>
    <mergeCell ref="H86:I86"/>
    <mergeCell ref="H87:I87"/>
    <mergeCell ref="H88:I88"/>
    <mergeCell ref="H89:I89"/>
    <mergeCell ref="C84:G84"/>
    <mergeCell ref="J84:K84"/>
    <mergeCell ref="M84:N84"/>
    <mergeCell ref="O84:R84"/>
    <mergeCell ref="C85:G85"/>
    <mergeCell ref="J85:K85"/>
    <mergeCell ref="M85:N85"/>
    <mergeCell ref="O85:R85"/>
    <mergeCell ref="C82:G82"/>
    <mergeCell ref="J82:K82"/>
    <mergeCell ref="M82:N82"/>
    <mergeCell ref="O82:R82"/>
    <mergeCell ref="C83:G83"/>
    <mergeCell ref="J83:K83"/>
    <mergeCell ref="M83:N83"/>
    <mergeCell ref="O83:R83"/>
    <mergeCell ref="H82:I82"/>
    <mergeCell ref="H83:I83"/>
    <mergeCell ref="H84:I84"/>
    <mergeCell ref="H85:I85"/>
    <mergeCell ref="C80:G80"/>
    <mergeCell ref="J80:K80"/>
    <mergeCell ref="M80:N80"/>
    <mergeCell ref="O80:R80"/>
    <mergeCell ref="C81:G81"/>
    <mergeCell ref="J81:K81"/>
    <mergeCell ref="M81:N81"/>
    <mergeCell ref="O81:R81"/>
    <mergeCell ref="C78:G78"/>
    <mergeCell ref="J78:K78"/>
    <mergeCell ref="M78:N78"/>
    <mergeCell ref="O78:R78"/>
    <mergeCell ref="C79:G79"/>
    <mergeCell ref="J79:K79"/>
    <mergeCell ref="M79:N79"/>
    <mergeCell ref="O79:R79"/>
    <mergeCell ref="H78:I78"/>
    <mergeCell ref="H79:I79"/>
    <mergeCell ref="H80:I80"/>
    <mergeCell ref="H81:I81"/>
    <mergeCell ref="C76:G76"/>
    <mergeCell ref="J76:K76"/>
    <mergeCell ref="M76:N76"/>
    <mergeCell ref="O76:R76"/>
    <mergeCell ref="C77:G77"/>
    <mergeCell ref="J77:K77"/>
    <mergeCell ref="M77:N77"/>
    <mergeCell ref="O77:R77"/>
    <mergeCell ref="C74:G74"/>
    <mergeCell ref="J74:K74"/>
    <mergeCell ref="M74:N74"/>
    <mergeCell ref="O74:R74"/>
    <mergeCell ref="C75:G75"/>
    <mergeCell ref="J75:K75"/>
    <mergeCell ref="M75:N75"/>
    <mergeCell ref="O75:R75"/>
    <mergeCell ref="H74:I74"/>
    <mergeCell ref="H75:I75"/>
    <mergeCell ref="H76:I76"/>
    <mergeCell ref="H77:I77"/>
    <mergeCell ref="C72:G72"/>
    <mergeCell ref="J72:K72"/>
    <mergeCell ref="M72:N72"/>
    <mergeCell ref="O72:R72"/>
    <mergeCell ref="C73:G73"/>
    <mergeCell ref="J73:K73"/>
    <mergeCell ref="M73:N73"/>
    <mergeCell ref="O73:R73"/>
    <mergeCell ref="C70:G70"/>
    <mergeCell ref="J70:K70"/>
    <mergeCell ref="M70:N70"/>
    <mergeCell ref="O70:R70"/>
    <mergeCell ref="C71:G71"/>
    <mergeCell ref="J71:K71"/>
    <mergeCell ref="M71:N71"/>
    <mergeCell ref="O71:R71"/>
    <mergeCell ref="H70:I70"/>
    <mergeCell ref="H71:I71"/>
    <mergeCell ref="H72:I72"/>
    <mergeCell ref="H73:I73"/>
    <mergeCell ref="C68:G68"/>
    <mergeCell ref="J68:K68"/>
    <mergeCell ref="M68:N68"/>
    <mergeCell ref="O68:R68"/>
    <mergeCell ref="C69:G69"/>
    <mergeCell ref="J69:K69"/>
    <mergeCell ref="M69:N69"/>
    <mergeCell ref="O69:R69"/>
    <mergeCell ref="C66:G66"/>
    <mergeCell ref="J66:K66"/>
    <mergeCell ref="M66:N66"/>
    <mergeCell ref="O66:R66"/>
    <mergeCell ref="C67:G67"/>
    <mergeCell ref="J67:K67"/>
    <mergeCell ref="M67:N67"/>
    <mergeCell ref="O67:R67"/>
    <mergeCell ref="H66:I66"/>
    <mergeCell ref="H67:I67"/>
    <mergeCell ref="H68:I68"/>
    <mergeCell ref="H69:I69"/>
    <mergeCell ref="C64:G64"/>
    <mergeCell ref="J64:K64"/>
    <mergeCell ref="M64:N64"/>
    <mergeCell ref="O64:R64"/>
    <mergeCell ref="C65:G65"/>
    <mergeCell ref="J65:K65"/>
    <mergeCell ref="M65:N65"/>
    <mergeCell ref="O65:R65"/>
    <mergeCell ref="C62:G62"/>
    <mergeCell ref="J62:K62"/>
    <mergeCell ref="M62:N62"/>
    <mergeCell ref="O62:R62"/>
    <mergeCell ref="C63:G63"/>
    <mergeCell ref="J63:K63"/>
    <mergeCell ref="M63:N63"/>
    <mergeCell ref="O63:R63"/>
    <mergeCell ref="H62:I62"/>
    <mergeCell ref="H63:I63"/>
    <mergeCell ref="H64:I64"/>
    <mergeCell ref="H65:I65"/>
    <mergeCell ref="C60:G60"/>
    <mergeCell ref="J60:K60"/>
    <mergeCell ref="M60:N60"/>
    <mergeCell ref="O60:R60"/>
    <mergeCell ref="C61:G61"/>
    <mergeCell ref="J61:K61"/>
    <mergeCell ref="M61:N61"/>
    <mergeCell ref="O61:R61"/>
    <mergeCell ref="C58:G58"/>
    <mergeCell ref="J58:K58"/>
    <mergeCell ref="M58:N58"/>
    <mergeCell ref="O58:R58"/>
    <mergeCell ref="C59:G59"/>
    <mergeCell ref="J59:K59"/>
    <mergeCell ref="M59:N59"/>
    <mergeCell ref="O59:R59"/>
    <mergeCell ref="H58:I58"/>
    <mergeCell ref="H59:I59"/>
    <mergeCell ref="H60:I60"/>
    <mergeCell ref="H61:I61"/>
    <mergeCell ref="C56:G56"/>
    <mergeCell ref="J56:K56"/>
    <mergeCell ref="M56:N56"/>
    <mergeCell ref="O56:R56"/>
    <mergeCell ref="C57:G57"/>
    <mergeCell ref="J57:K57"/>
    <mergeCell ref="M57:N57"/>
    <mergeCell ref="O57:R57"/>
    <mergeCell ref="O54:R54"/>
    <mergeCell ref="C55:G55"/>
    <mergeCell ref="J55:K55"/>
    <mergeCell ref="M55:N55"/>
    <mergeCell ref="O55:R55"/>
    <mergeCell ref="C54:G54"/>
    <mergeCell ref="J54:K54"/>
    <mergeCell ref="M54:N54"/>
    <mergeCell ref="H54:I54"/>
    <mergeCell ref="H55:I55"/>
    <mergeCell ref="H56:I56"/>
    <mergeCell ref="H57:I57"/>
    <mergeCell ref="O52:R52"/>
    <mergeCell ref="C53:G53"/>
    <mergeCell ref="J53:K53"/>
    <mergeCell ref="M53:N53"/>
    <mergeCell ref="O53:R53"/>
    <mergeCell ref="O50:R50"/>
    <mergeCell ref="C51:G51"/>
    <mergeCell ref="J51:K51"/>
    <mergeCell ref="M51:N51"/>
    <mergeCell ref="O51:R51"/>
    <mergeCell ref="C50:G50"/>
    <mergeCell ref="J50:K50"/>
    <mergeCell ref="M50:N50"/>
    <mergeCell ref="C52:G52"/>
    <mergeCell ref="J52:K52"/>
    <mergeCell ref="M52:N52"/>
    <mergeCell ref="H50:I50"/>
    <mergeCell ref="H51:I51"/>
    <mergeCell ref="H52:I52"/>
    <mergeCell ref="H53:I53"/>
    <mergeCell ref="L16:N18"/>
    <mergeCell ref="A14:B14"/>
    <mergeCell ref="E14:F14"/>
    <mergeCell ref="H14:I14"/>
    <mergeCell ref="J14:R14"/>
    <mergeCell ref="A16:B16"/>
    <mergeCell ref="C16:D16"/>
    <mergeCell ref="E16:F16"/>
    <mergeCell ref="G16:H16"/>
    <mergeCell ref="E17:F17"/>
    <mergeCell ref="E18:F18"/>
    <mergeCell ref="G17:H17"/>
    <mergeCell ref="G18:H18"/>
    <mergeCell ref="J16:K18"/>
    <mergeCell ref="C10:D10"/>
    <mergeCell ref="Q10:R10"/>
    <mergeCell ref="H10:K10"/>
    <mergeCell ref="M10:O10"/>
    <mergeCell ref="A12:B12"/>
    <mergeCell ref="C12:R12"/>
    <mergeCell ref="O1:S1"/>
    <mergeCell ref="A1:N1"/>
    <mergeCell ref="A6:R6"/>
    <mergeCell ref="C8:D8"/>
    <mergeCell ref="E8:K8"/>
    <mergeCell ref="Q8:R8"/>
    <mergeCell ref="M8:N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1"/>
  <dimension ref="A1:S19"/>
  <sheetViews>
    <sheetView workbookViewId="0">
      <selection activeCell="A6" sqref="A6:R6"/>
    </sheetView>
  </sheetViews>
  <sheetFormatPr baseColWidth="10" defaultRowHeight="15" x14ac:dyDescent="0.25"/>
  <cols>
    <col min="5" max="5" width="11.85546875" bestFit="1" customWidth="1"/>
    <col min="11" max="11" width="9.85546875" customWidth="1"/>
    <col min="12" max="12" width="17.28515625" customWidth="1"/>
    <col min="14" max="14" width="6.85546875" customWidth="1"/>
    <col min="19" max="19" width="0.5703125" customWidth="1"/>
  </cols>
  <sheetData>
    <row r="1" spans="1:19" ht="52.5" customHeight="1" thickBot="1" x14ac:dyDescent="0.3">
      <c r="A1" s="462" t="s">
        <v>1790</v>
      </c>
      <c r="B1" s="463"/>
      <c r="C1" s="463"/>
      <c r="D1" s="463"/>
      <c r="E1" s="463"/>
      <c r="F1" s="463"/>
      <c r="G1" s="463"/>
      <c r="H1" s="463"/>
      <c r="I1" s="463"/>
      <c r="J1" s="463"/>
      <c r="K1" s="463"/>
      <c r="L1" s="463"/>
      <c r="M1" s="463"/>
      <c r="N1" s="463"/>
      <c r="O1" s="459">
        <f ca="1">NOW()</f>
        <v>45861.640435416666</v>
      </c>
      <c r="P1" s="460"/>
      <c r="Q1" s="460"/>
      <c r="R1" s="460"/>
      <c r="S1" s="461"/>
    </row>
    <row r="5" spans="1:19" ht="2.25" customHeight="1" thickBot="1" x14ac:dyDescent="0.3"/>
    <row r="6" spans="1:19" ht="24.75" customHeight="1" thickBot="1" x14ac:dyDescent="0.4">
      <c r="A6" s="464" t="s">
        <v>1792</v>
      </c>
      <c r="B6" s="465"/>
      <c r="C6" s="465"/>
      <c r="D6" s="465"/>
      <c r="E6" s="465"/>
      <c r="F6" s="465"/>
      <c r="G6" s="465"/>
      <c r="H6" s="465"/>
      <c r="I6" s="465"/>
      <c r="J6" s="465"/>
      <c r="K6" s="465"/>
      <c r="L6" s="465"/>
      <c r="M6" s="465"/>
      <c r="N6" s="465"/>
      <c r="O6" s="465"/>
      <c r="P6" s="465"/>
      <c r="Q6" s="465"/>
      <c r="R6" s="466"/>
    </row>
    <row r="8" spans="1:19" ht="15.75" x14ac:dyDescent="0.25">
      <c r="A8" s="395" t="s">
        <v>1791</v>
      </c>
      <c r="B8" s="398">
        <v>22222</v>
      </c>
      <c r="C8" s="456" t="s">
        <v>1793</v>
      </c>
      <c r="D8" s="456"/>
      <c r="E8" s="457" t="s">
        <v>1794</v>
      </c>
      <c r="F8" s="457"/>
      <c r="G8" s="457"/>
      <c r="H8" s="457"/>
      <c r="I8" s="457"/>
      <c r="J8" s="457"/>
      <c r="K8" s="457"/>
      <c r="L8" s="397" t="s">
        <v>1795</v>
      </c>
      <c r="M8" s="457">
        <v>3216549871</v>
      </c>
      <c r="N8" s="457"/>
      <c r="P8" s="397" t="s">
        <v>1796</v>
      </c>
      <c r="Q8" s="457" t="s">
        <v>143</v>
      </c>
      <c r="R8" s="457"/>
    </row>
    <row r="10" spans="1:19" ht="15.75" x14ac:dyDescent="0.25">
      <c r="C10" s="456" t="s">
        <v>1797</v>
      </c>
      <c r="D10" s="456"/>
      <c r="E10" s="399">
        <v>45802</v>
      </c>
      <c r="G10" s="395" t="s">
        <v>1799</v>
      </c>
      <c r="H10" s="457" t="s">
        <v>119</v>
      </c>
      <c r="I10" s="457"/>
      <c r="J10" s="457"/>
      <c r="K10" s="457"/>
      <c r="L10" s="397" t="s">
        <v>1800</v>
      </c>
      <c r="M10" s="457" t="s">
        <v>1801</v>
      </c>
      <c r="N10" s="457"/>
      <c r="O10" s="457"/>
      <c r="P10" s="397" t="s">
        <v>1798</v>
      </c>
      <c r="Q10" s="457" t="s">
        <v>88</v>
      </c>
      <c r="R10" s="457"/>
    </row>
    <row r="12" spans="1:19" ht="15.75" customHeight="1" x14ac:dyDescent="0.25">
      <c r="A12" s="456" t="s">
        <v>1802</v>
      </c>
      <c r="B12" s="456"/>
      <c r="C12" s="458" t="s">
        <v>1710</v>
      </c>
      <c r="D12" s="458"/>
      <c r="E12" s="458"/>
      <c r="F12" s="458"/>
      <c r="G12" s="458"/>
      <c r="H12" s="458"/>
      <c r="I12" s="458"/>
      <c r="J12" s="458"/>
      <c r="K12" s="458"/>
      <c r="L12" s="458"/>
      <c r="M12" s="458"/>
      <c r="N12" s="458"/>
      <c r="O12" s="458"/>
      <c r="P12" s="458"/>
      <c r="Q12" s="458"/>
      <c r="R12" s="458"/>
    </row>
    <row r="14" spans="1:19" x14ac:dyDescent="0.25">
      <c r="A14" s="456" t="s">
        <v>1803</v>
      </c>
      <c r="B14" s="456"/>
      <c r="C14" s="396">
        <v>45802</v>
      </c>
      <c r="E14" s="456" t="s">
        <v>1804</v>
      </c>
      <c r="F14" s="456"/>
      <c r="G14" s="396">
        <v>45802</v>
      </c>
      <c r="H14" s="474" t="s">
        <v>1805</v>
      </c>
      <c r="I14" s="468"/>
      <c r="J14" s="469"/>
      <c r="K14" s="469"/>
      <c r="L14" s="469"/>
      <c r="M14" s="469"/>
      <c r="N14" s="469"/>
      <c r="O14" s="469"/>
      <c r="P14" s="469"/>
      <c r="Q14" s="469"/>
      <c r="R14" s="469"/>
    </row>
    <row r="16" spans="1:19" x14ac:dyDescent="0.25">
      <c r="A16" s="456" t="s">
        <v>1806</v>
      </c>
      <c r="B16" s="456"/>
      <c r="C16" s="469"/>
      <c r="D16" s="469"/>
      <c r="E16" s="474" t="s">
        <v>1807</v>
      </c>
      <c r="F16" s="468"/>
      <c r="G16" s="469"/>
      <c r="H16" s="469"/>
      <c r="J16" s="470" t="s">
        <v>1810</v>
      </c>
      <c r="K16" s="471"/>
      <c r="L16" s="469"/>
      <c r="M16" s="469"/>
      <c r="N16" s="469"/>
    </row>
    <row r="17" spans="1:18" x14ac:dyDescent="0.25">
      <c r="E17" s="468" t="s">
        <v>1809</v>
      </c>
      <c r="F17" s="468"/>
      <c r="G17" s="469"/>
      <c r="H17" s="469"/>
      <c r="J17" s="471"/>
      <c r="K17" s="471"/>
      <c r="L17" s="469"/>
      <c r="M17" s="469"/>
      <c r="N17" s="469"/>
    </row>
    <row r="18" spans="1:18" x14ac:dyDescent="0.25">
      <c r="E18" s="468" t="s">
        <v>1808</v>
      </c>
      <c r="F18" s="468"/>
      <c r="G18" s="469"/>
      <c r="H18" s="469"/>
      <c r="J18" s="471"/>
      <c r="K18" s="471"/>
      <c r="L18" s="469"/>
      <c r="M18" s="469"/>
      <c r="N18" s="469"/>
    </row>
    <row r="19" spans="1:18" ht="15.75" thickBot="1" x14ac:dyDescent="0.3">
      <c r="A19" s="400"/>
      <c r="B19" s="400"/>
      <c r="C19" s="400"/>
      <c r="D19" s="400"/>
      <c r="E19" s="400"/>
      <c r="F19" s="400"/>
      <c r="G19" s="400"/>
      <c r="H19" s="400"/>
      <c r="I19" s="400"/>
      <c r="J19" s="400"/>
      <c r="K19" s="400"/>
      <c r="L19" s="400"/>
      <c r="M19" s="400"/>
      <c r="N19" s="400"/>
      <c r="O19" s="400"/>
      <c r="P19" s="400"/>
      <c r="Q19" s="400"/>
      <c r="R19" s="400"/>
    </row>
  </sheetData>
  <mergeCells count="27">
    <mergeCell ref="J14:R14"/>
    <mergeCell ref="A16:B16"/>
    <mergeCell ref="C16:D16"/>
    <mergeCell ref="E16:F16"/>
    <mergeCell ref="G16:H16"/>
    <mergeCell ref="J16:K18"/>
    <mergeCell ref="L16:N18"/>
    <mergeCell ref="E17:F17"/>
    <mergeCell ref="G17:H17"/>
    <mergeCell ref="E18:F18"/>
    <mergeCell ref="G18:H18"/>
    <mergeCell ref="A14:B14"/>
    <mergeCell ref="E14:F14"/>
    <mergeCell ref="H14:I14"/>
    <mergeCell ref="C10:D10"/>
    <mergeCell ref="H10:K10"/>
    <mergeCell ref="M10:O10"/>
    <mergeCell ref="Q10:R10"/>
    <mergeCell ref="A12:B12"/>
    <mergeCell ref="C12:R12"/>
    <mergeCell ref="A1:N1"/>
    <mergeCell ref="O1:S1"/>
    <mergeCell ref="A6:R6"/>
    <mergeCell ref="C8:D8"/>
    <mergeCell ref="E8:K8"/>
    <mergeCell ref="M8:N8"/>
    <mergeCell ref="Q8:R8"/>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
  <dimension ref="A1:A9"/>
  <sheetViews>
    <sheetView workbookViewId="0">
      <selection activeCell="A3" sqref="A3"/>
    </sheetView>
  </sheetViews>
  <sheetFormatPr baseColWidth="10" defaultRowHeight="15" x14ac:dyDescent="0.25"/>
  <sheetData>
    <row r="1" spans="1:1" x14ac:dyDescent="0.25">
      <c r="A1" t="s">
        <v>2495</v>
      </c>
    </row>
    <row r="3" spans="1:1" x14ac:dyDescent="0.25">
      <c r="A3" t="s">
        <v>2496</v>
      </c>
    </row>
    <row r="5" spans="1:1" x14ac:dyDescent="0.25">
      <c r="A5" t="s">
        <v>2497</v>
      </c>
    </row>
    <row r="7" spans="1:1" ht="105" x14ac:dyDescent="0.25">
      <c r="A7" s="43" t="s">
        <v>2498</v>
      </c>
    </row>
    <row r="9" spans="1:1" x14ac:dyDescent="0.25">
      <c r="A9" t="s">
        <v>2499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7">
    <tabColor rgb="FFFF0000"/>
  </sheetPr>
  <dimension ref="A1:AI4"/>
  <sheetViews>
    <sheetView zoomScale="80" zoomScaleNormal="80" workbookViewId="0">
      <selection sqref="A1:XFD1"/>
    </sheetView>
  </sheetViews>
  <sheetFormatPr baseColWidth="10" defaultColWidth="8.85546875" defaultRowHeight="15" x14ac:dyDescent="0.25"/>
  <cols>
    <col min="4" max="4" width="13.140625" customWidth="1"/>
    <col min="5" max="5" width="26.28515625" customWidth="1"/>
    <col min="6" max="6" width="17.5703125" customWidth="1"/>
    <col min="7" max="7" width="16.42578125" customWidth="1"/>
    <col min="8" max="8" width="16.28515625" customWidth="1"/>
    <col min="9" max="9" width="13.42578125" customWidth="1"/>
    <col min="10" max="10" width="13" customWidth="1"/>
    <col min="11" max="11" width="18" customWidth="1"/>
    <col min="12" max="12" width="55.28515625" customWidth="1"/>
    <col min="15" max="15" width="7.140625" customWidth="1"/>
    <col min="17" max="17" width="6.140625" customWidth="1"/>
    <col min="18" max="18" width="5" customWidth="1"/>
    <col min="19" max="19" width="4.42578125" customWidth="1"/>
    <col min="20" max="20" width="4.5703125" customWidth="1"/>
    <col min="21" max="21" width="6.140625" customWidth="1"/>
    <col min="22" max="22" width="16.140625" customWidth="1"/>
    <col min="23" max="23" width="11.42578125" customWidth="1"/>
    <col min="26" max="26" width="13.28515625" customWidth="1"/>
    <col min="29" max="29" width="12.85546875" customWidth="1"/>
    <col min="30" max="31" width="12.42578125" customWidth="1"/>
    <col min="34" max="34" width="11.5703125" customWidth="1"/>
  </cols>
  <sheetData>
    <row r="1" spans="1:35" ht="54.75" x14ac:dyDescent="0.25">
      <c r="A1" s="1" t="s">
        <v>0</v>
      </c>
      <c r="B1" s="1" t="s">
        <v>1</v>
      </c>
      <c r="C1" s="1" t="s">
        <v>2</v>
      </c>
      <c r="D1" s="2" t="s">
        <v>3</v>
      </c>
      <c r="E1" s="1" t="s">
        <v>4</v>
      </c>
      <c r="F1" s="3" t="s">
        <v>5</v>
      </c>
      <c r="G1" s="3" t="s">
        <v>6</v>
      </c>
      <c r="H1" s="3" t="s">
        <v>7</v>
      </c>
      <c r="I1" s="1" t="s">
        <v>8</v>
      </c>
      <c r="J1" s="2" t="s">
        <v>9</v>
      </c>
      <c r="K1" s="4" t="s">
        <v>10</v>
      </c>
      <c r="L1" s="5" t="s">
        <v>11</v>
      </c>
      <c r="M1" s="6" t="s">
        <v>12</v>
      </c>
      <c r="N1" s="7" t="s">
        <v>13</v>
      </c>
      <c r="O1" s="8" t="s">
        <v>14</v>
      </c>
      <c r="P1" s="8" t="s">
        <v>15</v>
      </c>
      <c r="Q1" s="8" t="s">
        <v>16</v>
      </c>
      <c r="R1" s="9" t="s">
        <v>17</v>
      </c>
      <c r="S1" s="10" t="s">
        <v>18</v>
      </c>
      <c r="T1" s="9" t="s">
        <v>19</v>
      </c>
      <c r="U1" s="9" t="s">
        <v>20</v>
      </c>
      <c r="V1" s="4" t="s">
        <v>21</v>
      </c>
      <c r="W1" s="11" t="s">
        <v>22</v>
      </c>
      <c r="X1" s="2" t="s">
        <v>23</v>
      </c>
      <c r="Y1" s="12" t="s">
        <v>24</v>
      </c>
      <c r="Z1" s="13" t="s">
        <v>25</v>
      </c>
      <c r="AA1" s="14" t="s">
        <v>26</v>
      </c>
      <c r="AB1" s="6" t="s">
        <v>27</v>
      </c>
      <c r="AC1" s="15" t="s">
        <v>28</v>
      </c>
      <c r="AD1" s="15" t="s">
        <v>29</v>
      </c>
      <c r="AE1" s="15" t="s">
        <v>30</v>
      </c>
      <c r="AF1" s="16" t="s">
        <v>31</v>
      </c>
      <c r="AG1" s="13" t="s">
        <v>32</v>
      </c>
      <c r="AH1" s="17" t="s">
        <v>33</v>
      </c>
      <c r="AI1" s="18" t="s">
        <v>34</v>
      </c>
    </row>
    <row r="2" spans="1:35" ht="54" customHeight="1" x14ac:dyDescent="0.25"/>
    <row r="3" spans="1:35" ht="31.5" customHeight="1" x14ac:dyDescent="0.25"/>
    <row r="4" spans="1:35" ht="52.5" customHeight="1" x14ac:dyDescent="0.25"/>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8">
    <tabColor rgb="FFFF0000"/>
  </sheetPr>
  <dimension ref="A1:D17"/>
  <sheetViews>
    <sheetView workbookViewId="0">
      <selection activeCell="B7" sqref="B7"/>
    </sheetView>
  </sheetViews>
  <sheetFormatPr baseColWidth="10" defaultColWidth="8.85546875" defaultRowHeight="15" x14ac:dyDescent="0.25"/>
  <cols>
    <col min="1" max="1" width="11.5703125" customWidth="1"/>
    <col min="2" max="2" width="15.5703125" customWidth="1"/>
    <col min="3" max="3" width="19" bestFit="1" customWidth="1"/>
  </cols>
  <sheetData>
    <row r="1" spans="1:4" x14ac:dyDescent="0.25">
      <c r="A1" s="60" t="s">
        <v>100</v>
      </c>
      <c r="B1" s="60" t="s">
        <v>101</v>
      </c>
      <c r="C1" s="60" t="s">
        <v>102</v>
      </c>
      <c r="D1" s="60"/>
    </row>
    <row r="2" spans="1:4" x14ac:dyDescent="0.25">
      <c r="A2" s="61" t="s">
        <v>87</v>
      </c>
      <c r="B2" s="61" t="s">
        <v>84</v>
      </c>
      <c r="C2" s="61" t="s">
        <v>114</v>
      </c>
      <c r="D2" s="61"/>
    </row>
    <row r="3" spans="1:4" x14ac:dyDescent="0.25">
      <c r="A3" s="61" t="s">
        <v>89</v>
      </c>
      <c r="B3" s="61" t="s">
        <v>94</v>
      </c>
      <c r="C3" s="61" t="s">
        <v>92</v>
      </c>
      <c r="D3" s="61"/>
    </row>
    <row r="4" spans="1:4" x14ac:dyDescent="0.25">
      <c r="A4" s="61" t="s">
        <v>93</v>
      </c>
      <c r="B4" s="61" t="s">
        <v>86</v>
      </c>
      <c r="C4" s="61" t="s">
        <v>21</v>
      </c>
      <c r="D4" s="61"/>
    </row>
    <row r="5" spans="1:4" x14ac:dyDescent="0.25">
      <c r="A5" s="61" t="s">
        <v>119</v>
      </c>
      <c r="B5" s="61" t="s">
        <v>88</v>
      </c>
      <c r="C5" s="61" t="s">
        <v>85</v>
      </c>
      <c r="D5" s="61"/>
    </row>
    <row r="6" spans="1:4" ht="24" x14ac:dyDescent="0.25">
      <c r="A6" s="61" t="s">
        <v>590</v>
      </c>
      <c r="B6" s="61" t="s">
        <v>95</v>
      </c>
      <c r="C6" s="59" t="s">
        <v>96</v>
      </c>
      <c r="D6" s="61"/>
    </row>
    <row r="7" spans="1:4" x14ac:dyDescent="0.25">
      <c r="A7" s="61" t="s">
        <v>2336</v>
      </c>
      <c r="B7" s="61" t="s">
        <v>99</v>
      </c>
      <c r="C7" s="61" t="s">
        <v>98</v>
      </c>
      <c r="D7" s="61"/>
    </row>
    <row r="8" spans="1:4" ht="24" x14ac:dyDescent="0.25">
      <c r="A8" s="61"/>
      <c r="C8" s="59" t="s">
        <v>97</v>
      </c>
    </row>
    <row r="9" spans="1:4" ht="24" x14ac:dyDescent="0.25">
      <c r="A9" s="61"/>
      <c r="C9" s="59" t="s">
        <v>90</v>
      </c>
    </row>
    <row r="10" spans="1:4" x14ac:dyDescent="0.25">
      <c r="A10" s="61"/>
      <c r="C10" s="59" t="s">
        <v>91</v>
      </c>
    </row>
    <row r="11" spans="1:4" x14ac:dyDescent="0.25">
      <c r="A11" s="61"/>
      <c r="C11" s="61" t="s">
        <v>122</v>
      </c>
    </row>
    <row r="12" spans="1:4" x14ac:dyDescent="0.25">
      <c r="C12" s="61"/>
    </row>
    <row r="13" spans="1:4" x14ac:dyDescent="0.25">
      <c r="C13" s="59"/>
    </row>
    <row r="14" spans="1:4" x14ac:dyDescent="0.25">
      <c r="A14" s="59"/>
      <c r="C14" s="62"/>
    </row>
    <row r="16" spans="1:4" x14ac:dyDescent="0.25">
      <c r="A16" s="63"/>
      <c r="B16" s="63"/>
      <c r="C16" s="63"/>
    </row>
    <row r="17" spans="1:1" x14ac:dyDescent="0.25">
      <c r="A17" t="s">
        <v>103</v>
      </c>
    </row>
  </sheetData>
  <dataValidations count="1">
    <dataValidation type="list" allowBlank="1" showInputMessage="1" showErrorMessage="1" sqref="C8" xr:uid="{00000000-0002-0000-0E00-000000000000}">
      <formula1>$AM$2:$AM$10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Gráficos</vt:lpstr>
      </vt:variant>
      <vt:variant>
        <vt:i4>1</vt:i4>
      </vt:variant>
    </vt:vector>
  </HeadingPairs>
  <TitlesOfParts>
    <vt:vector size="15" baseType="lpstr">
      <vt:lpstr>Instructivo o manual</vt:lpstr>
      <vt:lpstr>ENERO 2025</vt:lpstr>
      <vt:lpstr>FEBRERO 2025</vt:lpstr>
      <vt:lpstr>MARZO</vt:lpstr>
      <vt:lpstr>ABRIL</vt:lpstr>
      <vt:lpstr>MAYO</vt:lpstr>
      <vt:lpstr>JUNIO</vt:lpstr>
      <vt:lpstr>JULIO</vt:lpstr>
      <vt:lpstr>ODP AZULES 2025</vt:lpstr>
      <vt:lpstr>ALCALA</vt:lpstr>
      <vt:lpstr>CONTROL</vt:lpstr>
      <vt:lpstr>Hoja1</vt:lpstr>
      <vt:lpstr>plantilla</vt:lpstr>
      <vt:lpstr>LiSTAS</vt:lpstr>
      <vt:lpstr>Gráfico1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Zamy</dc:creator>
  <cp:lastModifiedBy>Ventas</cp:lastModifiedBy>
  <cp:lastPrinted>2025-01-18T15:56:27Z</cp:lastPrinted>
  <dcterms:created xsi:type="dcterms:W3CDTF">2022-12-27T00:25:52Z</dcterms:created>
  <dcterms:modified xsi:type="dcterms:W3CDTF">2025-07-23T20:22:13Z</dcterms:modified>
</cp:coreProperties>
</file>